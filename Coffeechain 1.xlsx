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3.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6.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tables/table7.xml" ContentType="application/vnd.openxmlformats-officedocument.spreadsheetml.table+xml"/>
  <Override PartName="/xl/slicers/slicer3.xml" ContentType="application/vnd.ms-excel.slicer+xml"/>
  <Override PartName="/xl/timelines/timeline2.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slicers/slicer4.xml" ContentType="application/vnd.ms-excel.slicer+xml"/>
  <Override PartName="/xl/timelines/timeline3.xml" ContentType="application/vnd.ms-excel.timelin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YDI GANESH\Downloads\"/>
    </mc:Choice>
  </mc:AlternateContent>
  <xr:revisionPtr revIDLastSave="0" documentId="13_ncr:1_{8D24719C-CFCD-4ADC-9395-979A385FB737}" xr6:coauthVersionLast="47" xr6:coauthVersionMax="47" xr10:uidLastSave="{00000000-0000-0000-0000-000000000000}"/>
  <bookViews>
    <workbookView xWindow="-108" yWindow="-108" windowWidth="23256" windowHeight="12456" firstSheet="10" activeTab="11" xr2:uid="{75178533-4E87-407D-9344-0BE2EB53F762}"/>
  </bookViews>
  <sheets>
    <sheet name="Coffeechain" sheetId="1" r:id="rId1"/>
    <sheet name="Product Types" sheetId="2" r:id="rId2"/>
    <sheet name=" Business Objectives" sheetId="3" r:id="rId3"/>
    <sheet name="Key Business KPIs" sheetId="4" r:id="rId4"/>
    <sheet name="Charts" sheetId="5" r:id="rId5"/>
    <sheet name=" Dataset Overview" sheetId="6" r:id="rId6"/>
    <sheet name="1. Data Cleaning &amp; Preparation" sheetId="7" r:id="rId7"/>
    <sheet name="Exploratory Data Analysis (EDA)" sheetId="8" r:id="rId8"/>
    <sheet name=". Profitability Deep Dive" sheetId="9" r:id="rId9"/>
    <sheet name="Marketing Effectiveness Analysi" sheetId="10" r:id="rId10"/>
    <sheet name="Trend Analysis" sheetId="11" r:id="rId11"/>
    <sheet name=". Root Cause Analysis " sheetId="12" r:id="rId12"/>
    <sheet name="Business Recommendations" sheetId="13" r:id="rId13"/>
    <sheet name="KPIs Section" sheetId="14" r:id="rId14"/>
    <sheet name="Dashboard" sheetId="15" r:id="rId15"/>
  </sheets>
  <externalReferences>
    <externalReference r:id="rId16"/>
  </externalReferences>
  <definedNames>
    <definedName name="NativeTimeline_Date">#N/A</definedName>
    <definedName name="NativeTimeline_Date1">#N/A</definedName>
    <definedName name="Slicer_Marketing">#N/A</definedName>
    <definedName name="Slicer_Months__Date">#N/A</definedName>
    <definedName name="Slicer_Product_Type">#N/A</definedName>
    <definedName name="Slicer_Product_Type1">#N/A</definedName>
    <definedName name="Slicer_Product_Type3">#N/A</definedName>
    <definedName name="Slicer_Profit">#N/A</definedName>
    <definedName name="Slicer_Profit1">#N/A</definedName>
    <definedName name="Slicer_Regional_Performance">#N/A</definedName>
    <definedName name="Slicer_Regional_Performance1">#N/A</definedName>
    <definedName name="Slicer_Sales">#N/A</definedName>
    <definedName name="Slicer_Sales_Revenue">#N/A</definedName>
    <definedName name="Slicer_Sales1">#N/A</definedName>
    <definedName name="Slicer_Varience">#N/A</definedName>
  </definedNames>
  <calcPr calcId="191029"/>
  <pivotCaches>
    <pivotCache cacheId="0" r:id="rId17"/>
    <pivotCache cacheId="1" r:id="rId18"/>
    <pivotCache cacheId="2" r:id="rId19"/>
    <pivotCache cacheId="3"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4"/>
        <x15:timelineCacheRef r:id="rId3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0" l="1"/>
  <c r="Q3" i="10"/>
  <c r="P4" i="10"/>
  <c r="Q4" i="10"/>
  <c r="P5" i="10"/>
  <c r="Q5" i="10"/>
  <c r="P6" i="10"/>
  <c r="Q6" i="10"/>
  <c r="P7" i="10"/>
  <c r="Q7" i="10"/>
  <c r="P8" i="10"/>
  <c r="Q8" i="10"/>
  <c r="P9" i="10"/>
  <c r="Q9" i="10"/>
  <c r="P10" i="10"/>
  <c r="Q10" i="10"/>
  <c r="P11" i="10"/>
  <c r="Q11" i="10"/>
  <c r="P12" i="10"/>
  <c r="Q12" i="10"/>
  <c r="P13" i="10"/>
  <c r="Q13" i="10"/>
  <c r="P14" i="10"/>
  <c r="Q14" i="10"/>
  <c r="P15" i="10"/>
  <c r="Q15" i="10"/>
  <c r="P16" i="10"/>
  <c r="Q16" i="10"/>
  <c r="P17" i="10"/>
  <c r="Q17" i="10"/>
  <c r="P18" i="10"/>
  <c r="Q18" i="10"/>
  <c r="P19" i="10"/>
  <c r="Q19" i="10"/>
  <c r="P20" i="10"/>
  <c r="Q20" i="10"/>
  <c r="P21" i="10"/>
  <c r="Q21" i="10"/>
  <c r="P22" i="10"/>
  <c r="Q22" i="10"/>
  <c r="P23" i="10"/>
  <c r="Q23" i="10"/>
  <c r="P24" i="10"/>
  <c r="Q24" i="10"/>
  <c r="P25" i="10"/>
  <c r="Q25" i="10"/>
  <c r="P26" i="10"/>
  <c r="Q26" i="10"/>
  <c r="P27" i="10"/>
  <c r="Q27" i="10"/>
  <c r="P28" i="10"/>
  <c r="Q28" i="10"/>
  <c r="P29" i="10"/>
  <c r="Q29" i="10"/>
  <c r="P30" i="10"/>
  <c r="Q30" i="10"/>
  <c r="P31" i="10"/>
  <c r="Q31" i="10"/>
  <c r="P32" i="10"/>
  <c r="Q32" i="10"/>
  <c r="P33" i="10"/>
  <c r="Q33" i="10"/>
  <c r="P34" i="10"/>
  <c r="Q34" i="10"/>
  <c r="P35" i="10"/>
  <c r="Q35" i="10"/>
  <c r="P36" i="10"/>
  <c r="Q36" i="10"/>
  <c r="P37" i="10"/>
  <c r="Q37" i="10"/>
  <c r="P38" i="10"/>
  <c r="Q38" i="10"/>
  <c r="P39" i="10"/>
  <c r="Q39" i="10"/>
  <c r="P40" i="10"/>
  <c r="Q40" i="10"/>
  <c r="P41" i="10"/>
  <c r="Q41" i="10"/>
  <c r="P42" i="10"/>
  <c r="Q42" i="10"/>
  <c r="P43" i="10"/>
  <c r="Q43" i="10"/>
  <c r="P44" i="10"/>
  <c r="Q44" i="10"/>
  <c r="P45" i="10"/>
  <c r="Q45" i="10"/>
  <c r="P46" i="10"/>
  <c r="Q46" i="10"/>
  <c r="P47" i="10"/>
  <c r="Q47" i="10"/>
  <c r="P48" i="10"/>
  <c r="Q48" i="10"/>
  <c r="P49" i="10"/>
  <c r="Q49" i="10"/>
  <c r="P50" i="10"/>
  <c r="Q50" i="10"/>
  <c r="P51" i="10"/>
  <c r="Q51" i="10"/>
  <c r="P52" i="10"/>
  <c r="Q52" i="10"/>
  <c r="P53" i="10"/>
  <c r="Q53" i="10"/>
  <c r="P54" i="10"/>
  <c r="Q54" i="10"/>
  <c r="P55" i="10"/>
  <c r="Q55" i="10"/>
  <c r="P56" i="10"/>
  <c r="Q56" i="10"/>
  <c r="P57" i="10"/>
  <c r="Q57" i="10"/>
  <c r="P58" i="10"/>
  <c r="Q58" i="10"/>
  <c r="P59" i="10"/>
  <c r="Q59" i="10"/>
  <c r="P60" i="10"/>
  <c r="Q60" i="10"/>
  <c r="P61" i="10"/>
  <c r="Q61" i="10"/>
  <c r="P62" i="10"/>
  <c r="Q62" i="10"/>
  <c r="P63" i="10"/>
  <c r="Q63" i="10"/>
  <c r="P64" i="10"/>
  <c r="Q64" i="10"/>
  <c r="P65" i="10"/>
  <c r="Q65" i="10"/>
  <c r="P66" i="10"/>
  <c r="Q66" i="10"/>
  <c r="P67" i="10"/>
  <c r="Q67" i="10"/>
  <c r="P68" i="10"/>
  <c r="Q68" i="10"/>
  <c r="P69" i="10"/>
  <c r="Q69" i="10"/>
  <c r="P70" i="10"/>
  <c r="Q70" i="10"/>
  <c r="P71" i="10"/>
  <c r="Q71" i="10"/>
  <c r="P72" i="10"/>
  <c r="Q72" i="10"/>
  <c r="P73" i="10"/>
  <c r="Q73" i="10"/>
  <c r="P74" i="10"/>
  <c r="Q74" i="10"/>
  <c r="P75" i="10"/>
  <c r="Q75" i="10"/>
  <c r="P76" i="10"/>
  <c r="Q76" i="10"/>
  <c r="P77" i="10"/>
  <c r="Q77" i="10"/>
  <c r="P78" i="10"/>
  <c r="Q78" i="10"/>
  <c r="P79" i="10"/>
  <c r="Q79" i="10"/>
  <c r="P80" i="10"/>
  <c r="Q80" i="10"/>
  <c r="P81" i="10"/>
  <c r="Q81" i="10"/>
  <c r="P82" i="10"/>
  <c r="Q82" i="10"/>
  <c r="P83" i="10"/>
  <c r="Q83" i="10"/>
  <c r="P84" i="10"/>
  <c r="Q84" i="10"/>
  <c r="P85" i="10"/>
  <c r="Q85" i="10"/>
  <c r="P86" i="10"/>
  <c r="Q86" i="10"/>
  <c r="P87" i="10"/>
  <c r="Q87" i="10"/>
  <c r="P88" i="10"/>
  <c r="Q88" i="10"/>
  <c r="P89" i="10"/>
  <c r="Q89" i="10"/>
  <c r="P90" i="10"/>
  <c r="Q90" i="10"/>
  <c r="P91" i="10"/>
  <c r="Q91" i="10"/>
  <c r="P92" i="10"/>
  <c r="Q92" i="10"/>
  <c r="P93" i="10"/>
  <c r="Q93" i="10"/>
  <c r="P94" i="10"/>
  <c r="Q94" i="10"/>
  <c r="P95" i="10"/>
  <c r="Q95" i="10"/>
  <c r="P96" i="10"/>
  <c r="Q96" i="10"/>
  <c r="P97" i="10"/>
  <c r="Q97" i="10"/>
  <c r="P98" i="10"/>
  <c r="Q98" i="10"/>
  <c r="P99" i="10"/>
  <c r="Q99" i="10"/>
  <c r="P100" i="10"/>
  <c r="Q100" i="10"/>
  <c r="P101" i="10"/>
  <c r="Q101" i="10"/>
  <c r="P102" i="10"/>
  <c r="Q102" i="10"/>
  <c r="P103" i="10"/>
  <c r="Q103" i="10"/>
  <c r="P104" i="10"/>
  <c r="Q104" i="10"/>
  <c r="P105" i="10"/>
  <c r="Q105" i="10"/>
  <c r="P106" i="10"/>
  <c r="Q106" i="10"/>
  <c r="P107" i="10"/>
  <c r="Q107" i="10"/>
  <c r="P108" i="10"/>
  <c r="Q108" i="10"/>
  <c r="P109" i="10"/>
  <c r="Q109" i="10"/>
  <c r="P110" i="10"/>
  <c r="Q110" i="10"/>
  <c r="P111" i="10"/>
  <c r="Q111" i="10"/>
  <c r="P112" i="10"/>
  <c r="Q112" i="10"/>
  <c r="P113" i="10"/>
  <c r="Q113" i="10"/>
  <c r="P114" i="10"/>
  <c r="Q114" i="10"/>
  <c r="P115" i="10"/>
  <c r="Q115" i="10"/>
  <c r="P116" i="10"/>
  <c r="Q116" i="10"/>
  <c r="P117" i="10"/>
  <c r="Q117" i="10"/>
  <c r="P118" i="10"/>
  <c r="Q118" i="10"/>
  <c r="P119" i="10"/>
  <c r="Q119" i="10"/>
  <c r="P120" i="10"/>
  <c r="Q120" i="10"/>
  <c r="P121" i="10"/>
  <c r="Q121" i="10"/>
  <c r="P122" i="10"/>
  <c r="Q122" i="10"/>
  <c r="P123" i="10"/>
  <c r="Q123" i="10"/>
  <c r="P124" i="10"/>
  <c r="Q124" i="10"/>
  <c r="P125" i="10"/>
  <c r="Q125" i="10"/>
  <c r="P126" i="10"/>
  <c r="Q126" i="10"/>
  <c r="P127" i="10"/>
  <c r="Q127" i="10"/>
  <c r="P128" i="10"/>
  <c r="Q128" i="10"/>
  <c r="P129" i="10"/>
  <c r="Q129" i="10"/>
  <c r="P130" i="10"/>
  <c r="Q130" i="10"/>
  <c r="P131" i="10"/>
  <c r="Q131" i="10"/>
  <c r="P132" i="10"/>
  <c r="Q132" i="10"/>
  <c r="P133" i="10"/>
  <c r="Q133" i="10"/>
  <c r="P134" i="10"/>
  <c r="Q134" i="10"/>
  <c r="P135" i="10"/>
  <c r="Q135" i="10"/>
  <c r="P136" i="10"/>
  <c r="Q136" i="10"/>
  <c r="P137" i="10"/>
  <c r="Q137" i="10"/>
  <c r="P138" i="10"/>
  <c r="Q138" i="10"/>
  <c r="P139" i="10"/>
  <c r="Q139" i="10"/>
  <c r="P140" i="10"/>
  <c r="Q140" i="10"/>
  <c r="P141" i="10"/>
  <c r="Q141" i="10"/>
  <c r="P142" i="10"/>
  <c r="Q142" i="10"/>
  <c r="P143" i="10"/>
  <c r="Q143" i="10"/>
  <c r="P144" i="10"/>
  <c r="Q144" i="10"/>
  <c r="P145" i="10"/>
  <c r="Q145" i="10"/>
  <c r="P146" i="10"/>
  <c r="Q146" i="10"/>
  <c r="P147" i="10"/>
  <c r="Q147" i="10"/>
  <c r="P148" i="10"/>
  <c r="Q148" i="10"/>
  <c r="P149" i="10"/>
  <c r="Q149" i="10"/>
  <c r="P150" i="10"/>
  <c r="Q150" i="10"/>
  <c r="P151" i="10"/>
  <c r="Q151" i="10"/>
  <c r="P152" i="10"/>
  <c r="Q152" i="10"/>
  <c r="P153" i="10"/>
  <c r="Q153" i="10"/>
  <c r="P154" i="10"/>
  <c r="Q154" i="10"/>
  <c r="P155" i="10"/>
  <c r="Q155" i="10"/>
  <c r="P156" i="10"/>
  <c r="Q156" i="10"/>
  <c r="P157" i="10"/>
  <c r="Q157" i="10"/>
  <c r="P158" i="10"/>
  <c r="Q158" i="10"/>
  <c r="P159" i="10"/>
  <c r="Q159" i="10"/>
  <c r="P160" i="10"/>
  <c r="Q160" i="10"/>
  <c r="P161" i="10"/>
  <c r="Q161" i="10"/>
  <c r="P162" i="10"/>
  <c r="Q162" i="10"/>
  <c r="P163" i="10"/>
  <c r="Q163" i="10"/>
  <c r="P164" i="10"/>
  <c r="Q164" i="10"/>
  <c r="P165" i="10"/>
  <c r="Q165" i="10"/>
  <c r="P166" i="10"/>
  <c r="Q166" i="10"/>
  <c r="P167" i="10"/>
  <c r="Q167" i="10"/>
  <c r="P168" i="10"/>
  <c r="Q168" i="10"/>
  <c r="P169" i="10"/>
  <c r="Q169" i="10"/>
  <c r="P170" i="10"/>
  <c r="Q170" i="10"/>
  <c r="P171" i="10"/>
  <c r="Q171" i="10"/>
  <c r="P172" i="10"/>
  <c r="Q172" i="10"/>
  <c r="P173" i="10"/>
  <c r="Q173" i="10"/>
  <c r="P174" i="10"/>
  <c r="Q174" i="10"/>
  <c r="P175" i="10"/>
  <c r="Q175" i="10"/>
  <c r="P176" i="10"/>
  <c r="Q176" i="10"/>
  <c r="P177" i="10"/>
  <c r="Q177" i="10"/>
  <c r="P178" i="10"/>
  <c r="Q178" i="10"/>
  <c r="P179" i="10"/>
  <c r="Q179" i="10"/>
  <c r="P180" i="10"/>
  <c r="Q180" i="10"/>
  <c r="P181" i="10"/>
  <c r="Q181" i="10"/>
  <c r="P182" i="10"/>
  <c r="Q182" i="10"/>
  <c r="P183" i="10"/>
  <c r="Q183" i="10"/>
  <c r="P184" i="10"/>
  <c r="Q184" i="10"/>
  <c r="P185" i="10"/>
  <c r="Q185" i="10"/>
  <c r="P186" i="10"/>
  <c r="Q186" i="10"/>
  <c r="P187" i="10"/>
  <c r="Q187" i="10"/>
  <c r="P188" i="10"/>
  <c r="Q188" i="10"/>
  <c r="P189" i="10"/>
  <c r="Q189" i="10"/>
  <c r="P190" i="10"/>
  <c r="Q190" i="10"/>
  <c r="P191" i="10"/>
  <c r="Q191" i="10"/>
  <c r="P192" i="10"/>
  <c r="Q192" i="10"/>
  <c r="P193" i="10"/>
  <c r="Q193" i="10"/>
  <c r="P194" i="10"/>
  <c r="Q194" i="10"/>
  <c r="P195" i="10"/>
  <c r="Q195" i="10"/>
  <c r="P196" i="10"/>
  <c r="Q196" i="10"/>
  <c r="P197" i="10"/>
  <c r="Q197" i="10"/>
  <c r="P198" i="10"/>
  <c r="Q198" i="10"/>
  <c r="P199" i="10"/>
  <c r="Q199" i="10"/>
  <c r="P200" i="10"/>
  <c r="Q200" i="10"/>
  <c r="P201" i="10"/>
  <c r="Q201" i="10"/>
  <c r="P202" i="10"/>
  <c r="Q202" i="10"/>
  <c r="P203" i="10"/>
  <c r="Q203" i="10"/>
  <c r="P204" i="10"/>
  <c r="Q204" i="10"/>
  <c r="P205" i="10"/>
  <c r="Q205" i="10"/>
  <c r="P206" i="10"/>
  <c r="Q206" i="10"/>
  <c r="P207" i="10"/>
  <c r="Q207" i="10"/>
  <c r="P208" i="10"/>
  <c r="Q208" i="10"/>
  <c r="P209" i="10"/>
  <c r="Q209" i="10"/>
  <c r="P210" i="10"/>
  <c r="Q210" i="10"/>
  <c r="P211" i="10"/>
  <c r="Q211" i="10"/>
  <c r="P212" i="10"/>
  <c r="Q212" i="10"/>
  <c r="P213" i="10"/>
  <c r="Q213" i="10"/>
  <c r="P214" i="10"/>
  <c r="Q214" i="10"/>
  <c r="P215" i="10"/>
  <c r="Q215" i="10"/>
  <c r="P216" i="10"/>
  <c r="Q216" i="10"/>
  <c r="P217" i="10"/>
  <c r="Q217" i="10"/>
  <c r="P218" i="10"/>
  <c r="Q218" i="10"/>
  <c r="P219" i="10"/>
  <c r="Q219" i="10"/>
  <c r="P220" i="10"/>
  <c r="Q220" i="10"/>
  <c r="P221" i="10"/>
  <c r="Q221" i="10"/>
  <c r="P222" i="10"/>
  <c r="Q222" i="10"/>
  <c r="P223" i="10"/>
  <c r="Q223" i="10"/>
  <c r="P224" i="10"/>
  <c r="Q224" i="10"/>
  <c r="P225" i="10"/>
  <c r="Q225" i="10"/>
  <c r="P226" i="10"/>
  <c r="Q226" i="10"/>
  <c r="P227" i="10"/>
  <c r="Q227" i="10"/>
  <c r="P228" i="10"/>
  <c r="Q228" i="10"/>
  <c r="P229" i="10"/>
  <c r="Q229" i="10"/>
  <c r="P230" i="10"/>
  <c r="Q230" i="10"/>
  <c r="P231" i="10"/>
  <c r="Q231" i="10"/>
  <c r="P232" i="10"/>
  <c r="Q232" i="10"/>
  <c r="P233" i="10"/>
  <c r="Q233" i="10"/>
  <c r="P234" i="10"/>
  <c r="Q234" i="10"/>
  <c r="P235" i="10"/>
  <c r="Q235" i="10"/>
  <c r="P236" i="10"/>
  <c r="Q236" i="10"/>
  <c r="P237" i="10"/>
  <c r="Q237" i="10"/>
  <c r="P238" i="10"/>
  <c r="Q238" i="10"/>
  <c r="P239" i="10"/>
  <c r="Q239" i="10"/>
  <c r="P240" i="10"/>
  <c r="Q240" i="10"/>
  <c r="P241" i="10"/>
  <c r="Q241" i="10"/>
  <c r="P242" i="10"/>
  <c r="Q242" i="10"/>
  <c r="P243" i="10"/>
  <c r="Q243" i="10"/>
  <c r="P244" i="10"/>
  <c r="Q244" i="10"/>
  <c r="P245" i="10"/>
  <c r="Q245" i="10"/>
  <c r="P246" i="10"/>
  <c r="Q246" i="10"/>
  <c r="P247" i="10"/>
  <c r="Q247" i="10"/>
  <c r="P248" i="10"/>
  <c r="Q248" i="10"/>
  <c r="P249" i="10"/>
  <c r="Q249" i="10"/>
  <c r="P250" i="10"/>
  <c r="Q250" i="10"/>
  <c r="P251" i="10"/>
  <c r="Q251" i="10"/>
  <c r="P252" i="10"/>
  <c r="Q252" i="10"/>
  <c r="P253" i="10"/>
  <c r="Q253" i="10"/>
  <c r="P254" i="10"/>
  <c r="Q254" i="10"/>
  <c r="P255" i="10"/>
  <c r="Q255" i="10"/>
  <c r="P256" i="10"/>
  <c r="Q256" i="10"/>
  <c r="P257" i="10"/>
  <c r="Q257" i="10"/>
  <c r="P258" i="10"/>
  <c r="Q258" i="10"/>
  <c r="P259" i="10"/>
  <c r="Q259" i="10"/>
  <c r="P260" i="10"/>
  <c r="Q260" i="10"/>
  <c r="P261" i="10"/>
  <c r="Q261" i="10"/>
  <c r="P262" i="10"/>
  <c r="Q262" i="10"/>
  <c r="P263" i="10"/>
  <c r="Q263" i="10"/>
  <c r="P264" i="10"/>
  <c r="Q264" i="10"/>
  <c r="P265" i="10"/>
  <c r="Q265" i="10"/>
  <c r="P266" i="10"/>
  <c r="Q266" i="10"/>
  <c r="P267" i="10"/>
  <c r="Q267" i="10"/>
  <c r="P268" i="10"/>
  <c r="Q268" i="10"/>
  <c r="P269" i="10"/>
  <c r="Q269" i="10"/>
  <c r="P270" i="10"/>
  <c r="Q270" i="10"/>
  <c r="P271" i="10"/>
  <c r="Q271" i="10"/>
  <c r="P272" i="10"/>
  <c r="Q272" i="10"/>
  <c r="P273" i="10"/>
  <c r="Q273" i="10"/>
  <c r="P274" i="10"/>
  <c r="Q274" i="10"/>
  <c r="P275" i="10"/>
  <c r="Q275" i="10"/>
  <c r="P276" i="10"/>
  <c r="Q276" i="10"/>
  <c r="P277" i="10"/>
  <c r="Q277" i="10"/>
  <c r="P278" i="10"/>
  <c r="Q278" i="10"/>
  <c r="P279" i="10"/>
  <c r="Q279" i="10"/>
  <c r="P280" i="10"/>
  <c r="Q280" i="10"/>
  <c r="P281" i="10"/>
  <c r="Q281" i="10"/>
  <c r="P282" i="10"/>
  <c r="Q282" i="10"/>
  <c r="P283" i="10"/>
  <c r="Q283" i="10"/>
  <c r="P284" i="10"/>
  <c r="Q284" i="10"/>
  <c r="P285" i="10"/>
  <c r="Q285" i="10"/>
  <c r="P286" i="10"/>
  <c r="Q286" i="10"/>
  <c r="P287" i="10"/>
  <c r="Q287" i="10"/>
  <c r="P288" i="10"/>
  <c r="Q288" i="10"/>
  <c r="P289" i="10"/>
  <c r="Q289" i="10"/>
  <c r="P290" i="10"/>
  <c r="Q290" i="10"/>
  <c r="P291" i="10"/>
  <c r="Q291" i="10"/>
  <c r="P292" i="10"/>
  <c r="Q292" i="10"/>
  <c r="P293" i="10"/>
  <c r="Q293" i="10"/>
  <c r="P294" i="10"/>
  <c r="Q294" i="10"/>
  <c r="P295" i="10"/>
  <c r="Q295" i="10"/>
  <c r="P296" i="10"/>
  <c r="Q296" i="10"/>
  <c r="P297" i="10"/>
  <c r="Q297" i="10"/>
  <c r="P298" i="10"/>
  <c r="Q298" i="10"/>
  <c r="P299" i="10"/>
  <c r="Q299" i="10"/>
  <c r="P300" i="10"/>
  <c r="Q300" i="10"/>
  <c r="P301" i="10"/>
  <c r="Q301" i="10"/>
  <c r="P302" i="10"/>
  <c r="Q302" i="10"/>
  <c r="P303" i="10"/>
  <c r="Q303" i="10"/>
  <c r="P304" i="10"/>
  <c r="Q304" i="10"/>
  <c r="P305" i="10"/>
  <c r="Q305" i="10"/>
  <c r="P306" i="10"/>
  <c r="Q306" i="10"/>
  <c r="P307" i="10"/>
  <c r="Q307" i="10"/>
  <c r="P308" i="10"/>
  <c r="Q308" i="10"/>
  <c r="P309" i="10"/>
  <c r="Q309" i="10"/>
  <c r="P310" i="10"/>
  <c r="Q310" i="10"/>
  <c r="P311" i="10"/>
  <c r="Q311" i="10"/>
  <c r="P312" i="10"/>
  <c r="Q312" i="10"/>
  <c r="P313" i="10"/>
  <c r="Q313" i="10"/>
  <c r="P314" i="10"/>
  <c r="Q314" i="10"/>
  <c r="P315" i="10"/>
  <c r="Q315" i="10"/>
  <c r="P316" i="10"/>
  <c r="Q316" i="10"/>
  <c r="P317" i="10"/>
  <c r="Q317" i="10"/>
  <c r="P318" i="10"/>
  <c r="Q318" i="10"/>
  <c r="P319" i="10"/>
  <c r="Q319" i="10"/>
  <c r="P320" i="10"/>
  <c r="Q320" i="10"/>
  <c r="P321" i="10"/>
  <c r="Q321" i="10"/>
  <c r="P322" i="10"/>
  <c r="Q322" i="10"/>
  <c r="P323" i="10"/>
  <c r="Q323" i="10"/>
  <c r="P324" i="10"/>
  <c r="Q324" i="10"/>
  <c r="P325" i="10"/>
  <c r="Q325" i="10"/>
  <c r="P326" i="10"/>
  <c r="Q326" i="10"/>
  <c r="P327" i="10"/>
  <c r="Q327" i="10"/>
  <c r="P328" i="10"/>
  <c r="Q328" i="10"/>
  <c r="P329" i="10"/>
  <c r="Q329" i="10"/>
  <c r="P330" i="10"/>
  <c r="Q330" i="10"/>
  <c r="P331" i="10"/>
  <c r="Q331" i="10"/>
  <c r="P332" i="10"/>
  <c r="Q332" i="10"/>
  <c r="P333" i="10"/>
  <c r="Q333" i="10"/>
  <c r="P334" i="10"/>
  <c r="Q334" i="10"/>
  <c r="P335" i="10"/>
  <c r="Q335" i="10"/>
  <c r="P336" i="10"/>
  <c r="Q336" i="10"/>
  <c r="P337" i="10"/>
  <c r="Q337" i="10"/>
  <c r="P338" i="10"/>
  <c r="Q338" i="10"/>
  <c r="P339" i="10"/>
  <c r="Q339" i="10"/>
  <c r="P340" i="10"/>
  <c r="Q340" i="10"/>
  <c r="P341" i="10"/>
  <c r="Q341" i="10"/>
  <c r="P342" i="10"/>
  <c r="Q342" i="10"/>
  <c r="P343" i="10"/>
  <c r="Q343" i="10"/>
  <c r="P344" i="10"/>
  <c r="Q344" i="10"/>
  <c r="P345" i="10"/>
  <c r="Q345" i="10"/>
  <c r="P346" i="10"/>
  <c r="Q346" i="10"/>
  <c r="P347" i="10"/>
  <c r="Q347" i="10"/>
  <c r="P348" i="10"/>
  <c r="Q348" i="10"/>
  <c r="P349" i="10"/>
  <c r="Q349" i="10"/>
  <c r="P350" i="10"/>
  <c r="Q350" i="10"/>
  <c r="P351" i="10"/>
  <c r="Q351" i="10"/>
  <c r="P352" i="10"/>
  <c r="Q352" i="10"/>
  <c r="P353" i="10"/>
  <c r="Q353" i="10"/>
  <c r="P354" i="10"/>
  <c r="Q354" i="10"/>
  <c r="P355" i="10"/>
  <c r="Q355" i="10"/>
  <c r="P356" i="10"/>
  <c r="Q356" i="10"/>
  <c r="P357" i="10"/>
  <c r="Q357" i="10"/>
  <c r="P358" i="10"/>
  <c r="Q358" i="10"/>
  <c r="P359" i="10"/>
  <c r="Q359" i="10"/>
  <c r="P360" i="10"/>
  <c r="Q360" i="10"/>
  <c r="P361" i="10"/>
  <c r="Q361" i="10"/>
  <c r="P362" i="10"/>
  <c r="Q362" i="10"/>
  <c r="P363" i="10"/>
  <c r="Q363" i="10"/>
  <c r="P364" i="10"/>
  <c r="Q364" i="10"/>
  <c r="P365" i="10"/>
  <c r="Q365" i="10"/>
  <c r="P366" i="10"/>
  <c r="Q366" i="10"/>
  <c r="P367" i="10"/>
  <c r="Q367" i="10"/>
  <c r="P368" i="10"/>
  <c r="Q368" i="10"/>
  <c r="P369" i="10"/>
  <c r="Q369" i="10"/>
  <c r="P370" i="10"/>
  <c r="Q370" i="10"/>
  <c r="P371" i="10"/>
  <c r="Q371" i="10"/>
  <c r="P372" i="10"/>
  <c r="Q372" i="10"/>
  <c r="P373" i="10"/>
  <c r="Q373" i="10"/>
  <c r="P374" i="10"/>
  <c r="Q374" i="10"/>
  <c r="P375" i="10"/>
  <c r="Q375" i="10"/>
  <c r="P376" i="10"/>
  <c r="Q376" i="10"/>
  <c r="P377" i="10"/>
  <c r="Q377" i="10"/>
  <c r="P378" i="10"/>
  <c r="Q378" i="10"/>
  <c r="P379" i="10"/>
  <c r="Q379" i="10"/>
  <c r="P380" i="10"/>
  <c r="Q380" i="10"/>
  <c r="P381" i="10"/>
  <c r="Q381" i="10"/>
  <c r="P382" i="10"/>
  <c r="Q382" i="10"/>
  <c r="P383" i="10"/>
  <c r="Q383" i="10"/>
  <c r="P384" i="10"/>
  <c r="Q384" i="10"/>
  <c r="P385" i="10"/>
  <c r="Q385" i="10"/>
  <c r="P386" i="10"/>
  <c r="Q386" i="10"/>
  <c r="P387" i="10"/>
  <c r="Q387" i="10"/>
  <c r="P388" i="10"/>
  <c r="Q388" i="10"/>
  <c r="P389" i="10"/>
  <c r="Q389" i="10"/>
  <c r="P390" i="10"/>
  <c r="Q390" i="10"/>
  <c r="P391" i="10"/>
  <c r="Q391" i="10"/>
  <c r="P392" i="10"/>
  <c r="Q392" i="10"/>
  <c r="P393" i="10"/>
  <c r="Q393" i="10"/>
  <c r="P394" i="10"/>
  <c r="Q394" i="10"/>
  <c r="P395" i="10"/>
  <c r="Q395" i="10"/>
  <c r="P396" i="10"/>
  <c r="Q396" i="10"/>
  <c r="P397" i="10"/>
  <c r="Q397" i="10"/>
  <c r="P398" i="10"/>
  <c r="Q398" i="10"/>
  <c r="P399" i="10"/>
  <c r="Q399" i="10"/>
  <c r="P400" i="10"/>
  <c r="Q400" i="10"/>
  <c r="P401" i="10"/>
  <c r="Q401" i="10"/>
  <c r="P402" i="10"/>
  <c r="Q402" i="10"/>
  <c r="P403" i="10"/>
  <c r="Q403" i="10"/>
  <c r="P404" i="10"/>
  <c r="Q404" i="10"/>
  <c r="P405" i="10"/>
  <c r="Q405" i="10"/>
  <c r="P406" i="10"/>
  <c r="Q406" i="10"/>
  <c r="P407" i="10"/>
  <c r="Q407" i="10"/>
  <c r="P408" i="10"/>
  <c r="Q408" i="10"/>
  <c r="P409" i="10"/>
  <c r="Q409" i="10"/>
  <c r="P410" i="10"/>
  <c r="Q410" i="10"/>
  <c r="P411" i="10"/>
  <c r="Q411" i="10"/>
  <c r="P412" i="10"/>
  <c r="Q412" i="10"/>
  <c r="P413" i="10"/>
  <c r="Q413" i="10"/>
  <c r="P414" i="10"/>
  <c r="Q414" i="10"/>
  <c r="P415" i="10"/>
  <c r="Q415" i="10"/>
  <c r="P416" i="10"/>
  <c r="Q416" i="10"/>
  <c r="P417" i="10"/>
  <c r="Q417" i="10"/>
  <c r="P418" i="10"/>
  <c r="Q418" i="10"/>
  <c r="P419" i="10"/>
  <c r="Q419" i="10"/>
  <c r="P420" i="10"/>
  <c r="Q420" i="10"/>
  <c r="P421" i="10"/>
  <c r="Q421" i="10"/>
  <c r="P422" i="10"/>
  <c r="Q422" i="10"/>
  <c r="P423" i="10"/>
  <c r="Q423" i="10"/>
  <c r="P424" i="10"/>
  <c r="Q424" i="10"/>
  <c r="P425" i="10"/>
  <c r="Q425" i="10"/>
  <c r="P426" i="10"/>
  <c r="Q426" i="10"/>
  <c r="P427" i="10"/>
  <c r="Q427" i="10"/>
  <c r="P428" i="10"/>
  <c r="Q428" i="10"/>
  <c r="P429" i="10"/>
  <c r="Q429" i="10"/>
  <c r="P430" i="10"/>
  <c r="Q430" i="10"/>
  <c r="P431" i="10"/>
  <c r="Q431" i="10"/>
  <c r="P432" i="10"/>
  <c r="Q432" i="10"/>
  <c r="P433" i="10"/>
  <c r="Q433" i="10"/>
  <c r="P434" i="10"/>
  <c r="Q434" i="10"/>
  <c r="P435" i="10"/>
  <c r="Q435" i="10"/>
  <c r="P436" i="10"/>
  <c r="Q436" i="10"/>
  <c r="P437" i="10"/>
  <c r="Q437" i="10"/>
  <c r="P438" i="10"/>
  <c r="Q438" i="10"/>
  <c r="P439" i="10"/>
  <c r="Q439" i="10"/>
  <c r="P440" i="10"/>
  <c r="Q440" i="10"/>
  <c r="P441" i="10"/>
  <c r="Q441" i="10"/>
  <c r="P442" i="10"/>
  <c r="Q442" i="10"/>
  <c r="P443" i="10"/>
  <c r="Q443" i="10"/>
  <c r="P444" i="10"/>
  <c r="Q444" i="10"/>
  <c r="P445" i="10"/>
  <c r="Q445" i="10"/>
  <c r="P446" i="10"/>
  <c r="Q446" i="10"/>
  <c r="P447" i="10"/>
  <c r="Q447" i="10"/>
  <c r="P448" i="10"/>
  <c r="Q448" i="10"/>
  <c r="P449" i="10"/>
  <c r="Q449" i="10"/>
  <c r="P450" i="10"/>
  <c r="Q450" i="10"/>
  <c r="P451" i="10"/>
  <c r="Q451" i="10"/>
  <c r="P452" i="10"/>
  <c r="Q452" i="10"/>
  <c r="P453" i="10"/>
  <c r="Q453" i="10"/>
  <c r="P454" i="10"/>
  <c r="Q454" i="10"/>
  <c r="P455" i="10"/>
  <c r="Q455" i="10"/>
  <c r="P456" i="10"/>
  <c r="Q456" i="10"/>
  <c r="P457" i="10"/>
  <c r="Q457" i="10"/>
  <c r="P458" i="10"/>
  <c r="Q458" i="10"/>
  <c r="P459" i="10"/>
  <c r="Q459" i="10"/>
  <c r="P460" i="10"/>
  <c r="Q460" i="10"/>
  <c r="P461" i="10"/>
  <c r="Q461" i="10"/>
  <c r="P462" i="10"/>
  <c r="Q462" i="10"/>
  <c r="P463" i="10"/>
  <c r="Q463" i="10"/>
  <c r="P464" i="10"/>
  <c r="Q464" i="10"/>
  <c r="P465" i="10"/>
  <c r="Q465" i="10"/>
  <c r="P466" i="10"/>
  <c r="Q466" i="10"/>
  <c r="P467" i="10"/>
  <c r="Q467" i="10"/>
  <c r="P468" i="10"/>
  <c r="Q468" i="10"/>
  <c r="P469" i="10"/>
  <c r="Q469" i="10"/>
  <c r="P470" i="10"/>
  <c r="Q470" i="10"/>
  <c r="P471" i="10"/>
  <c r="Q471" i="10"/>
  <c r="P472" i="10"/>
  <c r="Q472" i="10"/>
  <c r="P473" i="10"/>
  <c r="Q473" i="10"/>
  <c r="P474" i="10"/>
  <c r="Q474" i="10"/>
  <c r="P475" i="10"/>
  <c r="Q475" i="10"/>
  <c r="P476" i="10"/>
  <c r="Q476" i="10"/>
  <c r="P477" i="10"/>
  <c r="Q477" i="10"/>
  <c r="P478" i="10"/>
  <c r="Q478" i="10"/>
  <c r="P479" i="10"/>
  <c r="Q479" i="10"/>
  <c r="P480" i="10"/>
  <c r="Q480" i="10"/>
  <c r="P481" i="10"/>
  <c r="Q481" i="10"/>
  <c r="P482" i="10"/>
  <c r="Q482" i="10"/>
  <c r="P483" i="10"/>
  <c r="Q483" i="10"/>
  <c r="P484" i="10"/>
  <c r="Q484" i="10"/>
  <c r="P485" i="10"/>
  <c r="Q485" i="10"/>
  <c r="P486" i="10"/>
  <c r="Q486" i="10"/>
  <c r="P487" i="10"/>
  <c r="Q487" i="10"/>
  <c r="P488" i="10"/>
  <c r="Q488" i="10"/>
  <c r="P489" i="10"/>
  <c r="Q489" i="10"/>
  <c r="P490" i="10"/>
  <c r="Q490" i="10"/>
  <c r="P491" i="10"/>
  <c r="Q491" i="10"/>
  <c r="P492" i="10"/>
  <c r="Q492" i="10"/>
  <c r="P493" i="10"/>
  <c r="Q493" i="10"/>
  <c r="P494" i="10"/>
  <c r="Q494" i="10"/>
  <c r="P495" i="10"/>
  <c r="Q495" i="10"/>
  <c r="P496" i="10"/>
  <c r="Q496" i="10"/>
  <c r="P497" i="10"/>
  <c r="Q497" i="10"/>
  <c r="P498" i="10"/>
  <c r="Q498" i="10"/>
  <c r="P499" i="10"/>
  <c r="Q499" i="10"/>
  <c r="P500" i="10"/>
  <c r="Q500" i="10"/>
  <c r="P501" i="10"/>
  <c r="Q501" i="10"/>
  <c r="P502" i="10"/>
  <c r="Q502" i="10"/>
  <c r="P503" i="10"/>
  <c r="Q503" i="10"/>
  <c r="P504" i="10"/>
  <c r="Q504" i="10"/>
  <c r="P505" i="10"/>
  <c r="Q505" i="10"/>
  <c r="P506" i="10"/>
  <c r="Q506" i="10"/>
  <c r="P507" i="10"/>
  <c r="Q507" i="10"/>
  <c r="P508" i="10"/>
  <c r="Q508" i="10"/>
  <c r="P509" i="10"/>
  <c r="Q509" i="10"/>
  <c r="P510" i="10"/>
  <c r="Q510" i="10"/>
  <c r="P511" i="10"/>
  <c r="Q511" i="10"/>
  <c r="P512" i="10"/>
  <c r="Q512" i="10"/>
  <c r="P513" i="10"/>
  <c r="Q513" i="10"/>
  <c r="P514" i="10"/>
  <c r="Q514" i="10"/>
  <c r="P515" i="10"/>
  <c r="Q515" i="10"/>
  <c r="P516" i="10"/>
  <c r="Q516" i="10"/>
  <c r="P517" i="10"/>
  <c r="Q517" i="10"/>
  <c r="P518" i="10"/>
  <c r="Q518" i="10"/>
  <c r="P519" i="10"/>
  <c r="Q519" i="10"/>
  <c r="P520" i="10"/>
  <c r="Q520" i="10"/>
  <c r="P521" i="10"/>
  <c r="Q521" i="10"/>
  <c r="P522" i="10"/>
  <c r="Q522" i="10"/>
  <c r="P523" i="10"/>
  <c r="Q523" i="10"/>
  <c r="P524" i="10"/>
  <c r="Q524" i="10"/>
  <c r="P525" i="10"/>
  <c r="Q525" i="10"/>
  <c r="P526" i="10"/>
  <c r="Q526" i="10"/>
  <c r="P527" i="10"/>
  <c r="Q527" i="10"/>
  <c r="P528" i="10"/>
  <c r="Q528" i="10"/>
  <c r="P529" i="10"/>
  <c r="Q529" i="10"/>
  <c r="P530" i="10"/>
  <c r="Q530" i="10"/>
  <c r="P531" i="10"/>
  <c r="Q531" i="10"/>
  <c r="P532" i="10"/>
  <c r="Q532" i="10"/>
  <c r="P533" i="10"/>
  <c r="Q533" i="10"/>
  <c r="P534" i="10"/>
  <c r="Q534" i="10"/>
  <c r="P535" i="10"/>
  <c r="Q535" i="10"/>
  <c r="P536" i="10"/>
  <c r="Q536" i="10"/>
  <c r="P537" i="10"/>
  <c r="Q537" i="10"/>
  <c r="P538" i="10"/>
  <c r="Q538" i="10"/>
  <c r="P539" i="10"/>
  <c r="Q539" i="10"/>
  <c r="P540" i="10"/>
  <c r="Q540" i="10"/>
  <c r="P541" i="10"/>
  <c r="Q541" i="10"/>
  <c r="P542" i="10"/>
  <c r="Q542" i="10"/>
  <c r="P543" i="10"/>
  <c r="Q543" i="10"/>
  <c r="P544" i="10"/>
  <c r="Q544" i="10"/>
  <c r="P545" i="10"/>
  <c r="Q545" i="10"/>
  <c r="P546" i="10"/>
  <c r="Q546" i="10"/>
  <c r="P547" i="10"/>
  <c r="Q547" i="10"/>
  <c r="P548" i="10"/>
  <c r="Q548" i="10"/>
  <c r="P549" i="10"/>
  <c r="Q549" i="10"/>
  <c r="P550" i="10"/>
  <c r="Q550" i="10"/>
  <c r="P551" i="10"/>
  <c r="Q551" i="10"/>
  <c r="P552" i="10"/>
  <c r="Q552" i="10"/>
  <c r="P553" i="10"/>
  <c r="Q553" i="10"/>
  <c r="P554" i="10"/>
  <c r="Q554" i="10"/>
  <c r="P555" i="10"/>
  <c r="Q555" i="10"/>
  <c r="P556" i="10"/>
  <c r="Q556" i="10"/>
  <c r="P557" i="10"/>
  <c r="Q557" i="10"/>
  <c r="P558" i="10"/>
  <c r="Q558" i="10"/>
  <c r="P559" i="10"/>
  <c r="Q559" i="10"/>
  <c r="P560" i="10"/>
  <c r="Q560" i="10"/>
  <c r="P561" i="10"/>
  <c r="Q561" i="10"/>
  <c r="P562" i="10"/>
  <c r="Q562" i="10"/>
  <c r="P563" i="10"/>
  <c r="Q563" i="10"/>
  <c r="P564" i="10"/>
  <c r="Q564" i="10"/>
  <c r="P565" i="10"/>
  <c r="Q565" i="10"/>
  <c r="P566" i="10"/>
  <c r="Q566" i="10"/>
  <c r="P567" i="10"/>
  <c r="Q567" i="10"/>
  <c r="P568" i="10"/>
  <c r="Q568" i="10"/>
  <c r="P569" i="10"/>
  <c r="Q569" i="10"/>
  <c r="P570" i="10"/>
  <c r="Q570" i="10"/>
  <c r="P571" i="10"/>
  <c r="Q571" i="10"/>
  <c r="P572" i="10"/>
  <c r="Q572" i="10"/>
  <c r="P573" i="10"/>
  <c r="Q573" i="10"/>
  <c r="P574" i="10"/>
  <c r="Q574" i="10"/>
  <c r="P575" i="10"/>
  <c r="Q575" i="10"/>
  <c r="P576" i="10"/>
  <c r="Q576" i="10"/>
  <c r="P577" i="10"/>
  <c r="Q577" i="10"/>
  <c r="P578" i="10"/>
  <c r="Q578" i="10"/>
  <c r="P579" i="10"/>
  <c r="Q579" i="10"/>
  <c r="P580" i="10"/>
  <c r="Q580" i="10"/>
  <c r="P581" i="10"/>
  <c r="Q581" i="10"/>
  <c r="P582" i="10"/>
  <c r="Q582" i="10"/>
  <c r="P583" i="10"/>
  <c r="Q583" i="10"/>
  <c r="P584" i="10"/>
  <c r="Q584" i="10"/>
  <c r="P585" i="10"/>
  <c r="Q585" i="10"/>
  <c r="P586" i="10"/>
  <c r="Q586" i="10"/>
  <c r="P587" i="10"/>
  <c r="Q587" i="10"/>
  <c r="P588" i="10"/>
  <c r="Q588" i="10"/>
  <c r="P589" i="10"/>
  <c r="Q589" i="10"/>
  <c r="P590" i="10"/>
  <c r="Q590" i="10"/>
  <c r="P591" i="10"/>
  <c r="Q591" i="10"/>
  <c r="P592" i="10"/>
  <c r="Q592" i="10"/>
  <c r="P593" i="10"/>
  <c r="Q593" i="10"/>
  <c r="P594" i="10"/>
  <c r="Q594" i="10"/>
  <c r="P595" i="10"/>
  <c r="Q595" i="10"/>
  <c r="P596" i="10"/>
  <c r="Q596" i="10"/>
  <c r="P597" i="10"/>
  <c r="Q597" i="10"/>
  <c r="P598" i="10"/>
  <c r="Q598" i="10"/>
  <c r="P599" i="10"/>
  <c r="Q599" i="10"/>
  <c r="P600" i="10"/>
  <c r="Q600" i="10"/>
  <c r="P601" i="10"/>
  <c r="Q601" i="10"/>
  <c r="P602" i="10"/>
  <c r="Q602" i="10"/>
  <c r="P603" i="10"/>
  <c r="Q603" i="10"/>
  <c r="P604" i="10"/>
  <c r="Q604" i="10"/>
  <c r="P605" i="10"/>
  <c r="Q605" i="10"/>
  <c r="P606" i="10"/>
  <c r="Q606" i="10"/>
  <c r="P607" i="10"/>
  <c r="Q607" i="10"/>
  <c r="P608" i="10"/>
  <c r="Q608" i="10"/>
  <c r="P609" i="10"/>
  <c r="Q609" i="10"/>
  <c r="P610" i="10"/>
  <c r="Q610" i="10"/>
  <c r="P611" i="10"/>
  <c r="Q611" i="10"/>
  <c r="P612" i="10"/>
  <c r="Q612" i="10"/>
  <c r="P613" i="10"/>
  <c r="Q613" i="10"/>
  <c r="P614" i="10"/>
  <c r="Q614" i="10"/>
  <c r="P615" i="10"/>
  <c r="Q615" i="10"/>
  <c r="P616" i="10"/>
  <c r="Q616" i="10"/>
  <c r="P617" i="10"/>
  <c r="Q617" i="10"/>
  <c r="P618" i="10"/>
  <c r="Q618" i="10"/>
  <c r="P619" i="10"/>
  <c r="Q619" i="10"/>
  <c r="P620" i="10"/>
  <c r="Q620" i="10"/>
  <c r="P621" i="10"/>
  <c r="Q621" i="10"/>
  <c r="P622" i="10"/>
  <c r="Q622" i="10"/>
  <c r="P623" i="10"/>
  <c r="Q623" i="10"/>
  <c r="P624" i="10"/>
  <c r="Q624" i="10"/>
  <c r="P625" i="10"/>
  <c r="Q625" i="10"/>
  <c r="P626" i="10"/>
  <c r="Q626" i="10"/>
  <c r="P627" i="10"/>
  <c r="Q627" i="10"/>
  <c r="P628" i="10"/>
  <c r="Q628" i="10"/>
  <c r="P629" i="10"/>
  <c r="Q629" i="10"/>
  <c r="P630" i="10"/>
  <c r="Q630" i="10"/>
  <c r="P631" i="10"/>
  <c r="Q631" i="10"/>
  <c r="P632" i="10"/>
  <c r="Q632" i="10"/>
  <c r="P633" i="10"/>
  <c r="Q633" i="10"/>
  <c r="P634" i="10"/>
  <c r="Q634" i="10"/>
  <c r="P635" i="10"/>
  <c r="Q635" i="10"/>
  <c r="P636" i="10"/>
  <c r="Q636" i="10"/>
  <c r="P637" i="10"/>
  <c r="Q637" i="10"/>
  <c r="P638" i="10"/>
  <c r="Q638" i="10"/>
  <c r="P639" i="10"/>
  <c r="Q639" i="10"/>
  <c r="P640" i="10"/>
  <c r="Q640" i="10"/>
  <c r="P641" i="10"/>
  <c r="Q641" i="10"/>
  <c r="P642" i="10"/>
  <c r="Q642" i="10"/>
  <c r="P643" i="10"/>
  <c r="Q643" i="10"/>
  <c r="P644" i="10"/>
  <c r="Q644" i="10"/>
  <c r="P645" i="10"/>
  <c r="Q645" i="10"/>
  <c r="P646" i="10"/>
  <c r="Q646" i="10"/>
  <c r="P647" i="10"/>
  <c r="Q647" i="10"/>
  <c r="P648" i="10"/>
  <c r="Q648" i="10"/>
  <c r="P649" i="10"/>
  <c r="Q649" i="10"/>
  <c r="P650" i="10"/>
  <c r="Q650" i="10"/>
  <c r="P651" i="10"/>
  <c r="Q651" i="10"/>
  <c r="P652" i="10"/>
  <c r="Q652" i="10"/>
  <c r="P653" i="10"/>
  <c r="Q653" i="10"/>
  <c r="P654" i="10"/>
  <c r="Q654" i="10"/>
  <c r="P655" i="10"/>
  <c r="Q655" i="10"/>
  <c r="P656" i="10"/>
  <c r="Q656" i="10"/>
  <c r="P657" i="10"/>
  <c r="Q657" i="10"/>
  <c r="P658" i="10"/>
  <c r="Q658" i="10"/>
  <c r="P659" i="10"/>
  <c r="Q659" i="10"/>
  <c r="P660" i="10"/>
  <c r="Q660" i="10"/>
  <c r="P661" i="10"/>
  <c r="Q661" i="10"/>
  <c r="P662" i="10"/>
  <c r="Q662" i="10"/>
  <c r="P663" i="10"/>
  <c r="Q663" i="10"/>
  <c r="P664" i="10"/>
  <c r="Q664" i="10"/>
  <c r="P665" i="10"/>
  <c r="Q665" i="10"/>
  <c r="P666" i="10"/>
  <c r="Q666" i="10"/>
  <c r="P667" i="10"/>
  <c r="Q667" i="10"/>
  <c r="P668" i="10"/>
  <c r="Q668" i="10"/>
  <c r="P669" i="10"/>
  <c r="Q669" i="10"/>
  <c r="P670" i="10"/>
  <c r="Q670" i="10"/>
  <c r="P671" i="10"/>
  <c r="Q671" i="10"/>
  <c r="P672" i="10"/>
  <c r="Q672" i="10"/>
  <c r="P673" i="10"/>
  <c r="Q673" i="10"/>
  <c r="P674" i="10"/>
  <c r="Q674" i="10"/>
  <c r="P675" i="10"/>
  <c r="Q675" i="10"/>
  <c r="P676" i="10"/>
  <c r="Q676" i="10"/>
  <c r="P677" i="10"/>
  <c r="Q677" i="10"/>
  <c r="P678" i="10"/>
  <c r="Q678" i="10"/>
  <c r="P679" i="10"/>
  <c r="Q679" i="10"/>
  <c r="P680" i="10"/>
  <c r="Q680" i="10"/>
  <c r="P681" i="10"/>
  <c r="Q681" i="10"/>
  <c r="P682" i="10"/>
  <c r="Q682" i="10"/>
  <c r="P683" i="10"/>
  <c r="Q683" i="10"/>
  <c r="P684" i="10"/>
  <c r="Q684" i="10"/>
  <c r="P685" i="10"/>
  <c r="Q685" i="10"/>
  <c r="P686" i="10"/>
  <c r="Q686" i="10"/>
  <c r="P687" i="10"/>
  <c r="Q687" i="10"/>
  <c r="P688" i="10"/>
  <c r="Q688" i="10"/>
  <c r="P689" i="10"/>
  <c r="Q689" i="10"/>
  <c r="P690" i="10"/>
  <c r="Q690" i="10"/>
  <c r="P691" i="10"/>
  <c r="Q691" i="10"/>
  <c r="P692" i="10"/>
  <c r="Q692" i="10"/>
  <c r="P693" i="10"/>
  <c r="Q693" i="10"/>
  <c r="P694" i="10"/>
  <c r="Q694" i="10"/>
  <c r="P695" i="10"/>
  <c r="Q695" i="10"/>
  <c r="P696" i="10"/>
  <c r="Q696" i="10"/>
  <c r="P697" i="10"/>
  <c r="Q697" i="10"/>
  <c r="P698" i="10"/>
  <c r="Q698" i="10"/>
  <c r="P699" i="10"/>
  <c r="Q699" i="10"/>
  <c r="P700" i="10"/>
  <c r="Q700" i="10"/>
  <c r="P701" i="10"/>
  <c r="Q701" i="10"/>
  <c r="P702" i="10"/>
  <c r="Q702" i="10"/>
  <c r="P703" i="10"/>
  <c r="Q703" i="10"/>
  <c r="P704" i="10"/>
  <c r="Q704" i="10"/>
  <c r="P705" i="10"/>
  <c r="Q705" i="10"/>
  <c r="P706" i="10"/>
  <c r="Q706" i="10"/>
  <c r="P707" i="10"/>
  <c r="Q707" i="10"/>
  <c r="P708" i="10"/>
  <c r="Q708" i="10"/>
  <c r="P709" i="10"/>
  <c r="Q709" i="10"/>
  <c r="P710" i="10"/>
  <c r="Q710" i="10"/>
  <c r="P711" i="10"/>
  <c r="Q711" i="10"/>
  <c r="P712" i="10"/>
  <c r="Q712" i="10"/>
  <c r="P713" i="10"/>
  <c r="Q713" i="10"/>
  <c r="P714" i="10"/>
  <c r="Q714" i="10"/>
  <c r="P715" i="10"/>
  <c r="Q715" i="10"/>
  <c r="P716" i="10"/>
  <c r="Q716" i="10"/>
  <c r="P717" i="10"/>
  <c r="Q717" i="10"/>
  <c r="P718" i="10"/>
  <c r="Q718" i="10"/>
  <c r="P719" i="10"/>
  <c r="Q719" i="10"/>
  <c r="P720" i="10"/>
  <c r="Q720" i="10"/>
  <c r="P721" i="10"/>
  <c r="Q721" i="10"/>
  <c r="P722" i="10"/>
  <c r="Q722" i="10"/>
  <c r="P723" i="10"/>
  <c r="Q723" i="10"/>
  <c r="P724" i="10"/>
  <c r="Q724" i="10"/>
  <c r="P725" i="10"/>
  <c r="Q725" i="10"/>
  <c r="P726" i="10"/>
  <c r="Q726" i="10"/>
  <c r="P727" i="10"/>
  <c r="Q727" i="10"/>
  <c r="P728" i="10"/>
  <c r="Q728" i="10"/>
  <c r="P729" i="10"/>
  <c r="Q729" i="10"/>
  <c r="P730" i="10"/>
  <c r="Q730" i="10"/>
  <c r="P731" i="10"/>
  <c r="Q731" i="10"/>
  <c r="P732" i="10"/>
  <c r="Q732" i="10"/>
  <c r="P733" i="10"/>
  <c r="Q733" i="10"/>
  <c r="P734" i="10"/>
  <c r="Q734" i="10"/>
  <c r="P735" i="10"/>
  <c r="Q735" i="10"/>
  <c r="P736" i="10"/>
  <c r="Q736" i="10"/>
  <c r="P737" i="10"/>
  <c r="Q737" i="10"/>
  <c r="P738" i="10"/>
  <c r="Q738" i="10"/>
  <c r="P739" i="10"/>
  <c r="Q739" i="10"/>
  <c r="P740" i="10"/>
  <c r="Q740" i="10"/>
  <c r="P741" i="10"/>
  <c r="Q741" i="10"/>
  <c r="P742" i="10"/>
  <c r="Q742" i="10"/>
  <c r="P743" i="10"/>
  <c r="Q743" i="10"/>
  <c r="P744" i="10"/>
  <c r="Q744" i="10"/>
  <c r="P745" i="10"/>
  <c r="Q745" i="10"/>
  <c r="P746" i="10"/>
  <c r="Q746" i="10"/>
  <c r="P747" i="10"/>
  <c r="Q747" i="10"/>
  <c r="P748" i="10"/>
  <c r="Q748" i="10"/>
  <c r="P749" i="10"/>
  <c r="Q749" i="10"/>
  <c r="P750" i="10"/>
  <c r="Q750" i="10"/>
  <c r="P751" i="10"/>
  <c r="Q751" i="10"/>
  <c r="P752" i="10"/>
  <c r="Q752" i="10"/>
  <c r="P753" i="10"/>
  <c r="Q753" i="10"/>
  <c r="P754" i="10"/>
  <c r="Q754" i="10"/>
  <c r="P755" i="10"/>
  <c r="Q755" i="10"/>
  <c r="P756" i="10"/>
  <c r="Q756" i="10"/>
  <c r="P757" i="10"/>
  <c r="Q757" i="10"/>
  <c r="P758" i="10"/>
  <c r="Q758" i="10"/>
  <c r="P759" i="10"/>
  <c r="Q759" i="10"/>
  <c r="P760" i="10"/>
  <c r="Q760" i="10"/>
  <c r="P761" i="10"/>
  <c r="Q761" i="10"/>
  <c r="P762" i="10"/>
  <c r="Q762" i="10"/>
  <c r="P763" i="10"/>
  <c r="Q763" i="10"/>
  <c r="P764" i="10"/>
  <c r="Q764" i="10"/>
  <c r="P765" i="10"/>
  <c r="Q765" i="10"/>
  <c r="P766" i="10"/>
  <c r="Q766" i="10"/>
  <c r="P767" i="10"/>
  <c r="Q767" i="10"/>
  <c r="P768" i="10"/>
  <c r="Q768" i="10"/>
  <c r="P769" i="10"/>
  <c r="Q769" i="10"/>
  <c r="P770" i="10"/>
  <c r="Q770" i="10"/>
  <c r="P771" i="10"/>
  <c r="Q771" i="10"/>
  <c r="P772" i="10"/>
  <c r="Q772" i="10"/>
  <c r="P773" i="10"/>
  <c r="Q773" i="10"/>
  <c r="P774" i="10"/>
  <c r="Q774" i="10"/>
  <c r="P775" i="10"/>
  <c r="Q775" i="10"/>
  <c r="P776" i="10"/>
  <c r="Q776" i="10"/>
  <c r="P777" i="10"/>
  <c r="Q777" i="10"/>
  <c r="P778" i="10"/>
  <c r="Q778" i="10"/>
  <c r="P779" i="10"/>
  <c r="Q779" i="10"/>
  <c r="P780" i="10"/>
  <c r="Q780" i="10"/>
  <c r="P781" i="10"/>
  <c r="Q781" i="10"/>
  <c r="P782" i="10"/>
  <c r="Q782" i="10"/>
  <c r="P783" i="10"/>
  <c r="Q783" i="10"/>
  <c r="P784" i="10"/>
  <c r="Q784" i="10"/>
  <c r="P785" i="10"/>
  <c r="Q785" i="10"/>
  <c r="P786" i="10"/>
  <c r="Q786" i="10"/>
  <c r="P787" i="10"/>
  <c r="Q787" i="10"/>
  <c r="P788" i="10"/>
  <c r="Q788" i="10"/>
  <c r="P789" i="10"/>
  <c r="Q789" i="10"/>
  <c r="P790" i="10"/>
  <c r="Q790" i="10"/>
  <c r="P791" i="10"/>
  <c r="Q791" i="10"/>
  <c r="P792" i="10"/>
  <c r="Q792" i="10"/>
  <c r="P793" i="10"/>
  <c r="Q793" i="10"/>
  <c r="P794" i="10"/>
  <c r="Q794" i="10"/>
  <c r="P795" i="10"/>
  <c r="Q795" i="10"/>
  <c r="P796" i="10"/>
  <c r="Q796" i="10"/>
  <c r="P797" i="10"/>
  <c r="Q797" i="10"/>
  <c r="P798" i="10"/>
  <c r="Q798" i="10"/>
  <c r="P799" i="10"/>
  <c r="Q799" i="10"/>
  <c r="P800" i="10"/>
  <c r="Q800" i="10"/>
  <c r="P801" i="10"/>
  <c r="Q801" i="10"/>
  <c r="P802" i="10"/>
  <c r="Q802" i="10"/>
  <c r="P803" i="10"/>
  <c r="Q803" i="10"/>
  <c r="P804" i="10"/>
  <c r="Q804" i="10"/>
  <c r="P805" i="10"/>
  <c r="Q805" i="10"/>
  <c r="P806" i="10"/>
  <c r="Q806" i="10"/>
  <c r="P807" i="10"/>
  <c r="Q807" i="10"/>
  <c r="P808" i="10"/>
  <c r="Q808" i="10"/>
  <c r="P809" i="10"/>
  <c r="Q809" i="10"/>
  <c r="P810" i="10"/>
  <c r="Q810" i="10"/>
  <c r="P811" i="10"/>
  <c r="Q811" i="10"/>
  <c r="P812" i="10"/>
  <c r="Q812" i="10"/>
  <c r="P813" i="10"/>
  <c r="Q813" i="10"/>
  <c r="P814" i="10"/>
  <c r="Q814" i="10"/>
  <c r="P815" i="10"/>
  <c r="Q815" i="10"/>
  <c r="P816" i="10"/>
  <c r="Q816" i="10"/>
  <c r="P817" i="10"/>
  <c r="Q817" i="10"/>
  <c r="P818" i="10"/>
  <c r="Q818" i="10"/>
  <c r="P819" i="10"/>
  <c r="Q819" i="10"/>
  <c r="P820" i="10"/>
  <c r="Q820" i="10"/>
  <c r="P821" i="10"/>
  <c r="Q821" i="10"/>
  <c r="P822" i="10"/>
  <c r="Q822" i="10"/>
  <c r="P823" i="10"/>
  <c r="Q823" i="10"/>
  <c r="P824" i="10"/>
  <c r="Q824" i="10"/>
  <c r="P825" i="10"/>
  <c r="Q825" i="10"/>
  <c r="P826" i="10"/>
  <c r="Q826" i="10"/>
  <c r="P827" i="10"/>
  <c r="Q827" i="10"/>
  <c r="P828" i="10"/>
  <c r="Q828" i="10"/>
  <c r="P829" i="10"/>
  <c r="Q829" i="10"/>
  <c r="P830" i="10"/>
  <c r="Q830" i="10"/>
  <c r="P831" i="10"/>
  <c r="Q831" i="10"/>
  <c r="P832" i="10"/>
  <c r="Q832" i="10"/>
  <c r="P833" i="10"/>
  <c r="Q833" i="10"/>
  <c r="P834" i="10"/>
  <c r="Q834" i="10"/>
  <c r="P835" i="10"/>
  <c r="Q835" i="10"/>
  <c r="P836" i="10"/>
  <c r="Q836" i="10"/>
  <c r="P837" i="10"/>
  <c r="Q837" i="10"/>
  <c r="P838" i="10"/>
  <c r="Q838" i="10"/>
  <c r="P839" i="10"/>
  <c r="Q839" i="10"/>
  <c r="P840" i="10"/>
  <c r="Q840" i="10"/>
  <c r="P841" i="10"/>
  <c r="Q841" i="10"/>
  <c r="P842" i="10"/>
  <c r="Q842" i="10"/>
  <c r="P843" i="10"/>
  <c r="Q843" i="10"/>
  <c r="P844" i="10"/>
  <c r="Q844" i="10"/>
  <c r="P845" i="10"/>
  <c r="Q845" i="10"/>
  <c r="P846" i="10"/>
  <c r="Q846" i="10"/>
  <c r="P847" i="10"/>
  <c r="Q847" i="10"/>
  <c r="P848" i="10"/>
  <c r="Q848" i="10"/>
  <c r="P849" i="10"/>
  <c r="Q849" i="10"/>
  <c r="P850" i="10"/>
  <c r="Q850" i="10"/>
  <c r="P851" i="10"/>
  <c r="Q851" i="10"/>
  <c r="P852" i="10"/>
  <c r="Q852" i="10"/>
  <c r="P853" i="10"/>
  <c r="Q853" i="10"/>
  <c r="P854" i="10"/>
  <c r="Q854" i="10"/>
  <c r="P855" i="10"/>
  <c r="Q855" i="10"/>
  <c r="P856" i="10"/>
  <c r="Q856" i="10"/>
  <c r="P857" i="10"/>
  <c r="Q857" i="10"/>
  <c r="P858" i="10"/>
  <c r="Q858" i="10"/>
  <c r="P859" i="10"/>
  <c r="Q859" i="10"/>
  <c r="P860" i="10"/>
  <c r="Q860" i="10"/>
  <c r="P861" i="10"/>
  <c r="Q861" i="10"/>
  <c r="P862" i="10"/>
  <c r="Q862" i="10"/>
  <c r="P863" i="10"/>
  <c r="Q863" i="10"/>
  <c r="P864" i="10"/>
  <c r="Q864" i="10"/>
  <c r="P865" i="10"/>
  <c r="Q865" i="10"/>
  <c r="P866" i="10"/>
  <c r="Q866" i="10"/>
  <c r="P867" i="10"/>
  <c r="Q867" i="10"/>
  <c r="P868" i="10"/>
  <c r="Q868" i="10"/>
  <c r="P869" i="10"/>
  <c r="Q869" i="10"/>
  <c r="P870" i="10"/>
  <c r="Q870" i="10"/>
  <c r="P871" i="10"/>
  <c r="Q871" i="10"/>
  <c r="P872" i="10"/>
  <c r="Q872" i="10"/>
  <c r="P873" i="10"/>
  <c r="Q873" i="10"/>
  <c r="P874" i="10"/>
  <c r="Q874" i="10"/>
  <c r="P875" i="10"/>
  <c r="Q875" i="10"/>
  <c r="P876" i="10"/>
  <c r="Q876" i="10"/>
  <c r="P877" i="10"/>
  <c r="Q877" i="10"/>
  <c r="P878" i="10"/>
  <c r="Q878" i="10"/>
  <c r="P879" i="10"/>
  <c r="Q879" i="10"/>
  <c r="P880" i="10"/>
  <c r="Q880" i="10"/>
  <c r="P881" i="10"/>
  <c r="Q881" i="10"/>
  <c r="P882" i="10"/>
  <c r="Q882" i="10"/>
  <c r="P883" i="10"/>
  <c r="Q883" i="10"/>
  <c r="P884" i="10"/>
  <c r="Q884" i="10"/>
  <c r="P885" i="10"/>
  <c r="Q885" i="10"/>
  <c r="P886" i="10"/>
  <c r="Q886" i="10"/>
  <c r="P887" i="10"/>
  <c r="Q887" i="10"/>
  <c r="P888" i="10"/>
  <c r="Q888" i="10"/>
  <c r="P889" i="10"/>
  <c r="Q889" i="10"/>
  <c r="P890" i="10"/>
  <c r="Q890" i="10"/>
  <c r="P891" i="10"/>
  <c r="Q891" i="10"/>
  <c r="P892" i="10"/>
  <c r="Q892" i="10"/>
  <c r="P893" i="10"/>
  <c r="Q893" i="10"/>
  <c r="P894" i="10"/>
  <c r="Q894" i="10"/>
  <c r="P895" i="10"/>
  <c r="Q895" i="10"/>
  <c r="P896" i="10"/>
  <c r="Q896" i="10"/>
  <c r="P897" i="10"/>
  <c r="Q897" i="10"/>
  <c r="P898" i="10"/>
  <c r="Q898" i="10"/>
  <c r="P899" i="10"/>
  <c r="Q899" i="10"/>
  <c r="P900" i="10"/>
  <c r="Q900" i="10"/>
  <c r="P901" i="10"/>
  <c r="Q901" i="10"/>
  <c r="P902" i="10"/>
  <c r="Q902" i="10"/>
  <c r="P903" i="10"/>
  <c r="Q903" i="10"/>
  <c r="P904" i="10"/>
  <c r="Q904" i="10"/>
  <c r="P905" i="10"/>
  <c r="Q905" i="10"/>
  <c r="P906" i="10"/>
  <c r="Q906" i="10"/>
  <c r="P907" i="10"/>
  <c r="Q907" i="10"/>
  <c r="P908" i="10"/>
  <c r="Q908" i="10"/>
  <c r="P909" i="10"/>
  <c r="Q909" i="10"/>
  <c r="P910" i="10"/>
  <c r="Q910" i="10"/>
  <c r="P911" i="10"/>
  <c r="Q911" i="10"/>
  <c r="P912" i="10"/>
  <c r="Q912" i="10"/>
  <c r="P913" i="10"/>
  <c r="Q913" i="10"/>
  <c r="P914" i="10"/>
  <c r="Q914" i="10"/>
  <c r="P915" i="10"/>
  <c r="Q915" i="10"/>
  <c r="P916" i="10"/>
  <c r="Q916" i="10"/>
  <c r="P917" i="10"/>
  <c r="Q917" i="10"/>
  <c r="P918" i="10"/>
  <c r="Q918" i="10"/>
  <c r="P919" i="10"/>
  <c r="Q919" i="10"/>
  <c r="P920" i="10"/>
  <c r="Q920" i="10"/>
  <c r="P921" i="10"/>
  <c r="Q921" i="10"/>
  <c r="P922" i="10"/>
  <c r="Q922" i="10"/>
  <c r="P923" i="10"/>
  <c r="Q923" i="10"/>
  <c r="P924" i="10"/>
  <c r="Q924" i="10"/>
  <c r="P925" i="10"/>
  <c r="Q925" i="10"/>
  <c r="P926" i="10"/>
  <c r="Q926" i="10"/>
  <c r="P927" i="10"/>
  <c r="Q927" i="10"/>
  <c r="P928" i="10"/>
  <c r="Q928" i="10"/>
  <c r="P929" i="10"/>
  <c r="Q929" i="10"/>
  <c r="P930" i="10"/>
  <c r="Q930" i="10"/>
  <c r="P931" i="10"/>
  <c r="Q931" i="10"/>
  <c r="P932" i="10"/>
  <c r="Q932" i="10"/>
  <c r="P933" i="10"/>
  <c r="Q933" i="10"/>
  <c r="P934" i="10"/>
  <c r="Q934" i="10"/>
  <c r="P935" i="10"/>
  <c r="Q935" i="10"/>
  <c r="P936" i="10"/>
  <c r="Q936" i="10"/>
  <c r="P937" i="10"/>
  <c r="Q937" i="10"/>
  <c r="P938" i="10"/>
  <c r="Q938" i="10"/>
  <c r="P939" i="10"/>
  <c r="Q939" i="10"/>
  <c r="P940" i="10"/>
  <c r="Q940" i="10"/>
  <c r="P941" i="10"/>
  <c r="Q941" i="10"/>
  <c r="P942" i="10"/>
  <c r="Q942" i="10"/>
  <c r="P943" i="10"/>
  <c r="Q943" i="10"/>
  <c r="P944" i="10"/>
  <c r="Q944" i="10"/>
  <c r="P945" i="10"/>
  <c r="Q945" i="10"/>
  <c r="P946" i="10"/>
  <c r="Q946" i="10"/>
  <c r="P947" i="10"/>
  <c r="Q947" i="10"/>
  <c r="P948" i="10"/>
  <c r="Q948" i="10"/>
  <c r="P949" i="10"/>
  <c r="Q949" i="10"/>
  <c r="P950" i="10"/>
  <c r="Q950" i="10"/>
  <c r="P951" i="10"/>
  <c r="Q951" i="10"/>
  <c r="P952" i="10"/>
  <c r="Q952" i="10"/>
  <c r="P953" i="10"/>
  <c r="Q953" i="10"/>
  <c r="P954" i="10"/>
  <c r="Q954" i="10"/>
  <c r="P955" i="10"/>
  <c r="Q955" i="10"/>
  <c r="P956" i="10"/>
  <c r="Q956" i="10"/>
  <c r="P957" i="10"/>
  <c r="Q957" i="10"/>
  <c r="P958" i="10"/>
  <c r="Q958" i="10"/>
  <c r="P959" i="10"/>
  <c r="Q959" i="10"/>
  <c r="P960" i="10"/>
  <c r="Q960" i="10"/>
  <c r="P961" i="10"/>
  <c r="Q961" i="10"/>
  <c r="P962" i="10"/>
  <c r="Q962" i="10"/>
  <c r="P963" i="10"/>
  <c r="Q963" i="10"/>
  <c r="P964" i="10"/>
  <c r="Q964" i="10"/>
  <c r="P965" i="10"/>
  <c r="Q965" i="10"/>
  <c r="P966" i="10"/>
  <c r="Q966" i="10"/>
  <c r="P967" i="10"/>
  <c r="Q967" i="10"/>
  <c r="P968" i="10"/>
  <c r="Q968" i="10"/>
  <c r="P969" i="10"/>
  <c r="Q969" i="10"/>
  <c r="P970" i="10"/>
  <c r="Q970" i="10"/>
  <c r="P971" i="10"/>
  <c r="Q971" i="10"/>
  <c r="P972" i="10"/>
  <c r="Q972" i="10"/>
  <c r="P973" i="10"/>
  <c r="Q973" i="10"/>
  <c r="P974" i="10"/>
  <c r="Q974" i="10"/>
  <c r="P975" i="10"/>
  <c r="Q975" i="10"/>
  <c r="P976" i="10"/>
  <c r="Q976" i="10"/>
  <c r="P977" i="10"/>
  <c r="Q977" i="10"/>
  <c r="P978" i="10"/>
  <c r="Q978" i="10"/>
  <c r="P979" i="10"/>
  <c r="Q979" i="10"/>
  <c r="P980" i="10"/>
  <c r="Q980" i="10"/>
  <c r="P981" i="10"/>
  <c r="Q981" i="10"/>
  <c r="P982" i="10"/>
  <c r="Q982" i="10"/>
  <c r="P983" i="10"/>
  <c r="Q983" i="10"/>
  <c r="P984" i="10"/>
  <c r="Q984" i="10"/>
  <c r="P985" i="10"/>
  <c r="Q985" i="10"/>
  <c r="P986" i="10"/>
  <c r="Q986" i="10"/>
  <c r="P987" i="10"/>
  <c r="Q987" i="10"/>
  <c r="P988" i="10"/>
  <c r="Q988" i="10"/>
  <c r="P989" i="10"/>
  <c r="Q989" i="10"/>
  <c r="P990" i="10"/>
  <c r="Q990" i="10"/>
  <c r="P991" i="10"/>
  <c r="Q991" i="10"/>
  <c r="P992" i="10"/>
  <c r="Q992" i="10"/>
  <c r="P993" i="10"/>
  <c r="Q993" i="10"/>
  <c r="P994" i="10"/>
  <c r="Q994" i="10"/>
  <c r="P995" i="10"/>
  <c r="Q995" i="10"/>
  <c r="P996" i="10"/>
  <c r="Q996" i="10"/>
  <c r="P997" i="10"/>
  <c r="Q997" i="10"/>
  <c r="P998" i="10"/>
  <c r="Q998" i="10"/>
  <c r="P999" i="10"/>
  <c r="Q999" i="10"/>
  <c r="P1000" i="10"/>
  <c r="Q1000" i="10"/>
  <c r="P1001" i="10"/>
  <c r="Q1001" i="10"/>
  <c r="P1002" i="10"/>
  <c r="Q1002" i="10"/>
  <c r="P1003" i="10"/>
  <c r="Q1003" i="10"/>
  <c r="P1004" i="10"/>
  <c r="Q1004" i="10"/>
  <c r="P1005" i="10"/>
  <c r="Q1005" i="10"/>
  <c r="P1006" i="10"/>
  <c r="Q1006" i="10"/>
  <c r="P1007" i="10"/>
  <c r="Q1007" i="10"/>
  <c r="P1008" i="10"/>
  <c r="Q1008" i="10"/>
  <c r="P1009" i="10"/>
  <c r="Q1009" i="10"/>
  <c r="P1010" i="10"/>
  <c r="Q1010" i="10"/>
  <c r="P1011" i="10"/>
  <c r="Q1011" i="10"/>
  <c r="P1012" i="10"/>
  <c r="Q1012" i="10"/>
  <c r="P1013" i="10"/>
  <c r="Q1013" i="10"/>
  <c r="P1014" i="10"/>
  <c r="Q1014" i="10"/>
  <c r="P1015" i="10"/>
  <c r="Q1015" i="10"/>
  <c r="P1016" i="10"/>
  <c r="Q1016" i="10"/>
  <c r="P1017" i="10"/>
  <c r="Q1017" i="10"/>
  <c r="P1018" i="10"/>
  <c r="Q1018" i="10"/>
  <c r="P1019" i="10"/>
  <c r="Q1019" i="10"/>
  <c r="P1020" i="10"/>
  <c r="Q1020" i="10"/>
  <c r="P1021" i="10"/>
  <c r="Q1021" i="10"/>
  <c r="P1022" i="10"/>
  <c r="Q1022" i="10"/>
  <c r="P1023" i="10"/>
  <c r="Q1023" i="10"/>
  <c r="P1024" i="10"/>
  <c r="Q1024" i="10"/>
  <c r="P1025" i="10"/>
  <c r="Q1025" i="10"/>
  <c r="P1026" i="10"/>
  <c r="Q1026" i="10"/>
  <c r="P1027" i="10"/>
  <c r="Q1027" i="10"/>
  <c r="P1028" i="10"/>
  <c r="Q1028" i="10"/>
  <c r="P1029" i="10"/>
  <c r="Q1029" i="10"/>
  <c r="P1030" i="10"/>
  <c r="Q1030" i="10"/>
  <c r="P1031" i="10"/>
  <c r="Q1031" i="10"/>
  <c r="P1032" i="10"/>
  <c r="Q1032" i="10"/>
  <c r="P1033" i="10"/>
  <c r="Q1033" i="10"/>
  <c r="P1034" i="10"/>
  <c r="Q1034" i="10"/>
  <c r="P1035" i="10"/>
  <c r="Q1035" i="10"/>
  <c r="P1036" i="10"/>
  <c r="Q1036" i="10"/>
  <c r="P1037" i="10"/>
  <c r="Q1037" i="10"/>
  <c r="P1038" i="10"/>
  <c r="Q1038" i="10"/>
  <c r="P1039" i="10"/>
  <c r="Q1039" i="10"/>
  <c r="P1040" i="10"/>
  <c r="Q1040" i="10"/>
  <c r="P1041" i="10"/>
  <c r="Q1041" i="10"/>
  <c r="P1042" i="10"/>
  <c r="Q1042" i="10"/>
  <c r="P1043" i="10"/>
  <c r="Q1043" i="10"/>
  <c r="P1044" i="10"/>
  <c r="Q1044" i="10"/>
  <c r="P1045" i="10"/>
  <c r="Q1045" i="10"/>
  <c r="P1046" i="10"/>
  <c r="Q1046" i="10"/>
  <c r="P1047" i="10"/>
  <c r="Q1047" i="10"/>
  <c r="P1048" i="10"/>
  <c r="Q1048" i="10"/>
  <c r="P1049" i="10"/>
  <c r="Q1049" i="10"/>
  <c r="P1050" i="10"/>
  <c r="Q1050" i="10"/>
  <c r="P1051" i="10"/>
  <c r="Q1051" i="10"/>
  <c r="P1052" i="10"/>
  <c r="Q1052" i="10"/>
  <c r="P1053" i="10"/>
  <c r="Q1053" i="10"/>
  <c r="P1054" i="10"/>
  <c r="Q1054" i="10"/>
  <c r="P1055" i="10"/>
  <c r="Q1055" i="10"/>
  <c r="P1056" i="10"/>
  <c r="Q1056" i="10"/>
  <c r="P1057" i="10"/>
  <c r="Q1057" i="10"/>
  <c r="P1058" i="10"/>
  <c r="Q1058" i="10"/>
  <c r="P1059" i="10"/>
  <c r="Q1059" i="10"/>
  <c r="P1060" i="10"/>
  <c r="Q1060" i="10"/>
  <c r="P1061" i="10"/>
  <c r="Q1061" i="10"/>
  <c r="P1062" i="10"/>
  <c r="Q1062" i="10"/>
  <c r="P1063" i="10"/>
  <c r="Q1063" i="10"/>
  <c r="Q2" i="10"/>
  <c r="P2" i="10"/>
  <c r="K31" i="9"/>
  <c r="J31" i="9"/>
  <c r="T12" i="7" l="1"/>
  <c r="T18" i="7"/>
  <c r="T20" i="7"/>
  <c r="T21" i="7"/>
  <c r="T22" i="7"/>
  <c r="T23" i="7"/>
  <c r="T32" i="7"/>
  <c r="T33" i="7"/>
  <c r="T35" i="7"/>
  <c r="T36" i="7"/>
  <c r="T37" i="7"/>
  <c r="T39" i="7"/>
  <c r="T42" i="7"/>
  <c r="T48" i="7"/>
  <c r="T54" i="7"/>
  <c r="T56" i="7"/>
  <c r="T57" i="7"/>
  <c r="T58" i="7"/>
  <c r="T68" i="7"/>
  <c r="T69" i="7"/>
  <c r="T71" i="7"/>
  <c r="T72" i="7"/>
  <c r="T73" i="7"/>
  <c r="T78" i="7"/>
  <c r="T84" i="7"/>
  <c r="T90" i="7"/>
  <c r="T92" i="7"/>
  <c r="T93" i="7"/>
  <c r="T94" i="7"/>
  <c r="T95" i="7"/>
  <c r="T104" i="7"/>
  <c r="T105" i="7"/>
  <c r="T107" i="7"/>
  <c r="T108" i="7"/>
  <c r="T109" i="7"/>
  <c r="T114" i="7"/>
  <c r="T120" i="7"/>
  <c r="T126" i="7"/>
  <c r="T128" i="7"/>
  <c r="T129" i="7"/>
  <c r="T130" i="7"/>
  <c r="T131" i="7"/>
  <c r="T140" i="7"/>
  <c r="T141" i="7"/>
  <c r="T143" i="7"/>
  <c r="T144" i="7"/>
  <c r="T145" i="7"/>
  <c r="T150" i="7"/>
  <c r="T156" i="7"/>
  <c r="T162" i="7"/>
  <c r="T164" i="7"/>
  <c r="T165" i="7"/>
  <c r="T166" i="7"/>
  <c r="T167" i="7"/>
  <c r="T176" i="7"/>
  <c r="T177" i="7"/>
  <c r="T180" i="7"/>
  <c r="T186" i="7"/>
  <c r="T192" i="7"/>
  <c r="T198" i="7"/>
  <c r="T200" i="7"/>
  <c r="T201" i="7"/>
  <c r="T202" i="7"/>
  <c r="T203" i="7"/>
  <c r="T212" i="7"/>
  <c r="T213" i="7"/>
  <c r="T216" i="7"/>
  <c r="T222" i="7"/>
  <c r="T228" i="7"/>
  <c r="T234" i="7"/>
  <c r="T236" i="7"/>
  <c r="T237" i="7"/>
  <c r="T238" i="7"/>
  <c r="T239" i="7"/>
  <c r="T248" i="7"/>
  <c r="T249" i="7"/>
  <c r="T252" i="7"/>
  <c r="T253" i="7"/>
  <c r="T258" i="7"/>
  <c r="T264" i="7"/>
  <c r="T270" i="7"/>
  <c r="T272" i="7"/>
  <c r="T273" i="7"/>
  <c r="T274" i="7"/>
  <c r="T284" i="7"/>
  <c r="T285" i="7"/>
  <c r="T288" i="7"/>
  <c r="T289" i="7"/>
  <c r="T294" i="7"/>
  <c r="T300" i="7"/>
  <c r="T306" i="7"/>
  <c r="T308" i="7"/>
  <c r="T309" i="7"/>
  <c r="T310" i="7"/>
  <c r="T318" i="7"/>
  <c r="T320" i="7"/>
  <c r="T322" i="7"/>
  <c r="T323" i="7"/>
  <c r="T324" i="7"/>
  <c r="T325" i="7"/>
  <c r="T326" i="7"/>
  <c r="T337" i="7"/>
  <c r="T338" i="7"/>
  <c r="T339" i="7"/>
  <c r="T342" i="7"/>
  <c r="T344" i="7"/>
  <c r="T354" i="7"/>
  <c r="T356" i="7"/>
  <c r="T357" i="7"/>
  <c r="T358" i="7"/>
  <c r="T366" i="7"/>
  <c r="T368" i="7"/>
  <c r="T370" i="7"/>
  <c r="T371" i="7"/>
  <c r="T372" i="7"/>
  <c r="T381" i="7"/>
  <c r="T382" i="7"/>
  <c r="T384" i="7"/>
  <c r="T385" i="7"/>
  <c r="T396" i="7"/>
  <c r="T398" i="7"/>
  <c r="T399" i="7"/>
  <c r="T402" i="7"/>
  <c r="T404" i="7"/>
  <c r="T414" i="7"/>
  <c r="T416" i="7"/>
  <c r="T417" i="7"/>
  <c r="T418" i="7"/>
  <c r="T428" i="7"/>
  <c r="T429" i="7"/>
  <c r="T430" i="7"/>
  <c r="T431" i="7"/>
  <c r="T432" i="7"/>
  <c r="T438" i="7"/>
  <c r="T440" i="7"/>
  <c r="T442" i="7"/>
  <c r="T444" i="7"/>
  <c r="T453" i="7"/>
  <c r="T454" i="7"/>
  <c r="T456" i="7"/>
  <c r="T457" i="7"/>
  <c r="T468" i="7"/>
  <c r="T474" i="7"/>
  <c r="T476" i="7"/>
  <c r="T486" i="7"/>
  <c r="T488" i="7"/>
  <c r="T489" i="7"/>
  <c r="T490" i="7"/>
  <c r="T500" i="7"/>
  <c r="T501" i="7"/>
  <c r="T502" i="7"/>
  <c r="T503" i="7"/>
  <c r="T504" i="7"/>
  <c r="T510" i="7"/>
  <c r="T512" i="7"/>
  <c r="T514" i="7"/>
  <c r="T515" i="7"/>
  <c r="T516" i="7"/>
  <c r="T525" i="7"/>
  <c r="T526" i="7"/>
  <c r="T528" i="7"/>
  <c r="T529" i="7"/>
  <c r="T540" i="7"/>
  <c r="T542" i="7"/>
  <c r="T543" i="7"/>
  <c r="T546" i="7"/>
  <c r="T552" i="7"/>
  <c r="T558" i="7"/>
  <c r="T560" i="7"/>
  <c r="T570" i="7"/>
  <c r="T572" i="7"/>
  <c r="T573" i="7"/>
  <c r="T582" i="7"/>
  <c r="T584" i="7"/>
  <c r="T585" i="7"/>
  <c r="T586" i="7"/>
  <c r="T594" i="7"/>
  <c r="T596" i="7"/>
  <c r="T597" i="7"/>
  <c r="T598" i="7"/>
  <c r="T599" i="7"/>
  <c r="T608" i="7"/>
  <c r="T609" i="7"/>
  <c r="T610" i="7"/>
  <c r="T612" i="7"/>
  <c r="T618" i="7"/>
  <c r="T621" i="7"/>
  <c r="T622" i="7"/>
  <c r="T623" i="7"/>
  <c r="T624" i="7"/>
  <c r="T625" i="7"/>
  <c r="T630" i="7"/>
  <c r="T632" i="7"/>
  <c r="T634" i="7"/>
  <c r="T636" i="7"/>
  <c r="T637" i="7"/>
  <c r="T638" i="7"/>
  <c r="T644" i="7"/>
  <c r="T645" i="7"/>
  <c r="T647" i="7"/>
  <c r="T648" i="7"/>
  <c r="T649" i="7"/>
  <c r="T650" i="7"/>
  <c r="T657" i="7"/>
  <c r="T658" i="7"/>
  <c r="T660" i="7"/>
  <c r="T661" i="7"/>
  <c r="T662" i="7"/>
  <c r="T673" i="7"/>
  <c r="T674" i="7"/>
  <c r="T675" i="7"/>
  <c r="T676" i="7"/>
  <c r="T684" i="7"/>
  <c r="T690" i="7"/>
  <c r="T696" i="7"/>
  <c r="T702" i="7"/>
  <c r="T704" i="7"/>
  <c r="T714" i="7"/>
  <c r="T716" i="7"/>
  <c r="T717" i="7"/>
  <c r="T726" i="7"/>
  <c r="T728" i="7"/>
  <c r="T729" i="7"/>
  <c r="T730" i="7"/>
  <c r="T738" i="7"/>
  <c r="T740" i="7"/>
  <c r="T741" i="7"/>
  <c r="T742" i="7"/>
  <c r="T752" i="7"/>
  <c r="T753" i="7"/>
  <c r="T754" i="7"/>
  <c r="T755" i="7"/>
  <c r="T756" i="7"/>
  <c r="T762" i="7"/>
  <c r="T765" i="7"/>
  <c r="T766" i="7"/>
  <c r="T768" i="7"/>
  <c r="T774" i="7"/>
  <c r="T776" i="7"/>
  <c r="T778" i="7"/>
  <c r="T780" i="7"/>
  <c r="T781" i="7"/>
  <c r="T782" i="7"/>
  <c r="T788" i="7"/>
  <c r="T789" i="7"/>
  <c r="T792" i="7"/>
  <c r="T801" i="7"/>
  <c r="T802" i="7"/>
  <c r="T804" i="7"/>
  <c r="T805" i="7"/>
  <c r="T806" i="7"/>
  <c r="T807" i="7"/>
  <c r="T808" i="7"/>
  <c r="T828" i="7"/>
  <c r="T834" i="7"/>
  <c r="T840" i="7"/>
  <c r="T846" i="7"/>
  <c r="T848" i="7"/>
  <c r="T858" i="7"/>
  <c r="T860" i="7"/>
  <c r="T861" i="7"/>
  <c r="T870" i="7"/>
  <c r="T872" i="7"/>
  <c r="T873" i="7"/>
  <c r="T874" i="7"/>
  <c r="T882" i="7"/>
  <c r="T884" i="7"/>
  <c r="T885" i="7"/>
  <c r="T886" i="7"/>
  <c r="T887" i="7"/>
  <c r="T896" i="7"/>
  <c r="T897" i="7"/>
  <c r="T898" i="7"/>
  <c r="T899" i="7"/>
  <c r="T900" i="7"/>
  <c r="T906" i="7"/>
  <c r="T909" i="7"/>
  <c r="T910" i="7"/>
  <c r="T912" i="7"/>
  <c r="T918" i="7"/>
  <c r="T920" i="7"/>
  <c r="T922" i="7"/>
  <c r="T923" i="7"/>
  <c r="T924" i="7"/>
  <c r="T932" i="7"/>
  <c r="T933" i="7"/>
  <c r="T936" i="7"/>
  <c r="T945" i="7"/>
  <c r="T946" i="7"/>
  <c r="T948" i="7"/>
  <c r="T961" i="7"/>
  <c r="T972" i="7"/>
  <c r="T974" i="7"/>
  <c r="T978" i="7"/>
  <c r="T984" i="7"/>
  <c r="T985" i="7"/>
  <c r="T990" i="7"/>
  <c r="T992" i="7"/>
  <c r="T998" i="7"/>
  <c r="T1002" i="7"/>
  <c r="T1004" i="7"/>
  <c r="T1005" i="7"/>
  <c r="T1014" i="7"/>
  <c r="T1016" i="7"/>
  <c r="T1017" i="7"/>
  <c r="T1018" i="7"/>
  <c r="T1024" i="7"/>
  <c r="T1026" i="7"/>
  <c r="T1028" i="7"/>
  <c r="T1029" i="7"/>
  <c r="T1030" i="7"/>
  <c r="T1038" i="7"/>
  <c r="T1039" i="7"/>
  <c r="T1040" i="7"/>
  <c r="T1041" i="7"/>
  <c r="T1042" i="7"/>
  <c r="T1048" i="7"/>
  <c r="T1050" i="7"/>
  <c r="T1052" i="7"/>
  <c r="T1053" i="7"/>
  <c r="T1054" i="7"/>
  <c r="T1062" i="7"/>
  <c r="T1063" i="7"/>
  <c r="S3" i="7"/>
  <c r="T3" i="7" s="1"/>
  <c r="S4" i="7"/>
  <c r="T4" i="7" s="1"/>
  <c r="S5" i="7"/>
  <c r="T5" i="7" s="1"/>
  <c r="S6" i="7"/>
  <c r="T6" i="7" s="1"/>
  <c r="S7" i="7"/>
  <c r="T7" i="7" s="1"/>
  <c r="S8" i="7"/>
  <c r="T8" i="7" s="1"/>
  <c r="S9" i="7"/>
  <c r="T9" i="7" s="1"/>
  <c r="S10" i="7"/>
  <c r="T10" i="7" s="1"/>
  <c r="S11" i="7"/>
  <c r="T11" i="7" s="1"/>
  <c r="S12" i="7"/>
  <c r="S13" i="7"/>
  <c r="T13" i="7" s="1"/>
  <c r="S14" i="7"/>
  <c r="T14" i="7" s="1"/>
  <c r="S15" i="7"/>
  <c r="T15" i="7" s="1"/>
  <c r="S16" i="7"/>
  <c r="T16" i="7" s="1"/>
  <c r="S17" i="7"/>
  <c r="T17" i="7" s="1"/>
  <c r="S18" i="7"/>
  <c r="S19" i="7"/>
  <c r="T19" i="7" s="1"/>
  <c r="S20" i="7"/>
  <c r="S21" i="7"/>
  <c r="S22" i="7"/>
  <c r="S23" i="7"/>
  <c r="S24" i="7"/>
  <c r="T24" i="7" s="1"/>
  <c r="S25" i="7"/>
  <c r="T25" i="7" s="1"/>
  <c r="S26" i="7"/>
  <c r="T26" i="7" s="1"/>
  <c r="S27" i="7"/>
  <c r="T27" i="7" s="1"/>
  <c r="S28" i="7"/>
  <c r="T28" i="7" s="1"/>
  <c r="S29" i="7"/>
  <c r="T29" i="7" s="1"/>
  <c r="S30" i="7"/>
  <c r="T30" i="7" s="1"/>
  <c r="S31" i="7"/>
  <c r="T31" i="7" s="1"/>
  <c r="S32" i="7"/>
  <c r="S33" i="7"/>
  <c r="S34" i="7"/>
  <c r="T34" i="7" s="1"/>
  <c r="S35" i="7"/>
  <c r="S36" i="7"/>
  <c r="S37" i="7"/>
  <c r="S38" i="7"/>
  <c r="T38" i="7" s="1"/>
  <c r="S39" i="7"/>
  <c r="S40" i="7"/>
  <c r="T40" i="7" s="1"/>
  <c r="S41" i="7"/>
  <c r="T41" i="7" s="1"/>
  <c r="S42" i="7"/>
  <c r="S43" i="7"/>
  <c r="T43" i="7" s="1"/>
  <c r="S44" i="7"/>
  <c r="T44" i="7" s="1"/>
  <c r="S45" i="7"/>
  <c r="T45" i="7" s="1"/>
  <c r="S46" i="7"/>
  <c r="T46" i="7" s="1"/>
  <c r="S47" i="7"/>
  <c r="T47" i="7" s="1"/>
  <c r="S48" i="7"/>
  <c r="S49" i="7"/>
  <c r="T49" i="7" s="1"/>
  <c r="S50" i="7"/>
  <c r="T50" i="7" s="1"/>
  <c r="S51" i="7"/>
  <c r="T51" i="7" s="1"/>
  <c r="S52" i="7"/>
  <c r="T52" i="7" s="1"/>
  <c r="S53" i="7"/>
  <c r="T53" i="7" s="1"/>
  <c r="S54" i="7"/>
  <c r="S55" i="7"/>
  <c r="T55" i="7" s="1"/>
  <c r="S56" i="7"/>
  <c r="S57" i="7"/>
  <c r="S58" i="7"/>
  <c r="S59" i="7"/>
  <c r="T59" i="7" s="1"/>
  <c r="S60" i="7"/>
  <c r="T60" i="7" s="1"/>
  <c r="S61" i="7"/>
  <c r="T61" i="7" s="1"/>
  <c r="S62" i="7"/>
  <c r="T62" i="7" s="1"/>
  <c r="S63" i="7"/>
  <c r="T63" i="7" s="1"/>
  <c r="S64" i="7"/>
  <c r="T64" i="7" s="1"/>
  <c r="S65" i="7"/>
  <c r="T65" i="7" s="1"/>
  <c r="S66" i="7"/>
  <c r="T66" i="7" s="1"/>
  <c r="S67" i="7"/>
  <c r="T67" i="7" s="1"/>
  <c r="S68" i="7"/>
  <c r="S69" i="7"/>
  <c r="S70" i="7"/>
  <c r="T70" i="7" s="1"/>
  <c r="S71" i="7"/>
  <c r="S72" i="7"/>
  <c r="S73" i="7"/>
  <c r="S74" i="7"/>
  <c r="T74" i="7" s="1"/>
  <c r="S75" i="7"/>
  <c r="T75" i="7" s="1"/>
  <c r="S76" i="7"/>
  <c r="T76" i="7" s="1"/>
  <c r="S77" i="7"/>
  <c r="T77" i="7" s="1"/>
  <c r="S78" i="7"/>
  <c r="S79" i="7"/>
  <c r="T79" i="7" s="1"/>
  <c r="S80" i="7"/>
  <c r="T80" i="7" s="1"/>
  <c r="S81" i="7"/>
  <c r="T81" i="7" s="1"/>
  <c r="S82" i="7"/>
  <c r="T82" i="7" s="1"/>
  <c r="S83" i="7"/>
  <c r="T83" i="7" s="1"/>
  <c r="S84" i="7"/>
  <c r="S85" i="7"/>
  <c r="T85" i="7" s="1"/>
  <c r="S86" i="7"/>
  <c r="T86" i="7" s="1"/>
  <c r="S87" i="7"/>
  <c r="T87" i="7" s="1"/>
  <c r="S88" i="7"/>
  <c r="T88" i="7" s="1"/>
  <c r="S89" i="7"/>
  <c r="T89" i="7" s="1"/>
  <c r="S90" i="7"/>
  <c r="S91" i="7"/>
  <c r="T91" i="7" s="1"/>
  <c r="S92" i="7"/>
  <c r="S93" i="7"/>
  <c r="S94" i="7"/>
  <c r="S95" i="7"/>
  <c r="S96" i="7"/>
  <c r="T96" i="7" s="1"/>
  <c r="S97" i="7"/>
  <c r="T97" i="7" s="1"/>
  <c r="S98" i="7"/>
  <c r="T98" i="7" s="1"/>
  <c r="S99" i="7"/>
  <c r="T99" i="7" s="1"/>
  <c r="S100" i="7"/>
  <c r="T100" i="7" s="1"/>
  <c r="S101" i="7"/>
  <c r="T101" i="7" s="1"/>
  <c r="S102" i="7"/>
  <c r="T102" i="7" s="1"/>
  <c r="S103" i="7"/>
  <c r="T103" i="7" s="1"/>
  <c r="S104" i="7"/>
  <c r="S105" i="7"/>
  <c r="S106" i="7"/>
  <c r="T106" i="7" s="1"/>
  <c r="S107" i="7"/>
  <c r="S108" i="7"/>
  <c r="S109" i="7"/>
  <c r="S110" i="7"/>
  <c r="T110" i="7" s="1"/>
  <c r="S111" i="7"/>
  <c r="T111" i="7" s="1"/>
  <c r="S112" i="7"/>
  <c r="T112" i="7" s="1"/>
  <c r="S113" i="7"/>
  <c r="T113" i="7" s="1"/>
  <c r="S114" i="7"/>
  <c r="S115" i="7"/>
  <c r="T115" i="7" s="1"/>
  <c r="S116" i="7"/>
  <c r="T116" i="7" s="1"/>
  <c r="S117" i="7"/>
  <c r="T117" i="7" s="1"/>
  <c r="S118" i="7"/>
  <c r="T118" i="7" s="1"/>
  <c r="S119" i="7"/>
  <c r="T119" i="7" s="1"/>
  <c r="S120" i="7"/>
  <c r="S121" i="7"/>
  <c r="T121" i="7" s="1"/>
  <c r="S122" i="7"/>
  <c r="T122" i="7" s="1"/>
  <c r="S123" i="7"/>
  <c r="T123" i="7" s="1"/>
  <c r="S124" i="7"/>
  <c r="T124" i="7" s="1"/>
  <c r="S125" i="7"/>
  <c r="T125" i="7" s="1"/>
  <c r="S126" i="7"/>
  <c r="S127" i="7"/>
  <c r="T127" i="7" s="1"/>
  <c r="S128" i="7"/>
  <c r="S129" i="7"/>
  <c r="S130" i="7"/>
  <c r="S131" i="7"/>
  <c r="S132" i="7"/>
  <c r="T132" i="7" s="1"/>
  <c r="S133" i="7"/>
  <c r="T133" i="7" s="1"/>
  <c r="S134" i="7"/>
  <c r="T134" i="7" s="1"/>
  <c r="S135" i="7"/>
  <c r="T135" i="7" s="1"/>
  <c r="S136" i="7"/>
  <c r="T136" i="7" s="1"/>
  <c r="S137" i="7"/>
  <c r="T137" i="7" s="1"/>
  <c r="S138" i="7"/>
  <c r="T138" i="7" s="1"/>
  <c r="S139" i="7"/>
  <c r="T139" i="7" s="1"/>
  <c r="S140" i="7"/>
  <c r="S141" i="7"/>
  <c r="S142" i="7"/>
  <c r="T142" i="7" s="1"/>
  <c r="S143" i="7"/>
  <c r="S144" i="7"/>
  <c r="S145" i="7"/>
  <c r="S146" i="7"/>
  <c r="T146" i="7" s="1"/>
  <c r="S147" i="7"/>
  <c r="T147" i="7" s="1"/>
  <c r="S148" i="7"/>
  <c r="T148" i="7" s="1"/>
  <c r="S149" i="7"/>
  <c r="T149" i="7" s="1"/>
  <c r="S150" i="7"/>
  <c r="S151" i="7"/>
  <c r="T151" i="7" s="1"/>
  <c r="S152" i="7"/>
  <c r="T152" i="7" s="1"/>
  <c r="S153" i="7"/>
  <c r="T153" i="7" s="1"/>
  <c r="S154" i="7"/>
  <c r="T154" i="7" s="1"/>
  <c r="S155" i="7"/>
  <c r="T155" i="7" s="1"/>
  <c r="S156" i="7"/>
  <c r="S157" i="7"/>
  <c r="T157" i="7" s="1"/>
  <c r="S158" i="7"/>
  <c r="T158" i="7" s="1"/>
  <c r="S159" i="7"/>
  <c r="T159" i="7" s="1"/>
  <c r="S160" i="7"/>
  <c r="T160" i="7" s="1"/>
  <c r="S161" i="7"/>
  <c r="T161" i="7" s="1"/>
  <c r="S162" i="7"/>
  <c r="S163" i="7"/>
  <c r="T163" i="7" s="1"/>
  <c r="S164" i="7"/>
  <c r="S165" i="7"/>
  <c r="S166" i="7"/>
  <c r="S167" i="7"/>
  <c r="S168" i="7"/>
  <c r="T168" i="7" s="1"/>
  <c r="S169" i="7"/>
  <c r="T169" i="7" s="1"/>
  <c r="S170" i="7"/>
  <c r="T170" i="7" s="1"/>
  <c r="S171" i="7"/>
  <c r="T171" i="7" s="1"/>
  <c r="S172" i="7"/>
  <c r="T172" i="7" s="1"/>
  <c r="S173" i="7"/>
  <c r="T173" i="7" s="1"/>
  <c r="S174" i="7"/>
  <c r="T174" i="7" s="1"/>
  <c r="S175" i="7"/>
  <c r="T175" i="7" s="1"/>
  <c r="S176" i="7"/>
  <c r="S177" i="7"/>
  <c r="S178" i="7"/>
  <c r="T178" i="7" s="1"/>
  <c r="S179" i="7"/>
  <c r="T179" i="7" s="1"/>
  <c r="S180" i="7"/>
  <c r="S181" i="7"/>
  <c r="T181" i="7" s="1"/>
  <c r="S182" i="7"/>
  <c r="T182" i="7" s="1"/>
  <c r="S183" i="7"/>
  <c r="T183" i="7" s="1"/>
  <c r="S184" i="7"/>
  <c r="T184" i="7" s="1"/>
  <c r="S185" i="7"/>
  <c r="T185" i="7" s="1"/>
  <c r="S186" i="7"/>
  <c r="S187" i="7"/>
  <c r="T187" i="7" s="1"/>
  <c r="S188" i="7"/>
  <c r="T188" i="7" s="1"/>
  <c r="S189" i="7"/>
  <c r="T189" i="7" s="1"/>
  <c r="S190" i="7"/>
  <c r="T190" i="7" s="1"/>
  <c r="S191" i="7"/>
  <c r="T191" i="7" s="1"/>
  <c r="S192" i="7"/>
  <c r="S193" i="7"/>
  <c r="T193" i="7" s="1"/>
  <c r="S194" i="7"/>
  <c r="T194" i="7" s="1"/>
  <c r="S195" i="7"/>
  <c r="T195" i="7" s="1"/>
  <c r="S196" i="7"/>
  <c r="T196" i="7" s="1"/>
  <c r="S197" i="7"/>
  <c r="T197" i="7" s="1"/>
  <c r="S198" i="7"/>
  <c r="S199" i="7"/>
  <c r="T199" i="7" s="1"/>
  <c r="S200" i="7"/>
  <c r="S201" i="7"/>
  <c r="S202" i="7"/>
  <c r="S203" i="7"/>
  <c r="S204" i="7"/>
  <c r="T204" i="7" s="1"/>
  <c r="S205" i="7"/>
  <c r="T205" i="7" s="1"/>
  <c r="S206" i="7"/>
  <c r="T206" i="7" s="1"/>
  <c r="S207" i="7"/>
  <c r="T207" i="7" s="1"/>
  <c r="S208" i="7"/>
  <c r="T208" i="7" s="1"/>
  <c r="S209" i="7"/>
  <c r="T209" i="7" s="1"/>
  <c r="S210" i="7"/>
  <c r="T210" i="7" s="1"/>
  <c r="S211" i="7"/>
  <c r="T211" i="7" s="1"/>
  <c r="S212" i="7"/>
  <c r="S213" i="7"/>
  <c r="S214" i="7"/>
  <c r="T214" i="7" s="1"/>
  <c r="S215" i="7"/>
  <c r="T215" i="7" s="1"/>
  <c r="S216" i="7"/>
  <c r="S217" i="7"/>
  <c r="T217" i="7" s="1"/>
  <c r="S218" i="7"/>
  <c r="T218" i="7" s="1"/>
  <c r="S219" i="7"/>
  <c r="T219" i="7" s="1"/>
  <c r="S220" i="7"/>
  <c r="T220" i="7" s="1"/>
  <c r="S221" i="7"/>
  <c r="T221" i="7" s="1"/>
  <c r="S222" i="7"/>
  <c r="S223" i="7"/>
  <c r="T223" i="7" s="1"/>
  <c r="S224" i="7"/>
  <c r="T224" i="7" s="1"/>
  <c r="S225" i="7"/>
  <c r="T225" i="7" s="1"/>
  <c r="S226" i="7"/>
  <c r="T226" i="7" s="1"/>
  <c r="S227" i="7"/>
  <c r="T227" i="7" s="1"/>
  <c r="S228" i="7"/>
  <c r="S229" i="7"/>
  <c r="T229" i="7" s="1"/>
  <c r="S230" i="7"/>
  <c r="T230" i="7" s="1"/>
  <c r="S231" i="7"/>
  <c r="T231" i="7" s="1"/>
  <c r="S232" i="7"/>
  <c r="T232" i="7" s="1"/>
  <c r="S233" i="7"/>
  <c r="T233" i="7" s="1"/>
  <c r="S234" i="7"/>
  <c r="S235" i="7"/>
  <c r="T235" i="7" s="1"/>
  <c r="S236" i="7"/>
  <c r="S237" i="7"/>
  <c r="S238" i="7"/>
  <c r="S239" i="7"/>
  <c r="S240" i="7"/>
  <c r="T240" i="7" s="1"/>
  <c r="S241" i="7"/>
  <c r="T241" i="7" s="1"/>
  <c r="S242" i="7"/>
  <c r="T242" i="7" s="1"/>
  <c r="S243" i="7"/>
  <c r="T243" i="7" s="1"/>
  <c r="S244" i="7"/>
  <c r="T244" i="7" s="1"/>
  <c r="S245" i="7"/>
  <c r="T245" i="7" s="1"/>
  <c r="S246" i="7"/>
  <c r="T246" i="7" s="1"/>
  <c r="S247" i="7"/>
  <c r="T247" i="7" s="1"/>
  <c r="S248" i="7"/>
  <c r="S249" i="7"/>
  <c r="S250" i="7"/>
  <c r="T250" i="7" s="1"/>
  <c r="S251" i="7"/>
  <c r="T251" i="7" s="1"/>
  <c r="S252" i="7"/>
  <c r="S253" i="7"/>
  <c r="S254" i="7"/>
  <c r="T254" i="7" s="1"/>
  <c r="S255" i="7"/>
  <c r="T255" i="7" s="1"/>
  <c r="S256" i="7"/>
  <c r="T256" i="7" s="1"/>
  <c r="S257" i="7"/>
  <c r="T257" i="7" s="1"/>
  <c r="S258" i="7"/>
  <c r="S259" i="7"/>
  <c r="T259" i="7" s="1"/>
  <c r="S260" i="7"/>
  <c r="T260" i="7" s="1"/>
  <c r="S261" i="7"/>
  <c r="T261" i="7" s="1"/>
  <c r="S262" i="7"/>
  <c r="T262" i="7" s="1"/>
  <c r="S263" i="7"/>
  <c r="T263" i="7" s="1"/>
  <c r="S264" i="7"/>
  <c r="S265" i="7"/>
  <c r="T265" i="7" s="1"/>
  <c r="S266" i="7"/>
  <c r="T266" i="7" s="1"/>
  <c r="S267" i="7"/>
  <c r="T267" i="7" s="1"/>
  <c r="S268" i="7"/>
  <c r="T268" i="7" s="1"/>
  <c r="S269" i="7"/>
  <c r="T269" i="7" s="1"/>
  <c r="S270" i="7"/>
  <c r="S271" i="7"/>
  <c r="T271" i="7" s="1"/>
  <c r="S272" i="7"/>
  <c r="S273" i="7"/>
  <c r="S274" i="7"/>
  <c r="S275" i="7"/>
  <c r="T275" i="7" s="1"/>
  <c r="S276" i="7"/>
  <c r="T276" i="7" s="1"/>
  <c r="S277" i="7"/>
  <c r="T277" i="7" s="1"/>
  <c r="S278" i="7"/>
  <c r="T278" i="7" s="1"/>
  <c r="S279" i="7"/>
  <c r="T279" i="7" s="1"/>
  <c r="S280" i="7"/>
  <c r="T280" i="7" s="1"/>
  <c r="S281" i="7"/>
  <c r="T281" i="7" s="1"/>
  <c r="S282" i="7"/>
  <c r="T282" i="7" s="1"/>
  <c r="S283" i="7"/>
  <c r="T283" i="7" s="1"/>
  <c r="S284" i="7"/>
  <c r="S285" i="7"/>
  <c r="S286" i="7"/>
  <c r="T286" i="7" s="1"/>
  <c r="S287" i="7"/>
  <c r="T287" i="7" s="1"/>
  <c r="S288" i="7"/>
  <c r="S289" i="7"/>
  <c r="S290" i="7"/>
  <c r="T290" i="7" s="1"/>
  <c r="S291" i="7"/>
  <c r="T291" i="7" s="1"/>
  <c r="S292" i="7"/>
  <c r="T292" i="7" s="1"/>
  <c r="S293" i="7"/>
  <c r="T293" i="7" s="1"/>
  <c r="S294" i="7"/>
  <c r="S295" i="7"/>
  <c r="T295" i="7" s="1"/>
  <c r="S296" i="7"/>
  <c r="T296" i="7" s="1"/>
  <c r="S297" i="7"/>
  <c r="T297" i="7" s="1"/>
  <c r="S298" i="7"/>
  <c r="T298" i="7" s="1"/>
  <c r="S299" i="7"/>
  <c r="T299" i="7" s="1"/>
  <c r="S300" i="7"/>
  <c r="S301" i="7"/>
  <c r="T301" i="7" s="1"/>
  <c r="S302" i="7"/>
  <c r="T302" i="7" s="1"/>
  <c r="S303" i="7"/>
  <c r="T303" i="7" s="1"/>
  <c r="S304" i="7"/>
  <c r="T304" i="7" s="1"/>
  <c r="S305" i="7"/>
  <c r="T305" i="7" s="1"/>
  <c r="S306" i="7"/>
  <c r="S307" i="7"/>
  <c r="T307" i="7" s="1"/>
  <c r="S308" i="7"/>
  <c r="S309" i="7"/>
  <c r="S310" i="7"/>
  <c r="S311" i="7"/>
  <c r="T311" i="7" s="1"/>
  <c r="S312" i="7"/>
  <c r="T312" i="7" s="1"/>
  <c r="S313" i="7"/>
  <c r="T313" i="7" s="1"/>
  <c r="S314" i="7"/>
  <c r="T314" i="7" s="1"/>
  <c r="S315" i="7"/>
  <c r="T315" i="7" s="1"/>
  <c r="S316" i="7"/>
  <c r="T316" i="7" s="1"/>
  <c r="S317" i="7"/>
  <c r="T317" i="7" s="1"/>
  <c r="S318" i="7"/>
  <c r="S319" i="7"/>
  <c r="T319" i="7" s="1"/>
  <c r="S320" i="7"/>
  <c r="S321" i="7"/>
  <c r="T321" i="7" s="1"/>
  <c r="S322" i="7"/>
  <c r="S323" i="7"/>
  <c r="S324" i="7"/>
  <c r="S325" i="7"/>
  <c r="S326" i="7"/>
  <c r="S327" i="7"/>
  <c r="T327" i="7" s="1"/>
  <c r="S328" i="7"/>
  <c r="T328" i="7" s="1"/>
  <c r="S329" i="7"/>
  <c r="T329" i="7" s="1"/>
  <c r="S330" i="7"/>
  <c r="T330" i="7" s="1"/>
  <c r="S331" i="7"/>
  <c r="T331" i="7" s="1"/>
  <c r="S332" i="7"/>
  <c r="T332" i="7" s="1"/>
  <c r="S333" i="7"/>
  <c r="T333" i="7" s="1"/>
  <c r="S334" i="7"/>
  <c r="T334" i="7" s="1"/>
  <c r="S335" i="7"/>
  <c r="T335" i="7" s="1"/>
  <c r="S336" i="7"/>
  <c r="T336" i="7" s="1"/>
  <c r="S337" i="7"/>
  <c r="S338" i="7"/>
  <c r="S339" i="7"/>
  <c r="S340" i="7"/>
  <c r="T340" i="7" s="1"/>
  <c r="S341" i="7"/>
  <c r="T341" i="7" s="1"/>
  <c r="S342" i="7"/>
  <c r="S343" i="7"/>
  <c r="T343" i="7" s="1"/>
  <c r="S344" i="7"/>
  <c r="S345" i="7"/>
  <c r="T345" i="7" s="1"/>
  <c r="S346" i="7"/>
  <c r="T346" i="7" s="1"/>
  <c r="S347" i="7"/>
  <c r="T347" i="7" s="1"/>
  <c r="S348" i="7"/>
  <c r="T348" i="7" s="1"/>
  <c r="S349" i="7"/>
  <c r="T349" i="7" s="1"/>
  <c r="S350" i="7"/>
  <c r="T350" i="7" s="1"/>
  <c r="S351" i="7"/>
  <c r="T351" i="7" s="1"/>
  <c r="S352" i="7"/>
  <c r="T352" i="7" s="1"/>
  <c r="S353" i="7"/>
  <c r="T353" i="7" s="1"/>
  <c r="S354" i="7"/>
  <c r="S355" i="7"/>
  <c r="T355" i="7" s="1"/>
  <c r="S356" i="7"/>
  <c r="S357" i="7"/>
  <c r="S358" i="7"/>
  <c r="S359" i="7"/>
  <c r="T359" i="7" s="1"/>
  <c r="S360" i="7"/>
  <c r="T360" i="7" s="1"/>
  <c r="S361" i="7"/>
  <c r="T361" i="7" s="1"/>
  <c r="S362" i="7"/>
  <c r="T362" i="7" s="1"/>
  <c r="S363" i="7"/>
  <c r="T363" i="7" s="1"/>
  <c r="S364" i="7"/>
  <c r="T364" i="7" s="1"/>
  <c r="S365" i="7"/>
  <c r="T365" i="7" s="1"/>
  <c r="S366" i="7"/>
  <c r="S367" i="7"/>
  <c r="T367" i="7" s="1"/>
  <c r="S368" i="7"/>
  <c r="S369" i="7"/>
  <c r="T369" i="7" s="1"/>
  <c r="S370" i="7"/>
  <c r="S371" i="7"/>
  <c r="S372" i="7"/>
  <c r="S373" i="7"/>
  <c r="T373" i="7" s="1"/>
  <c r="S374" i="7"/>
  <c r="T374" i="7" s="1"/>
  <c r="S375" i="7"/>
  <c r="T375" i="7" s="1"/>
  <c r="S376" i="7"/>
  <c r="T376" i="7" s="1"/>
  <c r="S377" i="7"/>
  <c r="T377" i="7" s="1"/>
  <c r="S378" i="7"/>
  <c r="T378" i="7" s="1"/>
  <c r="S379" i="7"/>
  <c r="T379" i="7" s="1"/>
  <c r="S380" i="7"/>
  <c r="T380" i="7" s="1"/>
  <c r="S381" i="7"/>
  <c r="S382" i="7"/>
  <c r="S383" i="7"/>
  <c r="T383" i="7" s="1"/>
  <c r="S384" i="7"/>
  <c r="S385" i="7"/>
  <c r="S386" i="7"/>
  <c r="T386" i="7" s="1"/>
  <c r="S387" i="7"/>
  <c r="T387" i="7" s="1"/>
  <c r="S388" i="7"/>
  <c r="T388" i="7" s="1"/>
  <c r="S389" i="7"/>
  <c r="T389" i="7" s="1"/>
  <c r="S390" i="7"/>
  <c r="T390" i="7" s="1"/>
  <c r="S391" i="7"/>
  <c r="T391" i="7" s="1"/>
  <c r="S392" i="7"/>
  <c r="T392" i="7" s="1"/>
  <c r="S393" i="7"/>
  <c r="T393" i="7" s="1"/>
  <c r="S394" i="7"/>
  <c r="T394" i="7" s="1"/>
  <c r="S395" i="7"/>
  <c r="T395" i="7" s="1"/>
  <c r="S396" i="7"/>
  <c r="S397" i="7"/>
  <c r="T397" i="7" s="1"/>
  <c r="S398" i="7"/>
  <c r="S399" i="7"/>
  <c r="S400" i="7"/>
  <c r="T400" i="7" s="1"/>
  <c r="S401" i="7"/>
  <c r="T401" i="7" s="1"/>
  <c r="S402" i="7"/>
  <c r="S403" i="7"/>
  <c r="T403" i="7" s="1"/>
  <c r="S404" i="7"/>
  <c r="S405" i="7"/>
  <c r="T405" i="7" s="1"/>
  <c r="S406" i="7"/>
  <c r="T406" i="7" s="1"/>
  <c r="S407" i="7"/>
  <c r="T407" i="7" s="1"/>
  <c r="S408" i="7"/>
  <c r="T408" i="7" s="1"/>
  <c r="S409" i="7"/>
  <c r="T409" i="7" s="1"/>
  <c r="S410" i="7"/>
  <c r="T410" i="7" s="1"/>
  <c r="S411" i="7"/>
  <c r="T411" i="7" s="1"/>
  <c r="S412" i="7"/>
  <c r="T412" i="7" s="1"/>
  <c r="S413" i="7"/>
  <c r="T413" i="7" s="1"/>
  <c r="S414" i="7"/>
  <c r="S415" i="7"/>
  <c r="T415" i="7" s="1"/>
  <c r="S416" i="7"/>
  <c r="S417" i="7"/>
  <c r="S418" i="7"/>
  <c r="S419" i="7"/>
  <c r="T419" i="7" s="1"/>
  <c r="S420" i="7"/>
  <c r="T420" i="7" s="1"/>
  <c r="S421" i="7"/>
  <c r="T421" i="7" s="1"/>
  <c r="S422" i="7"/>
  <c r="T422" i="7" s="1"/>
  <c r="S423" i="7"/>
  <c r="T423" i="7" s="1"/>
  <c r="S424" i="7"/>
  <c r="T424" i="7" s="1"/>
  <c r="S425" i="7"/>
  <c r="T425" i="7" s="1"/>
  <c r="S426" i="7"/>
  <c r="T426" i="7" s="1"/>
  <c r="S427" i="7"/>
  <c r="T427" i="7" s="1"/>
  <c r="S428" i="7"/>
  <c r="S429" i="7"/>
  <c r="S430" i="7"/>
  <c r="S431" i="7"/>
  <c r="S432" i="7"/>
  <c r="S433" i="7"/>
  <c r="T433" i="7" s="1"/>
  <c r="S434" i="7"/>
  <c r="T434" i="7" s="1"/>
  <c r="S435" i="7"/>
  <c r="T435" i="7" s="1"/>
  <c r="S436" i="7"/>
  <c r="T436" i="7" s="1"/>
  <c r="S437" i="7"/>
  <c r="T437" i="7" s="1"/>
  <c r="S438" i="7"/>
  <c r="S439" i="7"/>
  <c r="T439" i="7" s="1"/>
  <c r="S440" i="7"/>
  <c r="S441" i="7"/>
  <c r="T441" i="7" s="1"/>
  <c r="S442" i="7"/>
  <c r="S443" i="7"/>
  <c r="T443" i="7" s="1"/>
  <c r="S444" i="7"/>
  <c r="S445" i="7"/>
  <c r="T445" i="7" s="1"/>
  <c r="S446" i="7"/>
  <c r="T446" i="7" s="1"/>
  <c r="S447" i="7"/>
  <c r="T447" i="7" s="1"/>
  <c r="S448" i="7"/>
  <c r="T448" i="7" s="1"/>
  <c r="S449" i="7"/>
  <c r="T449" i="7" s="1"/>
  <c r="S450" i="7"/>
  <c r="T450" i="7" s="1"/>
  <c r="S451" i="7"/>
  <c r="T451" i="7" s="1"/>
  <c r="S452" i="7"/>
  <c r="T452" i="7" s="1"/>
  <c r="S453" i="7"/>
  <c r="S454" i="7"/>
  <c r="S455" i="7"/>
  <c r="T455" i="7" s="1"/>
  <c r="S456" i="7"/>
  <c r="S457" i="7"/>
  <c r="S458" i="7"/>
  <c r="T458" i="7" s="1"/>
  <c r="S459" i="7"/>
  <c r="T459" i="7" s="1"/>
  <c r="S460" i="7"/>
  <c r="T460" i="7" s="1"/>
  <c r="S461" i="7"/>
  <c r="T461" i="7" s="1"/>
  <c r="S462" i="7"/>
  <c r="T462" i="7" s="1"/>
  <c r="S463" i="7"/>
  <c r="T463" i="7" s="1"/>
  <c r="S464" i="7"/>
  <c r="T464" i="7" s="1"/>
  <c r="S465" i="7"/>
  <c r="T465" i="7" s="1"/>
  <c r="S466" i="7"/>
  <c r="T466" i="7" s="1"/>
  <c r="S467" i="7"/>
  <c r="T467" i="7" s="1"/>
  <c r="S468" i="7"/>
  <c r="S469" i="7"/>
  <c r="T469" i="7" s="1"/>
  <c r="S470" i="7"/>
  <c r="T470" i="7" s="1"/>
  <c r="S471" i="7"/>
  <c r="T471" i="7" s="1"/>
  <c r="S472" i="7"/>
  <c r="T472" i="7" s="1"/>
  <c r="S473" i="7"/>
  <c r="T473" i="7" s="1"/>
  <c r="S474" i="7"/>
  <c r="S475" i="7"/>
  <c r="T475" i="7" s="1"/>
  <c r="S476" i="7"/>
  <c r="S477" i="7"/>
  <c r="T477" i="7" s="1"/>
  <c r="S478" i="7"/>
  <c r="T478" i="7" s="1"/>
  <c r="S479" i="7"/>
  <c r="T479" i="7" s="1"/>
  <c r="S480" i="7"/>
  <c r="T480" i="7" s="1"/>
  <c r="S481" i="7"/>
  <c r="T481" i="7" s="1"/>
  <c r="S482" i="7"/>
  <c r="T482" i="7" s="1"/>
  <c r="S483" i="7"/>
  <c r="T483" i="7" s="1"/>
  <c r="S484" i="7"/>
  <c r="T484" i="7" s="1"/>
  <c r="S485" i="7"/>
  <c r="T485" i="7" s="1"/>
  <c r="S486" i="7"/>
  <c r="S487" i="7"/>
  <c r="T487" i="7" s="1"/>
  <c r="S488" i="7"/>
  <c r="S489" i="7"/>
  <c r="S490" i="7"/>
  <c r="S491" i="7"/>
  <c r="T491" i="7" s="1"/>
  <c r="S492" i="7"/>
  <c r="T492" i="7" s="1"/>
  <c r="S493" i="7"/>
  <c r="T493" i="7" s="1"/>
  <c r="S494" i="7"/>
  <c r="T494" i="7" s="1"/>
  <c r="S495" i="7"/>
  <c r="T495" i="7" s="1"/>
  <c r="S496" i="7"/>
  <c r="T496" i="7" s="1"/>
  <c r="S497" i="7"/>
  <c r="T497" i="7" s="1"/>
  <c r="S498" i="7"/>
  <c r="T498" i="7" s="1"/>
  <c r="S499" i="7"/>
  <c r="T499" i="7" s="1"/>
  <c r="S500" i="7"/>
  <c r="S501" i="7"/>
  <c r="S502" i="7"/>
  <c r="S503" i="7"/>
  <c r="S504" i="7"/>
  <c r="S505" i="7"/>
  <c r="T505" i="7" s="1"/>
  <c r="S506" i="7"/>
  <c r="T506" i="7" s="1"/>
  <c r="S507" i="7"/>
  <c r="T507" i="7" s="1"/>
  <c r="S508" i="7"/>
  <c r="T508" i="7" s="1"/>
  <c r="S509" i="7"/>
  <c r="T509" i="7" s="1"/>
  <c r="S510" i="7"/>
  <c r="S511" i="7"/>
  <c r="T511" i="7" s="1"/>
  <c r="S512" i="7"/>
  <c r="S513" i="7"/>
  <c r="T513" i="7" s="1"/>
  <c r="S514" i="7"/>
  <c r="S515" i="7"/>
  <c r="S516" i="7"/>
  <c r="S517" i="7"/>
  <c r="T517" i="7" s="1"/>
  <c r="S518" i="7"/>
  <c r="T518" i="7" s="1"/>
  <c r="S519" i="7"/>
  <c r="T519" i="7" s="1"/>
  <c r="S520" i="7"/>
  <c r="T520" i="7" s="1"/>
  <c r="S521" i="7"/>
  <c r="T521" i="7" s="1"/>
  <c r="S522" i="7"/>
  <c r="T522" i="7" s="1"/>
  <c r="S523" i="7"/>
  <c r="T523" i="7" s="1"/>
  <c r="S524" i="7"/>
  <c r="T524" i="7" s="1"/>
  <c r="S525" i="7"/>
  <c r="S526" i="7"/>
  <c r="S527" i="7"/>
  <c r="T527" i="7" s="1"/>
  <c r="S528" i="7"/>
  <c r="S529" i="7"/>
  <c r="S530" i="7"/>
  <c r="T530" i="7" s="1"/>
  <c r="S531" i="7"/>
  <c r="T531" i="7" s="1"/>
  <c r="S532" i="7"/>
  <c r="T532" i="7" s="1"/>
  <c r="S533" i="7"/>
  <c r="T533" i="7" s="1"/>
  <c r="S534" i="7"/>
  <c r="T534" i="7" s="1"/>
  <c r="S535" i="7"/>
  <c r="T535" i="7" s="1"/>
  <c r="S536" i="7"/>
  <c r="T536" i="7" s="1"/>
  <c r="S537" i="7"/>
  <c r="T537" i="7" s="1"/>
  <c r="S538" i="7"/>
  <c r="T538" i="7" s="1"/>
  <c r="S539" i="7"/>
  <c r="T539" i="7" s="1"/>
  <c r="S540" i="7"/>
  <c r="S541" i="7"/>
  <c r="T541" i="7" s="1"/>
  <c r="S542" i="7"/>
  <c r="S543" i="7"/>
  <c r="S544" i="7"/>
  <c r="T544" i="7" s="1"/>
  <c r="S545" i="7"/>
  <c r="T545" i="7" s="1"/>
  <c r="S546" i="7"/>
  <c r="S547" i="7"/>
  <c r="T547" i="7" s="1"/>
  <c r="S548" i="7"/>
  <c r="T548" i="7" s="1"/>
  <c r="S549" i="7"/>
  <c r="T549" i="7" s="1"/>
  <c r="S550" i="7"/>
  <c r="T550" i="7" s="1"/>
  <c r="S551" i="7"/>
  <c r="T551" i="7" s="1"/>
  <c r="S552" i="7"/>
  <c r="S553" i="7"/>
  <c r="T553" i="7" s="1"/>
  <c r="S554" i="7"/>
  <c r="T554" i="7" s="1"/>
  <c r="S555" i="7"/>
  <c r="T555" i="7" s="1"/>
  <c r="S556" i="7"/>
  <c r="T556" i="7" s="1"/>
  <c r="S557" i="7"/>
  <c r="T557" i="7" s="1"/>
  <c r="S558" i="7"/>
  <c r="S559" i="7"/>
  <c r="T559" i="7" s="1"/>
  <c r="S560" i="7"/>
  <c r="S561" i="7"/>
  <c r="T561" i="7" s="1"/>
  <c r="S562" i="7"/>
  <c r="T562" i="7" s="1"/>
  <c r="S563" i="7"/>
  <c r="T563" i="7" s="1"/>
  <c r="S564" i="7"/>
  <c r="T564" i="7" s="1"/>
  <c r="S565" i="7"/>
  <c r="T565" i="7" s="1"/>
  <c r="S566" i="7"/>
  <c r="T566" i="7" s="1"/>
  <c r="S567" i="7"/>
  <c r="T567" i="7" s="1"/>
  <c r="S568" i="7"/>
  <c r="T568" i="7" s="1"/>
  <c r="S569" i="7"/>
  <c r="T569" i="7" s="1"/>
  <c r="S570" i="7"/>
  <c r="S571" i="7"/>
  <c r="T571" i="7" s="1"/>
  <c r="S572" i="7"/>
  <c r="S573" i="7"/>
  <c r="S574" i="7"/>
  <c r="T574" i="7" s="1"/>
  <c r="S575" i="7"/>
  <c r="T575" i="7" s="1"/>
  <c r="S576" i="7"/>
  <c r="T576" i="7" s="1"/>
  <c r="S577" i="7"/>
  <c r="T577" i="7" s="1"/>
  <c r="S578" i="7"/>
  <c r="T578" i="7" s="1"/>
  <c r="S579" i="7"/>
  <c r="T579" i="7" s="1"/>
  <c r="S580" i="7"/>
  <c r="T580" i="7" s="1"/>
  <c r="S581" i="7"/>
  <c r="T581" i="7" s="1"/>
  <c r="S582" i="7"/>
  <c r="S583" i="7"/>
  <c r="T583" i="7" s="1"/>
  <c r="S584" i="7"/>
  <c r="S585" i="7"/>
  <c r="S586" i="7"/>
  <c r="S587" i="7"/>
  <c r="T587" i="7" s="1"/>
  <c r="S588" i="7"/>
  <c r="T588" i="7" s="1"/>
  <c r="S589" i="7"/>
  <c r="T589" i="7" s="1"/>
  <c r="S590" i="7"/>
  <c r="T590" i="7" s="1"/>
  <c r="S591" i="7"/>
  <c r="T591" i="7" s="1"/>
  <c r="S592" i="7"/>
  <c r="T592" i="7" s="1"/>
  <c r="S593" i="7"/>
  <c r="T593" i="7" s="1"/>
  <c r="S594" i="7"/>
  <c r="S595" i="7"/>
  <c r="T595" i="7" s="1"/>
  <c r="S596" i="7"/>
  <c r="S597" i="7"/>
  <c r="S598" i="7"/>
  <c r="S599" i="7"/>
  <c r="S600" i="7"/>
  <c r="T600" i="7" s="1"/>
  <c r="S601" i="7"/>
  <c r="T601" i="7" s="1"/>
  <c r="S602" i="7"/>
  <c r="T602" i="7" s="1"/>
  <c r="S603" i="7"/>
  <c r="T603" i="7" s="1"/>
  <c r="S604" i="7"/>
  <c r="T604" i="7" s="1"/>
  <c r="S605" i="7"/>
  <c r="T605" i="7" s="1"/>
  <c r="S606" i="7"/>
  <c r="T606" i="7" s="1"/>
  <c r="S607" i="7"/>
  <c r="T607" i="7" s="1"/>
  <c r="S608" i="7"/>
  <c r="S609" i="7"/>
  <c r="S610" i="7"/>
  <c r="S611" i="7"/>
  <c r="T611" i="7" s="1"/>
  <c r="S612" i="7"/>
  <c r="S613" i="7"/>
  <c r="T613" i="7" s="1"/>
  <c r="S614" i="7"/>
  <c r="T614" i="7" s="1"/>
  <c r="S615" i="7"/>
  <c r="T615" i="7" s="1"/>
  <c r="S616" i="7"/>
  <c r="T616" i="7" s="1"/>
  <c r="S617" i="7"/>
  <c r="T617" i="7" s="1"/>
  <c r="S618" i="7"/>
  <c r="S619" i="7"/>
  <c r="T619" i="7" s="1"/>
  <c r="S620" i="7"/>
  <c r="T620" i="7" s="1"/>
  <c r="S621" i="7"/>
  <c r="S622" i="7"/>
  <c r="S623" i="7"/>
  <c r="S624" i="7"/>
  <c r="S625" i="7"/>
  <c r="S626" i="7"/>
  <c r="T626" i="7" s="1"/>
  <c r="S627" i="7"/>
  <c r="T627" i="7" s="1"/>
  <c r="S628" i="7"/>
  <c r="T628" i="7" s="1"/>
  <c r="S629" i="7"/>
  <c r="T629" i="7" s="1"/>
  <c r="S630" i="7"/>
  <c r="S631" i="7"/>
  <c r="T631" i="7" s="1"/>
  <c r="S632" i="7"/>
  <c r="S633" i="7"/>
  <c r="T633" i="7" s="1"/>
  <c r="S634" i="7"/>
  <c r="S635" i="7"/>
  <c r="T635" i="7" s="1"/>
  <c r="S636" i="7"/>
  <c r="S637" i="7"/>
  <c r="S638" i="7"/>
  <c r="S639" i="7"/>
  <c r="T639" i="7" s="1"/>
  <c r="S640" i="7"/>
  <c r="T640" i="7" s="1"/>
  <c r="S641" i="7"/>
  <c r="T641" i="7" s="1"/>
  <c r="S642" i="7"/>
  <c r="T642" i="7" s="1"/>
  <c r="S643" i="7"/>
  <c r="T643" i="7" s="1"/>
  <c r="S644" i="7"/>
  <c r="S645" i="7"/>
  <c r="S646" i="7"/>
  <c r="T646" i="7" s="1"/>
  <c r="S647" i="7"/>
  <c r="S648" i="7"/>
  <c r="S649" i="7"/>
  <c r="S650" i="7"/>
  <c r="S651" i="7"/>
  <c r="T651" i="7" s="1"/>
  <c r="S652" i="7"/>
  <c r="T652" i="7" s="1"/>
  <c r="S653" i="7"/>
  <c r="T653" i="7" s="1"/>
  <c r="S654" i="7"/>
  <c r="T654" i="7" s="1"/>
  <c r="S655" i="7"/>
  <c r="T655" i="7" s="1"/>
  <c r="S656" i="7"/>
  <c r="T656" i="7" s="1"/>
  <c r="S657" i="7"/>
  <c r="S658" i="7"/>
  <c r="S659" i="7"/>
  <c r="T659" i="7" s="1"/>
  <c r="S660" i="7"/>
  <c r="S661" i="7"/>
  <c r="S662" i="7"/>
  <c r="S663" i="7"/>
  <c r="T663" i="7" s="1"/>
  <c r="S664" i="7"/>
  <c r="T664" i="7" s="1"/>
  <c r="S665" i="7"/>
  <c r="T665" i="7" s="1"/>
  <c r="S666" i="7"/>
  <c r="T666" i="7" s="1"/>
  <c r="S667" i="7"/>
  <c r="T667" i="7" s="1"/>
  <c r="S668" i="7"/>
  <c r="T668" i="7" s="1"/>
  <c r="S669" i="7"/>
  <c r="T669" i="7" s="1"/>
  <c r="S670" i="7"/>
  <c r="T670" i="7" s="1"/>
  <c r="S671" i="7"/>
  <c r="T671" i="7" s="1"/>
  <c r="S672" i="7"/>
  <c r="T672" i="7" s="1"/>
  <c r="S673" i="7"/>
  <c r="S674" i="7"/>
  <c r="S675" i="7"/>
  <c r="S676" i="7"/>
  <c r="S677" i="7"/>
  <c r="T677" i="7" s="1"/>
  <c r="S678" i="7"/>
  <c r="T678" i="7" s="1"/>
  <c r="S679" i="7"/>
  <c r="T679" i="7" s="1"/>
  <c r="S680" i="7"/>
  <c r="T680" i="7" s="1"/>
  <c r="S681" i="7"/>
  <c r="T681" i="7" s="1"/>
  <c r="S682" i="7"/>
  <c r="T682" i="7" s="1"/>
  <c r="S683" i="7"/>
  <c r="T683" i="7" s="1"/>
  <c r="S684" i="7"/>
  <c r="S685" i="7"/>
  <c r="T685" i="7" s="1"/>
  <c r="S686" i="7"/>
  <c r="T686" i="7" s="1"/>
  <c r="S687" i="7"/>
  <c r="T687" i="7" s="1"/>
  <c r="S688" i="7"/>
  <c r="T688" i="7" s="1"/>
  <c r="S689" i="7"/>
  <c r="T689" i="7" s="1"/>
  <c r="S690" i="7"/>
  <c r="S691" i="7"/>
  <c r="T691" i="7" s="1"/>
  <c r="S692" i="7"/>
  <c r="T692" i="7" s="1"/>
  <c r="S693" i="7"/>
  <c r="T693" i="7" s="1"/>
  <c r="S694" i="7"/>
  <c r="T694" i="7" s="1"/>
  <c r="S695" i="7"/>
  <c r="T695" i="7" s="1"/>
  <c r="S696" i="7"/>
  <c r="S697" i="7"/>
  <c r="T697" i="7" s="1"/>
  <c r="S698" i="7"/>
  <c r="T698" i="7" s="1"/>
  <c r="S699" i="7"/>
  <c r="T699" i="7" s="1"/>
  <c r="S700" i="7"/>
  <c r="T700" i="7" s="1"/>
  <c r="S701" i="7"/>
  <c r="T701" i="7" s="1"/>
  <c r="S702" i="7"/>
  <c r="S703" i="7"/>
  <c r="T703" i="7" s="1"/>
  <c r="S704" i="7"/>
  <c r="S705" i="7"/>
  <c r="T705" i="7" s="1"/>
  <c r="S706" i="7"/>
  <c r="T706" i="7" s="1"/>
  <c r="S707" i="7"/>
  <c r="T707" i="7" s="1"/>
  <c r="S708" i="7"/>
  <c r="T708" i="7" s="1"/>
  <c r="S709" i="7"/>
  <c r="T709" i="7" s="1"/>
  <c r="S710" i="7"/>
  <c r="T710" i="7" s="1"/>
  <c r="S711" i="7"/>
  <c r="T711" i="7" s="1"/>
  <c r="S712" i="7"/>
  <c r="T712" i="7" s="1"/>
  <c r="S713" i="7"/>
  <c r="T713" i="7" s="1"/>
  <c r="S714" i="7"/>
  <c r="S715" i="7"/>
  <c r="T715" i="7" s="1"/>
  <c r="S716" i="7"/>
  <c r="S717" i="7"/>
  <c r="S718" i="7"/>
  <c r="T718" i="7" s="1"/>
  <c r="S719" i="7"/>
  <c r="T719" i="7" s="1"/>
  <c r="S720" i="7"/>
  <c r="T720" i="7" s="1"/>
  <c r="S721" i="7"/>
  <c r="T721" i="7" s="1"/>
  <c r="S722" i="7"/>
  <c r="T722" i="7" s="1"/>
  <c r="S723" i="7"/>
  <c r="T723" i="7" s="1"/>
  <c r="S724" i="7"/>
  <c r="T724" i="7" s="1"/>
  <c r="S725" i="7"/>
  <c r="T725" i="7" s="1"/>
  <c r="S726" i="7"/>
  <c r="S727" i="7"/>
  <c r="T727" i="7" s="1"/>
  <c r="S728" i="7"/>
  <c r="S729" i="7"/>
  <c r="S730" i="7"/>
  <c r="S731" i="7"/>
  <c r="T731" i="7" s="1"/>
  <c r="S732" i="7"/>
  <c r="T732" i="7" s="1"/>
  <c r="S733" i="7"/>
  <c r="T733" i="7" s="1"/>
  <c r="S734" i="7"/>
  <c r="T734" i="7" s="1"/>
  <c r="S735" i="7"/>
  <c r="T735" i="7" s="1"/>
  <c r="S736" i="7"/>
  <c r="T736" i="7" s="1"/>
  <c r="S737" i="7"/>
  <c r="T737" i="7" s="1"/>
  <c r="S738" i="7"/>
  <c r="S739" i="7"/>
  <c r="T739" i="7" s="1"/>
  <c r="S740" i="7"/>
  <c r="S741" i="7"/>
  <c r="S742" i="7"/>
  <c r="S743" i="7"/>
  <c r="T743" i="7" s="1"/>
  <c r="S744" i="7"/>
  <c r="T744" i="7" s="1"/>
  <c r="S745" i="7"/>
  <c r="T745" i="7" s="1"/>
  <c r="S746" i="7"/>
  <c r="T746" i="7" s="1"/>
  <c r="S747" i="7"/>
  <c r="T747" i="7" s="1"/>
  <c r="S748" i="7"/>
  <c r="T748" i="7" s="1"/>
  <c r="S749" i="7"/>
  <c r="T749" i="7" s="1"/>
  <c r="S750" i="7"/>
  <c r="T750" i="7" s="1"/>
  <c r="S751" i="7"/>
  <c r="T751" i="7" s="1"/>
  <c r="S752" i="7"/>
  <c r="S753" i="7"/>
  <c r="S754" i="7"/>
  <c r="S755" i="7"/>
  <c r="S756" i="7"/>
  <c r="S757" i="7"/>
  <c r="T757" i="7" s="1"/>
  <c r="S758" i="7"/>
  <c r="T758" i="7" s="1"/>
  <c r="S759" i="7"/>
  <c r="T759" i="7" s="1"/>
  <c r="S760" i="7"/>
  <c r="T760" i="7" s="1"/>
  <c r="S761" i="7"/>
  <c r="T761" i="7" s="1"/>
  <c r="S762" i="7"/>
  <c r="S763" i="7"/>
  <c r="T763" i="7" s="1"/>
  <c r="S764" i="7"/>
  <c r="T764" i="7" s="1"/>
  <c r="S765" i="7"/>
  <c r="S766" i="7"/>
  <c r="S767" i="7"/>
  <c r="T767" i="7" s="1"/>
  <c r="S768" i="7"/>
  <c r="S769" i="7"/>
  <c r="T769" i="7" s="1"/>
  <c r="S770" i="7"/>
  <c r="T770" i="7" s="1"/>
  <c r="S771" i="7"/>
  <c r="T771" i="7" s="1"/>
  <c r="S772" i="7"/>
  <c r="T772" i="7" s="1"/>
  <c r="S773" i="7"/>
  <c r="T773" i="7" s="1"/>
  <c r="S774" i="7"/>
  <c r="S775" i="7"/>
  <c r="T775" i="7" s="1"/>
  <c r="S776" i="7"/>
  <c r="S777" i="7"/>
  <c r="T777" i="7" s="1"/>
  <c r="S778" i="7"/>
  <c r="S779" i="7"/>
  <c r="T779" i="7" s="1"/>
  <c r="S780" i="7"/>
  <c r="S781" i="7"/>
  <c r="S782" i="7"/>
  <c r="S783" i="7"/>
  <c r="T783" i="7" s="1"/>
  <c r="S784" i="7"/>
  <c r="T784" i="7" s="1"/>
  <c r="S785" i="7"/>
  <c r="T785" i="7" s="1"/>
  <c r="S786" i="7"/>
  <c r="T786" i="7" s="1"/>
  <c r="S787" i="7"/>
  <c r="T787" i="7" s="1"/>
  <c r="S788" i="7"/>
  <c r="S789" i="7"/>
  <c r="S790" i="7"/>
  <c r="T790" i="7" s="1"/>
  <c r="S791" i="7"/>
  <c r="T791" i="7" s="1"/>
  <c r="S792" i="7"/>
  <c r="S793" i="7"/>
  <c r="T793" i="7" s="1"/>
  <c r="S794" i="7"/>
  <c r="T794" i="7" s="1"/>
  <c r="S795" i="7"/>
  <c r="T795" i="7" s="1"/>
  <c r="S796" i="7"/>
  <c r="T796" i="7" s="1"/>
  <c r="S797" i="7"/>
  <c r="T797" i="7" s="1"/>
  <c r="S798" i="7"/>
  <c r="T798" i="7" s="1"/>
  <c r="S799" i="7"/>
  <c r="T799" i="7" s="1"/>
  <c r="S800" i="7"/>
  <c r="T800" i="7" s="1"/>
  <c r="S801" i="7"/>
  <c r="S802" i="7"/>
  <c r="S803" i="7"/>
  <c r="T803" i="7" s="1"/>
  <c r="S804" i="7"/>
  <c r="S805" i="7"/>
  <c r="S806" i="7"/>
  <c r="S807" i="7"/>
  <c r="S808" i="7"/>
  <c r="S809" i="7"/>
  <c r="T809" i="7" s="1"/>
  <c r="S810" i="7"/>
  <c r="T810" i="7" s="1"/>
  <c r="S811" i="7"/>
  <c r="T811" i="7" s="1"/>
  <c r="S812" i="7"/>
  <c r="T812" i="7" s="1"/>
  <c r="S813" i="7"/>
  <c r="T813" i="7" s="1"/>
  <c r="S814" i="7"/>
  <c r="T814" i="7" s="1"/>
  <c r="S815" i="7"/>
  <c r="T815" i="7" s="1"/>
  <c r="S816" i="7"/>
  <c r="T816" i="7" s="1"/>
  <c r="S817" i="7"/>
  <c r="T817" i="7" s="1"/>
  <c r="S818" i="7"/>
  <c r="T818" i="7" s="1"/>
  <c r="S819" i="7"/>
  <c r="T819" i="7" s="1"/>
  <c r="S820" i="7"/>
  <c r="T820" i="7" s="1"/>
  <c r="S821" i="7"/>
  <c r="T821" i="7" s="1"/>
  <c r="S822" i="7"/>
  <c r="T822" i="7" s="1"/>
  <c r="S823" i="7"/>
  <c r="T823" i="7" s="1"/>
  <c r="S824" i="7"/>
  <c r="T824" i="7" s="1"/>
  <c r="S825" i="7"/>
  <c r="T825" i="7" s="1"/>
  <c r="S826" i="7"/>
  <c r="T826" i="7" s="1"/>
  <c r="S827" i="7"/>
  <c r="T827" i="7" s="1"/>
  <c r="S828" i="7"/>
  <c r="S829" i="7"/>
  <c r="T829" i="7" s="1"/>
  <c r="S830" i="7"/>
  <c r="T830" i="7" s="1"/>
  <c r="S831" i="7"/>
  <c r="T831" i="7" s="1"/>
  <c r="S832" i="7"/>
  <c r="T832" i="7" s="1"/>
  <c r="S833" i="7"/>
  <c r="T833" i="7" s="1"/>
  <c r="S834" i="7"/>
  <c r="S835" i="7"/>
  <c r="T835" i="7" s="1"/>
  <c r="S836" i="7"/>
  <c r="T836" i="7" s="1"/>
  <c r="S837" i="7"/>
  <c r="T837" i="7" s="1"/>
  <c r="S838" i="7"/>
  <c r="T838" i="7" s="1"/>
  <c r="S839" i="7"/>
  <c r="T839" i="7" s="1"/>
  <c r="S840" i="7"/>
  <c r="S841" i="7"/>
  <c r="T841" i="7" s="1"/>
  <c r="S842" i="7"/>
  <c r="T842" i="7" s="1"/>
  <c r="S843" i="7"/>
  <c r="T843" i="7" s="1"/>
  <c r="S844" i="7"/>
  <c r="T844" i="7" s="1"/>
  <c r="S845" i="7"/>
  <c r="T845" i="7" s="1"/>
  <c r="S846" i="7"/>
  <c r="S847" i="7"/>
  <c r="T847" i="7" s="1"/>
  <c r="S848" i="7"/>
  <c r="S849" i="7"/>
  <c r="T849" i="7" s="1"/>
  <c r="S850" i="7"/>
  <c r="T850" i="7" s="1"/>
  <c r="S851" i="7"/>
  <c r="T851" i="7" s="1"/>
  <c r="S852" i="7"/>
  <c r="T852" i="7" s="1"/>
  <c r="S853" i="7"/>
  <c r="T853" i="7" s="1"/>
  <c r="S854" i="7"/>
  <c r="T854" i="7" s="1"/>
  <c r="S855" i="7"/>
  <c r="T855" i="7" s="1"/>
  <c r="S856" i="7"/>
  <c r="T856" i="7" s="1"/>
  <c r="S857" i="7"/>
  <c r="T857" i="7" s="1"/>
  <c r="S858" i="7"/>
  <c r="S859" i="7"/>
  <c r="T859" i="7" s="1"/>
  <c r="S860" i="7"/>
  <c r="S861" i="7"/>
  <c r="S862" i="7"/>
  <c r="T862" i="7" s="1"/>
  <c r="S863" i="7"/>
  <c r="T863" i="7" s="1"/>
  <c r="S864" i="7"/>
  <c r="T864" i="7" s="1"/>
  <c r="S865" i="7"/>
  <c r="T865" i="7" s="1"/>
  <c r="S866" i="7"/>
  <c r="T866" i="7" s="1"/>
  <c r="S867" i="7"/>
  <c r="T867" i="7" s="1"/>
  <c r="S868" i="7"/>
  <c r="T868" i="7" s="1"/>
  <c r="S869" i="7"/>
  <c r="T869" i="7" s="1"/>
  <c r="S870" i="7"/>
  <c r="S871" i="7"/>
  <c r="T871" i="7" s="1"/>
  <c r="S872" i="7"/>
  <c r="S873" i="7"/>
  <c r="S874" i="7"/>
  <c r="S875" i="7"/>
  <c r="T875" i="7" s="1"/>
  <c r="S876" i="7"/>
  <c r="T876" i="7" s="1"/>
  <c r="S877" i="7"/>
  <c r="T877" i="7" s="1"/>
  <c r="S878" i="7"/>
  <c r="T878" i="7" s="1"/>
  <c r="S879" i="7"/>
  <c r="T879" i="7" s="1"/>
  <c r="S880" i="7"/>
  <c r="T880" i="7" s="1"/>
  <c r="S881" i="7"/>
  <c r="T881" i="7" s="1"/>
  <c r="S882" i="7"/>
  <c r="S883" i="7"/>
  <c r="T883" i="7" s="1"/>
  <c r="S884" i="7"/>
  <c r="S885" i="7"/>
  <c r="S886" i="7"/>
  <c r="S887" i="7"/>
  <c r="S888" i="7"/>
  <c r="T888" i="7" s="1"/>
  <c r="S889" i="7"/>
  <c r="T889" i="7" s="1"/>
  <c r="S890" i="7"/>
  <c r="T890" i="7" s="1"/>
  <c r="S891" i="7"/>
  <c r="T891" i="7" s="1"/>
  <c r="S892" i="7"/>
  <c r="T892" i="7" s="1"/>
  <c r="S893" i="7"/>
  <c r="T893" i="7" s="1"/>
  <c r="S894" i="7"/>
  <c r="T894" i="7" s="1"/>
  <c r="S895" i="7"/>
  <c r="T895" i="7" s="1"/>
  <c r="S896" i="7"/>
  <c r="S897" i="7"/>
  <c r="S898" i="7"/>
  <c r="S899" i="7"/>
  <c r="S900" i="7"/>
  <c r="S901" i="7"/>
  <c r="T901" i="7" s="1"/>
  <c r="S902" i="7"/>
  <c r="T902" i="7" s="1"/>
  <c r="S903" i="7"/>
  <c r="T903" i="7" s="1"/>
  <c r="S904" i="7"/>
  <c r="T904" i="7" s="1"/>
  <c r="S905" i="7"/>
  <c r="T905" i="7" s="1"/>
  <c r="S906" i="7"/>
  <c r="S907" i="7"/>
  <c r="T907" i="7" s="1"/>
  <c r="S908" i="7"/>
  <c r="T908" i="7" s="1"/>
  <c r="S909" i="7"/>
  <c r="S910" i="7"/>
  <c r="S911" i="7"/>
  <c r="T911" i="7" s="1"/>
  <c r="S912" i="7"/>
  <c r="S913" i="7"/>
  <c r="T913" i="7" s="1"/>
  <c r="S914" i="7"/>
  <c r="T914" i="7" s="1"/>
  <c r="S915" i="7"/>
  <c r="T915" i="7" s="1"/>
  <c r="S916" i="7"/>
  <c r="T916" i="7" s="1"/>
  <c r="S917" i="7"/>
  <c r="T917" i="7" s="1"/>
  <c r="S918" i="7"/>
  <c r="S919" i="7"/>
  <c r="T919" i="7" s="1"/>
  <c r="S920" i="7"/>
  <c r="S921" i="7"/>
  <c r="T921" i="7" s="1"/>
  <c r="S922" i="7"/>
  <c r="S923" i="7"/>
  <c r="S924" i="7"/>
  <c r="S925" i="7"/>
  <c r="T925" i="7" s="1"/>
  <c r="S926" i="7"/>
  <c r="T926" i="7" s="1"/>
  <c r="S927" i="7"/>
  <c r="T927" i="7" s="1"/>
  <c r="S928" i="7"/>
  <c r="T928" i="7" s="1"/>
  <c r="S929" i="7"/>
  <c r="T929" i="7" s="1"/>
  <c r="S930" i="7"/>
  <c r="T930" i="7" s="1"/>
  <c r="S931" i="7"/>
  <c r="T931" i="7" s="1"/>
  <c r="S932" i="7"/>
  <c r="S933" i="7"/>
  <c r="S934" i="7"/>
  <c r="T934" i="7" s="1"/>
  <c r="S935" i="7"/>
  <c r="T935" i="7" s="1"/>
  <c r="S936" i="7"/>
  <c r="S937" i="7"/>
  <c r="T937" i="7" s="1"/>
  <c r="S938" i="7"/>
  <c r="T938" i="7" s="1"/>
  <c r="S939" i="7"/>
  <c r="T939" i="7" s="1"/>
  <c r="S940" i="7"/>
  <c r="T940" i="7" s="1"/>
  <c r="S941" i="7"/>
  <c r="T941" i="7" s="1"/>
  <c r="S942" i="7"/>
  <c r="T942" i="7" s="1"/>
  <c r="S943" i="7"/>
  <c r="T943" i="7" s="1"/>
  <c r="S944" i="7"/>
  <c r="T944" i="7" s="1"/>
  <c r="S945" i="7"/>
  <c r="S946" i="7"/>
  <c r="S947" i="7"/>
  <c r="T947" i="7" s="1"/>
  <c r="S948" i="7"/>
  <c r="S949" i="7"/>
  <c r="T949" i="7" s="1"/>
  <c r="S950" i="7"/>
  <c r="T950" i="7" s="1"/>
  <c r="S951" i="7"/>
  <c r="T951" i="7" s="1"/>
  <c r="S952" i="7"/>
  <c r="T952" i="7" s="1"/>
  <c r="S953" i="7"/>
  <c r="T953" i="7" s="1"/>
  <c r="S954" i="7"/>
  <c r="T954" i="7" s="1"/>
  <c r="S955" i="7"/>
  <c r="T955" i="7" s="1"/>
  <c r="S956" i="7"/>
  <c r="T956" i="7" s="1"/>
  <c r="S957" i="7"/>
  <c r="T957" i="7" s="1"/>
  <c r="S958" i="7"/>
  <c r="T958" i="7" s="1"/>
  <c r="S959" i="7"/>
  <c r="T959" i="7" s="1"/>
  <c r="S960" i="7"/>
  <c r="T960" i="7" s="1"/>
  <c r="S961" i="7"/>
  <c r="S962" i="7"/>
  <c r="T962" i="7" s="1"/>
  <c r="S963" i="7"/>
  <c r="T963" i="7" s="1"/>
  <c r="S964" i="7"/>
  <c r="T964" i="7" s="1"/>
  <c r="S965" i="7"/>
  <c r="T965" i="7" s="1"/>
  <c r="S966" i="7"/>
  <c r="T966" i="7" s="1"/>
  <c r="S967" i="7"/>
  <c r="T967" i="7" s="1"/>
  <c r="S968" i="7"/>
  <c r="T968" i="7" s="1"/>
  <c r="S969" i="7"/>
  <c r="T969" i="7" s="1"/>
  <c r="S970" i="7"/>
  <c r="T970" i="7" s="1"/>
  <c r="S971" i="7"/>
  <c r="T971" i="7" s="1"/>
  <c r="S972" i="7"/>
  <c r="S973" i="7"/>
  <c r="T973" i="7" s="1"/>
  <c r="S974" i="7"/>
  <c r="S975" i="7"/>
  <c r="T975" i="7" s="1"/>
  <c r="S976" i="7"/>
  <c r="T976" i="7" s="1"/>
  <c r="S977" i="7"/>
  <c r="T977" i="7" s="1"/>
  <c r="S978" i="7"/>
  <c r="S979" i="7"/>
  <c r="T979" i="7" s="1"/>
  <c r="S980" i="7"/>
  <c r="T980" i="7" s="1"/>
  <c r="S981" i="7"/>
  <c r="T981" i="7" s="1"/>
  <c r="S982" i="7"/>
  <c r="T982" i="7" s="1"/>
  <c r="S983" i="7"/>
  <c r="T983" i="7" s="1"/>
  <c r="S984" i="7"/>
  <c r="S985" i="7"/>
  <c r="S986" i="7"/>
  <c r="T986" i="7" s="1"/>
  <c r="S987" i="7"/>
  <c r="T987" i="7" s="1"/>
  <c r="S988" i="7"/>
  <c r="T988" i="7" s="1"/>
  <c r="S989" i="7"/>
  <c r="T989" i="7" s="1"/>
  <c r="S990" i="7"/>
  <c r="S991" i="7"/>
  <c r="T991" i="7" s="1"/>
  <c r="S992" i="7"/>
  <c r="S993" i="7"/>
  <c r="T993" i="7" s="1"/>
  <c r="S994" i="7"/>
  <c r="T994" i="7" s="1"/>
  <c r="S995" i="7"/>
  <c r="T995" i="7" s="1"/>
  <c r="S996" i="7"/>
  <c r="T996" i="7" s="1"/>
  <c r="S997" i="7"/>
  <c r="T997" i="7" s="1"/>
  <c r="S998" i="7"/>
  <c r="S999" i="7"/>
  <c r="T999" i="7" s="1"/>
  <c r="S1000" i="7"/>
  <c r="T1000" i="7" s="1"/>
  <c r="S1001" i="7"/>
  <c r="T1001" i="7" s="1"/>
  <c r="S1002" i="7"/>
  <c r="S1003" i="7"/>
  <c r="T1003" i="7" s="1"/>
  <c r="S1004" i="7"/>
  <c r="S1005" i="7"/>
  <c r="S1006" i="7"/>
  <c r="T1006" i="7" s="1"/>
  <c r="S1007" i="7"/>
  <c r="T1007" i="7" s="1"/>
  <c r="S1008" i="7"/>
  <c r="T1008" i="7" s="1"/>
  <c r="S1009" i="7"/>
  <c r="T1009" i="7" s="1"/>
  <c r="S1010" i="7"/>
  <c r="T1010" i="7" s="1"/>
  <c r="S1011" i="7"/>
  <c r="T1011" i="7" s="1"/>
  <c r="S1012" i="7"/>
  <c r="T1012" i="7" s="1"/>
  <c r="S1013" i="7"/>
  <c r="T1013" i="7" s="1"/>
  <c r="S1014" i="7"/>
  <c r="S1015" i="7"/>
  <c r="T1015" i="7" s="1"/>
  <c r="S1016" i="7"/>
  <c r="S1017" i="7"/>
  <c r="S1018" i="7"/>
  <c r="S1019" i="7"/>
  <c r="T1019" i="7" s="1"/>
  <c r="S1020" i="7"/>
  <c r="T1020" i="7" s="1"/>
  <c r="S1021" i="7"/>
  <c r="T1021" i="7" s="1"/>
  <c r="S1022" i="7"/>
  <c r="T1022" i="7" s="1"/>
  <c r="S1023" i="7"/>
  <c r="T1023" i="7" s="1"/>
  <c r="S1024" i="7"/>
  <c r="S1025" i="7"/>
  <c r="T1025" i="7" s="1"/>
  <c r="S1026" i="7"/>
  <c r="S1027" i="7"/>
  <c r="T1027" i="7" s="1"/>
  <c r="S1028" i="7"/>
  <c r="S1029" i="7"/>
  <c r="S1030" i="7"/>
  <c r="S1031" i="7"/>
  <c r="T1031" i="7" s="1"/>
  <c r="S1032" i="7"/>
  <c r="T1032" i="7" s="1"/>
  <c r="S1033" i="7"/>
  <c r="T1033" i="7" s="1"/>
  <c r="S1034" i="7"/>
  <c r="T1034" i="7" s="1"/>
  <c r="S1035" i="7"/>
  <c r="T1035" i="7" s="1"/>
  <c r="S1036" i="7"/>
  <c r="T1036" i="7" s="1"/>
  <c r="S1037" i="7"/>
  <c r="T1037" i="7" s="1"/>
  <c r="S1038" i="7"/>
  <c r="S1039" i="7"/>
  <c r="S1040" i="7"/>
  <c r="S1041" i="7"/>
  <c r="S1042" i="7"/>
  <c r="S1043" i="7"/>
  <c r="T1043" i="7" s="1"/>
  <c r="S1044" i="7"/>
  <c r="T1044" i="7" s="1"/>
  <c r="S1045" i="7"/>
  <c r="T1045" i="7" s="1"/>
  <c r="S1046" i="7"/>
  <c r="T1046" i="7" s="1"/>
  <c r="S1047" i="7"/>
  <c r="T1047" i="7" s="1"/>
  <c r="S1048" i="7"/>
  <c r="S1049" i="7"/>
  <c r="T1049" i="7" s="1"/>
  <c r="S1050" i="7"/>
  <c r="S1051" i="7"/>
  <c r="T1051" i="7" s="1"/>
  <c r="S1052" i="7"/>
  <c r="S1053" i="7"/>
  <c r="S1054" i="7"/>
  <c r="S1055" i="7"/>
  <c r="T1055" i="7" s="1"/>
  <c r="S1056" i="7"/>
  <c r="T1056" i="7" s="1"/>
  <c r="S1057" i="7"/>
  <c r="T1057" i="7" s="1"/>
  <c r="S1058" i="7"/>
  <c r="T1058" i="7" s="1"/>
  <c r="S1059" i="7"/>
  <c r="T1059" i="7" s="1"/>
  <c r="S1060" i="7"/>
  <c r="T1060" i="7" s="1"/>
  <c r="S1061" i="7"/>
  <c r="T1061" i="7" s="1"/>
  <c r="S1062" i="7"/>
  <c r="S1063" i="7"/>
  <c r="S2" i="7"/>
  <c r="T2" i="7" s="1"/>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018" i="7"/>
  <c r="R1019" i="7"/>
  <c r="R1020" i="7"/>
  <c r="R1021" i="7"/>
  <c r="R1022" i="7"/>
  <c r="R1023" i="7"/>
  <c r="R1024" i="7"/>
  <c r="R1025" i="7"/>
  <c r="R1026" i="7"/>
  <c r="R1027" i="7"/>
  <c r="R1028" i="7"/>
  <c r="R1029" i="7"/>
  <c r="R1030" i="7"/>
  <c r="R1031" i="7"/>
  <c r="R1032" i="7"/>
  <c r="R1033" i="7"/>
  <c r="R1034" i="7"/>
  <c r="R1035" i="7"/>
  <c r="R1036" i="7"/>
  <c r="R1037" i="7"/>
  <c r="R1038" i="7"/>
  <c r="R1039" i="7"/>
  <c r="R1040" i="7"/>
  <c r="R1041" i="7"/>
  <c r="R1042" i="7"/>
  <c r="R1043" i="7"/>
  <c r="R1044" i="7"/>
  <c r="R1045" i="7"/>
  <c r="R1046" i="7"/>
  <c r="R1047" i="7"/>
  <c r="R1048" i="7"/>
  <c r="R1049" i="7"/>
  <c r="R1050" i="7"/>
  <c r="R1051" i="7"/>
  <c r="R1052" i="7"/>
  <c r="R1053" i="7"/>
  <c r="R1054" i="7"/>
  <c r="R1055" i="7"/>
  <c r="R1056" i="7"/>
  <c r="R1057" i="7"/>
  <c r="R1058" i="7"/>
  <c r="R1059" i="7"/>
  <c r="R1060" i="7"/>
  <c r="R1061" i="7"/>
  <c r="R1062" i="7"/>
  <c r="R1063" i="7"/>
  <c r="R2" i="7"/>
  <c r="B12" i="7" a="1"/>
  <c r="B12" i="7" s="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2" i="1"/>
  <c r="V3" i="1"/>
  <c r="W3" i="1"/>
  <c r="V4" i="1"/>
  <c r="W4" i="1"/>
  <c r="V5" i="1"/>
  <c r="W5" i="1"/>
  <c r="V6" i="1"/>
  <c r="W6" i="1"/>
  <c r="V7" i="1"/>
  <c r="W7" i="1"/>
  <c r="V8" i="1"/>
  <c r="W8" i="1"/>
  <c r="V9" i="1"/>
  <c r="W9" i="1"/>
  <c r="V10" i="1"/>
  <c r="W10" i="1"/>
  <c r="V11" i="1"/>
  <c r="W11" i="1"/>
  <c r="V12" i="1"/>
  <c r="W12" i="1"/>
  <c r="V13" i="1"/>
  <c r="W13" i="1"/>
  <c r="V14" i="1"/>
  <c r="W14" i="1"/>
  <c r="V15" i="1"/>
  <c r="W15" i="1"/>
  <c r="V16" i="1"/>
  <c r="W16" i="1"/>
  <c r="V17" i="1"/>
  <c r="W17" i="1"/>
  <c r="V18" i="1"/>
  <c r="W18" i="1"/>
  <c r="V19" i="1"/>
  <c r="W19" i="1"/>
  <c r="V20" i="1"/>
  <c r="W20" i="1"/>
  <c r="V21" i="1"/>
  <c r="W21" i="1"/>
  <c r="V22" i="1"/>
  <c r="W22" i="1"/>
  <c r="V23" i="1"/>
  <c r="W23" i="1"/>
  <c r="V24" i="1"/>
  <c r="W24" i="1"/>
  <c r="V25" i="1"/>
  <c r="W25" i="1"/>
  <c r="V26" i="1"/>
  <c r="W26" i="1"/>
  <c r="V27" i="1"/>
  <c r="W27" i="1"/>
  <c r="V28" i="1"/>
  <c r="W28" i="1"/>
  <c r="V29" i="1"/>
  <c r="W29" i="1"/>
  <c r="V30" i="1"/>
  <c r="W30" i="1"/>
  <c r="V31" i="1"/>
  <c r="W31" i="1"/>
  <c r="V32" i="1"/>
  <c r="W32" i="1"/>
  <c r="V33" i="1"/>
  <c r="W33" i="1"/>
  <c r="V34" i="1"/>
  <c r="W34" i="1"/>
  <c r="V35" i="1"/>
  <c r="W35" i="1"/>
  <c r="V36" i="1"/>
  <c r="W36" i="1"/>
  <c r="V37" i="1"/>
  <c r="W37" i="1"/>
  <c r="V38" i="1"/>
  <c r="W38" i="1"/>
  <c r="V39" i="1"/>
  <c r="W39" i="1"/>
  <c r="V40" i="1"/>
  <c r="W40" i="1"/>
  <c r="V41" i="1"/>
  <c r="W41" i="1"/>
  <c r="V42" i="1"/>
  <c r="W42" i="1"/>
  <c r="V43" i="1"/>
  <c r="W43" i="1"/>
  <c r="V44" i="1"/>
  <c r="W44" i="1"/>
  <c r="V45" i="1"/>
  <c r="W45" i="1"/>
  <c r="V46" i="1"/>
  <c r="W46" i="1"/>
  <c r="V47" i="1"/>
  <c r="W47" i="1"/>
  <c r="V48" i="1"/>
  <c r="W48" i="1"/>
  <c r="V49" i="1"/>
  <c r="W49" i="1"/>
  <c r="V50" i="1"/>
  <c r="W50" i="1"/>
  <c r="V51" i="1"/>
  <c r="W51" i="1"/>
  <c r="V52" i="1"/>
  <c r="W52" i="1"/>
  <c r="V53" i="1"/>
  <c r="W53" i="1"/>
  <c r="V54" i="1"/>
  <c r="W54" i="1"/>
  <c r="V55" i="1"/>
  <c r="W55" i="1"/>
  <c r="V56" i="1"/>
  <c r="W56" i="1"/>
  <c r="V57" i="1"/>
  <c r="W57" i="1"/>
  <c r="V58" i="1"/>
  <c r="W58" i="1"/>
  <c r="V59" i="1"/>
  <c r="W59" i="1"/>
  <c r="V60" i="1"/>
  <c r="W60" i="1"/>
  <c r="V61" i="1"/>
  <c r="W61" i="1"/>
  <c r="V62" i="1"/>
  <c r="W62" i="1"/>
  <c r="V63" i="1"/>
  <c r="W63" i="1"/>
  <c r="V64" i="1"/>
  <c r="W64" i="1"/>
  <c r="V65" i="1"/>
  <c r="W65" i="1"/>
  <c r="V66" i="1"/>
  <c r="W66" i="1"/>
  <c r="V67" i="1"/>
  <c r="W67" i="1"/>
  <c r="V68" i="1"/>
  <c r="W68" i="1"/>
  <c r="V69" i="1"/>
  <c r="W69" i="1"/>
  <c r="V70" i="1"/>
  <c r="W70" i="1"/>
  <c r="V71" i="1"/>
  <c r="W71" i="1"/>
  <c r="V72" i="1"/>
  <c r="W72" i="1"/>
  <c r="V73" i="1"/>
  <c r="W73" i="1"/>
  <c r="V74" i="1"/>
  <c r="W74" i="1"/>
  <c r="V75" i="1"/>
  <c r="W75" i="1"/>
  <c r="V76" i="1"/>
  <c r="W76" i="1"/>
  <c r="V77" i="1"/>
  <c r="W77" i="1"/>
  <c r="V78" i="1"/>
  <c r="W78" i="1"/>
  <c r="V79" i="1"/>
  <c r="W79" i="1"/>
  <c r="V80" i="1"/>
  <c r="W80" i="1"/>
  <c r="V81" i="1"/>
  <c r="W81" i="1"/>
  <c r="V82" i="1"/>
  <c r="W82" i="1"/>
  <c r="V83" i="1"/>
  <c r="W83" i="1"/>
  <c r="V84" i="1"/>
  <c r="W84" i="1"/>
  <c r="V85" i="1"/>
  <c r="W85" i="1"/>
  <c r="V86" i="1"/>
  <c r="W86" i="1"/>
  <c r="V87" i="1"/>
  <c r="W87" i="1"/>
  <c r="V88" i="1"/>
  <c r="W88" i="1"/>
  <c r="V89" i="1"/>
  <c r="W89" i="1"/>
  <c r="V90" i="1"/>
  <c r="W90" i="1"/>
  <c r="V91" i="1"/>
  <c r="W91" i="1"/>
  <c r="V92" i="1"/>
  <c r="W92" i="1"/>
  <c r="V93" i="1"/>
  <c r="W93" i="1"/>
  <c r="V94" i="1"/>
  <c r="W94" i="1"/>
  <c r="V95" i="1"/>
  <c r="W95" i="1"/>
  <c r="V96" i="1"/>
  <c r="W96" i="1"/>
  <c r="V97" i="1"/>
  <c r="W97" i="1"/>
  <c r="V98" i="1"/>
  <c r="W98" i="1"/>
  <c r="V99" i="1"/>
  <c r="W99" i="1"/>
  <c r="V100" i="1"/>
  <c r="W100" i="1"/>
  <c r="V101" i="1"/>
  <c r="W101" i="1"/>
  <c r="V102" i="1"/>
  <c r="W102" i="1"/>
  <c r="V103" i="1"/>
  <c r="W103" i="1"/>
  <c r="V104" i="1"/>
  <c r="W104" i="1"/>
  <c r="V105" i="1"/>
  <c r="W105" i="1"/>
  <c r="V106" i="1"/>
  <c r="W106" i="1"/>
  <c r="V107" i="1"/>
  <c r="W107" i="1"/>
  <c r="V108" i="1"/>
  <c r="W108" i="1"/>
  <c r="V109" i="1"/>
  <c r="W109" i="1"/>
  <c r="V110" i="1"/>
  <c r="W110" i="1"/>
  <c r="V111" i="1"/>
  <c r="W111" i="1"/>
  <c r="V112" i="1"/>
  <c r="W112" i="1"/>
  <c r="V113" i="1"/>
  <c r="W113" i="1"/>
  <c r="V114" i="1"/>
  <c r="W114" i="1"/>
  <c r="V115" i="1"/>
  <c r="W115" i="1"/>
  <c r="V116" i="1"/>
  <c r="W116" i="1"/>
  <c r="V117" i="1"/>
  <c r="W117" i="1"/>
  <c r="V118" i="1"/>
  <c r="W118" i="1"/>
  <c r="V119" i="1"/>
  <c r="W119" i="1"/>
  <c r="V120" i="1"/>
  <c r="W120" i="1"/>
  <c r="V121" i="1"/>
  <c r="W121" i="1"/>
  <c r="V122" i="1"/>
  <c r="W122" i="1"/>
  <c r="V123" i="1"/>
  <c r="W123" i="1"/>
  <c r="V124" i="1"/>
  <c r="W124" i="1"/>
  <c r="V125" i="1"/>
  <c r="W125" i="1"/>
  <c r="V126" i="1"/>
  <c r="W126" i="1"/>
  <c r="V127" i="1"/>
  <c r="W127" i="1"/>
  <c r="V128" i="1"/>
  <c r="W128" i="1"/>
  <c r="V129" i="1"/>
  <c r="W129" i="1"/>
  <c r="V130" i="1"/>
  <c r="W130" i="1"/>
  <c r="V131" i="1"/>
  <c r="W131" i="1"/>
  <c r="V132" i="1"/>
  <c r="W132" i="1"/>
  <c r="V133" i="1"/>
  <c r="W133" i="1"/>
  <c r="V134" i="1"/>
  <c r="W134" i="1"/>
  <c r="V135" i="1"/>
  <c r="W135" i="1"/>
  <c r="V136" i="1"/>
  <c r="W136" i="1"/>
  <c r="V137" i="1"/>
  <c r="W137" i="1"/>
  <c r="V138" i="1"/>
  <c r="W138" i="1"/>
  <c r="V139" i="1"/>
  <c r="W139" i="1"/>
  <c r="V140" i="1"/>
  <c r="W140" i="1"/>
  <c r="V141" i="1"/>
  <c r="W141" i="1"/>
  <c r="V142" i="1"/>
  <c r="W142" i="1"/>
  <c r="V143" i="1"/>
  <c r="W143" i="1"/>
  <c r="V144" i="1"/>
  <c r="W144" i="1"/>
  <c r="V145" i="1"/>
  <c r="W145" i="1"/>
  <c r="V146" i="1"/>
  <c r="W146" i="1"/>
  <c r="V147" i="1"/>
  <c r="W147" i="1"/>
  <c r="V148" i="1"/>
  <c r="W148" i="1"/>
  <c r="V149" i="1"/>
  <c r="W149" i="1"/>
  <c r="V150" i="1"/>
  <c r="W150" i="1"/>
  <c r="V151" i="1"/>
  <c r="W151" i="1"/>
  <c r="V152" i="1"/>
  <c r="W152" i="1"/>
  <c r="V153" i="1"/>
  <c r="W153" i="1"/>
  <c r="V154" i="1"/>
  <c r="W154" i="1"/>
  <c r="V155" i="1"/>
  <c r="W155" i="1"/>
  <c r="V156" i="1"/>
  <c r="W156" i="1"/>
  <c r="V157" i="1"/>
  <c r="W157" i="1"/>
  <c r="V158" i="1"/>
  <c r="W158" i="1"/>
  <c r="V159" i="1"/>
  <c r="W159" i="1"/>
  <c r="V160" i="1"/>
  <c r="W160" i="1"/>
  <c r="V161" i="1"/>
  <c r="W161" i="1"/>
  <c r="V162" i="1"/>
  <c r="W162" i="1"/>
  <c r="V163" i="1"/>
  <c r="W163" i="1"/>
  <c r="V164" i="1"/>
  <c r="W164" i="1"/>
  <c r="V165" i="1"/>
  <c r="W165" i="1"/>
  <c r="V166" i="1"/>
  <c r="W166" i="1"/>
  <c r="V167" i="1"/>
  <c r="W167" i="1"/>
  <c r="V168" i="1"/>
  <c r="W168" i="1"/>
  <c r="V169" i="1"/>
  <c r="W169" i="1"/>
  <c r="V170" i="1"/>
  <c r="W170" i="1"/>
  <c r="V171" i="1"/>
  <c r="W171" i="1"/>
  <c r="V172" i="1"/>
  <c r="W172" i="1"/>
  <c r="V173" i="1"/>
  <c r="W173" i="1"/>
  <c r="V174" i="1"/>
  <c r="W174" i="1"/>
  <c r="V175" i="1"/>
  <c r="W175" i="1"/>
  <c r="V176" i="1"/>
  <c r="W176" i="1"/>
  <c r="V177" i="1"/>
  <c r="W177" i="1"/>
  <c r="V178" i="1"/>
  <c r="W178" i="1"/>
  <c r="V179" i="1"/>
  <c r="W179" i="1"/>
  <c r="V180" i="1"/>
  <c r="W180" i="1"/>
  <c r="V181" i="1"/>
  <c r="W181" i="1"/>
  <c r="V182" i="1"/>
  <c r="W182" i="1"/>
  <c r="V183" i="1"/>
  <c r="W183" i="1"/>
  <c r="V184" i="1"/>
  <c r="W184" i="1"/>
  <c r="V185" i="1"/>
  <c r="W185" i="1"/>
  <c r="V186" i="1"/>
  <c r="W186" i="1"/>
  <c r="V187" i="1"/>
  <c r="W187" i="1"/>
  <c r="V188" i="1"/>
  <c r="W188" i="1"/>
  <c r="V189" i="1"/>
  <c r="W189" i="1"/>
  <c r="V190" i="1"/>
  <c r="W190" i="1"/>
  <c r="V191" i="1"/>
  <c r="W191" i="1"/>
  <c r="V192" i="1"/>
  <c r="W192" i="1"/>
  <c r="V193" i="1"/>
  <c r="W193" i="1"/>
  <c r="V194" i="1"/>
  <c r="W194" i="1"/>
  <c r="V195" i="1"/>
  <c r="W195" i="1"/>
  <c r="V196" i="1"/>
  <c r="W196" i="1"/>
  <c r="V197" i="1"/>
  <c r="W197" i="1"/>
  <c r="V198" i="1"/>
  <c r="W198" i="1"/>
  <c r="V199" i="1"/>
  <c r="W199" i="1"/>
  <c r="V200" i="1"/>
  <c r="W200" i="1"/>
  <c r="V201" i="1"/>
  <c r="W201" i="1"/>
  <c r="V202" i="1"/>
  <c r="W202" i="1"/>
  <c r="V203" i="1"/>
  <c r="W203" i="1"/>
  <c r="V204" i="1"/>
  <c r="W204" i="1"/>
  <c r="V205" i="1"/>
  <c r="W205" i="1"/>
  <c r="V206" i="1"/>
  <c r="W206" i="1"/>
  <c r="V207" i="1"/>
  <c r="W207" i="1"/>
  <c r="V208" i="1"/>
  <c r="W208" i="1"/>
  <c r="V209" i="1"/>
  <c r="W209" i="1"/>
  <c r="V210" i="1"/>
  <c r="W210" i="1"/>
  <c r="V211" i="1"/>
  <c r="W211" i="1"/>
  <c r="V212" i="1"/>
  <c r="W212" i="1"/>
  <c r="V213" i="1"/>
  <c r="W213" i="1"/>
  <c r="V214" i="1"/>
  <c r="W214" i="1"/>
  <c r="V215" i="1"/>
  <c r="W215" i="1"/>
  <c r="V216" i="1"/>
  <c r="W216" i="1"/>
  <c r="V217" i="1"/>
  <c r="W217" i="1"/>
  <c r="V218" i="1"/>
  <c r="W218" i="1"/>
  <c r="V219" i="1"/>
  <c r="W219" i="1"/>
  <c r="V220" i="1"/>
  <c r="W220" i="1"/>
  <c r="V221" i="1"/>
  <c r="W221" i="1"/>
  <c r="V222" i="1"/>
  <c r="W222" i="1"/>
  <c r="V223" i="1"/>
  <c r="W223" i="1"/>
  <c r="V224" i="1"/>
  <c r="W224" i="1"/>
  <c r="V225" i="1"/>
  <c r="W225" i="1"/>
  <c r="V226" i="1"/>
  <c r="W226" i="1"/>
  <c r="V227" i="1"/>
  <c r="W227" i="1"/>
  <c r="V228" i="1"/>
  <c r="W228" i="1"/>
  <c r="V229" i="1"/>
  <c r="W229" i="1"/>
  <c r="V230" i="1"/>
  <c r="W230" i="1"/>
  <c r="V231" i="1"/>
  <c r="W231" i="1"/>
  <c r="V232" i="1"/>
  <c r="W232" i="1"/>
  <c r="V233" i="1"/>
  <c r="W233" i="1"/>
  <c r="V234" i="1"/>
  <c r="W234" i="1"/>
  <c r="V235" i="1"/>
  <c r="W235" i="1"/>
  <c r="V236" i="1"/>
  <c r="W236" i="1"/>
  <c r="V237" i="1"/>
  <c r="W237" i="1"/>
  <c r="V238" i="1"/>
  <c r="W238" i="1"/>
  <c r="V239" i="1"/>
  <c r="W239" i="1"/>
  <c r="V240" i="1"/>
  <c r="W240" i="1"/>
  <c r="V241" i="1"/>
  <c r="W241" i="1"/>
  <c r="V242" i="1"/>
  <c r="W242" i="1"/>
  <c r="V243" i="1"/>
  <c r="W243" i="1"/>
  <c r="V244" i="1"/>
  <c r="W244" i="1"/>
  <c r="V245" i="1"/>
  <c r="W245" i="1"/>
  <c r="V246" i="1"/>
  <c r="W246" i="1"/>
  <c r="V247" i="1"/>
  <c r="W247" i="1"/>
  <c r="V248" i="1"/>
  <c r="W248" i="1"/>
  <c r="V249" i="1"/>
  <c r="W249" i="1"/>
  <c r="V250" i="1"/>
  <c r="W250" i="1"/>
  <c r="V251" i="1"/>
  <c r="W251" i="1"/>
  <c r="V252" i="1"/>
  <c r="W252" i="1"/>
  <c r="V253" i="1"/>
  <c r="W253" i="1"/>
  <c r="V254" i="1"/>
  <c r="W254" i="1"/>
  <c r="V255" i="1"/>
  <c r="W255" i="1"/>
  <c r="V256" i="1"/>
  <c r="W256" i="1"/>
  <c r="V257" i="1"/>
  <c r="W257" i="1"/>
  <c r="V258" i="1"/>
  <c r="W258" i="1"/>
  <c r="V259" i="1"/>
  <c r="W259" i="1"/>
  <c r="V260" i="1"/>
  <c r="W260" i="1"/>
  <c r="V261" i="1"/>
  <c r="W261" i="1"/>
  <c r="V262" i="1"/>
  <c r="W262" i="1"/>
  <c r="V263" i="1"/>
  <c r="W263" i="1"/>
  <c r="V264" i="1"/>
  <c r="W264" i="1"/>
  <c r="V265" i="1"/>
  <c r="W265" i="1"/>
  <c r="V266" i="1"/>
  <c r="W266" i="1"/>
  <c r="V267" i="1"/>
  <c r="W267" i="1"/>
  <c r="V268" i="1"/>
  <c r="W268" i="1"/>
  <c r="V269" i="1"/>
  <c r="W269" i="1"/>
  <c r="V270" i="1"/>
  <c r="W270" i="1"/>
  <c r="V271" i="1"/>
  <c r="W271" i="1"/>
  <c r="V272" i="1"/>
  <c r="W272" i="1"/>
  <c r="V273" i="1"/>
  <c r="W273" i="1"/>
  <c r="V274" i="1"/>
  <c r="W274" i="1"/>
  <c r="V275" i="1"/>
  <c r="W275" i="1"/>
  <c r="V276" i="1"/>
  <c r="W276" i="1"/>
  <c r="V277" i="1"/>
  <c r="W277" i="1"/>
  <c r="V278" i="1"/>
  <c r="W278" i="1"/>
  <c r="V279" i="1"/>
  <c r="W279" i="1"/>
  <c r="V280" i="1"/>
  <c r="W280" i="1"/>
  <c r="V281" i="1"/>
  <c r="W281" i="1"/>
  <c r="V282" i="1"/>
  <c r="W282" i="1"/>
  <c r="V283" i="1"/>
  <c r="W283" i="1"/>
  <c r="V284" i="1"/>
  <c r="W284" i="1"/>
  <c r="V285" i="1"/>
  <c r="W285" i="1"/>
  <c r="V286" i="1"/>
  <c r="W286" i="1"/>
  <c r="V287" i="1"/>
  <c r="W287" i="1"/>
  <c r="V288" i="1"/>
  <c r="W288" i="1"/>
  <c r="V289" i="1"/>
  <c r="W289" i="1"/>
  <c r="V290" i="1"/>
  <c r="W290" i="1"/>
  <c r="V291" i="1"/>
  <c r="W291" i="1"/>
  <c r="V292" i="1"/>
  <c r="W292" i="1"/>
  <c r="V293" i="1"/>
  <c r="W293" i="1"/>
  <c r="V294" i="1"/>
  <c r="W294" i="1"/>
  <c r="V295" i="1"/>
  <c r="W295" i="1"/>
  <c r="V296" i="1"/>
  <c r="W296" i="1"/>
  <c r="V297" i="1"/>
  <c r="W297" i="1"/>
  <c r="V298" i="1"/>
  <c r="W298" i="1"/>
  <c r="V299" i="1"/>
  <c r="W299" i="1"/>
  <c r="V300" i="1"/>
  <c r="W300" i="1"/>
  <c r="V301" i="1"/>
  <c r="W301" i="1"/>
  <c r="V302" i="1"/>
  <c r="W302" i="1"/>
  <c r="V303" i="1"/>
  <c r="W303" i="1"/>
  <c r="V304" i="1"/>
  <c r="W304" i="1"/>
  <c r="V305" i="1"/>
  <c r="W305" i="1"/>
  <c r="V306" i="1"/>
  <c r="W306" i="1"/>
  <c r="V307" i="1"/>
  <c r="W307" i="1"/>
  <c r="V308" i="1"/>
  <c r="W308" i="1"/>
  <c r="V309" i="1"/>
  <c r="W309" i="1"/>
  <c r="V310" i="1"/>
  <c r="W310" i="1"/>
  <c r="V311" i="1"/>
  <c r="W311" i="1"/>
  <c r="V312" i="1"/>
  <c r="W312" i="1"/>
  <c r="V313" i="1"/>
  <c r="W313" i="1"/>
  <c r="V314" i="1"/>
  <c r="W314" i="1"/>
  <c r="V315" i="1"/>
  <c r="W315" i="1"/>
  <c r="V316" i="1"/>
  <c r="W316" i="1"/>
  <c r="V317" i="1"/>
  <c r="W317" i="1"/>
  <c r="V318" i="1"/>
  <c r="W318" i="1"/>
  <c r="V319" i="1"/>
  <c r="W319" i="1"/>
  <c r="V320" i="1"/>
  <c r="W320" i="1"/>
  <c r="V321" i="1"/>
  <c r="W321" i="1"/>
  <c r="V322" i="1"/>
  <c r="W322" i="1"/>
  <c r="V323" i="1"/>
  <c r="W323" i="1"/>
  <c r="V324" i="1"/>
  <c r="W324" i="1"/>
  <c r="V325" i="1"/>
  <c r="W325" i="1"/>
  <c r="V326" i="1"/>
  <c r="W326" i="1"/>
  <c r="V327" i="1"/>
  <c r="W327" i="1"/>
  <c r="V328" i="1"/>
  <c r="W328" i="1"/>
  <c r="V329" i="1"/>
  <c r="W329" i="1"/>
  <c r="V330" i="1"/>
  <c r="W330" i="1"/>
  <c r="V331" i="1"/>
  <c r="W331" i="1"/>
  <c r="V332" i="1"/>
  <c r="W332" i="1"/>
  <c r="V333" i="1"/>
  <c r="W333" i="1"/>
  <c r="V334" i="1"/>
  <c r="W334" i="1"/>
  <c r="V335" i="1"/>
  <c r="W335" i="1"/>
  <c r="V336" i="1"/>
  <c r="W336" i="1"/>
  <c r="V337" i="1"/>
  <c r="W337" i="1"/>
  <c r="V338" i="1"/>
  <c r="W338" i="1"/>
  <c r="V339" i="1"/>
  <c r="W339" i="1"/>
  <c r="V340" i="1"/>
  <c r="W340" i="1"/>
  <c r="V341" i="1"/>
  <c r="W341" i="1"/>
  <c r="V342" i="1"/>
  <c r="W342" i="1"/>
  <c r="V343" i="1"/>
  <c r="W343" i="1"/>
  <c r="V344" i="1"/>
  <c r="W344" i="1"/>
  <c r="V345" i="1"/>
  <c r="W345" i="1"/>
  <c r="V346" i="1"/>
  <c r="W346" i="1"/>
  <c r="V347" i="1"/>
  <c r="W347" i="1"/>
  <c r="V348" i="1"/>
  <c r="W348" i="1"/>
  <c r="V349" i="1"/>
  <c r="W349" i="1"/>
  <c r="V350" i="1"/>
  <c r="W350" i="1"/>
  <c r="V351" i="1"/>
  <c r="W351" i="1"/>
  <c r="V352" i="1"/>
  <c r="W352" i="1"/>
  <c r="V353" i="1"/>
  <c r="W353" i="1"/>
  <c r="V354" i="1"/>
  <c r="W354" i="1"/>
  <c r="V355" i="1"/>
  <c r="W355" i="1"/>
  <c r="V356" i="1"/>
  <c r="W356" i="1"/>
  <c r="V357" i="1"/>
  <c r="W357" i="1"/>
  <c r="V358" i="1"/>
  <c r="W358" i="1"/>
  <c r="V359" i="1"/>
  <c r="W359" i="1"/>
  <c r="V360" i="1"/>
  <c r="W360" i="1"/>
  <c r="V361" i="1"/>
  <c r="W361" i="1"/>
  <c r="V362" i="1"/>
  <c r="W362" i="1"/>
  <c r="V363" i="1"/>
  <c r="W363" i="1"/>
  <c r="V364" i="1"/>
  <c r="W364" i="1"/>
  <c r="V365" i="1"/>
  <c r="W365" i="1"/>
  <c r="V366" i="1"/>
  <c r="W366" i="1"/>
  <c r="V367" i="1"/>
  <c r="W367" i="1"/>
  <c r="V368" i="1"/>
  <c r="W368" i="1"/>
  <c r="V369" i="1"/>
  <c r="W369" i="1"/>
  <c r="V370" i="1"/>
  <c r="W370" i="1"/>
  <c r="V371" i="1"/>
  <c r="W371" i="1"/>
  <c r="V372" i="1"/>
  <c r="W372" i="1"/>
  <c r="V373" i="1"/>
  <c r="W373" i="1"/>
  <c r="V374" i="1"/>
  <c r="W374" i="1"/>
  <c r="V375" i="1"/>
  <c r="W375" i="1"/>
  <c r="V376" i="1"/>
  <c r="W376" i="1"/>
  <c r="V377" i="1"/>
  <c r="W377" i="1"/>
  <c r="V378" i="1"/>
  <c r="W378" i="1"/>
  <c r="V379" i="1"/>
  <c r="W379" i="1"/>
  <c r="V380" i="1"/>
  <c r="W380" i="1"/>
  <c r="V381" i="1"/>
  <c r="W381" i="1"/>
  <c r="V382" i="1"/>
  <c r="W382" i="1"/>
  <c r="V383" i="1"/>
  <c r="W383" i="1"/>
  <c r="V384" i="1"/>
  <c r="W384" i="1"/>
  <c r="V385" i="1"/>
  <c r="W385" i="1"/>
  <c r="V386" i="1"/>
  <c r="W386" i="1"/>
  <c r="V387" i="1"/>
  <c r="W387" i="1"/>
  <c r="V388" i="1"/>
  <c r="W388" i="1"/>
  <c r="V389" i="1"/>
  <c r="W389" i="1"/>
  <c r="V390" i="1"/>
  <c r="W390" i="1"/>
  <c r="V391" i="1"/>
  <c r="W391" i="1"/>
  <c r="V392" i="1"/>
  <c r="W392" i="1"/>
  <c r="V393" i="1"/>
  <c r="W393" i="1"/>
  <c r="V394" i="1"/>
  <c r="W394" i="1"/>
  <c r="V395" i="1"/>
  <c r="W395" i="1"/>
  <c r="V396" i="1"/>
  <c r="W396" i="1"/>
  <c r="V397" i="1"/>
  <c r="W397" i="1"/>
  <c r="V398" i="1"/>
  <c r="W398" i="1"/>
  <c r="V399" i="1"/>
  <c r="W399" i="1"/>
  <c r="V400" i="1"/>
  <c r="W400" i="1"/>
  <c r="V401" i="1"/>
  <c r="W401" i="1"/>
  <c r="V402" i="1"/>
  <c r="W402" i="1"/>
  <c r="V403" i="1"/>
  <c r="W403" i="1"/>
  <c r="V404" i="1"/>
  <c r="W404" i="1"/>
  <c r="V405" i="1"/>
  <c r="W405" i="1"/>
  <c r="V406" i="1"/>
  <c r="W406" i="1"/>
  <c r="V407" i="1"/>
  <c r="W407" i="1"/>
  <c r="V408" i="1"/>
  <c r="W408" i="1"/>
  <c r="V409" i="1"/>
  <c r="W409" i="1"/>
  <c r="V410" i="1"/>
  <c r="W410" i="1"/>
  <c r="V411" i="1"/>
  <c r="W411" i="1"/>
  <c r="V412" i="1"/>
  <c r="W412" i="1"/>
  <c r="V413" i="1"/>
  <c r="W413" i="1"/>
  <c r="V414" i="1"/>
  <c r="W414" i="1"/>
  <c r="V415" i="1"/>
  <c r="W415" i="1"/>
  <c r="V416" i="1"/>
  <c r="W416" i="1"/>
  <c r="V417" i="1"/>
  <c r="W417" i="1"/>
  <c r="V418" i="1"/>
  <c r="W418" i="1"/>
  <c r="V419" i="1"/>
  <c r="W419" i="1"/>
  <c r="V420" i="1"/>
  <c r="W420" i="1"/>
  <c r="V421" i="1"/>
  <c r="W421" i="1"/>
  <c r="V422" i="1"/>
  <c r="W422" i="1"/>
  <c r="V423" i="1"/>
  <c r="W423" i="1"/>
  <c r="V424" i="1"/>
  <c r="W424" i="1"/>
  <c r="V425" i="1"/>
  <c r="W425" i="1"/>
  <c r="V426" i="1"/>
  <c r="W426" i="1"/>
  <c r="V427" i="1"/>
  <c r="W427" i="1"/>
  <c r="V428" i="1"/>
  <c r="W428" i="1"/>
  <c r="V429" i="1"/>
  <c r="W429" i="1"/>
  <c r="V430" i="1"/>
  <c r="W430" i="1"/>
  <c r="V431" i="1"/>
  <c r="W431" i="1"/>
  <c r="V432" i="1"/>
  <c r="W432" i="1"/>
  <c r="V433" i="1"/>
  <c r="W433" i="1"/>
  <c r="V434" i="1"/>
  <c r="W434" i="1"/>
  <c r="V435" i="1"/>
  <c r="W435" i="1"/>
  <c r="V436" i="1"/>
  <c r="W436" i="1"/>
  <c r="V437" i="1"/>
  <c r="W437" i="1"/>
  <c r="V438" i="1"/>
  <c r="W438" i="1"/>
  <c r="V439" i="1"/>
  <c r="W439" i="1"/>
  <c r="V440" i="1"/>
  <c r="W440" i="1"/>
  <c r="V441" i="1"/>
  <c r="W441" i="1"/>
  <c r="V442" i="1"/>
  <c r="W442" i="1"/>
  <c r="V443" i="1"/>
  <c r="W443" i="1"/>
  <c r="V444" i="1"/>
  <c r="W444" i="1"/>
  <c r="V445" i="1"/>
  <c r="W445" i="1"/>
  <c r="V446" i="1"/>
  <c r="W446" i="1"/>
  <c r="V447" i="1"/>
  <c r="W447" i="1"/>
  <c r="V448" i="1"/>
  <c r="W448" i="1"/>
  <c r="V449" i="1"/>
  <c r="W449" i="1"/>
  <c r="V450" i="1"/>
  <c r="W450" i="1"/>
  <c r="V451" i="1"/>
  <c r="W451" i="1"/>
  <c r="V452" i="1"/>
  <c r="W452" i="1"/>
  <c r="V453" i="1"/>
  <c r="W453" i="1"/>
  <c r="V454" i="1"/>
  <c r="W454" i="1"/>
  <c r="V455" i="1"/>
  <c r="W455" i="1"/>
  <c r="V456" i="1"/>
  <c r="W456" i="1"/>
  <c r="V457" i="1"/>
  <c r="W457" i="1"/>
  <c r="V458" i="1"/>
  <c r="W458" i="1"/>
  <c r="V459" i="1"/>
  <c r="W459" i="1"/>
  <c r="V460" i="1"/>
  <c r="W460" i="1"/>
  <c r="V461" i="1"/>
  <c r="W461" i="1"/>
  <c r="V462" i="1"/>
  <c r="W462" i="1"/>
  <c r="V463" i="1"/>
  <c r="W463" i="1"/>
  <c r="V464" i="1"/>
  <c r="W464" i="1"/>
  <c r="V465" i="1"/>
  <c r="W465" i="1"/>
  <c r="V466" i="1"/>
  <c r="W466" i="1"/>
  <c r="V467" i="1"/>
  <c r="W467" i="1"/>
  <c r="V468" i="1"/>
  <c r="W468" i="1"/>
  <c r="V469" i="1"/>
  <c r="W469" i="1"/>
  <c r="V470" i="1"/>
  <c r="W470" i="1"/>
  <c r="V471" i="1"/>
  <c r="W471" i="1"/>
  <c r="V472" i="1"/>
  <c r="W472" i="1"/>
  <c r="V473" i="1"/>
  <c r="W473" i="1"/>
  <c r="V474" i="1"/>
  <c r="W474" i="1"/>
  <c r="V475" i="1"/>
  <c r="W475" i="1"/>
  <c r="V476" i="1"/>
  <c r="W476" i="1"/>
  <c r="V477" i="1"/>
  <c r="W477" i="1"/>
  <c r="V478" i="1"/>
  <c r="W478" i="1"/>
  <c r="V479" i="1"/>
  <c r="W479" i="1"/>
  <c r="V480" i="1"/>
  <c r="W480" i="1"/>
  <c r="V481" i="1"/>
  <c r="W481" i="1"/>
  <c r="V482" i="1"/>
  <c r="W482" i="1"/>
  <c r="V483" i="1"/>
  <c r="W483" i="1"/>
  <c r="V484" i="1"/>
  <c r="W484" i="1"/>
  <c r="V485" i="1"/>
  <c r="W485" i="1"/>
  <c r="V486" i="1"/>
  <c r="W486" i="1"/>
  <c r="V487" i="1"/>
  <c r="W487" i="1"/>
  <c r="V488" i="1"/>
  <c r="W488" i="1"/>
  <c r="V489" i="1"/>
  <c r="W489" i="1"/>
  <c r="V490" i="1"/>
  <c r="W490" i="1"/>
  <c r="V491" i="1"/>
  <c r="W491" i="1"/>
  <c r="V492" i="1"/>
  <c r="W492" i="1"/>
  <c r="V493" i="1"/>
  <c r="W493" i="1"/>
  <c r="V494" i="1"/>
  <c r="W494" i="1"/>
  <c r="V495" i="1"/>
  <c r="W495" i="1"/>
  <c r="V496" i="1"/>
  <c r="W496" i="1"/>
  <c r="V497" i="1"/>
  <c r="W497" i="1"/>
  <c r="V498" i="1"/>
  <c r="W498" i="1"/>
  <c r="V499" i="1"/>
  <c r="W499" i="1"/>
  <c r="V500" i="1"/>
  <c r="W500" i="1"/>
  <c r="V501" i="1"/>
  <c r="W501" i="1"/>
  <c r="V502" i="1"/>
  <c r="W502" i="1"/>
  <c r="V503" i="1"/>
  <c r="W503" i="1"/>
  <c r="V504" i="1"/>
  <c r="W504" i="1"/>
  <c r="V505" i="1"/>
  <c r="W505" i="1"/>
  <c r="V506" i="1"/>
  <c r="W506" i="1"/>
  <c r="V507" i="1"/>
  <c r="W507" i="1"/>
  <c r="V508" i="1"/>
  <c r="W508" i="1"/>
  <c r="V509" i="1"/>
  <c r="W509" i="1"/>
  <c r="V510" i="1"/>
  <c r="W510" i="1"/>
  <c r="V511" i="1"/>
  <c r="W511" i="1"/>
  <c r="V512" i="1"/>
  <c r="W512" i="1"/>
  <c r="V513" i="1"/>
  <c r="W513" i="1"/>
  <c r="V514" i="1"/>
  <c r="W514" i="1"/>
  <c r="V515" i="1"/>
  <c r="W515" i="1"/>
  <c r="V516" i="1"/>
  <c r="W516" i="1"/>
  <c r="V517" i="1"/>
  <c r="W517" i="1"/>
  <c r="V518" i="1"/>
  <c r="W518" i="1"/>
  <c r="V519" i="1"/>
  <c r="W519" i="1"/>
  <c r="V520" i="1"/>
  <c r="W520" i="1"/>
  <c r="V521" i="1"/>
  <c r="W521" i="1"/>
  <c r="V522" i="1"/>
  <c r="W522" i="1"/>
  <c r="V523" i="1"/>
  <c r="W523" i="1"/>
  <c r="V524" i="1"/>
  <c r="W524" i="1"/>
  <c r="V525" i="1"/>
  <c r="W525" i="1"/>
  <c r="V526" i="1"/>
  <c r="W526" i="1"/>
  <c r="V527" i="1"/>
  <c r="W527" i="1"/>
  <c r="V528" i="1"/>
  <c r="W528" i="1"/>
  <c r="V529" i="1"/>
  <c r="W529" i="1"/>
  <c r="V530" i="1"/>
  <c r="W530" i="1"/>
  <c r="V531" i="1"/>
  <c r="W531" i="1"/>
  <c r="V532" i="1"/>
  <c r="W532" i="1"/>
  <c r="V533" i="1"/>
  <c r="W533" i="1"/>
  <c r="V534" i="1"/>
  <c r="W534" i="1"/>
  <c r="V535" i="1"/>
  <c r="W535" i="1"/>
  <c r="V536" i="1"/>
  <c r="W536" i="1"/>
  <c r="V537" i="1"/>
  <c r="W537" i="1"/>
  <c r="V538" i="1"/>
  <c r="W538" i="1"/>
  <c r="V539" i="1"/>
  <c r="W539" i="1"/>
  <c r="V540" i="1"/>
  <c r="W540" i="1"/>
  <c r="V541" i="1"/>
  <c r="W541" i="1"/>
  <c r="V542" i="1"/>
  <c r="W542" i="1"/>
  <c r="V543" i="1"/>
  <c r="W543" i="1"/>
  <c r="V544" i="1"/>
  <c r="W544" i="1"/>
  <c r="V545" i="1"/>
  <c r="W545" i="1"/>
  <c r="V546" i="1"/>
  <c r="W546" i="1"/>
  <c r="V547" i="1"/>
  <c r="W547" i="1"/>
  <c r="V548" i="1"/>
  <c r="W548" i="1"/>
  <c r="V549" i="1"/>
  <c r="W549" i="1"/>
  <c r="V550" i="1"/>
  <c r="W550" i="1"/>
  <c r="V551" i="1"/>
  <c r="W551" i="1"/>
  <c r="V552" i="1"/>
  <c r="W552" i="1"/>
  <c r="V553" i="1"/>
  <c r="W553" i="1"/>
  <c r="V554" i="1"/>
  <c r="W554" i="1"/>
  <c r="V555" i="1"/>
  <c r="W555" i="1"/>
  <c r="V556" i="1"/>
  <c r="W556" i="1"/>
  <c r="V557" i="1"/>
  <c r="W557" i="1"/>
  <c r="V558" i="1"/>
  <c r="W558" i="1"/>
  <c r="V559" i="1"/>
  <c r="W559" i="1"/>
  <c r="V560" i="1"/>
  <c r="W560" i="1"/>
  <c r="V561" i="1"/>
  <c r="W561" i="1"/>
  <c r="V562" i="1"/>
  <c r="W562" i="1"/>
  <c r="V563" i="1"/>
  <c r="W563" i="1"/>
  <c r="V564" i="1"/>
  <c r="W564" i="1"/>
  <c r="V565" i="1"/>
  <c r="W565" i="1"/>
  <c r="V566" i="1"/>
  <c r="W566" i="1"/>
  <c r="V567" i="1"/>
  <c r="W567" i="1"/>
  <c r="V568" i="1"/>
  <c r="W568" i="1"/>
  <c r="V569" i="1"/>
  <c r="W569" i="1"/>
  <c r="V570" i="1"/>
  <c r="W570" i="1"/>
  <c r="V571" i="1"/>
  <c r="W571" i="1"/>
  <c r="V572" i="1"/>
  <c r="W572" i="1"/>
  <c r="V573" i="1"/>
  <c r="W573" i="1"/>
  <c r="V574" i="1"/>
  <c r="W574" i="1"/>
  <c r="V575" i="1"/>
  <c r="W575" i="1"/>
  <c r="V576" i="1"/>
  <c r="W576" i="1"/>
  <c r="V577" i="1"/>
  <c r="W577" i="1"/>
  <c r="V578" i="1"/>
  <c r="W578" i="1"/>
  <c r="V579" i="1"/>
  <c r="W579" i="1"/>
  <c r="V580" i="1"/>
  <c r="W580" i="1"/>
  <c r="V581" i="1"/>
  <c r="W581" i="1"/>
  <c r="V582" i="1"/>
  <c r="W582" i="1"/>
  <c r="V583" i="1"/>
  <c r="W583" i="1"/>
  <c r="V584" i="1"/>
  <c r="W584" i="1"/>
  <c r="V585" i="1"/>
  <c r="W585" i="1"/>
  <c r="V586" i="1"/>
  <c r="W586" i="1"/>
  <c r="V587" i="1"/>
  <c r="W587" i="1"/>
  <c r="V588" i="1"/>
  <c r="W588" i="1"/>
  <c r="V589" i="1"/>
  <c r="W589" i="1"/>
  <c r="V590" i="1"/>
  <c r="W590" i="1"/>
  <c r="V591" i="1"/>
  <c r="W591" i="1"/>
  <c r="V592" i="1"/>
  <c r="W592" i="1"/>
  <c r="V593" i="1"/>
  <c r="W593" i="1"/>
  <c r="V594" i="1"/>
  <c r="W594" i="1"/>
  <c r="V595" i="1"/>
  <c r="W595" i="1"/>
  <c r="V596" i="1"/>
  <c r="W596" i="1"/>
  <c r="V597" i="1"/>
  <c r="W597" i="1"/>
  <c r="V598" i="1"/>
  <c r="W598" i="1"/>
  <c r="V599" i="1"/>
  <c r="W599" i="1"/>
  <c r="V600" i="1"/>
  <c r="W600" i="1"/>
  <c r="V601" i="1"/>
  <c r="W601" i="1"/>
  <c r="V602" i="1"/>
  <c r="W602" i="1"/>
  <c r="V603" i="1"/>
  <c r="W603" i="1"/>
  <c r="V604" i="1"/>
  <c r="W604" i="1"/>
  <c r="V605" i="1"/>
  <c r="W605" i="1"/>
  <c r="V606" i="1"/>
  <c r="W606" i="1"/>
  <c r="V607" i="1"/>
  <c r="W607" i="1"/>
  <c r="V608" i="1"/>
  <c r="W608" i="1"/>
  <c r="V609" i="1"/>
  <c r="W609" i="1"/>
  <c r="V610" i="1"/>
  <c r="W610" i="1"/>
  <c r="V611" i="1"/>
  <c r="W611" i="1"/>
  <c r="V612" i="1"/>
  <c r="W612" i="1"/>
  <c r="V613" i="1"/>
  <c r="W613" i="1"/>
  <c r="V614" i="1"/>
  <c r="W614" i="1"/>
  <c r="V615" i="1"/>
  <c r="W615" i="1"/>
  <c r="V616" i="1"/>
  <c r="W616" i="1"/>
  <c r="V617" i="1"/>
  <c r="W617" i="1"/>
  <c r="V618" i="1"/>
  <c r="W618" i="1"/>
  <c r="V619" i="1"/>
  <c r="W619" i="1"/>
  <c r="V620" i="1"/>
  <c r="W620" i="1"/>
  <c r="V621" i="1"/>
  <c r="W621" i="1"/>
  <c r="V622" i="1"/>
  <c r="W622" i="1"/>
  <c r="V623" i="1"/>
  <c r="W623" i="1"/>
  <c r="V624" i="1"/>
  <c r="W624" i="1"/>
  <c r="V625" i="1"/>
  <c r="W625" i="1"/>
  <c r="V626" i="1"/>
  <c r="W626" i="1"/>
  <c r="V627" i="1"/>
  <c r="W627" i="1"/>
  <c r="V628" i="1"/>
  <c r="W628" i="1"/>
  <c r="V629" i="1"/>
  <c r="W629" i="1"/>
  <c r="V630" i="1"/>
  <c r="W630" i="1"/>
  <c r="V631" i="1"/>
  <c r="W631" i="1"/>
  <c r="V632" i="1"/>
  <c r="W632" i="1"/>
  <c r="V633" i="1"/>
  <c r="W633" i="1"/>
  <c r="V634" i="1"/>
  <c r="W634" i="1"/>
  <c r="V635" i="1"/>
  <c r="W635" i="1"/>
  <c r="V636" i="1"/>
  <c r="W636" i="1"/>
  <c r="V637" i="1"/>
  <c r="W637" i="1"/>
  <c r="V638" i="1"/>
  <c r="W638" i="1"/>
  <c r="V639" i="1"/>
  <c r="W639" i="1"/>
  <c r="V640" i="1"/>
  <c r="W640" i="1"/>
  <c r="V641" i="1"/>
  <c r="W641" i="1"/>
  <c r="V642" i="1"/>
  <c r="W642" i="1"/>
  <c r="V643" i="1"/>
  <c r="W643" i="1"/>
  <c r="V644" i="1"/>
  <c r="W644" i="1"/>
  <c r="V645" i="1"/>
  <c r="W645" i="1"/>
  <c r="V646" i="1"/>
  <c r="W646" i="1"/>
  <c r="V647" i="1"/>
  <c r="W647" i="1"/>
  <c r="V648" i="1"/>
  <c r="W648" i="1"/>
  <c r="V649" i="1"/>
  <c r="W649" i="1"/>
  <c r="V650" i="1"/>
  <c r="W650" i="1"/>
  <c r="V651" i="1"/>
  <c r="W651" i="1"/>
  <c r="V652" i="1"/>
  <c r="W652" i="1"/>
  <c r="V653" i="1"/>
  <c r="W653" i="1"/>
  <c r="V654" i="1"/>
  <c r="W654" i="1"/>
  <c r="V655" i="1"/>
  <c r="W655" i="1"/>
  <c r="V656" i="1"/>
  <c r="W656" i="1"/>
  <c r="V657" i="1"/>
  <c r="W657" i="1"/>
  <c r="V658" i="1"/>
  <c r="W658" i="1"/>
  <c r="V659" i="1"/>
  <c r="W659" i="1"/>
  <c r="V660" i="1"/>
  <c r="W660" i="1"/>
  <c r="V661" i="1"/>
  <c r="W661" i="1"/>
  <c r="V662" i="1"/>
  <c r="W662" i="1"/>
  <c r="V663" i="1"/>
  <c r="W663" i="1"/>
  <c r="V664" i="1"/>
  <c r="W664" i="1"/>
  <c r="V665" i="1"/>
  <c r="W665" i="1"/>
  <c r="V666" i="1"/>
  <c r="W666" i="1"/>
  <c r="V667" i="1"/>
  <c r="W667" i="1"/>
  <c r="V668" i="1"/>
  <c r="W668" i="1"/>
  <c r="V669" i="1"/>
  <c r="W669" i="1"/>
  <c r="V670" i="1"/>
  <c r="W670" i="1"/>
  <c r="V671" i="1"/>
  <c r="W671" i="1"/>
  <c r="V672" i="1"/>
  <c r="W672" i="1"/>
  <c r="V673" i="1"/>
  <c r="W673" i="1"/>
  <c r="V674" i="1"/>
  <c r="W674" i="1"/>
  <c r="V675" i="1"/>
  <c r="W675" i="1"/>
  <c r="V676" i="1"/>
  <c r="W676" i="1"/>
  <c r="V677" i="1"/>
  <c r="W677" i="1"/>
  <c r="V678" i="1"/>
  <c r="W678" i="1"/>
  <c r="V679" i="1"/>
  <c r="W679" i="1"/>
  <c r="V680" i="1"/>
  <c r="W680" i="1"/>
  <c r="V681" i="1"/>
  <c r="W681" i="1"/>
  <c r="V682" i="1"/>
  <c r="W682" i="1"/>
  <c r="V683" i="1"/>
  <c r="W683" i="1"/>
  <c r="V684" i="1"/>
  <c r="W684" i="1"/>
  <c r="V685" i="1"/>
  <c r="W685" i="1"/>
  <c r="V686" i="1"/>
  <c r="W686" i="1"/>
  <c r="V687" i="1"/>
  <c r="W687" i="1"/>
  <c r="V688" i="1"/>
  <c r="W688" i="1"/>
  <c r="V689" i="1"/>
  <c r="W689" i="1"/>
  <c r="V690" i="1"/>
  <c r="W690" i="1"/>
  <c r="V691" i="1"/>
  <c r="W691" i="1"/>
  <c r="V692" i="1"/>
  <c r="W692" i="1"/>
  <c r="V693" i="1"/>
  <c r="W693" i="1"/>
  <c r="V694" i="1"/>
  <c r="W694" i="1"/>
  <c r="V695" i="1"/>
  <c r="W695" i="1"/>
  <c r="V696" i="1"/>
  <c r="W696" i="1"/>
  <c r="V697" i="1"/>
  <c r="W697" i="1"/>
  <c r="V698" i="1"/>
  <c r="W698" i="1"/>
  <c r="V699" i="1"/>
  <c r="W699" i="1"/>
  <c r="V700" i="1"/>
  <c r="W700" i="1"/>
  <c r="V701" i="1"/>
  <c r="W701" i="1"/>
  <c r="V702" i="1"/>
  <c r="W702" i="1"/>
  <c r="V703" i="1"/>
  <c r="W703" i="1"/>
  <c r="V704" i="1"/>
  <c r="W704" i="1"/>
  <c r="V705" i="1"/>
  <c r="W705" i="1"/>
  <c r="V706" i="1"/>
  <c r="W706" i="1"/>
  <c r="V707" i="1"/>
  <c r="W707" i="1"/>
  <c r="V708" i="1"/>
  <c r="W708" i="1"/>
  <c r="V709" i="1"/>
  <c r="W709" i="1"/>
  <c r="V710" i="1"/>
  <c r="W710" i="1"/>
  <c r="V711" i="1"/>
  <c r="W711" i="1"/>
  <c r="V712" i="1"/>
  <c r="W712" i="1"/>
  <c r="V713" i="1"/>
  <c r="W713" i="1"/>
  <c r="V714" i="1"/>
  <c r="W714" i="1"/>
  <c r="V715" i="1"/>
  <c r="W715" i="1"/>
  <c r="V716" i="1"/>
  <c r="W716" i="1"/>
  <c r="V717" i="1"/>
  <c r="W717" i="1"/>
  <c r="V718" i="1"/>
  <c r="W718" i="1"/>
  <c r="V719" i="1"/>
  <c r="W719" i="1"/>
  <c r="V720" i="1"/>
  <c r="W720" i="1"/>
  <c r="V721" i="1"/>
  <c r="W721" i="1"/>
  <c r="V722" i="1"/>
  <c r="W722" i="1"/>
  <c r="V723" i="1"/>
  <c r="W723" i="1"/>
  <c r="V724" i="1"/>
  <c r="W724" i="1"/>
  <c r="V725" i="1"/>
  <c r="W725" i="1"/>
  <c r="V726" i="1"/>
  <c r="W726" i="1"/>
  <c r="V727" i="1"/>
  <c r="W727" i="1"/>
  <c r="V728" i="1"/>
  <c r="W728" i="1"/>
  <c r="V729" i="1"/>
  <c r="W729" i="1"/>
  <c r="V730" i="1"/>
  <c r="W730" i="1"/>
  <c r="V731" i="1"/>
  <c r="W731" i="1"/>
  <c r="V732" i="1"/>
  <c r="W732" i="1"/>
  <c r="V733" i="1"/>
  <c r="W733" i="1"/>
  <c r="V734" i="1"/>
  <c r="W734" i="1"/>
  <c r="V735" i="1"/>
  <c r="W735" i="1"/>
  <c r="V736" i="1"/>
  <c r="W736" i="1"/>
  <c r="V737" i="1"/>
  <c r="W737" i="1"/>
  <c r="V738" i="1"/>
  <c r="W738" i="1"/>
  <c r="V739" i="1"/>
  <c r="W739" i="1"/>
  <c r="V740" i="1"/>
  <c r="W740" i="1"/>
  <c r="V741" i="1"/>
  <c r="W741" i="1"/>
  <c r="V742" i="1"/>
  <c r="W742" i="1"/>
  <c r="V743" i="1"/>
  <c r="W743" i="1"/>
  <c r="V744" i="1"/>
  <c r="W744" i="1"/>
  <c r="V745" i="1"/>
  <c r="W745" i="1"/>
  <c r="V746" i="1"/>
  <c r="W746" i="1"/>
  <c r="V747" i="1"/>
  <c r="W747" i="1"/>
  <c r="V748" i="1"/>
  <c r="W748" i="1"/>
  <c r="V749" i="1"/>
  <c r="W749" i="1"/>
  <c r="V750" i="1"/>
  <c r="W750" i="1"/>
  <c r="V751" i="1"/>
  <c r="W751" i="1"/>
  <c r="V752" i="1"/>
  <c r="W752" i="1"/>
  <c r="V753" i="1"/>
  <c r="W753" i="1"/>
  <c r="V754" i="1"/>
  <c r="W754" i="1"/>
  <c r="V755" i="1"/>
  <c r="W755" i="1"/>
  <c r="V756" i="1"/>
  <c r="W756" i="1"/>
  <c r="V757" i="1"/>
  <c r="W757" i="1"/>
  <c r="V758" i="1"/>
  <c r="W758" i="1"/>
  <c r="V759" i="1"/>
  <c r="W759" i="1"/>
  <c r="V760" i="1"/>
  <c r="W760" i="1"/>
  <c r="V761" i="1"/>
  <c r="W761" i="1"/>
  <c r="V762" i="1"/>
  <c r="W762" i="1"/>
  <c r="V763" i="1"/>
  <c r="W763" i="1"/>
  <c r="V764" i="1"/>
  <c r="W764" i="1"/>
  <c r="V765" i="1"/>
  <c r="W765" i="1"/>
  <c r="V766" i="1"/>
  <c r="W766" i="1"/>
  <c r="V767" i="1"/>
  <c r="W767" i="1"/>
  <c r="V768" i="1"/>
  <c r="W768" i="1"/>
  <c r="V769" i="1"/>
  <c r="W769" i="1"/>
  <c r="V770" i="1"/>
  <c r="W770" i="1"/>
  <c r="V771" i="1"/>
  <c r="W771" i="1"/>
  <c r="V772" i="1"/>
  <c r="W772" i="1"/>
  <c r="V773" i="1"/>
  <c r="W773" i="1"/>
  <c r="V774" i="1"/>
  <c r="W774" i="1"/>
  <c r="V775" i="1"/>
  <c r="W775" i="1"/>
  <c r="V776" i="1"/>
  <c r="W776" i="1"/>
  <c r="V777" i="1"/>
  <c r="W777" i="1"/>
  <c r="V778" i="1"/>
  <c r="W778" i="1"/>
  <c r="V779" i="1"/>
  <c r="W779" i="1"/>
  <c r="V780" i="1"/>
  <c r="W780" i="1"/>
  <c r="V781" i="1"/>
  <c r="W781" i="1"/>
  <c r="V782" i="1"/>
  <c r="W782" i="1"/>
  <c r="V783" i="1"/>
  <c r="W783" i="1"/>
  <c r="V784" i="1"/>
  <c r="W784" i="1"/>
  <c r="V785" i="1"/>
  <c r="W785" i="1"/>
  <c r="V786" i="1"/>
  <c r="W786" i="1"/>
  <c r="V787" i="1"/>
  <c r="W787" i="1"/>
  <c r="V788" i="1"/>
  <c r="W788" i="1"/>
  <c r="V789" i="1"/>
  <c r="W789" i="1"/>
  <c r="V790" i="1"/>
  <c r="W790" i="1"/>
  <c r="V791" i="1"/>
  <c r="W791" i="1"/>
  <c r="V792" i="1"/>
  <c r="W792" i="1"/>
  <c r="V793" i="1"/>
  <c r="W793" i="1"/>
  <c r="V794" i="1"/>
  <c r="W794" i="1"/>
  <c r="V795" i="1"/>
  <c r="W795" i="1"/>
  <c r="V796" i="1"/>
  <c r="W796" i="1"/>
  <c r="V797" i="1"/>
  <c r="W797" i="1"/>
  <c r="V798" i="1"/>
  <c r="W798" i="1"/>
  <c r="V799" i="1"/>
  <c r="W799" i="1"/>
  <c r="V800" i="1"/>
  <c r="W800" i="1"/>
  <c r="V801" i="1"/>
  <c r="W801" i="1"/>
  <c r="V802" i="1"/>
  <c r="W802" i="1"/>
  <c r="V803" i="1"/>
  <c r="W803" i="1"/>
  <c r="V804" i="1"/>
  <c r="W804" i="1"/>
  <c r="V805" i="1"/>
  <c r="W805" i="1"/>
  <c r="V806" i="1"/>
  <c r="W806" i="1"/>
  <c r="V807" i="1"/>
  <c r="W807" i="1"/>
  <c r="V808" i="1"/>
  <c r="W808" i="1"/>
  <c r="V809" i="1"/>
  <c r="W809" i="1"/>
  <c r="V810" i="1"/>
  <c r="W810" i="1"/>
  <c r="V811" i="1"/>
  <c r="W811" i="1"/>
  <c r="V812" i="1"/>
  <c r="W812" i="1"/>
  <c r="V813" i="1"/>
  <c r="W813" i="1"/>
  <c r="V814" i="1"/>
  <c r="W814" i="1"/>
  <c r="V815" i="1"/>
  <c r="W815" i="1"/>
  <c r="V816" i="1"/>
  <c r="W816" i="1"/>
  <c r="V817" i="1"/>
  <c r="W817" i="1"/>
  <c r="V818" i="1"/>
  <c r="W818" i="1"/>
  <c r="V819" i="1"/>
  <c r="W819" i="1"/>
  <c r="V820" i="1"/>
  <c r="W820" i="1"/>
  <c r="V821" i="1"/>
  <c r="W821" i="1"/>
  <c r="V822" i="1"/>
  <c r="W822" i="1"/>
  <c r="V823" i="1"/>
  <c r="W823" i="1"/>
  <c r="V824" i="1"/>
  <c r="W824" i="1"/>
  <c r="V825" i="1"/>
  <c r="W825" i="1"/>
  <c r="V826" i="1"/>
  <c r="W826" i="1"/>
  <c r="V827" i="1"/>
  <c r="W827" i="1"/>
  <c r="V828" i="1"/>
  <c r="W828" i="1"/>
  <c r="V829" i="1"/>
  <c r="W829" i="1"/>
  <c r="V830" i="1"/>
  <c r="W830" i="1"/>
  <c r="V831" i="1"/>
  <c r="W831" i="1"/>
  <c r="V832" i="1"/>
  <c r="W832" i="1"/>
  <c r="V833" i="1"/>
  <c r="W833" i="1"/>
  <c r="V834" i="1"/>
  <c r="W834" i="1"/>
  <c r="V835" i="1"/>
  <c r="W835" i="1"/>
  <c r="V836" i="1"/>
  <c r="W836" i="1"/>
  <c r="V837" i="1"/>
  <c r="W837" i="1"/>
  <c r="V838" i="1"/>
  <c r="W838" i="1"/>
  <c r="V839" i="1"/>
  <c r="W839" i="1"/>
  <c r="V840" i="1"/>
  <c r="W840" i="1"/>
  <c r="V841" i="1"/>
  <c r="W841" i="1"/>
  <c r="V842" i="1"/>
  <c r="W842" i="1"/>
  <c r="V843" i="1"/>
  <c r="W843" i="1"/>
  <c r="V844" i="1"/>
  <c r="W844" i="1"/>
  <c r="V845" i="1"/>
  <c r="W845" i="1"/>
  <c r="V846" i="1"/>
  <c r="W846" i="1"/>
  <c r="V847" i="1"/>
  <c r="W847" i="1"/>
  <c r="V848" i="1"/>
  <c r="W848" i="1"/>
  <c r="V849" i="1"/>
  <c r="W849" i="1"/>
  <c r="V850" i="1"/>
  <c r="W850" i="1"/>
  <c r="V851" i="1"/>
  <c r="W851" i="1"/>
  <c r="V852" i="1"/>
  <c r="W852" i="1"/>
  <c r="V853" i="1"/>
  <c r="W853" i="1"/>
  <c r="V854" i="1"/>
  <c r="W854" i="1"/>
  <c r="V855" i="1"/>
  <c r="W855" i="1"/>
  <c r="V856" i="1"/>
  <c r="W856" i="1"/>
  <c r="V857" i="1"/>
  <c r="W857" i="1"/>
  <c r="V858" i="1"/>
  <c r="W858" i="1"/>
  <c r="V859" i="1"/>
  <c r="W859" i="1"/>
  <c r="V860" i="1"/>
  <c r="W860" i="1"/>
  <c r="V861" i="1"/>
  <c r="W861" i="1"/>
  <c r="V862" i="1"/>
  <c r="W862" i="1"/>
  <c r="V863" i="1"/>
  <c r="W863" i="1"/>
  <c r="V864" i="1"/>
  <c r="W864" i="1"/>
  <c r="V865" i="1"/>
  <c r="W865" i="1"/>
  <c r="V866" i="1"/>
  <c r="W866" i="1"/>
  <c r="V867" i="1"/>
  <c r="W867" i="1"/>
  <c r="V868" i="1"/>
  <c r="W868" i="1"/>
  <c r="V869" i="1"/>
  <c r="W869" i="1"/>
  <c r="V870" i="1"/>
  <c r="W870" i="1"/>
  <c r="V871" i="1"/>
  <c r="W871" i="1"/>
  <c r="V872" i="1"/>
  <c r="W872" i="1"/>
  <c r="V873" i="1"/>
  <c r="W873" i="1"/>
  <c r="V874" i="1"/>
  <c r="W874" i="1"/>
  <c r="V875" i="1"/>
  <c r="W875" i="1"/>
  <c r="V876" i="1"/>
  <c r="W876" i="1"/>
  <c r="V877" i="1"/>
  <c r="W877" i="1"/>
  <c r="V878" i="1"/>
  <c r="W878" i="1"/>
  <c r="V879" i="1"/>
  <c r="W879" i="1"/>
  <c r="V880" i="1"/>
  <c r="W880" i="1"/>
  <c r="V881" i="1"/>
  <c r="W881" i="1"/>
  <c r="V882" i="1"/>
  <c r="W882" i="1"/>
  <c r="V883" i="1"/>
  <c r="W883" i="1"/>
  <c r="V884" i="1"/>
  <c r="W884" i="1"/>
  <c r="V885" i="1"/>
  <c r="W885" i="1"/>
  <c r="V886" i="1"/>
  <c r="W886" i="1"/>
  <c r="V887" i="1"/>
  <c r="W887" i="1"/>
  <c r="V888" i="1"/>
  <c r="W888" i="1"/>
  <c r="V889" i="1"/>
  <c r="W889" i="1"/>
  <c r="V890" i="1"/>
  <c r="W890" i="1"/>
  <c r="V891" i="1"/>
  <c r="W891" i="1"/>
  <c r="V892" i="1"/>
  <c r="W892" i="1"/>
  <c r="V893" i="1"/>
  <c r="W893" i="1"/>
  <c r="V894" i="1"/>
  <c r="W894" i="1"/>
  <c r="V895" i="1"/>
  <c r="W895" i="1"/>
  <c r="V896" i="1"/>
  <c r="W896" i="1"/>
  <c r="V897" i="1"/>
  <c r="W897" i="1"/>
  <c r="V898" i="1"/>
  <c r="W898" i="1"/>
  <c r="V899" i="1"/>
  <c r="W899" i="1"/>
  <c r="V900" i="1"/>
  <c r="W900" i="1"/>
  <c r="V901" i="1"/>
  <c r="W901" i="1"/>
  <c r="V902" i="1"/>
  <c r="W902" i="1"/>
  <c r="V903" i="1"/>
  <c r="W903" i="1"/>
  <c r="V904" i="1"/>
  <c r="W904" i="1"/>
  <c r="V905" i="1"/>
  <c r="W905" i="1"/>
  <c r="V906" i="1"/>
  <c r="W906" i="1"/>
  <c r="V907" i="1"/>
  <c r="W907" i="1"/>
  <c r="V908" i="1"/>
  <c r="W908" i="1"/>
  <c r="V909" i="1"/>
  <c r="W909" i="1"/>
  <c r="V910" i="1"/>
  <c r="W910" i="1"/>
  <c r="V911" i="1"/>
  <c r="W911" i="1"/>
  <c r="V912" i="1"/>
  <c r="W912" i="1"/>
  <c r="V913" i="1"/>
  <c r="W913" i="1"/>
  <c r="V914" i="1"/>
  <c r="W914" i="1"/>
  <c r="V915" i="1"/>
  <c r="W915" i="1"/>
  <c r="V916" i="1"/>
  <c r="W916" i="1"/>
  <c r="V917" i="1"/>
  <c r="W917" i="1"/>
  <c r="V918" i="1"/>
  <c r="W918" i="1"/>
  <c r="V919" i="1"/>
  <c r="W919" i="1"/>
  <c r="V920" i="1"/>
  <c r="W920" i="1"/>
  <c r="V921" i="1"/>
  <c r="W921" i="1"/>
  <c r="V922" i="1"/>
  <c r="W922" i="1"/>
  <c r="V923" i="1"/>
  <c r="W923" i="1"/>
  <c r="V924" i="1"/>
  <c r="W924" i="1"/>
  <c r="V925" i="1"/>
  <c r="W925" i="1"/>
  <c r="V926" i="1"/>
  <c r="W926" i="1"/>
  <c r="V927" i="1"/>
  <c r="W927" i="1"/>
  <c r="V928" i="1"/>
  <c r="W928" i="1"/>
  <c r="V929" i="1"/>
  <c r="W929" i="1"/>
  <c r="V930" i="1"/>
  <c r="W930" i="1"/>
  <c r="V931" i="1"/>
  <c r="W931" i="1"/>
  <c r="V932" i="1"/>
  <c r="W932" i="1"/>
  <c r="V933" i="1"/>
  <c r="W933" i="1"/>
  <c r="V934" i="1"/>
  <c r="W934" i="1"/>
  <c r="V935" i="1"/>
  <c r="W935" i="1"/>
  <c r="V936" i="1"/>
  <c r="W936" i="1"/>
  <c r="V937" i="1"/>
  <c r="W937" i="1"/>
  <c r="V938" i="1"/>
  <c r="W938" i="1"/>
  <c r="V939" i="1"/>
  <c r="W939" i="1"/>
  <c r="V940" i="1"/>
  <c r="W940" i="1"/>
  <c r="V941" i="1"/>
  <c r="W941" i="1"/>
  <c r="V942" i="1"/>
  <c r="W942" i="1"/>
  <c r="V943" i="1"/>
  <c r="W943" i="1"/>
  <c r="V944" i="1"/>
  <c r="W944" i="1"/>
  <c r="V945" i="1"/>
  <c r="W945" i="1"/>
  <c r="V946" i="1"/>
  <c r="W946" i="1"/>
  <c r="V947" i="1"/>
  <c r="W947" i="1"/>
  <c r="V948" i="1"/>
  <c r="W948" i="1"/>
  <c r="V949" i="1"/>
  <c r="W949" i="1"/>
  <c r="V950" i="1"/>
  <c r="W950" i="1"/>
  <c r="V951" i="1"/>
  <c r="W951" i="1"/>
  <c r="V952" i="1"/>
  <c r="W952" i="1"/>
  <c r="V953" i="1"/>
  <c r="W953" i="1"/>
  <c r="V954" i="1"/>
  <c r="W954" i="1"/>
  <c r="V955" i="1"/>
  <c r="W955" i="1"/>
  <c r="V956" i="1"/>
  <c r="W956" i="1"/>
  <c r="V957" i="1"/>
  <c r="W957" i="1"/>
  <c r="V958" i="1"/>
  <c r="W958" i="1"/>
  <c r="V959" i="1"/>
  <c r="W959" i="1"/>
  <c r="V960" i="1"/>
  <c r="W960" i="1"/>
  <c r="V961" i="1"/>
  <c r="W961" i="1"/>
  <c r="V962" i="1"/>
  <c r="W962" i="1"/>
  <c r="V963" i="1"/>
  <c r="W963" i="1"/>
  <c r="V964" i="1"/>
  <c r="W964" i="1"/>
  <c r="V965" i="1"/>
  <c r="W965" i="1"/>
  <c r="V966" i="1"/>
  <c r="W966" i="1"/>
  <c r="V967" i="1"/>
  <c r="W967" i="1"/>
  <c r="V968" i="1"/>
  <c r="W968" i="1"/>
  <c r="V969" i="1"/>
  <c r="W969" i="1"/>
  <c r="V970" i="1"/>
  <c r="W970" i="1"/>
  <c r="V971" i="1"/>
  <c r="W971" i="1"/>
  <c r="V972" i="1"/>
  <c r="W972" i="1"/>
  <c r="V973" i="1"/>
  <c r="W973" i="1"/>
  <c r="V974" i="1"/>
  <c r="W974" i="1"/>
  <c r="V975" i="1"/>
  <c r="W975" i="1"/>
  <c r="V976" i="1"/>
  <c r="W976" i="1"/>
  <c r="V977" i="1"/>
  <c r="W977" i="1"/>
  <c r="V978" i="1"/>
  <c r="W978" i="1"/>
  <c r="V979" i="1"/>
  <c r="W979" i="1"/>
  <c r="V980" i="1"/>
  <c r="W980" i="1"/>
  <c r="V981" i="1"/>
  <c r="W981" i="1"/>
  <c r="V982" i="1"/>
  <c r="W982" i="1"/>
  <c r="V983" i="1"/>
  <c r="W983" i="1"/>
  <c r="V984" i="1"/>
  <c r="W984" i="1"/>
  <c r="V985" i="1"/>
  <c r="W985" i="1"/>
  <c r="V986" i="1"/>
  <c r="W986" i="1"/>
  <c r="V987" i="1"/>
  <c r="W987" i="1"/>
  <c r="V988" i="1"/>
  <c r="W988" i="1"/>
  <c r="V989" i="1"/>
  <c r="W989" i="1"/>
  <c r="V990" i="1"/>
  <c r="W990" i="1"/>
  <c r="V991" i="1"/>
  <c r="W991" i="1"/>
  <c r="V992" i="1"/>
  <c r="W992" i="1"/>
  <c r="V993" i="1"/>
  <c r="W993" i="1"/>
  <c r="V994" i="1"/>
  <c r="W994" i="1"/>
  <c r="V995" i="1"/>
  <c r="W995" i="1"/>
  <c r="V996" i="1"/>
  <c r="W996" i="1"/>
  <c r="V997" i="1"/>
  <c r="W997" i="1"/>
  <c r="V998" i="1"/>
  <c r="W998" i="1"/>
  <c r="V999" i="1"/>
  <c r="W999" i="1"/>
  <c r="V1000" i="1"/>
  <c r="W1000" i="1"/>
  <c r="V1001" i="1"/>
  <c r="W1001" i="1"/>
  <c r="V1002" i="1"/>
  <c r="W1002" i="1"/>
  <c r="V1003" i="1"/>
  <c r="W1003" i="1"/>
  <c r="V1004" i="1"/>
  <c r="W1004" i="1"/>
  <c r="V1005" i="1"/>
  <c r="W1005" i="1"/>
  <c r="V1006" i="1"/>
  <c r="W1006" i="1"/>
  <c r="V1007" i="1"/>
  <c r="W1007" i="1"/>
  <c r="V1008" i="1"/>
  <c r="W1008" i="1"/>
  <c r="V1009" i="1"/>
  <c r="W1009" i="1"/>
  <c r="V1010" i="1"/>
  <c r="W1010" i="1"/>
  <c r="V1011" i="1"/>
  <c r="W1011" i="1"/>
  <c r="V1012" i="1"/>
  <c r="W1012" i="1"/>
  <c r="V1013" i="1"/>
  <c r="W1013" i="1"/>
  <c r="V1014" i="1"/>
  <c r="W1014" i="1"/>
  <c r="V1015" i="1"/>
  <c r="W1015" i="1"/>
  <c r="V1016" i="1"/>
  <c r="W1016" i="1"/>
  <c r="V1017" i="1"/>
  <c r="W1017" i="1"/>
  <c r="V1018" i="1"/>
  <c r="W1018" i="1"/>
  <c r="V1019" i="1"/>
  <c r="W1019" i="1"/>
  <c r="V1020" i="1"/>
  <c r="W1020" i="1"/>
  <c r="V1021" i="1"/>
  <c r="W1021" i="1"/>
  <c r="V1022" i="1"/>
  <c r="W1022" i="1"/>
  <c r="V1023" i="1"/>
  <c r="W1023" i="1"/>
  <c r="V1024" i="1"/>
  <c r="W1024" i="1"/>
  <c r="V1025" i="1"/>
  <c r="W1025" i="1"/>
  <c r="V1026" i="1"/>
  <c r="W1026" i="1"/>
  <c r="V1027" i="1"/>
  <c r="W1027" i="1"/>
  <c r="V1028" i="1"/>
  <c r="W1028" i="1"/>
  <c r="V1029" i="1"/>
  <c r="W1029" i="1"/>
  <c r="V1030" i="1"/>
  <c r="W1030" i="1"/>
  <c r="V1031" i="1"/>
  <c r="W1031" i="1"/>
  <c r="V1032" i="1"/>
  <c r="W1032" i="1"/>
  <c r="V1033" i="1"/>
  <c r="W1033" i="1"/>
  <c r="V1034" i="1"/>
  <c r="W1034" i="1"/>
  <c r="V1035" i="1"/>
  <c r="W1035" i="1"/>
  <c r="V1036" i="1"/>
  <c r="W1036" i="1"/>
  <c r="V1037" i="1"/>
  <c r="W1037" i="1"/>
  <c r="V1038" i="1"/>
  <c r="W1038" i="1"/>
  <c r="V1039" i="1"/>
  <c r="W1039" i="1"/>
  <c r="V1040" i="1"/>
  <c r="W1040" i="1"/>
  <c r="V1041" i="1"/>
  <c r="W1041" i="1"/>
  <c r="V1042" i="1"/>
  <c r="W1042" i="1"/>
  <c r="V1043" i="1"/>
  <c r="W1043" i="1"/>
  <c r="V1044" i="1"/>
  <c r="W1044" i="1"/>
  <c r="V1045" i="1"/>
  <c r="W1045" i="1"/>
  <c r="V1046" i="1"/>
  <c r="W1046" i="1"/>
  <c r="V1047" i="1"/>
  <c r="W1047" i="1"/>
  <c r="V1048" i="1"/>
  <c r="W1048" i="1"/>
  <c r="V1049" i="1"/>
  <c r="W1049" i="1"/>
  <c r="V1050" i="1"/>
  <c r="W1050" i="1"/>
  <c r="V1051" i="1"/>
  <c r="W1051" i="1"/>
  <c r="V1052" i="1"/>
  <c r="W1052" i="1"/>
  <c r="V1053" i="1"/>
  <c r="W1053" i="1"/>
  <c r="V1054" i="1"/>
  <c r="W1054" i="1"/>
  <c r="V1055" i="1"/>
  <c r="W1055" i="1"/>
  <c r="V1056" i="1"/>
  <c r="W1056" i="1"/>
  <c r="V1057" i="1"/>
  <c r="W1057" i="1"/>
  <c r="V1058" i="1"/>
  <c r="W1058" i="1"/>
  <c r="V1059" i="1"/>
  <c r="W1059" i="1"/>
  <c r="V1060" i="1"/>
  <c r="W1060" i="1"/>
  <c r="V1061" i="1"/>
  <c r="W1061" i="1"/>
  <c r="V1062" i="1"/>
  <c r="W1062" i="1"/>
  <c r="V1063" i="1"/>
  <c r="W1063" i="1"/>
  <c r="W2"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2" i="1"/>
  <c r="S3" i="1"/>
  <c r="T3" i="1"/>
  <c r="S4" i="1"/>
  <c r="T4" i="1"/>
  <c r="S5" i="1"/>
  <c r="T5" i="1"/>
  <c r="S6" i="1"/>
  <c r="T6" i="1"/>
  <c r="S7" i="1"/>
  <c r="T7" i="1"/>
  <c r="S8" i="1"/>
  <c r="T8" i="1"/>
  <c r="S9" i="1"/>
  <c r="T9" i="1"/>
  <c r="S10" i="1"/>
  <c r="T10" i="1"/>
  <c r="S11" i="1"/>
  <c r="T11" i="1"/>
  <c r="S12" i="1"/>
  <c r="T12" i="1"/>
  <c r="S13" i="1"/>
  <c r="T13" i="1"/>
  <c r="S14" i="1"/>
  <c r="T14" i="1"/>
  <c r="S15" i="1"/>
  <c r="T15" i="1"/>
  <c r="S16" i="1"/>
  <c r="T16" i="1"/>
  <c r="S17" i="1"/>
  <c r="T17" i="1"/>
  <c r="S18" i="1"/>
  <c r="T18" i="1"/>
  <c r="S19" i="1"/>
  <c r="T19" i="1"/>
  <c r="S20" i="1"/>
  <c r="T20" i="1"/>
  <c r="S21" i="1"/>
  <c r="T21" i="1"/>
  <c r="S22" i="1"/>
  <c r="T22" i="1"/>
  <c r="S23" i="1"/>
  <c r="T23" i="1"/>
  <c r="S24" i="1"/>
  <c r="T24" i="1"/>
  <c r="S25" i="1"/>
  <c r="T25" i="1"/>
  <c r="S26" i="1"/>
  <c r="T26" i="1"/>
  <c r="S27" i="1"/>
  <c r="T27" i="1"/>
  <c r="S28" i="1"/>
  <c r="T28" i="1"/>
  <c r="S29" i="1"/>
  <c r="T29" i="1"/>
  <c r="S30" i="1"/>
  <c r="T30" i="1"/>
  <c r="S31" i="1"/>
  <c r="T31" i="1"/>
  <c r="S32" i="1"/>
  <c r="T32" i="1"/>
  <c r="S33" i="1"/>
  <c r="T33" i="1"/>
  <c r="S34" i="1"/>
  <c r="T34" i="1"/>
  <c r="S35" i="1"/>
  <c r="T35" i="1"/>
  <c r="S36" i="1"/>
  <c r="T36" i="1"/>
  <c r="S37" i="1"/>
  <c r="T37" i="1"/>
  <c r="S38" i="1"/>
  <c r="T38" i="1"/>
  <c r="S39" i="1"/>
  <c r="T39" i="1"/>
  <c r="S40" i="1"/>
  <c r="T40" i="1"/>
  <c r="S41" i="1"/>
  <c r="T41" i="1"/>
  <c r="S42" i="1"/>
  <c r="T42" i="1"/>
  <c r="S43" i="1"/>
  <c r="T43" i="1"/>
  <c r="S44" i="1"/>
  <c r="T44" i="1"/>
  <c r="S45" i="1"/>
  <c r="T45" i="1"/>
  <c r="S46" i="1"/>
  <c r="T46" i="1"/>
  <c r="S47" i="1"/>
  <c r="T47" i="1"/>
  <c r="S48" i="1"/>
  <c r="T48" i="1"/>
  <c r="S49" i="1"/>
  <c r="T49" i="1"/>
  <c r="S50" i="1"/>
  <c r="T50" i="1"/>
  <c r="S51" i="1"/>
  <c r="T51" i="1"/>
  <c r="S52" i="1"/>
  <c r="T52" i="1"/>
  <c r="S53" i="1"/>
  <c r="T53" i="1"/>
  <c r="S54" i="1"/>
  <c r="T54" i="1"/>
  <c r="S55" i="1"/>
  <c r="T55" i="1"/>
  <c r="S56" i="1"/>
  <c r="T56" i="1"/>
  <c r="S57" i="1"/>
  <c r="T57" i="1"/>
  <c r="S58" i="1"/>
  <c r="T58" i="1"/>
  <c r="S59" i="1"/>
  <c r="T59" i="1"/>
  <c r="S60" i="1"/>
  <c r="T60" i="1"/>
  <c r="S61" i="1"/>
  <c r="T61" i="1"/>
  <c r="S62" i="1"/>
  <c r="T62" i="1"/>
  <c r="S63" i="1"/>
  <c r="T63" i="1"/>
  <c r="S64" i="1"/>
  <c r="T64" i="1"/>
  <c r="S65" i="1"/>
  <c r="T65" i="1"/>
  <c r="S66" i="1"/>
  <c r="T66" i="1"/>
  <c r="S67" i="1"/>
  <c r="T67" i="1"/>
  <c r="S68" i="1"/>
  <c r="T68" i="1"/>
  <c r="S69" i="1"/>
  <c r="T69" i="1"/>
  <c r="S70" i="1"/>
  <c r="T70" i="1"/>
  <c r="S71" i="1"/>
  <c r="T71" i="1"/>
  <c r="S72" i="1"/>
  <c r="T72" i="1"/>
  <c r="S73" i="1"/>
  <c r="T73" i="1"/>
  <c r="S74" i="1"/>
  <c r="T74" i="1"/>
  <c r="S75" i="1"/>
  <c r="T75" i="1"/>
  <c r="S76" i="1"/>
  <c r="T76" i="1"/>
  <c r="S77" i="1"/>
  <c r="T77" i="1"/>
  <c r="S78" i="1"/>
  <c r="T78" i="1"/>
  <c r="S79" i="1"/>
  <c r="T79" i="1"/>
  <c r="S80" i="1"/>
  <c r="T80" i="1"/>
  <c r="S81" i="1"/>
  <c r="T81" i="1"/>
  <c r="S82" i="1"/>
  <c r="T82" i="1"/>
  <c r="S83" i="1"/>
  <c r="T83" i="1"/>
  <c r="S84" i="1"/>
  <c r="T84" i="1"/>
  <c r="S85" i="1"/>
  <c r="T85" i="1"/>
  <c r="S86" i="1"/>
  <c r="T86" i="1"/>
  <c r="S87" i="1"/>
  <c r="T87" i="1"/>
  <c r="S88" i="1"/>
  <c r="T88" i="1"/>
  <c r="S89" i="1"/>
  <c r="T89" i="1"/>
  <c r="S90" i="1"/>
  <c r="T90" i="1"/>
  <c r="S91" i="1"/>
  <c r="T91" i="1"/>
  <c r="S92" i="1"/>
  <c r="T92" i="1"/>
  <c r="S93" i="1"/>
  <c r="T93" i="1"/>
  <c r="S94" i="1"/>
  <c r="T94" i="1"/>
  <c r="S95" i="1"/>
  <c r="T95" i="1"/>
  <c r="S96" i="1"/>
  <c r="T96" i="1"/>
  <c r="S97" i="1"/>
  <c r="T97" i="1"/>
  <c r="S98" i="1"/>
  <c r="T98" i="1"/>
  <c r="S99" i="1"/>
  <c r="T99" i="1"/>
  <c r="S100" i="1"/>
  <c r="T100" i="1"/>
  <c r="S101" i="1"/>
  <c r="T101" i="1"/>
  <c r="S102" i="1"/>
  <c r="T102" i="1"/>
  <c r="S103" i="1"/>
  <c r="T103" i="1"/>
  <c r="S104" i="1"/>
  <c r="T104" i="1"/>
  <c r="S105" i="1"/>
  <c r="T105" i="1"/>
  <c r="S106" i="1"/>
  <c r="T106" i="1"/>
  <c r="S107" i="1"/>
  <c r="T107" i="1"/>
  <c r="S108" i="1"/>
  <c r="T108" i="1"/>
  <c r="S109" i="1"/>
  <c r="T109" i="1"/>
  <c r="S110" i="1"/>
  <c r="T110" i="1"/>
  <c r="S111" i="1"/>
  <c r="T111" i="1"/>
  <c r="S112" i="1"/>
  <c r="T112" i="1"/>
  <c r="S113" i="1"/>
  <c r="T113" i="1"/>
  <c r="S114" i="1"/>
  <c r="T114" i="1"/>
  <c r="S115" i="1"/>
  <c r="T115" i="1"/>
  <c r="S116" i="1"/>
  <c r="T116" i="1"/>
  <c r="S117" i="1"/>
  <c r="T117" i="1"/>
  <c r="S118" i="1"/>
  <c r="T118" i="1"/>
  <c r="S119" i="1"/>
  <c r="T119" i="1"/>
  <c r="S120" i="1"/>
  <c r="T120" i="1"/>
  <c r="S121" i="1"/>
  <c r="T121" i="1"/>
  <c r="S122" i="1"/>
  <c r="T122" i="1"/>
  <c r="S123" i="1"/>
  <c r="T123" i="1"/>
  <c r="S124" i="1"/>
  <c r="T124" i="1"/>
  <c r="S125" i="1"/>
  <c r="T125" i="1"/>
  <c r="S126" i="1"/>
  <c r="T126" i="1"/>
  <c r="S127" i="1"/>
  <c r="T127" i="1"/>
  <c r="S128" i="1"/>
  <c r="T128" i="1"/>
  <c r="S129" i="1"/>
  <c r="T129" i="1"/>
  <c r="S130" i="1"/>
  <c r="T130" i="1"/>
  <c r="S131" i="1"/>
  <c r="T131" i="1"/>
  <c r="S132" i="1"/>
  <c r="T132" i="1"/>
  <c r="S133" i="1"/>
  <c r="T133" i="1"/>
  <c r="S134" i="1"/>
  <c r="T134" i="1"/>
  <c r="S135" i="1"/>
  <c r="T135" i="1"/>
  <c r="S136" i="1"/>
  <c r="T136" i="1"/>
  <c r="S137" i="1"/>
  <c r="T137" i="1"/>
  <c r="S138" i="1"/>
  <c r="T138" i="1"/>
  <c r="S139" i="1"/>
  <c r="T139" i="1"/>
  <c r="S140" i="1"/>
  <c r="T140" i="1"/>
  <c r="S141" i="1"/>
  <c r="T141" i="1"/>
  <c r="S142" i="1"/>
  <c r="T142" i="1"/>
  <c r="S143" i="1"/>
  <c r="T143" i="1"/>
  <c r="S144" i="1"/>
  <c r="T144" i="1"/>
  <c r="S145" i="1"/>
  <c r="T145" i="1"/>
  <c r="S146" i="1"/>
  <c r="T146" i="1"/>
  <c r="S147" i="1"/>
  <c r="T147" i="1"/>
  <c r="S148" i="1"/>
  <c r="T148" i="1"/>
  <c r="S149" i="1"/>
  <c r="T149" i="1"/>
  <c r="S150" i="1"/>
  <c r="T150" i="1"/>
  <c r="S151" i="1"/>
  <c r="T151" i="1"/>
  <c r="S152" i="1"/>
  <c r="T152" i="1"/>
  <c r="S153" i="1"/>
  <c r="T153" i="1"/>
  <c r="S154" i="1"/>
  <c r="T154" i="1"/>
  <c r="S155" i="1"/>
  <c r="T155" i="1"/>
  <c r="S156" i="1"/>
  <c r="T156" i="1"/>
  <c r="S157" i="1"/>
  <c r="T157" i="1"/>
  <c r="S158" i="1"/>
  <c r="T158" i="1"/>
  <c r="S159" i="1"/>
  <c r="T159" i="1"/>
  <c r="S160" i="1"/>
  <c r="T160" i="1"/>
  <c r="S161" i="1"/>
  <c r="T161" i="1"/>
  <c r="S162" i="1"/>
  <c r="T162" i="1"/>
  <c r="S163" i="1"/>
  <c r="T163" i="1"/>
  <c r="S164" i="1"/>
  <c r="T164" i="1"/>
  <c r="S165" i="1"/>
  <c r="T165" i="1"/>
  <c r="S166" i="1"/>
  <c r="T166" i="1"/>
  <c r="S167" i="1"/>
  <c r="T167" i="1"/>
  <c r="S168" i="1"/>
  <c r="T168" i="1"/>
  <c r="S169" i="1"/>
  <c r="T169" i="1"/>
  <c r="S170" i="1"/>
  <c r="T170" i="1"/>
  <c r="S171" i="1"/>
  <c r="T171" i="1"/>
  <c r="S172" i="1"/>
  <c r="T172" i="1"/>
  <c r="S173" i="1"/>
  <c r="T173" i="1"/>
  <c r="S174" i="1"/>
  <c r="T174" i="1"/>
  <c r="S175" i="1"/>
  <c r="T175" i="1"/>
  <c r="S176" i="1"/>
  <c r="T176" i="1"/>
  <c r="S177" i="1"/>
  <c r="T177" i="1"/>
  <c r="S178" i="1"/>
  <c r="T178" i="1"/>
  <c r="S179" i="1"/>
  <c r="T179" i="1"/>
  <c r="S180" i="1"/>
  <c r="T180" i="1"/>
  <c r="S181" i="1"/>
  <c r="T181" i="1"/>
  <c r="S182" i="1"/>
  <c r="T182" i="1"/>
  <c r="S183" i="1"/>
  <c r="T183" i="1"/>
  <c r="S184" i="1"/>
  <c r="T184" i="1"/>
  <c r="S185" i="1"/>
  <c r="T185" i="1"/>
  <c r="S186" i="1"/>
  <c r="T186" i="1"/>
  <c r="S187" i="1"/>
  <c r="T187" i="1"/>
  <c r="S188" i="1"/>
  <c r="T188" i="1"/>
  <c r="S189" i="1"/>
  <c r="T189" i="1"/>
  <c r="S190" i="1"/>
  <c r="T190" i="1"/>
  <c r="S191" i="1"/>
  <c r="T191" i="1"/>
  <c r="S192" i="1"/>
  <c r="T192" i="1"/>
  <c r="S193" i="1"/>
  <c r="T193" i="1"/>
  <c r="S194" i="1"/>
  <c r="T194" i="1"/>
  <c r="S195" i="1"/>
  <c r="T195" i="1"/>
  <c r="S196" i="1"/>
  <c r="T196" i="1"/>
  <c r="S197" i="1"/>
  <c r="T197" i="1"/>
  <c r="S198" i="1"/>
  <c r="T198" i="1"/>
  <c r="S199" i="1"/>
  <c r="T199" i="1"/>
  <c r="S200" i="1"/>
  <c r="T200" i="1"/>
  <c r="S201" i="1"/>
  <c r="T201" i="1"/>
  <c r="S202" i="1"/>
  <c r="T202" i="1"/>
  <c r="S203" i="1"/>
  <c r="T203" i="1"/>
  <c r="S204" i="1"/>
  <c r="T204" i="1"/>
  <c r="S205" i="1"/>
  <c r="T205" i="1"/>
  <c r="S206" i="1"/>
  <c r="T206" i="1"/>
  <c r="S207" i="1"/>
  <c r="T207" i="1"/>
  <c r="S208" i="1"/>
  <c r="T208" i="1"/>
  <c r="S209" i="1"/>
  <c r="T209" i="1"/>
  <c r="S210" i="1"/>
  <c r="T210" i="1"/>
  <c r="S211" i="1"/>
  <c r="T211" i="1"/>
  <c r="S212" i="1"/>
  <c r="T212" i="1"/>
  <c r="S213" i="1"/>
  <c r="T213" i="1"/>
  <c r="S214" i="1"/>
  <c r="T214" i="1"/>
  <c r="S215" i="1"/>
  <c r="T215" i="1"/>
  <c r="S216" i="1"/>
  <c r="T216" i="1"/>
  <c r="S217" i="1"/>
  <c r="T217" i="1"/>
  <c r="S218" i="1"/>
  <c r="T218" i="1"/>
  <c r="S219" i="1"/>
  <c r="T219" i="1"/>
  <c r="S220" i="1"/>
  <c r="T220" i="1"/>
  <c r="S221" i="1"/>
  <c r="T221" i="1"/>
  <c r="S222" i="1"/>
  <c r="T222" i="1"/>
  <c r="S223" i="1"/>
  <c r="T223" i="1"/>
  <c r="S224" i="1"/>
  <c r="T224" i="1"/>
  <c r="S225" i="1"/>
  <c r="T225" i="1"/>
  <c r="S226" i="1"/>
  <c r="T226" i="1"/>
  <c r="S227" i="1"/>
  <c r="T227" i="1"/>
  <c r="S228" i="1"/>
  <c r="T228" i="1"/>
  <c r="S229" i="1"/>
  <c r="T229" i="1"/>
  <c r="S230" i="1"/>
  <c r="T230" i="1"/>
  <c r="S231" i="1"/>
  <c r="T231" i="1"/>
  <c r="S232" i="1"/>
  <c r="T232" i="1"/>
  <c r="S233" i="1"/>
  <c r="T233" i="1"/>
  <c r="S234" i="1"/>
  <c r="T234" i="1"/>
  <c r="S235" i="1"/>
  <c r="T235" i="1"/>
  <c r="S236" i="1"/>
  <c r="T236" i="1"/>
  <c r="S237" i="1"/>
  <c r="T237" i="1"/>
  <c r="S238" i="1"/>
  <c r="T238" i="1"/>
  <c r="S239" i="1"/>
  <c r="T239" i="1"/>
  <c r="S240" i="1"/>
  <c r="T240" i="1"/>
  <c r="S241" i="1"/>
  <c r="T241" i="1"/>
  <c r="S242" i="1"/>
  <c r="T242" i="1"/>
  <c r="S243" i="1"/>
  <c r="T243" i="1"/>
  <c r="S244" i="1"/>
  <c r="T244" i="1"/>
  <c r="S245" i="1"/>
  <c r="T245" i="1"/>
  <c r="S246" i="1"/>
  <c r="T246" i="1"/>
  <c r="S247" i="1"/>
  <c r="T247" i="1"/>
  <c r="S248" i="1"/>
  <c r="T248" i="1"/>
  <c r="S249" i="1"/>
  <c r="T249" i="1"/>
  <c r="S250" i="1"/>
  <c r="T250" i="1"/>
  <c r="S251" i="1"/>
  <c r="T251" i="1"/>
  <c r="S252" i="1"/>
  <c r="T252" i="1"/>
  <c r="S253" i="1"/>
  <c r="T253" i="1"/>
  <c r="S254" i="1"/>
  <c r="T254" i="1"/>
  <c r="S255" i="1"/>
  <c r="T255" i="1"/>
  <c r="S256" i="1"/>
  <c r="T256" i="1"/>
  <c r="S257" i="1"/>
  <c r="T257" i="1"/>
  <c r="S258" i="1"/>
  <c r="T258" i="1"/>
  <c r="S259" i="1"/>
  <c r="T259" i="1"/>
  <c r="S260" i="1"/>
  <c r="T260" i="1"/>
  <c r="S261" i="1"/>
  <c r="T261" i="1"/>
  <c r="S262" i="1"/>
  <c r="T262" i="1"/>
  <c r="S263" i="1"/>
  <c r="T263" i="1"/>
  <c r="S264" i="1"/>
  <c r="T264" i="1"/>
  <c r="S265" i="1"/>
  <c r="T265" i="1"/>
  <c r="S266" i="1"/>
  <c r="T266" i="1"/>
  <c r="S267" i="1"/>
  <c r="T267" i="1"/>
  <c r="S268" i="1"/>
  <c r="T268" i="1"/>
  <c r="S269" i="1"/>
  <c r="T269" i="1"/>
  <c r="S270" i="1"/>
  <c r="T270" i="1"/>
  <c r="S271" i="1"/>
  <c r="T271" i="1"/>
  <c r="S272" i="1"/>
  <c r="T272" i="1"/>
  <c r="S273" i="1"/>
  <c r="T273" i="1"/>
  <c r="S274" i="1"/>
  <c r="T274" i="1"/>
  <c r="S275" i="1"/>
  <c r="T275" i="1"/>
  <c r="S276" i="1"/>
  <c r="T276" i="1"/>
  <c r="S277" i="1"/>
  <c r="T277" i="1"/>
  <c r="S278" i="1"/>
  <c r="T278" i="1"/>
  <c r="S279" i="1"/>
  <c r="T279" i="1"/>
  <c r="S280" i="1"/>
  <c r="T280" i="1"/>
  <c r="S281" i="1"/>
  <c r="T281" i="1"/>
  <c r="S282" i="1"/>
  <c r="T282" i="1"/>
  <c r="S283" i="1"/>
  <c r="T283" i="1"/>
  <c r="S284" i="1"/>
  <c r="T284" i="1"/>
  <c r="S285" i="1"/>
  <c r="T285" i="1"/>
  <c r="S286" i="1"/>
  <c r="T286" i="1"/>
  <c r="S287" i="1"/>
  <c r="T287" i="1"/>
  <c r="S288" i="1"/>
  <c r="T288" i="1"/>
  <c r="S289" i="1"/>
  <c r="T289" i="1"/>
  <c r="S290" i="1"/>
  <c r="T290" i="1"/>
  <c r="S291" i="1"/>
  <c r="T291" i="1"/>
  <c r="S292" i="1"/>
  <c r="T292" i="1"/>
  <c r="S293" i="1"/>
  <c r="T293" i="1"/>
  <c r="S294" i="1"/>
  <c r="T294" i="1"/>
  <c r="S295" i="1"/>
  <c r="T295" i="1"/>
  <c r="S296" i="1"/>
  <c r="T296" i="1"/>
  <c r="S297" i="1"/>
  <c r="T297" i="1"/>
  <c r="S298" i="1"/>
  <c r="T298" i="1"/>
  <c r="S299" i="1"/>
  <c r="T299" i="1"/>
  <c r="S300" i="1"/>
  <c r="T300" i="1"/>
  <c r="S301" i="1"/>
  <c r="T301" i="1"/>
  <c r="S302" i="1"/>
  <c r="T302" i="1"/>
  <c r="S303" i="1"/>
  <c r="T303" i="1"/>
  <c r="S304" i="1"/>
  <c r="T304" i="1"/>
  <c r="S305" i="1"/>
  <c r="T305" i="1"/>
  <c r="S306" i="1"/>
  <c r="T306" i="1"/>
  <c r="S307" i="1"/>
  <c r="T307" i="1"/>
  <c r="S308" i="1"/>
  <c r="T308" i="1"/>
  <c r="S309" i="1"/>
  <c r="T309" i="1"/>
  <c r="S310" i="1"/>
  <c r="T310" i="1"/>
  <c r="S311" i="1"/>
  <c r="T311" i="1"/>
  <c r="S312" i="1"/>
  <c r="T312" i="1"/>
  <c r="S313" i="1"/>
  <c r="T313" i="1"/>
  <c r="S314" i="1"/>
  <c r="T314" i="1"/>
  <c r="S315" i="1"/>
  <c r="T315" i="1"/>
  <c r="S316" i="1"/>
  <c r="T316" i="1"/>
  <c r="S317" i="1"/>
  <c r="T317" i="1"/>
  <c r="S318" i="1"/>
  <c r="T318" i="1"/>
  <c r="S319" i="1"/>
  <c r="T319" i="1"/>
  <c r="S320" i="1"/>
  <c r="T320" i="1"/>
  <c r="S321" i="1"/>
  <c r="T321" i="1"/>
  <c r="S322" i="1"/>
  <c r="T322" i="1"/>
  <c r="S323" i="1"/>
  <c r="T323" i="1"/>
  <c r="S324" i="1"/>
  <c r="T324" i="1"/>
  <c r="S325" i="1"/>
  <c r="T325" i="1"/>
  <c r="S326" i="1"/>
  <c r="T326" i="1"/>
  <c r="S327" i="1"/>
  <c r="T327" i="1"/>
  <c r="S328" i="1"/>
  <c r="T328" i="1"/>
  <c r="S329" i="1"/>
  <c r="T329" i="1"/>
  <c r="S330" i="1"/>
  <c r="T330" i="1"/>
  <c r="S331" i="1"/>
  <c r="T331" i="1"/>
  <c r="S332" i="1"/>
  <c r="T332" i="1"/>
  <c r="S333" i="1"/>
  <c r="T333" i="1"/>
  <c r="S334" i="1"/>
  <c r="T334" i="1"/>
  <c r="S335" i="1"/>
  <c r="T335" i="1"/>
  <c r="S336" i="1"/>
  <c r="T336" i="1"/>
  <c r="S337" i="1"/>
  <c r="T337" i="1"/>
  <c r="S338" i="1"/>
  <c r="T338" i="1"/>
  <c r="S339" i="1"/>
  <c r="T339" i="1"/>
  <c r="S340" i="1"/>
  <c r="T340" i="1"/>
  <c r="S341" i="1"/>
  <c r="T341" i="1"/>
  <c r="S342" i="1"/>
  <c r="T342" i="1"/>
  <c r="S343" i="1"/>
  <c r="T343" i="1"/>
  <c r="S344" i="1"/>
  <c r="T344" i="1"/>
  <c r="S345" i="1"/>
  <c r="T345" i="1"/>
  <c r="S346" i="1"/>
  <c r="T346" i="1"/>
  <c r="S347" i="1"/>
  <c r="T347" i="1"/>
  <c r="S348" i="1"/>
  <c r="T348" i="1"/>
  <c r="S349" i="1"/>
  <c r="T349" i="1"/>
  <c r="S350" i="1"/>
  <c r="T350" i="1"/>
  <c r="S351" i="1"/>
  <c r="T351" i="1"/>
  <c r="S352" i="1"/>
  <c r="T352" i="1"/>
  <c r="S353" i="1"/>
  <c r="T353" i="1"/>
  <c r="S354" i="1"/>
  <c r="T354" i="1"/>
  <c r="S355" i="1"/>
  <c r="T355" i="1"/>
  <c r="S356" i="1"/>
  <c r="T356" i="1"/>
  <c r="S357" i="1"/>
  <c r="T357" i="1"/>
  <c r="S358" i="1"/>
  <c r="T358" i="1"/>
  <c r="S359" i="1"/>
  <c r="T359" i="1"/>
  <c r="S360" i="1"/>
  <c r="T360" i="1"/>
  <c r="S361" i="1"/>
  <c r="T361" i="1"/>
  <c r="S362" i="1"/>
  <c r="T362" i="1"/>
  <c r="S363" i="1"/>
  <c r="T363" i="1"/>
  <c r="S364" i="1"/>
  <c r="T364" i="1"/>
  <c r="S365" i="1"/>
  <c r="T365" i="1"/>
  <c r="S366" i="1"/>
  <c r="T366" i="1"/>
  <c r="S367" i="1"/>
  <c r="T367" i="1"/>
  <c r="S368" i="1"/>
  <c r="T368" i="1"/>
  <c r="S369" i="1"/>
  <c r="T369" i="1"/>
  <c r="S370" i="1"/>
  <c r="T370" i="1"/>
  <c r="S371" i="1"/>
  <c r="T371" i="1"/>
  <c r="S372" i="1"/>
  <c r="T372" i="1"/>
  <c r="S373" i="1"/>
  <c r="T373" i="1"/>
  <c r="S374" i="1"/>
  <c r="T374" i="1"/>
  <c r="S375" i="1"/>
  <c r="T375" i="1"/>
  <c r="S376" i="1"/>
  <c r="T376" i="1"/>
  <c r="S377" i="1"/>
  <c r="T377" i="1"/>
  <c r="S378" i="1"/>
  <c r="T378" i="1"/>
  <c r="S379" i="1"/>
  <c r="T379" i="1"/>
  <c r="S380" i="1"/>
  <c r="T380" i="1"/>
  <c r="S381" i="1"/>
  <c r="T381" i="1"/>
  <c r="S382" i="1"/>
  <c r="T382" i="1"/>
  <c r="S383" i="1"/>
  <c r="T383" i="1"/>
  <c r="S384" i="1"/>
  <c r="T384" i="1"/>
  <c r="S385" i="1"/>
  <c r="T385" i="1"/>
  <c r="S386" i="1"/>
  <c r="T386" i="1"/>
  <c r="S387" i="1"/>
  <c r="T387" i="1"/>
  <c r="S388" i="1"/>
  <c r="T388" i="1"/>
  <c r="S389" i="1"/>
  <c r="T389" i="1"/>
  <c r="S390" i="1"/>
  <c r="T390" i="1"/>
  <c r="S391" i="1"/>
  <c r="T391" i="1"/>
  <c r="S392" i="1"/>
  <c r="T392" i="1"/>
  <c r="S393" i="1"/>
  <c r="T393" i="1"/>
  <c r="S394" i="1"/>
  <c r="T394" i="1"/>
  <c r="S395" i="1"/>
  <c r="T395" i="1"/>
  <c r="S396" i="1"/>
  <c r="T396" i="1"/>
  <c r="S397" i="1"/>
  <c r="T397" i="1"/>
  <c r="S398" i="1"/>
  <c r="T398" i="1"/>
  <c r="S399" i="1"/>
  <c r="T399" i="1"/>
  <c r="S400" i="1"/>
  <c r="T400" i="1"/>
  <c r="S401" i="1"/>
  <c r="T401" i="1"/>
  <c r="S402" i="1"/>
  <c r="T402" i="1"/>
  <c r="S403" i="1"/>
  <c r="T403" i="1"/>
  <c r="S404" i="1"/>
  <c r="T404" i="1"/>
  <c r="S405" i="1"/>
  <c r="T405" i="1"/>
  <c r="S406" i="1"/>
  <c r="T406" i="1"/>
  <c r="S407" i="1"/>
  <c r="T407" i="1"/>
  <c r="S408" i="1"/>
  <c r="T408" i="1"/>
  <c r="S409" i="1"/>
  <c r="T409" i="1"/>
  <c r="S410" i="1"/>
  <c r="T410" i="1"/>
  <c r="S411" i="1"/>
  <c r="T411" i="1"/>
  <c r="S412" i="1"/>
  <c r="T412" i="1"/>
  <c r="S413" i="1"/>
  <c r="T413" i="1"/>
  <c r="S414" i="1"/>
  <c r="T414" i="1"/>
  <c r="S415" i="1"/>
  <c r="T415" i="1"/>
  <c r="S416" i="1"/>
  <c r="T416" i="1"/>
  <c r="S417" i="1"/>
  <c r="T417" i="1"/>
  <c r="S418" i="1"/>
  <c r="T418" i="1"/>
  <c r="S419" i="1"/>
  <c r="T419" i="1"/>
  <c r="S420" i="1"/>
  <c r="T420" i="1"/>
  <c r="S421" i="1"/>
  <c r="T421" i="1"/>
  <c r="S422" i="1"/>
  <c r="T422" i="1"/>
  <c r="S423" i="1"/>
  <c r="T423" i="1"/>
  <c r="S424" i="1"/>
  <c r="T424" i="1"/>
  <c r="S425" i="1"/>
  <c r="T425" i="1"/>
  <c r="S426" i="1"/>
  <c r="T426" i="1"/>
  <c r="S427" i="1"/>
  <c r="T427" i="1"/>
  <c r="S428" i="1"/>
  <c r="T428" i="1"/>
  <c r="S429" i="1"/>
  <c r="T429" i="1"/>
  <c r="S430" i="1"/>
  <c r="T430" i="1"/>
  <c r="S431" i="1"/>
  <c r="T431" i="1"/>
  <c r="S432" i="1"/>
  <c r="T432" i="1"/>
  <c r="S433" i="1"/>
  <c r="T433" i="1"/>
  <c r="S434" i="1"/>
  <c r="T434" i="1"/>
  <c r="S435" i="1"/>
  <c r="T435" i="1"/>
  <c r="S436" i="1"/>
  <c r="T436" i="1"/>
  <c r="S437" i="1"/>
  <c r="T437" i="1"/>
  <c r="S438" i="1"/>
  <c r="T438" i="1"/>
  <c r="S439" i="1"/>
  <c r="T439" i="1"/>
  <c r="S440" i="1"/>
  <c r="T440" i="1"/>
  <c r="S441" i="1"/>
  <c r="T441" i="1"/>
  <c r="S442" i="1"/>
  <c r="T442" i="1"/>
  <c r="S443" i="1"/>
  <c r="T443" i="1"/>
  <c r="S444" i="1"/>
  <c r="T444" i="1"/>
  <c r="S445" i="1"/>
  <c r="T445" i="1"/>
  <c r="S446" i="1"/>
  <c r="T446" i="1"/>
  <c r="S447" i="1"/>
  <c r="T447" i="1"/>
  <c r="S448" i="1"/>
  <c r="T448" i="1"/>
  <c r="S449" i="1"/>
  <c r="T449" i="1"/>
  <c r="S450" i="1"/>
  <c r="T450" i="1"/>
  <c r="S451" i="1"/>
  <c r="T451" i="1"/>
  <c r="S452" i="1"/>
  <c r="T452" i="1"/>
  <c r="S453" i="1"/>
  <c r="T453" i="1"/>
  <c r="S454" i="1"/>
  <c r="T454" i="1"/>
  <c r="S455" i="1"/>
  <c r="T455" i="1"/>
  <c r="S456" i="1"/>
  <c r="T456" i="1"/>
  <c r="S457" i="1"/>
  <c r="T457" i="1"/>
  <c r="S458" i="1"/>
  <c r="T458" i="1"/>
  <c r="S459" i="1"/>
  <c r="T459" i="1"/>
  <c r="S460" i="1"/>
  <c r="T460" i="1"/>
  <c r="S461" i="1"/>
  <c r="T461" i="1"/>
  <c r="S462" i="1"/>
  <c r="T462" i="1"/>
  <c r="S463" i="1"/>
  <c r="T463" i="1"/>
  <c r="S464" i="1"/>
  <c r="T464" i="1"/>
  <c r="S465" i="1"/>
  <c r="T465" i="1"/>
  <c r="S466" i="1"/>
  <c r="T466" i="1"/>
  <c r="S467" i="1"/>
  <c r="T467" i="1"/>
  <c r="S468" i="1"/>
  <c r="T468" i="1"/>
  <c r="S469" i="1"/>
  <c r="T469" i="1"/>
  <c r="S470" i="1"/>
  <c r="T470" i="1"/>
  <c r="S471" i="1"/>
  <c r="T471" i="1"/>
  <c r="S472" i="1"/>
  <c r="T472" i="1"/>
  <c r="S473" i="1"/>
  <c r="T473" i="1"/>
  <c r="S474" i="1"/>
  <c r="T474" i="1"/>
  <c r="S475" i="1"/>
  <c r="T475" i="1"/>
  <c r="S476" i="1"/>
  <c r="T476" i="1"/>
  <c r="S477" i="1"/>
  <c r="T477" i="1"/>
  <c r="S478" i="1"/>
  <c r="T478" i="1"/>
  <c r="S479" i="1"/>
  <c r="T479" i="1"/>
  <c r="S480" i="1"/>
  <c r="T480" i="1"/>
  <c r="S481" i="1"/>
  <c r="T481" i="1"/>
  <c r="S482" i="1"/>
  <c r="T482" i="1"/>
  <c r="S483" i="1"/>
  <c r="T483" i="1"/>
  <c r="S484" i="1"/>
  <c r="T484" i="1"/>
  <c r="S485" i="1"/>
  <c r="T485" i="1"/>
  <c r="S486" i="1"/>
  <c r="T486" i="1"/>
  <c r="S487" i="1"/>
  <c r="T487" i="1"/>
  <c r="S488" i="1"/>
  <c r="T488" i="1"/>
  <c r="S489" i="1"/>
  <c r="T489" i="1"/>
  <c r="S490" i="1"/>
  <c r="T490" i="1"/>
  <c r="S491" i="1"/>
  <c r="T491" i="1"/>
  <c r="S492" i="1"/>
  <c r="T492" i="1"/>
  <c r="S493" i="1"/>
  <c r="T493" i="1"/>
  <c r="S494" i="1"/>
  <c r="T494" i="1"/>
  <c r="S495" i="1"/>
  <c r="T495" i="1"/>
  <c r="S496" i="1"/>
  <c r="T496" i="1"/>
  <c r="S497" i="1"/>
  <c r="T497" i="1"/>
  <c r="S498" i="1"/>
  <c r="T498" i="1"/>
  <c r="S499" i="1"/>
  <c r="T499" i="1"/>
  <c r="S500" i="1"/>
  <c r="T500" i="1"/>
  <c r="S501" i="1"/>
  <c r="T501" i="1"/>
  <c r="S502" i="1"/>
  <c r="T502" i="1"/>
  <c r="S503" i="1"/>
  <c r="T503" i="1"/>
  <c r="S504" i="1"/>
  <c r="T504" i="1"/>
  <c r="S505" i="1"/>
  <c r="T505" i="1"/>
  <c r="S506" i="1"/>
  <c r="T506" i="1"/>
  <c r="S507" i="1"/>
  <c r="T507" i="1"/>
  <c r="S508" i="1"/>
  <c r="T508" i="1"/>
  <c r="S509" i="1"/>
  <c r="T509" i="1"/>
  <c r="S510" i="1"/>
  <c r="T510" i="1"/>
  <c r="S511" i="1"/>
  <c r="T511" i="1"/>
  <c r="S512" i="1"/>
  <c r="T512" i="1"/>
  <c r="S513" i="1"/>
  <c r="T513" i="1"/>
  <c r="S514" i="1"/>
  <c r="T514" i="1"/>
  <c r="S515" i="1"/>
  <c r="T515" i="1"/>
  <c r="S516" i="1"/>
  <c r="T516" i="1"/>
  <c r="S517" i="1"/>
  <c r="T517" i="1"/>
  <c r="S518" i="1"/>
  <c r="T518" i="1"/>
  <c r="S519" i="1"/>
  <c r="T519" i="1"/>
  <c r="S520" i="1"/>
  <c r="T520" i="1"/>
  <c r="S521" i="1"/>
  <c r="T521" i="1"/>
  <c r="S522" i="1"/>
  <c r="T522" i="1"/>
  <c r="S523" i="1"/>
  <c r="T523" i="1"/>
  <c r="S524" i="1"/>
  <c r="T524" i="1"/>
  <c r="S525" i="1"/>
  <c r="T525" i="1"/>
  <c r="S526" i="1"/>
  <c r="T526" i="1"/>
  <c r="S527" i="1"/>
  <c r="T527" i="1"/>
  <c r="S528" i="1"/>
  <c r="T528" i="1"/>
  <c r="S529" i="1"/>
  <c r="T529" i="1"/>
  <c r="S530" i="1"/>
  <c r="T530" i="1"/>
  <c r="S531" i="1"/>
  <c r="T531" i="1"/>
  <c r="S532" i="1"/>
  <c r="T532" i="1"/>
  <c r="S533" i="1"/>
  <c r="T533" i="1"/>
  <c r="S534" i="1"/>
  <c r="T534" i="1"/>
  <c r="S535" i="1"/>
  <c r="T535" i="1"/>
  <c r="S536" i="1"/>
  <c r="T536" i="1"/>
  <c r="S537" i="1"/>
  <c r="T537" i="1"/>
  <c r="S538" i="1"/>
  <c r="T538" i="1"/>
  <c r="S539" i="1"/>
  <c r="T539" i="1"/>
  <c r="S540" i="1"/>
  <c r="T540" i="1"/>
  <c r="S541" i="1"/>
  <c r="T541" i="1"/>
  <c r="S542" i="1"/>
  <c r="T542" i="1"/>
  <c r="S543" i="1"/>
  <c r="T543" i="1"/>
  <c r="S544" i="1"/>
  <c r="T544" i="1"/>
  <c r="S545" i="1"/>
  <c r="T545" i="1"/>
  <c r="S546" i="1"/>
  <c r="T546" i="1"/>
  <c r="S547" i="1"/>
  <c r="T547" i="1"/>
  <c r="S548" i="1"/>
  <c r="T548" i="1"/>
  <c r="S549" i="1"/>
  <c r="T549" i="1"/>
  <c r="S550" i="1"/>
  <c r="T550" i="1"/>
  <c r="S551" i="1"/>
  <c r="T551" i="1"/>
  <c r="S552" i="1"/>
  <c r="T552" i="1"/>
  <c r="S553" i="1"/>
  <c r="T553" i="1"/>
  <c r="S554" i="1"/>
  <c r="T554" i="1"/>
  <c r="S555" i="1"/>
  <c r="T555" i="1"/>
  <c r="S556" i="1"/>
  <c r="T556" i="1"/>
  <c r="S557" i="1"/>
  <c r="T557" i="1"/>
  <c r="S558" i="1"/>
  <c r="T558" i="1"/>
  <c r="S559" i="1"/>
  <c r="T559" i="1"/>
  <c r="S560" i="1"/>
  <c r="T560" i="1"/>
  <c r="S561" i="1"/>
  <c r="T561" i="1"/>
  <c r="S562" i="1"/>
  <c r="T562" i="1"/>
  <c r="S563" i="1"/>
  <c r="T563" i="1"/>
  <c r="S564" i="1"/>
  <c r="T564" i="1"/>
  <c r="S565" i="1"/>
  <c r="T565" i="1"/>
  <c r="S566" i="1"/>
  <c r="T566" i="1"/>
  <c r="S567" i="1"/>
  <c r="T567" i="1"/>
  <c r="S568" i="1"/>
  <c r="T568" i="1"/>
  <c r="S569" i="1"/>
  <c r="T569" i="1"/>
  <c r="S570" i="1"/>
  <c r="T570" i="1"/>
  <c r="S571" i="1"/>
  <c r="T571" i="1"/>
  <c r="S572" i="1"/>
  <c r="T572" i="1"/>
  <c r="S573" i="1"/>
  <c r="T573" i="1"/>
  <c r="S574" i="1"/>
  <c r="T574" i="1"/>
  <c r="S575" i="1"/>
  <c r="T575" i="1"/>
  <c r="S576" i="1"/>
  <c r="T576" i="1"/>
  <c r="S577" i="1"/>
  <c r="T577" i="1"/>
  <c r="S578" i="1"/>
  <c r="T578" i="1"/>
  <c r="S579" i="1"/>
  <c r="T579" i="1"/>
  <c r="S580" i="1"/>
  <c r="T580" i="1"/>
  <c r="S581" i="1"/>
  <c r="T581" i="1"/>
  <c r="S582" i="1"/>
  <c r="T582" i="1"/>
  <c r="S583" i="1"/>
  <c r="T583" i="1"/>
  <c r="S584" i="1"/>
  <c r="T584" i="1"/>
  <c r="S585" i="1"/>
  <c r="T585" i="1"/>
  <c r="S586" i="1"/>
  <c r="T586" i="1"/>
  <c r="S587" i="1"/>
  <c r="T587" i="1"/>
  <c r="S588" i="1"/>
  <c r="T588" i="1"/>
  <c r="S589" i="1"/>
  <c r="T589" i="1"/>
  <c r="S590" i="1"/>
  <c r="T590" i="1"/>
  <c r="S591" i="1"/>
  <c r="T591" i="1"/>
  <c r="S592" i="1"/>
  <c r="T592" i="1"/>
  <c r="S593" i="1"/>
  <c r="T593" i="1"/>
  <c r="S594" i="1"/>
  <c r="T594" i="1"/>
  <c r="S595" i="1"/>
  <c r="T595" i="1"/>
  <c r="S596" i="1"/>
  <c r="T596" i="1"/>
  <c r="S597" i="1"/>
  <c r="T597" i="1"/>
  <c r="S598" i="1"/>
  <c r="T598" i="1"/>
  <c r="S599" i="1"/>
  <c r="T599" i="1"/>
  <c r="S600" i="1"/>
  <c r="T600" i="1"/>
  <c r="S601" i="1"/>
  <c r="T601" i="1"/>
  <c r="S602" i="1"/>
  <c r="T602" i="1"/>
  <c r="S603" i="1"/>
  <c r="T603" i="1"/>
  <c r="S604" i="1"/>
  <c r="T604" i="1"/>
  <c r="S605" i="1"/>
  <c r="T605" i="1"/>
  <c r="S606" i="1"/>
  <c r="T606" i="1"/>
  <c r="S607" i="1"/>
  <c r="T607" i="1"/>
  <c r="S608" i="1"/>
  <c r="T608" i="1"/>
  <c r="S609" i="1"/>
  <c r="T609" i="1"/>
  <c r="S610" i="1"/>
  <c r="T610" i="1"/>
  <c r="S611" i="1"/>
  <c r="T611" i="1"/>
  <c r="S612" i="1"/>
  <c r="T612" i="1"/>
  <c r="S613" i="1"/>
  <c r="T613" i="1"/>
  <c r="S614" i="1"/>
  <c r="T614" i="1"/>
  <c r="S615" i="1"/>
  <c r="T615" i="1"/>
  <c r="S616" i="1"/>
  <c r="T616" i="1"/>
  <c r="S617" i="1"/>
  <c r="T617" i="1"/>
  <c r="S618" i="1"/>
  <c r="T618" i="1"/>
  <c r="S619" i="1"/>
  <c r="T619" i="1"/>
  <c r="S620" i="1"/>
  <c r="T620" i="1"/>
  <c r="S621" i="1"/>
  <c r="T621" i="1"/>
  <c r="S622" i="1"/>
  <c r="T622" i="1"/>
  <c r="S623" i="1"/>
  <c r="T623" i="1"/>
  <c r="S624" i="1"/>
  <c r="T624" i="1"/>
  <c r="S625" i="1"/>
  <c r="T625" i="1"/>
  <c r="S626" i="1"/>
  <c r="T626" i="1"/>
  <c r="S627" i="1"/>
  <c r="T627" i="1"/>
  <c r="S628" i="1"/>
  <c r="T628" i="1"/>
  <c r="S629" i="1"/>
  <c r="T629" i="1"/>
  <c r="S630" i="1"/>
  <c r="T630" i="1"/>
  <c r="S631" i="1"/>
  <c r="T631" i="1"/>
  <c r="S632" i="1"/>
  <c r="T632" i="1"/>
  <c r="S633" i="1"/>
  <c r="T633" i="1"/>
  <c r="S634" i="1"/>
  <c r="T634" i="1"/>
  <c r="S635" i="1"/>
  <c r="T635" i="1"/>
  <c r="S636" i="1"/>
  <c r="T636" i="1"/>
  <c r="S637" i="1"/>
  <c r="T637" i="1"/>
  <c r="S638" i="1"/>
  <c r="T638" i="1"/>
  <c r="S639" i="1"/>
  <c r="T639" i="1"/>
  <c r="S640" i="1"/>
  <c r="T640" i="1"/>
  <c r="S641" i="1"/>
  <c r="T641" i="1"/>
  <c r="S642" i="1"/>
  <c r="T642" i="1"/>
  <c r="S643" i="1"/>
  <c r="T643" i="1"/>
  <c r="S644" i="1"/>
  <c r="T644" i="1"/>
  <c r="S645" i="1"/>
  <c r="T645" i="1"/>
  <c r="S646" i="1"/>
  <c r="T646" i="1"/>
  <c r="S647" i="1"/>
  <c r="T647" i="1"/>
  <c r="S648" i="1"/>
  <c r="T648" i="1"/>
  <c r="S649" i="1"/>
  <c r="T649" i="1"/>
  <c r="S650" i="1"/>
  <c r="T650" i="1"/>
  <c r="S651" i="1"/>
  <c r="T651" i="1"/>
  <c r="S652" i="1"/>
  <c r="T652" i="1"/>
  <c r="S653" i="1"/>
  <c r="T653" i="1"/>
  <c r="S654" i="1"/>
  <c r="T654" i="1"/>
  <c r="S655" i="1"/>
  <c r="T655" i="1"/>
  <c r="S656" i="1"/>
  <c r="T656" i="1"/>
  <c r="S657" i="1"/>
  <c r="T657" i="1"/>
  <c r="S658" i="1"/>
  <c r="T658" i="1"/>
  <c r="S659" i="1"/>
  <c r="T659" i="1"/>
  <c r="S660" i="1"/>
  <c r="T660" i="1"/>
  <c r="S661" i="1"/>
  <c r="T661" i="1"/>
  <c r="S662" i="1"/>
  <c r="T662" i="1"/>
  <c r="S663" i="1"/>
  <c r="T663" i="1"/>
  <c r="S664" i="1"/>
  <c r="T664" i="1"/>
  <c r="S665" i="1"/>
  <c r="T665" i="1"/>
  <c r="S666" i="1"/>
  <c r="T666" i="1"/>
  <c r="S667" i="1"/>
  <c r="T667" i="1"/>
  <c r="S668" i="1"/>
  <c r="T668" i="1"/>
  <c r="S669" i="1"/>
  <c r="T669" i="1"/>
  <c r="S670" i="1"/>
  <c r="T670" i="1"/>
  <c r="S671" i="1"/>
  <c r="T671" i="1"/>
  <c r="S672" i="1"/>
  <c r="T672" i="1"/>
  <c r="S673" i="1"/>
  <c r="T673" i="1"/>
  <c r="S674" i="1"/>
  <c r="T674" i="1"/>
  <c r="S675" i="1"/>
  <c r="T675" i="1"/>
  <c r="S676" i="1"/>
  <c r="T676" i="1"/>
  <c r="S677" i="1"/>
  <c r="T677" i="1"/>
  <c r="S678" i="1"/>
  <c r="T678" i="1"/>
  <c r="S679" i="1"/>
  <c r="T679" i="1"/>
  <c r="S680" i="1"/>
  <c r="T680" i="1"/>
  <c r="S681" i="1"/>
  <c r="T681" i="1"/>
  <c r="S682" i="1"/>
  <c r="T682" i="1"/>
  <c r="S683" i="1"/>
  <c r="T683" i="1"/>
  <c r="S684" i="1"/>
  <c r="T684" i="1"/>
  <c r="S685" i="1"/>
  <c r="T685" i="1"/>
  <c r="S686" i="1"/>
  <c r="T686" i="1"/>
  <c r="S687" i="1"/>
  <c r="T687" i="1"/>
  <c r="S688" i="1"/>
  <c r="T688" i="1"/>
  <c r="S689" i="1"/>
  <c r="T689" i="1"/>
  <c r="S690" i="1"/>
  <c r="T690" i="1"/>
  <c r="S691" i="1"/>
  <c r="T691" i="1"/>
  <c r="S692" i="1"/>
  <c r="T692" i="1"/>
  <c r="S693" i="1"/>
  <c r="T693" i="1"/>
  <c r="S694" i="1"/>
  <c r="T694" i="1"/>
  <c r="S695" i="1"/>
  <c r="T695" i="1"/>
  <c r="S696" i="1"/>
  <c r="T696" i="1"/>
  <c r="S697" i="1"/>
  <c r="T697" i="1"/>
  <c r="S698" i="1"/>
  <c r="T698" i="1"/>
  <c r="S699" i="1"/>
  <c r="T699" i="1"/>
  <c r="S700" i="1"/>
  <c r="T700" i="1"/>
  <c r="S701" i="1"/>
  <c r="T701" i="1"/>
  <c r="S702" i="1"/>
  <c r="T702" i="1"/>
  <c r="S703" i="1"/>
  <c r="T703" i="1"/>
  <c r="S704" i="1"/>
  <c r="T704" i="1"/>
  <c r="S705" i="1"/>
  <c r="T705" i="1"/>
  <c r="S706" i="1"/>
  <c r="T706" i="1"/>
  <c r="S707" i="1"/>
  <c r="T707" i="1"/>
  <c r="S708" i="1"/>
  <c r="T708" i="1"/>
  <c r="S709" i="1"/>
  <c r="T709" i="1"/>
  <c r="S710" i="1"/>
  <c r="T710" i="1"/>
  <c r="S711" i="1"/>
  <c r="T711" i="1"/>
  <c r="S712" i="1"/>
  <c r="T712" i="1"/>
  <c r="S713" i="1"/>
  <c r="T713" i="1"/>
  <c r="S714" i="1"/>
  <c r="T714" i="1"/>
  <c r="S715" i="1"/>
  <c r="T715" i="1"/>
  <c r="S716" i="1"/>
  <c r="T716" i="1"/>
  <c r="S717" i="1"/>
  <c r="T717" i="1"/>
  <c r="S718" i="1"/>
  <c r="T718" i="1"/>
  <c r="S719" i="1"/>
  <c r="T719" i="1"/>
  <c r="S720" i="1"/>
  <c r="T720" i="1"/>
  <c r="S721" i="1"/>
  <c r="T721" i="1"/>
  <c r="S722" i="1"/>
  <c r="T722" i="1"/>
  <c r="S723" i="1"/>
  <c r="T723" i="1"/>
  <c r="S724" i="1"/>
  <c r="T724" i="1"/>
  <c r="S725" i="1"/>
  <c r="T725" i="1"/>
  <c r="S726" i="1"/>
  <c r="T726" i="1"/>
  <c r="S727" i="1"/>
  <c r="T727" i="1"/>
  <c r="S728" i="1"/>
  <c r="T728" i="1"/>
  <c r="S729" i="1"/>
  <c r="T729" i="1"/>
  <c r="S730" i="1"/>
  <c r="T730" i="1"/>
  <c r="S731" i="1"/>
  <c r="T731" i="1"/>
  <c r="S732" i="1"/>
  <c r="T732" i="1"/>
  <c r="S733" i="1"/>
  <c r="T733" i="1"/>
  <c r="S734" i="1"/>
  <c r="T734" i="1"/>
  <c r="S735" i="1"/>
  <c r="T735" i="1"/>
  <c r="S736" i="1"/>
  <c r="T736" i="1"/>
  <c r="S737" i="1"/>
  <c r="T737" i="1"/>
  <c r="S738" i="1"/>
  <c r="T738" i="1"/>
  <c r="S739" i="1"/>
  <c r="T739" i="1"/>
  <c r="S740" i="1"/>
  <c r="T740" i="1"/>
  <c r="S741" i="1"/>
  <c r="T741" i="1"/>
  <c r="S742" i="1"/>
  <c r="T742" i="1"/>
  <c r="S743" i="1"/>
  <c r="T743" i="1"/>
  <c r="S744" i="1"/>
  <c r="T744" i="1"/>
  <c r="S745" i="1"/>
  <c r="T745" i="1"/>
  <c r="S746" i="1"/>
  <c r="T746" i="1"/>
  <c r="S747" i="1"/>
  <c r="T747" i="1"/>
  <c r="S748" i="1"/>
  <c r="T748" i="1"/>
  <c r="S749" i="1"/>
  <c r="T749" i="1"/>
  <c r="S750" i="1"/>
  <c r="T750" i="1"/>
  <c r="S751" i="1"/>
  <c r="T751" i="1"/>
  <c r="S752" i="1"/>
  <c r="T752" i="1"/>
  <c r="S753" i="1"/>
  <c r="T753" i="1"/>
  <c r="S754" i="1"/>
  <c r="T754" i="1"/>
  <c r="S755" i="1"/>
  <c r="T755" i="1"/>
  <c r="S756" i="1"/>
  <c r="T756" i="1"/>
  <c r="S757" i="1"/>
  <c r="T757" i="1"/>
  <c r="S758" i="1"/>
  <c r="T758" i="1"/>
  <c r="S759" i="1"/>
  <c r="T759" i="1"/>
  <c r="S760" i="1"/>
  <c r="T760" i="1"/>
  <c r="S761" i="1"/>
  <c r="T761" i="1"/>
  <c r="S762" i="1"/>
  <c r="T762" i="1"/>
  <c r="S763" i="1"/>
  <c r="T763" i="1"/>
  <c r="S764" i="1"/>
  <c r="T764" i="1"/>
  <c r="S765" i="1"/>
  <c r="T765" i="1"/>
  <c r="S766" i="1"/>
  <c r="T766" i="1"/>
  <c r="S767" i="1"/>
  <c r="T767" i="1"/>
  <c r="S768" i="1"/>
  <c r="T768" i="1"/>
  <c r="S769" i="1"/>
  <c r="T769" i="1"/>
  <c r="S770" i="1"/>
  <c r="T770" i="1"/>
  <c r="S771" i="1"/>
  <c r="T771" i="1"/>
  <c r="S772" i="1"/>
  <c r="T772" i="1"/>
  <c r="S773" i="1"/>
  <c r="T773" i="1"/>
  <c r="S774" i="1"/>
  <c r="T774" i="1"/>
  <c r="S775" i="1"/>
  <c r="T775" i="1"/>
  <c r="S776" i="1"/>
  <c r="T776" i="1"/>
  <c r="S777" i="1"/>
  <c r="T777" i="1"/>
  <c r="S778" i="1"/>
  <c r="T778" i="1"/>
  <c r="S779" i="1"/>
  <c r="T779" i="1"/>
  <c r="S780" i="1"/>
  <c r="T780" i="1"/>
  <c r="S781" i="1"/>
  <c r="T781" i="1"/>
  <c r="S782" i="1"/>
  <c r="T782" i="1"/>
  <c r="S783" i="1"/>
  <c r="T783" i="1"/>
  <c r="S784" i="1"/>
  <c r="T784" i="1"/>
  <c r="S785" i="1"/>
  <c r="T785" i="1"/>
  <c r="S786" i="1"/>
  <c r="T786" i="1"/>
  <c r="S787" i="1"/>
  <c r="T787" i="1"/>
  <c r="S788" i="1"/>
  <c r="T788" i="1"/>
  <c r="S789" i="1"/>
  <c r="T789" i="1"/>
  <c r="S790" i="1"/>
  <c r="T790" i="1"/>
  <c r="S791" i="1"/>
  <c r="T791" i="1"/>
  <c r="S792" i="1"/>
  <c r="T792" i="1"/>
  <c r="S793" i="1"/>
  <c r="T793" i="1"/>
  <c r="S794" i="1"/>
  <c r="T794" i="1"/>
  <c r="S795" i="1"/>
  <c r="T795" i="1"/>
  <c r="S796" i="1"/>
  <c r="T796" i="1"/>
  <c r="S797" i="1"/>
  <c r="T797" i="1"/>
  <c r="S798" i="1"/>
  <c r="T798" i="1"/>
  <c r="S799" i="1"/>
  <c r="T799" i="1"/>
  <c r="S800" i="1"/>
  <c r="T800" i="1"/>
  <c r="S801" i="1"/>
  <c r="T801" i="1"/>
  <c r="S802" i="1"/>
  <c r="T802" i="1"/>
  <c r="S803" i="1"/>
  <c r="T803" i="1"/>
  <c r="S804" i="1"/>
  <c r="T804" i="1"/>
  <c r="S805" i="1"/>
  <c r="T805" i="1"/>
  <c r="S806" i="1"/>
  <c r="T806" i="1"/>
  <c r="S807" i="1"/>
  <c r="T807" i="1"/>
  <c r="S808" i="1"/>
  <c r="T808" i="1"/>
  <c r="S809" i="1"/>
  <c r="T809" i="1"/>
  <c r="S810" i="1"/>
  <c r="T810" i="1"/>
  <c r="S811" i="1"/>
  <c r="T811" i="1"/>
  <c r="S812" i="1"/>
  <c r="T812" i="1"/>
  <c r="S813" i="1"/>
  <c r="T813" i="1"/>
  <c r="S814" i="1"/>
  <c r="T814" i="1"/>
  <c r="S815" i="1"/>
  <c r="T815" i="1"/>
  <c r="S816" i="1"/>
  <c r="T816" i="1"/>
  <c r="S817" i="1"/>
  <c r="T817" i="1"/>
  <c r="S818" i="1"/>
  <c r="T818" i="1"/>
  <c r="S819" i="1"/>
  <c r="T819" i="1"/>
  <c r="S820" i="1"/>
  <c r="T820" i="1"/>
  <c r="S821" i="1"/>
  <c r="T821" i="1"/>
  <c r="S822" i="1"/>
  <c r="T822" i="1"/>
  <c r="S823" i="1"/>
  <c r="T823" i="1"/>
  <c r="S824" i="1"/>
  <c r="T824" i="1"/>
  <c r="S825" i="1"/>
  <c r="T825" i="1"/>
  <c r="S826" i="1"/>
  <c r="T826" i="1"/>
  <c r="S827" i="1"/>
  <c r="T827" i="1"/>
  <c r="S828" i="1"/>
  <c r="T828" i="1"/>
  <c r="S829" i="1"/>
  <c r="T829" i="1"/>
  <c r="S830" i="1"/>
  <c r="T830" i="1"/>
  <c r="S831" i="1"/>
  <c r="T831" i="1"/>
  <c r="S832" i="1"/>
  <c r="T832" i="1"/>
  <c r="S833" i="1"/>
  <c r="T833" i="1"/>
  <c r="S834" i="1"/>
  <c r="T834" i="1"/>
  <c r="S835" i="1"/>
  <c r="T835" i="1"/>
  <c r="S836" i="1"/>
  <c r="T836" i="1"/>
  <c r="S837" i="1"/>
  <c r="T837" i="1"/>
  <c r="S838" i="1"/>
  <c r="T838" i="1"/>
  <c r="S839" i="1"/>
  <c r="T839" i="1"/>
  <c r="S840" i="1"/>
  <c r="T840" i="1"/>
  <c r="S841" i="1"/>
  <c r="T841" i="1"/>
  <c r="S842" i="1"/>
  <c r="T842" i="1"/>
  <c r="S843" i="1"/>
  <c r="T843" i="1"/>
  <c r="S844" i="1"/>
  <c r="T844" i="1"/>
  <c r="S845" i="1"/>
  <c r="T845" i="1"/>
  <c r="S846" i="1"/>
  <c r="T846" i="1"/>
  <c r="S847" i="1"/>
  <c r="T847" i="1"/>
  <c r="S848" i="1"/>
  <c r="T848" i="1"/>
  <c r="S849" i="1"/>
  <c r="T849" i="1"/>
  <c r="S850" i="1"/>
  <c r="T850" i="1"/>
  <c r="S851" i="1"/>
  <c r="T851" i="1"/>
  <c r="S852" i="1"/>
  <c r="T852" i="1"/>
  <c r="S853" i="1"/>
  <c r="T853" i="1"/>
  <c r="S854" i="1"/>
  <c r="T854" i="1"/>
  <c r="S855" i="1"/>
  <c r="T855" i="1"/>
  <c r="S856" i="1"/>
  <c r="T856" i="1"/>
  <c r="S857" i="1"/>
  <c r="T857" i="1"/>
  <c r="S858" i="1"/>
  <c r="T858" i="1"/>
  <c r="S859" i="1"/>
  <c r="T859" i="1"/>
  <c r="S860" i="1"/>
  <c r="T860" i="1"/>
  <c r="S861" i="1"/>
  <c r="T861" i="1"/>
  <c r="S862" i="1"/>
  <c r="T862" i="1"/>
  <c r="S863" i="1"/>
  <c r="T863" i="1"/>
  <c r="S864" i="1"/>
  <c r="T864" i="1"/>
  <c r="S865" i="1"/>
  <c r="T865" i="1"/>
  <c r="S866" i="1"/>
  <c r="T866" i="1"/>
  <c r="S867" i="1"/>
  <c r="T867" i="1"/>
  <c r="S868" i="1"/>
  <c r="T868" i="1"/>
  <c r="S869" i="1"/>
  <c r="T869" i="1"/>
  <c r="S870" i="1"/>
  <c r="T870" i="1"/>
  <c r="S871" i="1"/>
  <c r="T871" i="1"/>
  <c r="S872" i="1"/>
  <c r="T872" i="1"/>
  <c r="S873" i="1"/>
  <c r="T873" i="1"/>
  <c r="S874" i="1"/>
  <c r="T874" i="1"/>
  <c r="S875" i="1"/>
  <c r="T875" i="1"/>
  <c r="S876" i="1"/>
  <c r="T876" i="1"/>
  <c r="S877" i="1"/>
  <c r="T877" i="1"/>
  <c r="S878" i="1"/>
  <c r="T878" i="1"/>
  <c r="S879" i="1"/>
  <c r="T879" i="1"/>
  <c r="S880" i="1"/>
  <c r="T880" i="1"/>
  <c r="S881" i="1"/>
  <c r="T881" i="1"/>
  <c r="S882" i="1"/>
  <c r="T882" i="1"/>
  <c r="S883" i="1"/>
  <c r="T883" i="1"/>
  <c r="S884" i="1"/>
  <c r="T884" i="1"/>
  <c r="S885" i="1"/>
  <c r="T885" i="1"/>
  <c r="S886" i="1"/>
  <c r="T886" i="1"/>
  <c r="S887" i="1"/>
  <c r="T887" i="1"/>
  <c r="S888" i="1"/>
  <c r="T888" i="1"/>
  <c r="S889" i="1"/>
  <c r="T889" i="1"/>
  <c r="S890" i="1"/>
  <c r="T890" i="1"/>
  <c r="S891" i="1"/>
  <c r="T891" i="1"/>
  <c r="S892" i="1"/>
  <c r="T892" i="1"/>
  <c r="S893" i="1"/>
  <c r="T893" i="1"/>
  <c r="S894" i="1"/>
  <c r="T894" i="1"/>
  <c r="S895" i="1"/>
  <c r="T895" i="1"/>
  <c r="S896" i="1"/>
  <c r="T896" i="1"/>
  <c r="S897" i="1"/>
  <c r="T897" i="1"/>
  <c r="S898" i="1"/>
  <c r="T898" i="1"/>
  <c r="S899" i="1"/>
  <c r="T899" i="1"/>
  <c r="S900" i="1"/>
  <c r="T900" i="1"/>
  <c r="S901" i="1"/>
  <c r="T901" i="1"/>
  <c r="S902" i="1"/>
  <c r="T902" i="1"/>
  <c r="S903" i="1"/>
  <c r="T903" i="1"/>
  <c r="S904" i="1"/>
  <c r="T904" i="1"/>
  <c r="S905" i="1"/>
  <c r="T905" i="1"/>
  <c r="S906" i="1"/>
  <c r="T906" i="1"/>
  <c r="S907" i="1"/>
  <c r="T907" i="1"/>
  <c r="S908" i="1"/>
  <c r="T908" i="1"/>
  <c r="S909" i="1"/>
  <c r="T909" i="1"/>
  <c r="S910" i="1"/>
  <c r="T910" i="1"/>
  <c r="S911" i="1"/>
  <c r="T911" i="1"/>
  <c r="S912" i="1"/>
  <c r="T912" i="1"/>
  <c r="S913" i="1"/>
  <c r="T913" i="1"/>
  <c r="S914" i="1"/>
  <c r="T914" i="1"/>
  <c r="S915" i="1"/>
  <c r="T915" i="1"/>
  <c r="S916" i="1"/>
  <c r="T916" i="1"/>
  <c r="S917" i="1"/>
  <c r="T917" i="1"/>
  <c r="S918" i="1"/>
  <c r="T918" i="1"/>
  <c r="S919" i="1"/>
  <c r="T919" i="1"/>
  <c r="S920" i="1"/>
  <c r="T920" i="1"/>
  <c r="S921" i="1"/>
  <c r="T921" i="1"/>
  <c r="S922" i="1"/>
  <c r="T922" i="1"/>
  <c r="S923" i="1"/>
  <c r="T923" i="1"/>
  <c r="S924" i="1"/>
  <c r="T924" i="1"/>
  <c r="S925" i="1"/>
  <c r="T925" i="1"/>
  <c r="S926" i="1"/>
  <c r="T926" i="1"/>
  <c r="S927" i="1"/>
  <c r="T927" i="1"/>
  <c r="S928" i="1"/>
  <c r="T928" i="1"/>
  <c r="S929" i="1"/>
  <c r="T929" i="1"/>
  <c r="S930" i="1"/>
  <c r="T930" i="1"/>
  <c r="S931" i="1"/>
  <c r="T931" i="1"/>
  <c r="S932" i="1"/>
  <c r="T932" i="1"/>
  <c r="S933" i="1"/>
  <c r="T933" i="1"/>
  <c r="S934" i="1"/>
  <c r="T934" i="1"/>
  <c r="S935" i="1"/>
  <c r="T935" i="1"/>
  <c r="S936" i="1"/>
  <c r="T936" i="1"/>
  <c r="S937" i="1"/>
  <c r="T937" i="1"/>
  <c r="S938" i="1"/>
  <c r="T938" i="1"/>
  <c r="S939" i="1"/>
  <c r="T939" i="1"/>
  <c r="S940" i="1"/>
  <c r="T940" i="1"/>
  <c r="S941" i="1"/>
  <c r="T941" i="1"/>
  <c r="S942" i="1"/>
  <c r="T942" i="1"/>
  <c r="S943" i="1"/>
  <c r="T943" i="1"/>
  <c r="S944" i="1"/>
  <c r="T944" i="1"/>
  <c r="S945" i="1"/>
  <c r="T945" i="1"/>
  <c r="S946" i="1"/>
  <c r="T946" i="1"/>
  <c r="S947" i="1"/>
  <c r="T947" i="1"/>
  <c r="S948" i="1"/>
  <c r="T948" i="1"/>
  <c r="S949" i="1"/>
  <c r="T949" i="1"/>
  <c r="S950" i="1"/>
  <c r="T950" i="1"/>
  <c r="S951" i="1"/>
  <c r="T951" i="1"/>
  <c r="S952" i="1"/>
  <c r="T952" i="1"/>
  <c r="S953" i="1"/>
  <c r="T953" i="1"/>
  <c r="S954" i="1"/>
  <c r="T954" i="1"/>
  <c r="S955" i="1"/>
  <c r="T955" i="1"/>
  <c r="S956" i="1"/>
  <c r="T956" i="1"/>
  <c r="S957" i="1"/>
  <c r="T957" i="1"/>
  <c r="S958" i="1"/>
  <c r="T958" i="1"/>
  <c r="S959" i="1"/>
  <c r="T959" i="1"/>
  <c r="S960" i="1"/>
  <c r="T960" i="1"/>
  <c r="S961" i="1"/>
  <c r="T961" i="1"/>
  <c r="S962" i="1"/>
  <c r="T962" i="1"/>
  <c r="S963" i="1"/>
  <c r="T963" i="1"/>
  <c r="S964" i="1"/>
  <c r="T964" i="1"/>
  <c r="S965" i="1"/>
  <c r="T965" i="1"/>
  <c r="S966" i="1"/>
  <c r="T966" i="1"/>
  <c r="S967" i="1"/>
  <c r="T967" i="1"/>
  <c r="S968" i="1"/>
  <c r="T968" i="1"/>
  <c r="S969" i="1"/>
  <c r="T969" i="1"/>
  <c r="S970" i="1"/>
  <c r="T970" i="1"/>
  <c r="S971" i="1"/>
  <c r="T971" i="1"/>
  <c r="S972" i="1"/>
  <c r="T972" i="1"/>
  <c r="S973" i="1"/>
  <c r="T973" i="1"/>
  <c r="S974" i="1"/>
  <c r="T974" i="1"/>
  <c r="S975" i="1"/>
  <c r="T975" i="1"/>
  <c r="S976" i="1"/>
  <c r="T976" i="1"/>
  <c r="S977" i="1"/>
  <c r="T977" i="1"/>
  <c r="S978" i="1"/>
  <c r="T978" i="1"/>
  <c r="S979" i="1"/>
  <c r="T979" i="1"/>
  <c r="S980" i="1"/>
  <c r="T980" i="1"/>
  <c r="S981" i="1"/>
  <c r="T981" i="1"/>
  <c r="S982" i="1"/>
  <c r="T982" i="1"/>
  <c r="S983" i="1"/>
  <c r="T983" i="1"/>
  <c r="S984" i="1"/>
  <c r="T984" i="1"/>
  <c r="S985" i="1"/>
  <c r="T985" i="1"/>
  <c r="S986" i="1"/>
  <c r="T986" i="1"/>
  <c r="S987" i="1"/>
  <c r="T987" i="1"/>
  <c r="S988" i="1"/>
  <c r="T988" i="1"/>
  <c r="S989" i="1"/>
  <c r="T989" i="1"/>
  <c r="S990" i="1"/>
  <c r="T990" i="1"/>
  <c r="S991" i="1"/>
  <c r="T991" i="1"/>
  <c r="S992" i="1"/>
  <c r="T992" i="1"/>
  <c r="S993" i="1"/>
  <c r="T993" i="1"/>
  <c r="S994" i="1"/>
  <c r="T994" i="1"/>
  <c r="S995" i="1"/>
  <c r="T995" i="1"/>
  <c r="S996" i="1"/>
  <c r="T996" i="1"/>
  <c r="S997" i="1"/>
  <c r="T997" i="1"/>
  <c r="S998" i="1"/>
  <c r="T998" i="1"/>
  <c r="S999" i="1"/>
  <c r="T999" i="1"/>
  <c r="S1000" i="1"/>
  <c r="T1000" i="1"/>
  <c r="S1001" i="1"/>
  <c r="T1001" i="1"/>
  <c r="S1002" i="1"/>
  <c r="T1002" i="1"/>
  <c r="S1003" i="1"/>
  <c r="T1003" i="1"/>
  <c r="S1004" i="1"/>
  <c r="T1004" i="1"/>
  <c r="S1005" i="1"/>
  <c r="T1005" i="1"/>
  <c r="S1006" i="1"/>
  <c r="T1006" i="1"/>
  <c r="S1007" i="1"/>
  <c r="T1007" i="1"/>
  <c r="S1008" i="1"/>
  <c r="T1008" i="1"/>
  <c r="S1009" i="1"/>
  <c r="T1009" i="1"/>
  <c r="S1010" i="1"/>
  <c r="T1010" i="1"/>
  <c r="S1011" i="1"/>
  <c r="T1011" i="1"/>
  <c r="S1012" i="1"/>
  <c r="T1012" i="1"/>
  <c r="S1013" i="1"/>
  <c r="T1013" i="1"/>
  <c r="S1014" i="1"/>
  <c r="T1014" i="1"/>
  <c r="S1015" i="1"/>
  <c r="T1015" i="1"/>
  <c r="S1016" i="1"/>
  <c r="T1016" i="1"/>
  <c r="S1017" i="1"/>
  <c r="T1017" i="1"/>
  <c r="S1018" i="1"/>
  <c r="T1018" i="1"/>
  <c r="S1019" i="1"/>
  <c r="T1019" i="1"/>
  <c r="S1020" i="1"/>
  <c r="T1020" i="1"/>
  <c r="S1021" i="1"/>
  <c r="T1021" i="1"/>
  <c r="S1022" i="1"/>
  <c r="T1022" i="1"/>
  <c r="S1023" i="1"/>
  <c r="T1023" i="1"/>
  <c r="S1024" i="1"/>
  <c r="T1024" i="1"/>
  <c r="S1025" i="1"/>
  <c r="T1025" i="1"/>
  <c r="S1026" i="1"/>
  <c r="T1026" i="1"/>
  <c r="S1027" i="1"/>
  <c r="T1027" i="1"/>
  <c r="S1028" i="1"/>
  <c r="T1028" i="1"/>
  <c r="S1029" i="1"/>
  <c r="T1029" i="1"/>
  <c r="S1030" i="1"/>
  <c r="T1030" i="1"/>
  <c r="S1031" i="1"/>
  <c r="T1031" i="1"/>
  <c r="S1032" i="1"/>
  <c r="T1032" i="1"/>
  <c r="S1033" i="1"/>
  <c r="T1033" i="1"/>
  <c r="S1034" i="1"/>
  <c r="T1034" i="1"/>
  <c r="S1035" i="1"/>
  <c r="T1035" i="1"/>
  <c r="S1036" i="1"/>
  <c r="T1036" i="1"/>
  <c r="S1037" i="1"/>
  <c r="T1037" i="1"/>
  <c r="S1038" i="1"/>
  <c r="T1038" i="1"/>
  <c r="S1039" i="1"/>
  <c r="T1039" i="1"/>
  <c r="S1040" i="1"/>
  <c r="T1040" i="1"/>
  <c r="S1041" i="1"/>
  <c r="T1041" i="1"/>
  <c r="S1042" i="1"/>
  <c r="T1042" i="1"/>
  <c r="S1043" i="1"/>
  <c r="T1043" i="1"/>
  <c r="S1044" i="1"/>
  <c r="T1044" i="1"/>
  <c r="S1045" i="1"/>
  <c r="T1045" i="1"/>
  <c r="S1046" i="1"/>
  <c r="T1046" i="1"/>
  <c r="S1047" i="1"/>
  <c r="T1047" i="1"/>
  <c r="S1048" i="1"/>
  <c r="T1048" i="1"/>
  <c r="S1049" i="1"/>
  <c r="T1049" i="1"/>
  <c r="S1050" i="1"/>
  <c r="T1050" i="1"/>
  <c r="S1051" i="1"/>
  <c r="T1051" i="1"/>
  <c r="S1052" i="1"/>
  <c r="T1052" i="1"/>
  <c r="S1053" i="1"/>
  <c r="T1053" i="1"/>
  <c r="S1054" i="1"/>
  <c r="T1054" i="1"/>
  <c r="S1055" i="1"/>
  <c r="T1055" i="1"/>
  <c r="S1056" i="1"/>
  <c r="T1056" i="1"/>
  <c r="S1057" i="1"/>
  <c r="T1057" i="1"/>
  <c r="S1058" i="1"/>
  <c r="T1058" i="1"/>
  <c r="S1059" i="1"/>
  <c r="T1059" i="1"/>
  <c r="S1060" i="1"/>
  <c r="T1060" i="1"/>
  <c r="S1061" i="1"/>
  <c r="T1061" i="1"/>
  <c r="S1062" i="1"/>
  <c r="T1062" i="1"/>
  <c r="S1063" i="1"/>
  <c r="T1063" i="1"/>
  <c r="S2" i="1"/>
  <c r="T2" i="1" l="1"/>
  <c r="R1063" i="1"/>
  <c r="Q1063" i="1"/>
  <c r="R1062" i="1"/>
  <c r="Q1062" i="1"/>
  <c r="R1061" i="1"/>
  <c r="Q1061" i="1"/>
  <c r="R1060" i="1"/>
  <c r="Q1060" i="1"/>
  <c r="R1059" i="1"/>
  <c r="Q1059" i="1"/>
  <c r="R1058" i="1"/>
  <c r="Q1058" i="1"/>
  <c r="R1057" i="1"/>
  <c r="Q1057" i="1"/>
  <c r="R1056" i="1"/>
  <c r="Q1056" i="1"/>
  <c r="R1055" i="1"/>
  <c r="Q1055" i="1"/>
  <c r="R1054" i="1"/>
  <c r="Q1054" i="1"/>
  <c r="R1053" i="1"/>
  <c r="Q1053" i="1"/>
  <c r="R1052" i="1"/>
  <c r="Q1052" i="1"/>
  <c r="R1051" i="1"/>
  <c r="Q1051" i="1"/>
  <c r="R1050" i="1"/>
  <c r="Q1050" i="1"/>
  <c r="R1049" i="1"/>
  <c r="Q1049" i="1"/>
  <c r="R1048" i="1"/>
  <c r="Q1048" i="1"/>
  <c r="R1047" i="1"/>
  <c r="Q1047" i="1"/>
  <c r="R1046" i="1"/>
  <c r="Q1046" i="1"/>
  <c r="R1045" i="1"/>
  <c r="Q1045" i="1"/>
  <c r="R1044" i="1"/>
  <c r="Q1044" i="1"/>
  <c r="R1043" i="1"/>
  <c r="Q1043" i="1"/>
  <c r="R1042" i="1"/>
  <c r="Q1042" i="1"/>
  <c r="R1041" i="1"/>
  <c r="Q1041" i="1"/>
  <c r="R1040" i="1"/>
  <c r="Q1040" i="1"/>
  <c r="R1039" i="1"/>
  <c r="Q1039" i="1"/>
  <c r="R1038" i="1"/>
  <c r="Q1038" i="1"/>
  <c r="R1037" i="1"/>
  <c r="Q1037" i="1"/>
  <c r="R1036" i="1"/>
  <c r="Q1036" i="1"/>
  <c r="R1035" i="1"/>
  <c r="Q1035" i="1"/>
  <c r="R1034" i="1"/>
  <c r="Q1034" i="1"/>
  <c r="R1033" i="1"/>
  <c r="Q1033" i="1"/>
  <c r="R1032" i="1"/>
  <c r="Q1032" i="1"/>
  <c r="R1031" i="1"/>
  <c r="Q1031" i="1"/>
  <c r="R1030" i="1"/>
  <c r="Q1030" i="1"/>
  <c r="R1029" i="1"/>
  <c r="Q1029" i="1"/>
  <c r="R1028" i="1"/>
  <c r="Q1028" i="1"/>
  <c r="R1027" i="1"/>
  <c r="Q1027" i="1"/>
  <c r="R1026" i="1"/>
  <c r="Q1026" i="1"/>
  <c r="R1025" i="1"/>
  <c r="Q1025" i="1"/>
  <c r="R1024" i="1"/>
  <c r="Q1024" i="1"/>
  <c r="R1023" i="1"/>
  <c r="Q1023" i="1"/>
  <c r="R1022" i="1"/>
  <c r="Q1022" i="1"/>
  <c r="R1021" i="1"/>
  <c r="Q1021" i="1"/>
  <c r="R1020" i="1"/>
  <c r="Q1020" i="1"/>
  <c r="R1019" i="1"/>
  <c r="Q1019" i="1"/>
  <c r="R1018" i="1"/>
  <c r="Q1018" i="1"/>
  <c r="R1017" i="1"/>
  <c r="Q1017" i="1"/>
  <c r="R1016" i="1"/>
  <c r="Q1016" i="1"/>
  <c r="R1015" i="1"/>
  <c r="Q1015" i="1"/>
  <c r="R1014" i="1"/>
  <c r="Q1014" i="1"/>
  <c r="R1013" i="1"/>
  <c r="Q1013" i="1"/>
  <c r="R1012" i="1"/>
  <c r="Q1012" i="1"/>
  <c r="R1011" i="1"/>
  <c r="Q1011" i="1"/>
  <c r="R1010" i="1"/>
  <c r="Q1010" i="1"/>
  <c r="R1009" i="1"/>
  <c r="Q1009" i="1"/>
  <c r="R1008" i="1"/>
  <c r="Q1008" i="1"/>
  <c r="R1007" i="1"/>
  <c r="Q1007" i="1"/>
  <c r="R1006" i="1"/>
  <c r="Q1006" i="1"/>
  <c r="R1005" i="1"/>
  <c r="Q1005" i="1"/>
  <c r="R1004" i="1"/>
  <c r="Q1004" i="1"/>
  <c r="R1003" i="1"/>
  <c r="Q1003" i="1"/>
  <c r="R1002" i="1"/>
  <c r="Q1002" i="1"/>
  <c r="R1001" i="1"/>
  <c r="Q1001" i="1"/>
  <c r="R1000" i="1"/>
  <c r="Q1000" i="1"/>
  <c r="R999" i="1"/>
  <c r="Q999" i="1"/>
  <c r="R998" i="1"/>
  <c r="Q998" i="1"/>
  <c r="R997" i="1"/>
  <c r="Q997" i="1"/>
  <c r="R996" i="1"/>
  <c r="Q996" i="1"/>
  <c r="R995" i="1"/>
  <c r="Q995" i="1"/>
  <c r="R994" i="1"/>
  <c r="Q994" i="1"/>
  <c r="R993" i="1"/>
  <c r="Q993" i="1"/>
  <c r="R992" i="1"/>
  <c r="Q992" i="1"/>
  <c r="R991" i="1"/>
  <c r="Q991" i="1"/>
  <c r="R990" i="1"/>
  <c r="Q990" i="1"/>
  <c r="R989" i="1"/>
  <c r="Q989" i="1"/>
  <c r="R988" i="1"/>
  <c r="Q988" i="1"/>
  <c r="R987" i="1"/>
  <c r="Q987" i="1"/>
  <c r="R986" i="1"/>
  <c r="Q986" i="1"/>
  <c r="R985" i="1"/>
  <c r="Q985" i="1"/>
  <c r="R984" i="1"/>
  <c r="Q984" i="1"/>
  <c r="R983" i="1"/>
  <c r="Q983" i="1"/>
  <c r="R982" i="1"/>
  <c r="Q982" i="1"/>
  <c r="R981" i="1"/>
  <c r="Q981" i="1"/>
  <c r="R980" i="1"/>
  <c r="Q980" i="1"/>
  <c r="R979" i="1"/>
  <c r="Q979" i="1"/>
  <c r="R978" i="1"/>
  <c r="Q978" i="1"/>
  <c r="R977" i="1"/>
  <c r="Q977" i="1"/>
  <c r="R976" i="1"/>
  <c r="Q976" i="1"/>
  <c r="R975" i="1"/>
  <c r="Q975" i="1"/>
  <c r="R974" i="1"/>
  <c r="Q974" i="1"/>
  <c r="R973" i="1"/>
  <c r="Q973" i="1"/>
  <c r="R972" i="1"/>
  <c r="Q972" i="1"/>
  <c r="R971" i="1"/>
  <c r="Q971" i="1"/>
  <c r="R970" i="1"/>
  <c r="Q970" i="1"/>
  <c r="R969" i="1"/>
  <c r="Q969" i="1"/>
  <c r="R968" i="1"/>
  <c r="Q968" i="1"/>
  <c r="R967" i="1"/>
  <c r="Q967" i="1"/>
  <c r="R966" i="1"/>
  <c r="Q966" i="1"/>
  <c r="R965" i="1"/>
  <c r="Q965" i="1"/>
  <c r="R964" i="1"/>
  <c r="Q964" i="1"/>
  <c r="R963" i="1"/>
  <c r="Q963" i="1"/>
  <c r="R962" i="1"/>
  <c r="Q962" i="1"/>
  <c r="R961" i="1"/>
  <c r="Q961" i="1"/>
  <c r="R960" i="1"/>
  <c r="Q960" i="1"/>
  <c r="R959" i="1"/>
  <c r="Q959" i="1"/>
  <c r="R958" i="1"/>
  <c r="Q958" i="1"/>
  <c r="R957" i="1"/>
  <c r="Q957" i="1"/>
  <c r="R956" i="1"/>
  <c r="Q956" i="1"/>
  <c r="R955" i="1"/>
  <c r="Q955" i="1"/>
  <c r="R954" i="1"/>
  <c r="Q954" i="1"/>
  <c r="R953" i="1"/>
  <c r="Q953" i="1"/>
  <c r="R952" i="1"/>
  <c r="Q952" i="1"/>
  <c r="R951" i="1"/>
  <c r="Q951" i="1"/>
  <c r="R950" i="1"/>
  <c r="Q950" i="1"/>
  <c r="R949" i="1"/>
  <c r="Q949" i="1"/>
  <c r="R948" i="1"/>
  <c r="Q948" i="1"/>
  <c r="R947" i="1"/>
  <c r="Q947" i="1"/>
  <c r="R946" i="1"/>
  <c r="Q946" i="1"/>
  <c r="R945" i="1"/>
  <c r="Q945" i="1"/>
  <c r="R944" i="1"/>
  <c r="Q944" i="1"/>
  <c r="R943" i="1"/>
  <c r="Q943" i="1"/>
  <c r="R942" i="1"/>
  <c r="Q942" i="1"/>
  <c r="R941" i="1"/>
  <c r="Q941" i="1"/>
  <c r="R940" i="1"/>
  <c r="Q940" i="1"/>
  <c r="R939" i="1"/>
  <c r="Q939" i="1"/>
  <c r="R938" i="1"/>
  <c r="Q938" i="1"/>
  <c r="R937" i="1"/>
  <c r="Q937" i="1"/>
  <c r="R936" i="1"/>
  <c r="Q936" i="1"/>
  <c r="R935" i="1"/>
  <c r="Q935" i="1"/>
  <c r="R934" i="1"/>
  <c r="Q934" i="1"/>
  <c r="R933" i="1"/>
  <c r="Q933" i="1"/>
  <c r="R932" i="1"/>
  <c r="Q932" i="1"/>
  <c r="R931" i="1"/>
  <c r="Q931" i="1"/>
  <c r="R930" i="1"/>
  <c r="Q930" i="1"/>
  <c r="R929" i="1"/>
  <c r="Q929" i="1"/>
  <c r="R928" i="1"/>
  <c r="Q928" i="1"/>
  <c r="R927" i="1"/>
  <c r="Q927" i="1"/>
  <c r="R926" i="1"/>
  <c r="Q926" i="1"/>
  <c r="R925" i="1"/>
  <c r="Q925" i="1"/>
  <c r="R924" i="1"/>
  <c r="Q924" i="1"/>
  <c r="R923" i="1"/>
  <c r="Q923" i="1"/>
  <c r="R922" i="1"/>
  <c r="Q922" i="1"/>
  <c r="R921" i="1"/>
  <c r="Q921" i="1"/>
  <c r="R920" i="1"/>
  <c r="Q920" i="1"/>
  <c r="R919" i="1"/>
  <c r="Q919" i="1"/>
  <c r="R918" i="1"/>
  <c r="Q918" i="1"/>
  <c r="R917" i="1"/>
  <c r="Q917" i="1"/>
  <c r="R916" i="1"/>
  <c r="Q916" i="1"/>
  <c r="R915" i="1"/>
  <c r="Q915" i="1"/>
  <c r="R914" i="1"/>
  <c r="Q914" i="1"/>
  <c r="R913" i="1"/>
  <c r="Q913" i="1"/>
  <c r="R912" i="1"/>
  <c r="Q912" i="1"/>
  <c r="R911" i="1"/>
  <c r="Q911" i="1"/>
  <c r="R910" i="1"/>
  <c r="Q910" i="1"/>
  <c r="R909" i="1"/>
  <c r="Q909" i="1"/>
  <c r="R908" i="1"/>
  <c r="Q908" i="1"/>
  <c r="R907" i="1"/>
  <c r="Q907" i="1"/>
  <c r="R906" i="1"/>
  <c r="Q906" i="1"/>
  <c r="R905" i="1"/>
  <c r="Q905" i="1"/>
  <c r="R904" i="1"/>
  <c r="Q904" i="1"/>
  <c r="R903" i="1"/>
  <c r="Q903" i="1"/>
  <c r="R902" i="1"/>
  <c r="Q902" i="1"/>
  <c r="R901" i="1"/>
  <c r="Q901" i="1"/>
  <c r="R900" i="1"/>
  <c r="Q900" i="1"/>
  <c r="R899" i="1"/>
  <c r="Q899" i="1"/>
  <c r="R898" i="1"/>
  <c r="Q898" i="1"/>
  <c r="R897" i="1"/>
  <c r="Q897" i="1"/>
  <c r="R896" i="1"/>
  <c r="Q896" i="1"/>
  <c r="R895" i="1"/>
  <c r="Q895" i="1"/>
  <c r="R894" i="1"/>
  <c r="Q894" i="1"/>
  <c r="R893" i="1"/>
  <c r="Q893" i="1"/>
  <c r="R892" i="1"/>
  <c r="Q892" i="1"/>
  <c r="R891" i="1"/>
  <c r="Q891" i="1"/>
  <c r="R890" i="1"/>
  <c r="Q890" i="1"/>
  <c r="R889" i="1"/>
  <c r="Q889" i="1"/>
  <c r="R888" i="1"/>
  <c r="Q888" i="1"/>
  <c r="R887" i="1"/>
  <c r="Q887" i="1"/>
  <c r="R886" i="1"/>
  <c r="Q886" i="1"/>
  <c r="R885" i="1"/>
  <c r="Q885" i="1"/>
  <c r="R884" i="1"/>
  <c r="Q884" i="1"/>
  <c r="R883" i="1"/>
  <c r="Q883" i="1"/>
  <c r="R882" i="1"/>
  <c r="Q882" i="1"/>
  <c r="R881" i="1"/>
  <c r="Q881" i="1"/>
  <c r="R880" i="1"/>
  <c r="Q880" i="1"/>
  <c r="R879" i="1"/>
  <c r="Q879" i="1"/>
  <c r="R878" i="1"/>
  <c r="Q878" i="1"/>
  <c r="R877" i="1"/>
  <c r="Q877" i="1"/>
  <c r="R876" i="1"/>
  <c r="Q876" i="1"/>
  <c r="R875" i="1"/>
  <c r="Q875" i="1"/>
  <c r="R874" i="1"/>
  <c r="Q874" i="1"/>
  <c r="R873" i="1"/>
  <c r="Q873" i="1"/>
  <c r="R872" i="1"/>
  <c r="Q872" i="1"/>
  <c r="R871" i="1"/>
  <c r="Q871" i="1"/>
  <c r="R870" i="1"/>
  <c r="Q870" i="1"/>
  <c r="R869" i="1"/>
  <c r="Q869" i="1"/>
  <c r="R868" i="1"/>
  <c r="Q868" i="1"/>
  <c r="R867" i="1"/>
  <c r="Q867" i="1"/>
  <c r="R866" i="1"/>
  <c r="Q866" i="1"/>
  <c r="R865" i="1"/>
  <c r="Q865" i="1"/>
  <c r="R864" i="1"/>
  <c r="Q864" i="1"/>
  <c r="R863" i="1"/>
  <c r="Q863" i="1"/>
  <c r="R862" i="1"/>
  <c r="Q862" i="1"/>
  <c r="R861" i="1"/>
  <c r="Q861" i="1"/>
  <c r="R860" i="1"/>
  <c r="Q860" i="1"/>
  <c r="R859" i="1"/>
  <c r="Q859" i="1"/>
  <c r="R858" i="1"/>
  <c r="Q858" i="1"/>
  <c r="R857" i="1"/>
  <c r="Q857" i="1"/>
  <c r="R856" i="1"/>
  <c r="Q856" i="1"/>
  <c r="R855" i="1"/>
  <c r="Q855" i="1"/>
  <c r="R854" i="1"/>
  <c r="Q854" i="1"/>
  <c r="R853" i="1"/>
  <c r="Q853" i="1"/>
  <c r="R852" i="1"/>
  <c r="Q852" i="1"/>
  <c r="R851" i="1"/>
  <c r="Q851" i="1"/>
  <c r="R850" i="1"/>
  <c r="Q850" i="1"/>
  <c r="R849" i="1"/>
  <c r="Q849" i="1"/>
  <c r="R848" i="1"/>
  <c r="Q848" i="1"/>
  <c r="R847" i="1"/>
  <c r="Q847" i="1"/>
  <c r="R846" i="1"/>
  <c r="Q846" i="1"/>
  <c r="R845" i="1"/>
  <c r="Q845" i="1"/>
  <c r="R844" i="1"/>
  <c r="Q844" i="1"/>
  <c r="R843" i="1"/>
  <c r="Q843" i="1"/>
  <c r="R842" i="1"/>
  <c r="Q842" i="1"/>
  <c r="R841" i="1"/>
  <c r="Q841" i="1"/>
  <c r="R840" i="1"/>
  <c r="Q840" i="1"/>
  <c r="R839" i="1"/>
  <c r="Q839" i="1"/>
  <c r="R838" i="1"/>
  <c r="Q838" i="1"/>
  <c r="R837" i="1"/>
  <c r="Q837" i="1"/>
  <c r="R836" i="1"/>
  <c r="Q836" i="1"/>
  <c r="R835" i="1"/>
  <c r="Q835" i="1"/>
  <c r="R834" i="1"/>
  <c r="Q834" i="1"/>
  <c r="R833" i="1"/>
  <c r="Q833" i="1"/>
  <c r="R832" i="1"/>
  <c r="Q832" i="1"/>
  <c r="R831" i="1"/>
  <c r="Q831" i="1"/>
  <c r="R830" i="1"/>
  <c r="Q830" i="1"/>
  <c r="R829" i="1"/>
  <c r="Q829" i="1"/>
  <c r="R828" i="1"/>
  <c r="Q828" i="1"/>
  <c r="R827" i="1"/>
  <c r="Q827" i="1"/>
  <c r="R826" i="1"/>
  <c r="Q826" i="1"/>
  <c r="R825" i="1"/>
  <c r="Q825" i="1"/>
  <c r="R824" i="1"/>
  <c r="Q824" i="1"/>
  <c r="R823" i="1"/>
  <c r="Q823" i="1"/>
  <c r="R822" i="1"/>
  <c r="Q822" i="1"/>
  <c r="R821" i="1"/>
  <c r="Q821" i="1"/>
  <c r="R820" i="1"/>
  <c r="Q820" i="1"/>
  <c r="R819" i="1"/>
  <c r="Q819" i="1"/>
  <c r="R818" i="1"/>
  <c r="Q818" i="1"/>
  <c r="R817" i="1"/>
  <c r="Q817" i="1"/>
  <c r="R816" i="1"/>
  <c r="Q816" i="1"/>
  <c r="R815" i="1"/>
  <c r="Q815" i="1"/>
  <c r="R814" i="1"/>
  <c r="Q814" i="1"/>
  <c r="R813" i="1"/>
  <c r="Q813" i="1"/>
  <c r="R812" i="1"/>
  <c r="Q812" i="1"/>
  <c r="R811" i="1"/>
  <c r="Q811" i="1"/>
  <c r="R810" i="1"/>
  <c r="Q810" i="1"/>
  <c r="R809" i="1"/>
  <c r="Q809" i="1"/>
  <c r="R808" i="1"/>
  <c r="Q808" i="1"/>
  <c r="R807" i="1"/>
  <c r="Q807" i="1"/>
  <c r="R806" i="1"/>
  <c r="Q806" i="1"/>
  <c r="R805" i="1"/>
  <c r="Q805" i="1"/>
  <c r="R804" i="1"/>
  <c r="Q804" i="1"/>
  <c r="R803" i="1"/>
  <c r="Q803" i="1"/>
  <c r="R802" i="1"/>
  <c r="Q802" i="1"/>
  <c r="R801" i="1"/>
  <c r="Q801" i="1"/>
  <c r="R800" i="1"/>
  <c r="Q800" i="1"/>
  <c r="R799" i="1"/>
  <c r="Q799" i="1"/>
  <c r="R798" i="1"/>
  <c r="Q798" i="1"/>
  <c r="R797" i="1"/>
  <c r="Q797" i="1"/>
  <c r="R796" i="1"/>
  <c r="Q796" i="1"/>
  <c r="R795" i="1"/>
  <c r="Q795" i="1"/>
  <c r="R794" i="1"/>
  <c r="Q794" i="1"/>
  <c r="R793" i="1"/>
  <c r="Q793" i="1"/>
  <c r="R792" i="1"/>
  <c r="Q792" i="1"/>
  <c r="R791" i="1"/>
  <c r="Q791" i="1"/>
  <c r="R790" i="1"/>
  <c r="Q790" i="1"/>
  <c r="R789" i="1"/>
  <c r="Q789" i="1"/>
  <c r="R788" i="1"/>
  <c r="Q788" i="1"/>
  <c r="R787" i="1"/>
  <c r="Q787" i="1"/>
  <c r="R786" i="1"/>
  <c r="Q786" i="1"/>
  <c r="R785" i="1"/>
  <c r="Q785" i="1"/>
  <c r="R784" i="1"/>
  <c r="Q784" i="1"/>
  <c r="R783" i="1"/>
  <c r="Q783" i="1"/>
  <c r="R782" i="1"/>
  <c r="Q782" i="1"/>
  <c r="R781" i="1"/>
  <c r="Q781" i="1"/>
  <c r="R780" i="1"/>
  <c r="Q780" i="1"/>
  <c r="R779" i="1"/>
  <c r="Q779" i="1"/>
  <c r="R778" i="1"/>
  <c r="Q778" i="1"/>
  <c r="R777" i="1"/>
  <c r="Q777" i="1"/>
  <c r="R776" i="1"/>
  <c r="Q776" i="1"/>
  <c r="R775" i="1"/>
  <c r="Q775" i="1"/>
  <c r="R774" i="1"/>
  <c r="Q774" i="1"/>
  <c r="R773" i="1"/>
  <c r="Q773" i="1"/>
  <c r="R772" i="1"/>
  <c r="Q772" i="1"/>
  <c r="R771" i="1"/>
  <c r="Q771" i="1"/>
  <c r="R770" i="1"/>
  <c r="Q770" i="1"/>
  <c r="R769" i="1"/>
  <c r="Q769" i="1"/>
  <c r="R768" i="1"/>
  <c r="Q768" i="1"/>
  <c r="R767" i="1"/>
  <c r="Q767" i="1"/>
  <c r="R766" i="1"/>
  <c r="Q766" i="1"/>
  <c r="R765" i="1"/>
  <c r="Q765" i="1"/>
  <c r="R764" i="1"/>
  <c r="Q764" i="1"/>
  <c r="R763" i="1"/>
  <c r="Q763" i="1"/>
  <c r="R762" i="1"/>
  <c r="Q762" i="1"/>
  <c r="R761" i="1"/>
  <c r="Q761" i="1"/>
  <c r="R760" i="1"/>
  <c r="Q760" i="1"/>
  <c r="R759" i="1"/>
  <c r="Q759" i="1"/>
  <c r="R758" i="1"/>
  <c r="Q758" i="1"/>
  <c r="R757" i="1"/>
  <c r="Q757" i="1"/>
  <c r="R756" i="1"/>
  <c r="Q756" i="1"/>
  <c r="R755" i="1"/>
  <c r="Q755" i="1"/>
  <c r="R754" i="1"/>
  <c r="Q754" i="1"/>
  <c r="R753" i="1"/>
  <c r="Q753" i="1"/>
  <c r="R752" i="1"/>
  <c r="Q752" i="1"/>
  <c r="R751" i="1"/>
  <c r="Q751" i="1"/>
  <c r="R750" i="1"/>
  <c r="Q750" i="1"/>
  <c r="R749" i="1"/>
  <c r="Q749" i="1"/>
  <c r="R748" i="1"/>
  <c r="Q748" i="1"/>
  <c r="R747" i="1"/>
  <c r="Q747" i="1"/>
  <c r="R746" i="1"/>
  <c r="Q746" i="1"/>
  <c r="R745" i="1"/>
  <c r="Q745" i="1"/>
  <c r="R744" i="1"/>
  <c r="Q744" i="1"/>
  <c r="R743" i="1"/>
  <c r="Q743" i="1"/>
  <c r="R742" i="1"/>
  <c r="Q742" i="1"/>
  <c r="R741" i="1"/>
  <c r="Q741" i="1"/>
  <c r="R740" i="1"/>
  <c r="Q740" i="1"/>
  <c r="R739" i="1"/>
  <c r="Q739" i="1"/>
  <c r="R738" i="1"/>
  <c r="Q738" i="1"/>
  <c r="R737" i="1"/>
  <c r="Q737" i="1"/>
  <c r="R736" i="1"/>
  <c r="Q736" i="1"/>
  <c r="R735" i="1"/>
  <c r="Q735" i="1"/>
  <c r="R734" i="1"/>
  <c r="Q734" i="1"/>
  <c r="R733" i="1"/>
  <c r="Q733" i="1"/>
  <c r="R732" i="1"/>
  <c r="Q732" i="1"/>
  <c r="R731" i="1"/>
  <c r="Q731" i="1"/>
  <c r="R730" i="1"/>
  <c r="Q730" i="1"/>
  <c r="R729" i="1"/>
  <c r="Q729" i="1"/>
  <c r="R728" i="1"/>
  <c r="Q728" i="1"/>
  <c r="R727" i="1"/>
  <c r="Q727" i="1"/>
  <c r="R726" i="1"/>
  <c r="Q726" i="1"/>
  <c r="R725" i="1"/>
  <c r="Q725" i="1"/>
  <c r="R724" i="1"/>
  <c r="Q724" i="1"/>
  <c r="R723" i="1"/>
  <c r="Q723" i="1"/>
  <c r="R722" i="1"/>
  <c r="Q722" i="1"/>
  <c r="R721" i="1"/>
  <c r="Q721" i="1"/>
  <c r="R720" i="1"/>
  <c r="Q720" i="1"/>
  <c r="R719" i="1"/>
  <c r="Q719" i="1"/>
  <c r="R718" i="1"/>
  <c r="Q718" i="1"/>
  <c r="R717" i="1"/>
  <c r="Q717" i="1"/>
  <c r="R716" i="1"/>
  <c r="Q716" i="1"/>
  <c r="R715" i="1"/>
  <c r="Q715" i="1"/>
  <c r="R714" i="1"/>
  <c r="Q714" i="1"/>
  <c r="R713" i="1"/>
  <c r="Q713" i="1"/>
  <c r="R712" i="1"/>
  <c r="Q712" i="1"/>
  <c r="R711" i="1"/>
  <c r="Q711" i="1"/>
  <c r="R710" i="1"/>
  <c r="Q710" i="1"/>
  <c r="R709" i="1"/>
  <c r="Q709" i="1"/>
  <c r="R708" i="1"/>
  <c r="Q708" i="1"/>
  <c r="R707" i="1"/>
  <c r="Q707" i="1"/>
  <c r="R706" i="1"/>
  <c r="Q706" i="1"/>
  <c r="R705" i="1"/>
  <c r="Q705" i="1"/>
  <c r="R704" i="1"/>
  <c r="Q704" i="1"/>
  <c r="R703" i="1"/>
  <c r="Q703" i="1"/>
  <c r="R702" i="1"/>
  <c r="Q702" i="1"/>
  <c r="R701" i="1"/>
  <c r="Q701" i="1"/>
  <c r="R700" i="1"/>
  <c r="Q700" i="1"/>
  <c r="R699" i="1"/>
  <c r="Q699" i="1"/>
  <c r="R698" i="1"/>
  <c r="Q698" i="1"/>
  <c r="R697" i="1"/>
  <c r="Q697" i="1"/>
  <c r="R696" i="1"/>
  <c r="Q696" i="1"/>
  <c r="R695" i="1"/>
  <c r="Q695" i="1"/>
  <c r="R694" i="1"/>
  <c r="Q694" i="1"/>
  <c r="R693" i="1"/>
  <c r="Q693" i="1"/>
  <c r="R692" i="1"/>
  <c r="Q692" i="1"/>
  <c r="R691" i="1"/>
  <c r="Q691" i="1"/>
  <c r="R690" i="1"/>
  <c r="Q690" i="1"/>
  <c r="R689" i="1"/>
  <c r="Q689" i="1"/>
  <c r="R688" i="1"/>
  <c r="Q688" i="1"/>
  <c r="R687" i="1"/>
  <c r="Q687" i="1"/>
  <c r="R686" i="1"/>
  <c r="Q686" i="1"/>
  <c r="R685" i="1"/>
  <c r="Q685" i="1"/>
  <c r="R684" i="1"/>
  <c r="Q684" i="1"/>
  <c r="R683" i="1"/>
  <c r="Q683" i="1"/>
  <c r="R682" i="1"/>
  <c r="Q682" i="1"/>
  <c r="R681" i="1"/>
  <c r="Q681" i="1"/>
  <c r="R680" i="1"/>
  <c r="Q680" i="1"/>
  <c r="R679" i="1"/>
  <c r="Q679" i="1"/>
  <c r="R678" i="1"/>
  <c r="Q678" i="1"/>
  <c r="R677" i="1"/>
  <c r="Q677" i="1"/>
  <c r="R676" i="1"/>
  <c r="Q676" i="1"/>
  <c r="R675" i="1"/>
  <c r="Q675" i="1"/>
  <c r="R674" i="1"/>
  <c r="Q674" i="1"/>
  <c r="R673" i="1"/>
  <c r="Q673" i="1"/>
  <c r="R672" i="1"/>
  <c r="Q672" i="1"/>
  <c r="R671" i="1"/>
  <c r="Q671" i="1"/>
  <c r="R670" i="1"/>
  <c r="Q670" i="1"/>
  <c r="R669" i="1"/>
  <c r="Q669" i="1"/>
  <c r="R668" i="1"/>
  <c r="Q668" i="1"/>
  <c r="R667" i="1"/>
  <c r="Q667" i="1"/>
  <c r="R666" i="1"/>
  <c r="Q666" i="1"/>
  <c r="R665" i="1"/>
  <c r="Q665" i="1"/>
  <c r="R664" i="1"/>
  <c r="Q664" i="1"/>
  <c r="R663" i="1"/>
  <c r="Q663" i="1"/>
  <c r="R662" i="1"/>
  <c r="Q662" i="1"/>
  <c r="R661" i="1"/>
  <c r="Q661" i="1"/>
  <c r="R660" i="1"/>
  <c r="Q660" i="1"/>
  <c r="R659" i="1"/>
  <c r="Q659" i="1"/>
  <c r="R658" i="1"/>
  <c r="Q658" i="1"/>
  <c r="R657" i="1"/>
  <c r="Q657" i="1"/>
  <c r="R656" i="1"/>
  <c r="Q656" i="1"/>
  <c r="R655" i="1"/>
  <c r="Q655" i="1"/>
  <c r="R654" i="1"/>
  <c r="Q654" i="1"/>
  <c r="R653" i="1"/>
  <c r="Q653" i="1"/>
  <c r="R652" i="1"/>
  <c r="Q652" i="1"/>
  <c r="R651" i="1"/>
  <c r="Q651" i="1"/>
  <c r="R650" i="1"/>
  <c r="Q650" i="1"/>
  <c r="R649" i="1"/>
  <c r="Q649" i="1"/>
  <c r="R648" i="1"/>
  <c r="Q648" i="1"/>
  <c r="R647" i="1"/>
  <c r="Q647" i="1"/>
  <c r="R646" i="1"/>
  <c r="Q646" i="1"/>
  <c r="R645" i="1"/>
  <c r="Q645" i="1"/>
  <c r="R644" i="1"/>
  <c r="Q644" i="1"/>
  <c r="R643" i="1"/>
  <c r="Q643" i="1"/>
  <c r="R642" i="1"/>
  <c r="Q642" i="1"/>
  <c r="R641" i="1"/>
  <c r="Q641" i="1"/>
  <c r="R640" i="1"/>
  <c r="Q640" i="1"/>
  <c r="R639" i="1"/>
  <c r="Q639" i="1"/>
  <c r="R638" i="1"/>
  <c r="Q638" i="1"/>
  <c r="R637" i="1"/>
  <c r="Q637" i="1"/>
  <c r="R636" i="1"/>
  <c r="Q636" i="1"/>
  <c r="R635" i="1"/>
  <c r="Q635" i="1"/>
  <c r="R634" i="1"/>
  <c r="Q634" i="1"/>
  <c r="R633" i="1"/>
  <c r="Q633" i="1"/>
  <c r="R632" i="1"/>
  <c r="Q632" i="1"/>
  <c r="R631" i="1"/>
  <c r="Q631" i="1"/>
  <c r="R630" i="1"/>
  <c r="Q630" i="1"/>
  <c r="R629" i="1"/>
  <c r="Q629" i="1"/>
  <c r="R628" i="1"/>
  <c r="Q628" i="1"/>
  <c r="R627" i="1"/>
  <c r="Q627" i="1"/>
  <c r="R626" i="1"/>
  <c r="Q626" i="1"/>
  <c r="R625" i="1"/>
  <c r="Q625" i="1"/>
  <c r="R624" i="1"/>
  <c r="Q624" i="1"/>
  <c r="R623" i="1"/>
  <c r="Q623" i="1"/>
  <c r="R622" i="1"/>
  <c r="Q622" i="1"/>
  <c r="R621" i="1"/>
  <c r="Q621" i="1"/>
  <c r="R620" i="1"/>
  <c r="Q620" i="1"/>
  <c r="R619" i="1"/>
  <c r="Q619" i="1"/>
  <c r="R618" i="1"/>
  <c r="Q618" i="1"/>
  <c r="R617" i="1"/>
  <c r="Q617" i="1"/>
  <c r="R616" i="1"/>
  <c r="Q616" i="1"/>
  <c r="R615" i="1"/>
  <c r="Q615" i="1"/>
  <c r="R614" i="1"/>
  <c r="Q614" i="1"/>
  <c r="R613" i="1"/>
  <c r="Q613" i="1"/>
  <c r="R612" i="1"/>
  <c r="Q612" i="1"/>
  <c r="R611" i="1"/>
  <c r="Q611" i="1"/>
  <c r="R610" i="1"/>
  <c r="Q610" i="1"/>
  <c r="R609" i="1"/>
  <c r="Q609" i="1"/>
  <c r="R608" i="1"/>
  <c r="Q608" i="1"/>
  <c r="R607" i="1"/>
  <c r="Q607" i="1"/>
  <c r="R606" i="1"/>
  <c r="Q606" i="1"/>
  <c r="R605" i="1"/>
  <c r="Q605" i="1"/>
  <c r="R604" i="1"/>
  <c r="Q604" i="1"/>
  <c r="R603" i="1"/>
  <c r="Q603" i="1"/>
  <c r="R602" i="1"/>
  <c r="Q602" i="1"/>
  <c r="R601" i="1"/>
  <c r="Q601" i="1"/>
  <c r="R600" i="1"/>
  <c r="Q600" i="1"/>
  <c r="R599" i="1"/>
  <c r="Q599" i="1"/>
  <c r="R598" i="1"/>
  <c r="Q598" i="1"/>
  <c r="R597" i="1"/>
  <c r="Q597" i="1"/>
  <c r="R596" i="1"/>
  <c r="Q596" i="1"/>
  <c r="R595" i="1"/>
  <c r="Q595" i="1"/>
  <c r="R594" i="1"/>
  <c r="Q594" i="1"/>
  <c r="R593" i="1"/>
  <c r="Q593" i="1"/>
  <c r="R592" i="1"/>
  <c r="Q592" i="1"/>
  <c r="R591" i="1"/>
  <c r="Q591" i="1"/>
  <c r="R590" i="1"/>
  <c r="Q590" i="1"/>
  <c r="R589" i="1"/>
  <c r="Q589" i="1"/>
  <c r="R588" i="1"/>
  <c r="Q588" i="1"/>
  <c r="R587" i="1"/>
  <c r="Q587" i="1"/>
  <c r="R586" i="1"/>
  <c r="Q586" i="1"/>
  <c r="R585" i="1"/>
  <c r="Q585" i="1"/>
  <c r="R584" i="1"/>
  <c r="Q584" i="1"/>
  <c r="R583" i="1"/>
  <c r="Q583" i="1"/>
  <c r="R582" i="1"/>
  <c r="Q582" i="1"/>
  <c r="R581" i="1"/>
  <c r="Q581" i="1"/>
  <c r="R580" i="1"/>
  <c r="Q580" i="1"/>
  <c r="R579" i="1"/>
  <c r="Q579" i="1"/>
  <c r="R578" i="1"/>
  <c r="Q578" i="1"/>
  <c r="R577" i="1"/>
  <c r="Q577" i="1"/>
  <c r="R576" i="1"/>
  <c r="Q576" i="1"/>
  <c r="R575" i="1"/>
  <c r="Q575" i="1"/>
  <c r="R574" i="1"/>
  <c r="Q574" i="1"/>
  <c r="R573" i="1"/>
  <c r="Q573" i="1"/>
  <c r="R572" i="1"/>
  <c r="Q572" i="1"/>
  <c r="R571" i="1"/>
  <c r="Q571" i="1"/>
  <c r="R570" i="1"/>
  <c r="Q570" i="1"/>
  <c r="R569" i="1"/>
  <c r="Q569" i="1"/>
  <c r="R568" i="1"/>
  <c r="Q568" i="1"/>
  <c r="R567" i="1"/>
  <c r="Q567" i="1"/>
  <c r="R566" i="1"/>
  <c r="Q566" i="1"/>
  <c r="R565" i="1"/>
  <c r="Q565" i="1"/>
  <c r="R564" i="1"/>
  <c r="Q564" i="1"/>
  <c r="R563" i="1"/>
  <c r="Q563" i="1"/>
  <c r="R562" i="1"/>
  <c r="Q562" i="1"/>
  <c r="R561" i="1"/>
  <c r="Q561" i="1"/>
  <c r="R560" i="1"/>
  <c r="Q560" i="1"/>
  <c r="R559" i="1"/>
  <c r="Q559" i="1"/>
  <c r="R558" i="1"/>
  <c r="Q558" i="1"/>
  <c r="R557" i="1"/>
  <c r="Q557" i="1"/>
  <c r="R556" i="1"/>
  <c r="Q556" i="1"/>
  <c r="R555" i="1"/>
  <c r="Q555" i="1"/>
  <c r="R554" i="1"/>
  <c r="Q554" i="1"/>
  <c r="R553" i="1"/>
  <c r="Q553" i="1"/>
  <c r="R552" i="1"/>
  <c r="Q552" i="1"/>
  <c r="R551" i="1"/>
  <c r="Q551" i="1"/>
  <c r="R550" i="1"/>
  <c r="Q550" i="1"/>
  <c r="R549" i="1"/>
  <c r="Q549" i="1"/>
  <c r="R548" i="1"/>
  <c r="Q548" i="1"/>
  <c r="R547" i="1"/>
  <c r="Q547" i="1"/>
  <c r="R546" i="1"/>
  <c r="Q546" i="1"/>
  <c r="R545" i="1"/>
  <c r="Q545" i="1"/>
  <c r="R544" i="1"/>
  <c r="Q544" i="1"/>
  <c r="R543" i="1"/>
  <c r="Q543" i="1"/>
  <c r="R542" i="1"/>
  <c r="Q542" i="1"/>
  <c r="R541" i="1"/>
  <c r="Q541" i="1"/>
  <c r="R540" i="1"/>
  <c r="Q540" i="1"/>
  <c r="R539" i="1"/>
  <c r="Q539" i="1"/>
  <c r="R538" i="1"/>
  <c r="Q538" i="1"/>
  <c r="R537" i="1"/>
  <c r="Q537" i="1"/>
  <c r="R536" i="1"/>
  <c r="Q536" i="1"/>
  <c r="R535" i="1"/>
  <c r="Q535" i="1"/>
  <c r="R534" i="1"/>
  <c r="Q534" i="1"/>
  <c r="R533" i="1"/>
  <c r="Q533" i="1"/>
  <c r="R532" i="1"/>
  <c r="Q532" i="1"/>
  <c r="R531" i="1"/>
  <c r="Q531" i="1"/>
  <c r="R530" i="1"/>
  <c r="Q530" i="1"/>
  <c r="R529" i="1"/>
  <c r="Q529" i="1"/>
  <c r="R528" i="1"/>
  <c r="Q528" i="1"/>
  <c r="R527" i="1"/>
  <c r="Q527" i="1"/>
  <c r="R526" i="1"/>
  <c r="Q526" i="1"/>
  <c r="R525" i="1"/>
  <c r="Q525" i="1"/>
  <c r="R524" i="1"/>
  <c r="Q524" i="1"/>
  <c r="R523" i="1"/>
  <c r="Q523" i="1"/>
  <c r="R522" i="1"/>
  <c r="Q522" i="1"/>
  <c r="R521" i="1"/>
  <c r="Q521" i="1"/>
  <c r="R520" i="1"/>
  <c r="Q520" i="1"/>
  <c r="R519" i="1"/>
  <c r="Q519" i="1"/>
  <c r="R518" i="1"/>
  <c r="Q518" i="1"/>
  <c r="R517" i="1"/>
  <c r="Q517" i="1"/>
  <c r="R516" i="1"/>
  <c r="Q516" i="1"/>
  <c r="R515" i="1"/>
  <c r="Q515" i="1"/>
  <c r="R514" i="1"/>
  <c r="Q514" i="1"/>
  <c r="R513" i="1"/>
  <c r="Q513" i="1"/>
  <c r="R512" i="1"/>
  <c r="Q512" i="1"/>
  <c r="R511" i="1"/>
  <c r="Q511" i="1"/>
  <c r="R510" i="1"/>
  <c r="Q510" i="1"/>
  <c r="R509" i="1"/>
  <c r="Q509" i="1"/>
  <c r="R508" i="1"/>
  <c r="Q508" i="1"/>
  <c r="R507" i="1"/>
  <c r="Q507" i="1"/>
  <c r="R506" i="1"/>
  <c r="Q506" i="1"/>
  <c r="R505" i="1"/>
  <c r="Q505" i="1"/>
  <c r="R504" i="1"/>
  <c r="Q504" i="1"/>
  <c r="R503" i="1"/>
  <c r="Q503" i="1"/>
  <c r="R502" i="1"/>
  <c r="Q502" i="1"/>
  <c r="R501" i="1"/>
  <c r="Q501" i="1"/>
  <c r="R500" i="1"/>
  <c r="Q500" i="1"/>
  <c r="R499" i="1"/>
  <c r="Q499" i="1"/>
  <c r="R498" i="1"/>
  <c r="Q498" i="1"/>
  <c r="R497" i="1"/>
  <c r="Q497" i="1"/>
  <c r="R496" i="1"/>
  <c r="Q496" i="1"/>
  <c r="R495" i="1"/>
  <c r="Q495" i="1"/>
  <c r="R494" i="1"/>
  <c r="Q494" i="1"/>
  <c r="R493" i="1"/>
  <c r="Q493" i="1"/>
  <c r="R492" i="1"/>
  <c r="Q492" i="1"/>
  <c r="R491" i="1"/>
  <c r="Q491" i="1"/>
  <c r="R490" i="1"/>
  <c r="Q490" i="1"/>
  <c r="R489" i="1"/>
  <c r="Q489" i="1"/>
  <c r="R488" i="1"/>
  <c r="Q488" i="1"/>
  <c r="R487" i="1"/>
  <c r="Q487" i="1"/>
  <c r="R486" i="1"/>
  <c r="Q486" i="1"/>
  <c r="R485" i="1"/>
  <c r="Q485" i="1"/>
  <c r="R484" i="1"/>
  <c r="Q484" i="1"/>
  <c r="R483" i="1"/>
  <c r="Q483" i="1"/>
  <c r="R482" i="1"/>
  <c r="Q482" i="1"/>
  <c r="R481" i="1"/>
  <c r="Q481" i="1"/>
  <c r="R480" i="1"/>
  <c r="Q480" i="1"/>
  <c r="R479" i="1"/>
  <c r="Q479" i="1"/>
  <c r="R478" i="1"/>
  <c r="Q478" i="1"/>
  <c r="R477" i="1"/>
  <c r="Q477" i="1"/>
  <c r="R476" i="1"/>
  <c r="Q476" i="1"/>
  <c r="R475" i="1"/>
  <c r="Q475" i="1"/>
  <c r="R474" i="1"/>
  <c r="Q474" i="1"/>
  <c r="R473" i="1"/>
  <c r="Q473" i="1"/>
  <c r="R472" i="1"/>
  <c r="Q472" i="1"/>
  <c r="R471" i="1"/>
  <c r="Q471" i="1"/>
  <c r="R470" i="1"/>
  <c r="Q470" i="1"/>
  <c r="R469" i="1"/>
  <c r="Q469" i="1"/>
  <c r="R468" i="1"/>
  <c r="Q468" i="1"/>
  <c r="R467" i="1"/>
  <c r="Q467" i="1"/>
  <c r="R466" i="1"/>
  <c r="Q466" i="1"/>
  <c r="R465" i="1"/>
  <c r="Q465" i="1"/>
  <c r="R464" i="1"/>
  <c r="Q464" i="1"/>
  <c r="R463" i="1"/>
  <c r="Q463" i="1"/>
  <c r="R462" i="1"/>
  <c r="Q462" i="1"/>
  <c r="R461" i="1"/>
  <c r="Q461" i="1"/>
  <c r="R460" i="1"/>
  <c r="Q460" i="1"/>
  <c r="R459" i="1"/>
  <c r="Q459" i="1"/>
  <c r="R458" i="1"/>
  <c r="Q458" i="1"/>
  <c r="R457" i="1"/>
  <c r="Q457" i="1"/>
  <c r="R456" i="1"/>
  <c r="Q456" i="1"/>
  <c r="R455" i="1"/>
  <c r="Q455" i="1"/>
  <c r="R454" i="1"/>
  <c r="Q454" i="1"/>
  <c r="R453" i="1"/>
  <c r="Q453" i="1"/>
  <c r="R452" i="1"/>
  <c r="Q452" i="1"/>
  <c r="R451" i="1"/>
  <c r="Q451" i="1"/>
  <c r="R450" i="1"/>
  <c r="Q450" i="1"/>
  <c r="R449" i="1"/>
  <c r="Q449" i="1"/>
  <c r="R448" i="1"/>
  <c r="Q448" i="1"/>
  <c r="R447" i="1"/>
  <c r="Q447" i="1"/>
  <c r="R446" i="1"/>
  <c r="Q446" i="1"/>
  <c r="R445" i="1"/>
  <c r="Q445" i="1"/>
  <c r="R444" i="1"/>
  <c r="Q444" i="1"/>
  <c r="R443" i="1"/>
  <c r="Q443" i="1"/>
  <c r="R442" i="1"/>
  <c r="Q442" i="1"/>
  <c r="R441" i="1"/>
  <c r="Q441" i="1"/>
  <c r="R440" i="1"/>
  <c r="Q440" i="1"/>
  <c r="R439" i="1"/>
  <c r="Q439" i="1"/>
  <c r="R438" i="1"/>
  <c r="Q438" i="1"/>
  <c r="R437" i="1"/>
  <c r="Q437" i="1"/>
  <c r="R436" i="1"/>
  <c r="Q436" i="1"/>
  <c r="R435" i="1"/>
  <c r="Q435" i="1"/>
  <c r="R434" i="1"/>
  <c r="Q434" i="1"/>
  <c r="R433" i="1"/>
  <c r="Q433" i="1"/>
  <c r="R432" i="1"/>
  <c r="Q432" i="1"/>
  <c r="R431" i="1"/>
  <c r="Q431" i="1"/>
  <c r="R430" i="1"/>
  <c r="Q430" i="1"/>
  <c r="R429" i="1"/>
  <c r="Q429" i="1"/>
  <c r="R428" i="1"/>
  <c r="Q428" i="1"/>
  <c r="R427" i="1"/>
  <c r="Q427" i="1"/>
  <c r="R426" i="1"/>
  <c r="Q426" i="1"/>
  <c r="R425" i="1"/>
  <c r="Q425" i="1"/>
  <c r="R424" i="1"/>
  <c r="Q424" i="1"/>
  <c r="R423" i="1"/>
  <c r="Q423" i="1"/>
  <c r="R422" i="1"/>
  <c r="Q422" i="1"/>
  <c r="R421" i="1"/>
  <c r="Q421" i="1"/>
  <c r="R420" i="1"/>
  <c r="Q420" i="1"/>
  <c r="R419" i="1"/>
  <c r="Q419" i="1"/>
  <c r="R418" i="1"/>
  <c r="Q418" i="1"/>
  <c r="R417" i="1"/>
  <c r="Q417" i="1"/>
  <c r="R416" i="1"/>
  <c r="Q416" i="1"/>
  <c r="R415" i="1"/>
  <c r="Q415" i="1"/>
  <c r="R414" i="1"/>
  <c r="Q414" i="1"/>
  <c r="R413" i="1"/>
  <c r="Q413" i="1"/>
  <c r="R412" i="1"/>
  <c r="Q412" i="1"/>
  <c r="R411" i="1"/>
  <c r="Q411" i="1"/>
  <c r="R410" i="1"/>
  <c r="Q410" i="1"/>
  <c r="R409" i="1"/>
  <c r="Q409" i="1"/>
  <c r="R408" i="1"/>
  <c r="Q408" i="1"/>
  <c r="R407" i="1"/>
  <c r="Q407" i="1"/>
  <c r="R406" i="1"/>
  <c r="Q406" i="1"/>
  <c r="R405" i="1"/>
  <c r="Q405" i="1"/>
  <c r="R404" i="1"/>
  <c r="Q404" i="1"/>
  <c r="R403" i="1"/>
  <c r="Q403" i="1"/>
  <c r="R402" i="1"/>
  <c r="Q402" i="1"/>
  <c r="R401" i="1"/>
  <c r="Q401" i="1"/>
  <c r="R400" i="1"/>
  <c r="Q400" i="1"/>
  <c r="R399" i="1"/>
  <c r="Q399" i="1"/>
  <c r="R398" i="1"/>
  <c r="Q398" i="1"/>
  <c r="R397" i="1"/>
  <c r="Q397" i="1"/>
  <c r="R396" i="1"/>
  <c r="Q396" i="1"/>
  <c r="R395" i="1"/>
  <c r="Q395" i="1"/>
  <c r="R394" i="1"/>
  <c r="Q394" i="1"/>
  <c r="R393" i="1"/>
  <c r="Q393" i="1"/>
  <c r="R392" i="1"/>
  <c r="Q392" i="1"/>
  <c r="R391" i="1"/>
  <c r="Q391" i="1"/>
  <c r="R390" i="1"/>
  <c r="Q390" i="1"/>
  <c r="R389" i="1"/>
  <c r="Q389" i="1"/>
  <c r="R388" i="1"/>
  <c r="Q388" i="1"/>
  <c r="R387" i="1"/>
  <c r="Q387" i="1"/>
  <c r="R386" i="1"/>
  <c r="Q386" i="1"/>
  <c r="R385" i="1"/>
  <c r="Q385" i="1"/>
  <c r="R384" i="1"/>
  <c r="Q384" i="1"/>
  <c r="R383" i="1"/>
  <c r="Q383" i="1"/>
  <c r="R382" i="1"/>
  <c r="Q382" i="1"/>
  <c r="R381" i="1"/>
  <c r="Q381" i="1"/>
  <c r="R380" i="1"/>
  <c r="Q380" i="1"/>
  <c r="R379" i="1"/>
  <c r="Q379" i="1"/>
  <c r="R378" i="1"/>
  <c r="Q378" i="1"/>
  <c r="R377" i="1"/>
  <c r="Q377" i="1"/>
  <c r="R376" i="1"/>
  <c r="Q376" i="1"/>
  <c r="R375" i="1"/>
  <c r="Q375" i="1"/>
  <c r="R374" i="1"/>
  <c r="Q374" i="1"/>
  <c r="R373" i="1"/>
  <c r="Q373" i="1"/>
  <c r="R372" i="1"/>
  <c r="Q372" i="1"/>
  <c r="R371" i="1"/>
  <c r="Q371" i="1"/>
  <c r="R370" i="1"/>
  <c r="Q370" i="1"/>
  <c r="R369" i="1"/>
  <c r="Q369" i="1"/>
  <c r="R368" i="1"/>
  <c r="Q368" i="1"/>
  <c r="R367" i="1"/>
  <c r="Q367" i="1"/>
  <c r="R366" i="1"/>
  <c r="Q366" i="1"/>
  <c r="R365" i="1"/>
  <c r="Q365" i="1"/>
  <c r="R364" i="1"/>
  <c r="Q364" i="1"/>
  <c r="R363" i="1"/>
  <c r="Q363" i="1"/>
  <c r="R362" i="1"/>
  <c r="Q362" i="1"/>
  <c r="R361" i="1"/>
  <c r="Q361" i="1"/>
  <c r="R360" i="1"/>
  <c r="Q360" i="1"/>
  <c r="R359" i="1"/>
  <c r="Q359" i="1"/>
  <c r="R358" i="1"/>
  <c r="Q358" i="1"/>
  <c r="R357" i="1"/>
  <c r="Q357" i="1"/>
  <c r="R356" i="1"/>
  <c r="Q356" i="1"/>
  <c r="R355" i="1"/>
  <c r="Q355" i="1"/>
  <c r="R354" i="1"/>
  <c r="Q354" i="1"/>
  <c r="R353" i="1"/>
  <c r="Q353" i="1"/>
  <c r="R352" i="1"/>
  <c r="Q352" i="1"/>
  <c r="R351" i="1"/>
  <c r="Q351" i="1"/>
  <c r="R350" i="1"/>
  <c r="Q350" i="1"/>
  <c r="R349" i="1"/>
  <c r="Q349" i="1"/>
  <c r="R348" i="1"/>
  <c r="Q348" i="1"/>
  <c r="R347" i="1"/>
  <c r="Q347" i="1"/>
  <c r="R346" i="1"/>
  <c r="Q346" i="1"/>
  <c r="R345" i="1"/>
  <c r="Q345" i="1"/>
  <c r="R344" i="1"/>
  <c r="Q344" i="1"/>
  <c r="R343" i="1"/>
  <c r="Q343" i="1"/>
  <c r="R342" i="1"/>
  <c r="Q342" i="1"/>
  <c r="R341" i="1"/>
  <c r="Q341" i="1"/>
  <c r="R340" i="1"/>
  <c r="Q340" i="1"/>
  <c r="R339" i="1"/>
  <c r="Q339" i="1"/>
  <c r="R338" i="1"/>
  <c r="Q338" i="1"/>
  <c r="R337" i="1"/>
  <c r="Q337" i="1"/>
  <c r="R336" i="1"/>
  <c r="Q336" i="1"/>
  <c r="R335" i="1"/>
  <c r="Q335" i="1"/>
  <c r="R334" i="1"/>
  <c r="Q334" i="1"/>
  <c r="R333" i="1"/>
  <c r="Q333" i="1"/>
  <c r="R332" i="1"/>
  <c r="Q332" i="1"/>
  <c r="R331" i="1"/>
  <c r="Q331" i="1"/>
  <c r="R330" i="1"/>
  <c r="Q330" i="1"/>
  <c r="R329" i="1"/>
  <c r="Q329" i="1"/>
  <c r="R328" i="1"/>
  <c r="Q328" i="1"/>
  <c r="R327" i="1"/>
  <c r="Q327" i="1"/>
  <c r="R326" i="1"/>
  <c r="Q326" i="1"/>
  <c r="R325" i="1"/>
  <c r="Q325" i="1"/>
  <c r="R324" i="1"/>
  <c r="Q324" i="1"/>
  <c r="R323" i="1"/>
  <c r="Q323" i="1"/>
  <c r="R322" i="1"/>
  <c r="Q322" i="1"/>
  <c r="R321" i="1"/>
  <c r="Q321" i="1"/>
  <c r="R320" i="1"/>
  <c r="Q320" i="1"/>
  <c r="R319" i="1"/>
  <c r="Q319" i="1"/>
  <c r="R318" i="1"/>
  <c r="Q318" i="1"/>
  <c r="R317" i="1"/>
  <c r="Q317" i="1"/>
  <c r="R316" i="1"/>
  <c r="Q316" i="1"/>
  <c r="R315" i="1"/>
  <c r="Q315" i="1"/>
  <c r="R314" i="1"/>
  <c r="Q314" i="1"/>
  <c r="R313" i="1"/>
  <c r="Q313" i="1"/>
  <c r="R312" i="1"/>
  <c r="Q312" i="1"/>
  <c r="R311" i="1"/>
  <c r="Q311" i="1"/>
  <c r="R310" i="1"/>
  <c r="Q310" i="1"/>
  <c r="R309" i="1"/>
  <c r="Q309" i="1"/>
  <c r="R308" i="1"/>
  <c r="Q308" i="1"/>
  <c r="R307" i="1"/>
  <c r="Q307" i="1"/>
  <c r="R306" i="1"/>
  <c r="Q306" i="1"/>
  <c r="R305" i="1"/>
  <c r="Q305" i="1"/>
  <c r="R304" i="1"/>
  <c r="Q304" i="1"/>
  <c r="R303" i="1"/>
  <c r="Q303" i="1"/>
  <c r="R302" i="1"/>
  <c r="Q302" i="1"/>
  <c r="R301" i="1"/>
  <c r="Q301" i="1"/>
  <c r="R300" i="1"/>
  <c r="Q300" i="1"/>
  <c r="R299" i="1"/>
  <c r="Q299" i="1"/>
  <c r="R298" i="1"/>
  <c r="Q298" i="1"/>
  <c r="R297" i="1"/>
  <c r="Q297" i="1"/>
  <c r="R296" i="1"/>
  <c r="Q296" i="1"/>
  <c r="R295" i="1"/>
  <c r="Q295" i="1"/>
  <c r="R294" i="1"/>
  <c r="Q294" i="1"/>
  <c r="R293" i="1"/>
  <c r="Q293" i="1"/>
  <c r="R292" i="1"/>
  <c r="Q292" i="1"/>
  <c r="R291" i="1"/>
  <c r="Q291" i="1"/>
  <c r="R290" i="1"/>
  <c r="Q290" i="1"/>
  <c r="R289" i="1"/>
  <c r="Q289" i="1"/>
  <c r="R288" i="1"/>
  <c r="Q288" i="1"/>
  <c r="R287" i="1"/>
  <c r="Q287" i="1"/>
  <c r="R286" i="1"/>
  <c r="Q286" i="1"/>
  <c r="R285" i="1"/>
  <c r="Q285" i="1"/>
  <c r="R284" i="1"/>
  <c r="Q284" i="1"/>
  <c r="R283" i="1"/>
  <c r="Q283" i="1"/>
  <c r="R282" i="1"/>
  <c r="Q282" i="1"/>
  <c r="R281" i="1"/>
  <c r="Q281" i="1"/>
  <c r="R280" i="1"/>
  <c r="Q280" i="1"/>
  <c r="R279" i="1"/>
  <c r="Q279" i="1"/>
  <c r="R278" i="1"/>
  <c r="Q278" i="1"/>
  <c r="R277" i="1"/>
  <c r="Q277" i="1"/>
  <c r="R276" i="1"/>
  <c r="Q276" i="1"/>
  <c r="R275" i="1"/>
  <c r="Q275" i="1"/>
  <c r="R274" i="1"/>
  <c r="Q274" i="1"/>
  <c r="R273" i="1"/>
  <c r="Q273" i="1"/>
  <c r="R272" i="1"/>
  <c r="Q272" i="1"/>
  <c r="R271" i="1"/>
  <c r="Q271" i="1"/>
  <c r="R270" i="1"/>
  <c r="Q270" i="1"/>
  <c r="R269" i="1"/>
  <c r="Q269" i="1"/>
  <c r="R268" i="1"/>
  <c r="Q268" i="1"/>
  <c r="R267" i="1"/>
  <c r="Q267" i="1"/>
  <c r="R266" i="1"/>
  <c r="Q266" i="1"/>
  <c r="R265" i="1"/>
  <c r="Q265" i="1"/>
  <c r="R264" i="1"/>
  <c r="Q264" i="1"/>
  <c r="R263" i="1"/>
  <c r="Q263" i="1"/>
  <c r="R262" i="1"/>
  <c r="Q262" i="1"/>
  <c r="R261" i="1"/>
  <c r="Q261" i="1"/>
  <c r="R260" i="1"/>
  <c r="Q260" i="1"/>
  <c r="R259" i="1"/>
  <c r="Q259" i="1"/>
  <c r="R258" i="1"/>
  <c r="Q258" i="1"/>
  <c r="R257" i="1"/>
  <c r="Q257" i="1"/>
  <c r="R256" i="1"/>
  <c r="Q256" i="1"/>
  <c r="R255" i="1"/>
  <c r="Q255" i="1"/>
  <c r="R254" i="1"/>
  <c r="Q254" i="1"/>
  <c r="R253" i="1"/>
  <c r="Q253" i="1"/>
  <c r="R252" i="1"/>
  <c r="Q252" i="1"/>
  <c r="R251" i="1"/>
  <c r="Q251" i="1"/>
  <c r="R250" i="1"/>
  <c r="Q250" i="1"/>
  <c r="R249" i="1"/>
  <c r="Q249" i="1"/>
  <c r="R248" i="1"/>
  <c r="Q248" i="1"/>
  <c r="R247" i="1"/>
  <c r="Q247" i="1"/>
  <c r="R246" i="1"/>
  <c r="Q246" i="1"/>
  <c r="R245" i="1"/>
  <c r="Q245" i="1"/>
  <c r="R244" i="1"/>
  <c r="Q244" i="1"/>
  <c r="R243" i="1"/>
  <c r="Q243" i="1"/>
  <c r="R242" i="1"/>
  <c r="Q242" i="1"/>
  <c r="R241" i="1"/>
  <c r="Q241" i="1"/>
  <c r="R240" i="1"/>
  <c r="Q240" i="1"/>
  <c r="R239" i="1"/>
  <c r="Q239" i="1"/>
  <c r="R238" i="1"/>
  <c r="Q238" i="1"/>
  <c r="R237" i="1"/>
  <c r="Q237" i="1"/>
  <c r="R236" i="1"/>
  <c r="Q236" i="1"/>
  <c r="R235" i="1"/>
  <c r="Q235" i="1"/>
  <c r="R234" i="1"/>
  <c r="Q234" i="1"/>
  <c r="R233" i="1"/>
  <c r="Q233" i="1"/>
  <c r="R232" i="1"/>
  <c r="Q232" i="1"/>
  <c r="R231" i="1"/>
  <c r="Q231" i="1"/>
  <c r="R230" i="1"/>
  <c r="Q230" i="1"/>
  <c r="R229" i="1"/>
  <c r="Q229" i="1"/>
  <c r="R228" i="1"/>
  <c r="Q228" i="1"/>
  <c r="R227" i="1"/>
  <c r="Q227" i="1"/>
  <c r="R226" i="1"/>
  <c r="Q226" i="1"/>
  <c r="R225" i="1"/>
  <c r="Q225" i="1"/>
  <c r="R224" i="1"/>
  <c r="Q224" i="1"/>
  <c r="R223" i="1"/>
  <c r="Q223" i="1"/>
  <c r="R222" i="1"/>
  <c r="Q222" i="1"/>
  <c r="R221" i="1"/>
  <c r="Q221" i="1"/>
  <c r="R220" i="1"/>
  <c r="Q220" i="1"/>
  <c r="R219" i="1"/>
  <c r="Q219" i="1"/>
  <c r="R218" i="1"/>
  <c r="Q218" i="1"/>
  <c r="R217" i="1"/>
  <c r="Q217" i="1"/>
  <c r="R216" i="1"/>
  <c r="Q216" i="1"/>
  <c r="R215" i="1"/>
  <c r="Q215" i="1"/>
  <c r="R214" i="1"/>
  <c r="Q214" i="1"/>
  <c r="R213" i="1"/>
  <c r="Q213" i="1"/>
  <c r="R212" i="1"/>
  <c r="Q212" i="1"/>
  <c r="R211" i="1"/>
  <c r="Q211" i="1"/>
  <c r="R210" i="1"/>
  <c r="Q210" i="1"/>
  <c r="R209" i="1"/>
  <c r="Q209" i="1"/>
  <c r="R208" i="1"/>
  <c r="Q208" i="1"/>
  <c r="R207" i="1"/>
  <c r="Q207" i="1"/>
  <c r="R206" i="1"/>
  <c r="Q206" i="1"/>
  <c r="R205" i="1"/>
  <c r="Q205" i="1"/>
  <c r="R204" i="1"/>
  <c r="Q204" i="1"/>
  <c r="R203" i="1"/>
  <c r="Q203" i="1"/>
  <c r="R202" i="1"/>
  <c r="Q202" i="1"/>
  <c r="R201" i="1"/>
  <c r="Q201" i="1"/>
  <c r="R200" i="1"/>
  <c r="Q200" i="1"/>
  <c r="R199" i="1"/>
  <c r="Q199" i="1"/>
  <c r="R198" i="1"/>
  <c r="Q198" i="1"/>
  <c r="R197" i="1"/>
  <c r="Q197" i="1"/>
  <c r="R196" i="1"/>
  <c r="Q196" i="1"/>
  <c r="R195" i="1"/>
  <c r="Q195" i="1"/>
  <c r="R194" i="1"/>
  <c r="Q194" i="1"/>
  <c r="R193" i="1"/>
  <c r="Q193" i="1"/>
  <c r="R192" i="1"/>
  <c r="Q192" i="1"/>
  <c r="R191" i="1"/>
  <c r="Q191" i="1"/>
  <c r="R190" i="1"/>
  <c r="Q190" i="1"/>
  <c r="R189" i="1"/>
  <c r="Q189" i="1"/>
  <c r="R188" i="1"/>
  <c r="Q188" i="1"/>
  <c r="R187" i="1"/>
  <c r="Q187" i="1"/>
  <c r="R186" i="1"/>
  <c r="Q186" i="1"/>
  <c r="R185" i="1"/>
  <c r="Q185" i="1"/>
  <c r="R184" i="1"/>
  <c r="Q184" i="1"/>
  <c r="R183" i="1"/>
  <c r="Q183" i="1"/>
  <c r="R182" i="1"/>
  <c r="Q182" i="1"/>
  <c r="R181" i="1"/>
  <c r="Q181" i="1"/>
  <c r="R180" i="1"/>
  <c r="Q180" i="1"/>
  <c r="R179" i="1"/>
  <c r="Q179" i="1"/>
  <c r="R178" i="1"/>
  <c r="Q178" i="1"/>
  <c r="R177" i="1"/>
  <c r="Q177" i="1"/>
  <c r="R176" i="1"/>
  <c r="Q176" i="1"/>
  <c r="R175" i="1"/>
  <c r="Q175" i="1"/>
  <c r="R174" i="1"/>
  <c r="Q174" i="1"/>
  <c r="R173" i="1"/>
  <c r="Q173" i="1"/>
  <c r="R172" i="1"/>
  <c r="Q172" i="1"/>
  <c r="R171" i="1"/>
  <c r="Q171" i="1"/>
  <c r="R170" i="1"/>
  <c r="Q170" i="1"/>
  <c r="R169" i="1"/>
  <c r="Q169" i="1"/>
  <c r="R168" i="1"/>
  <c r="Q168" i="1"/>
  <c r="R167" i="1"/>
  <c r="Q167" i="1"/>
  <c r="R166" i="1"/>
  <c r="Q166" i="1"/>
  <c r="R165" i="1"/>
  <c r="Q165" i="1"/>
  <c r="R164" i="1"/>
  <c r="Q164" i="1"/>
  <c r="R163" i="1"/>
  <c r="Q163" i="1"/>
  <c r="R162" i="1"/>
  <c r="Q162" i="1"/>
  <c r="R161" i="1"/>
  <c r="Q161" i="1"/>
  <c r="R160" i="1"/>
  <c r="Q160" i="1"/>
  <c r="R159" i="1"/>
  <c r="Q159" i="1"/>
  <c r="R158" i="1"/>
  <c r="Q158" i="1"/>
  <c r="R157" i="1"/>
  <c r="Q157" i="1"/>
  <c r="R156" i="1"/>
  <c r="Q156" i="1"/>
  <c r="R155" i="1"/>
  <c r="Q155" i="1"/>
  <c r="R154" i="1"/>
  <c r="Q154" i="1"/>
  <c r="R153" i="1"/>
  <c r="Q153" i="1"/>
  <c r="R152" i="1"/>
  <c r="Q152" i="1"/>
  <c r="R151" i="1"/>
  <c r="Q151" i="1"/>
  <c r="R150" i="1"/>
  <c r="Q150" i="1"/>
  <c r="R149" i="1"/>
  <c r="Q149" i="1"/>
  <c r="R148" i="1"/>
  <c r="Q148" i="1"/>
  <c r="R147" i="1"/>
  <c r="Q147" i="1"/>
  <c r="R146" i="1"/>
  <c r="Q146" i="1"/>
  <c r="R145" i="1"/>
  <c r="Q145" i="1"/>
  <c r="R144" i="1"/>
  <c r="Q144" i="1"/>
  <c r="R143" i="1"/>
  <c r="Q143" i="1"/>
  <c r="R142" i="1"/>
  <c r="Q142" i="1"/>
  <c r="R141" i="1"/>
  <c r="Q141" i="1"/>
  <c r="R140" i="1"/>
  <c r="Q140" i="1"/>
  <c r="R139" i="1"/>
  <c r="Q139" i="1"/>
  <c r="R138" i="1"/>
  <c r="Q138" i="1"/>
  <c r="R137" i="1"/>
  <c r="Q137" i="1"/>
  <c r="R136" i="1"/>
  <c r="Q136" i="1"/>
  <c r="R135" i="1"/>
  <c r="Q135" i="1"/>
  <c r="R134" i="1"/>
  <c r="Q134" i="1"/>
  <c r="R133" i="1"/>
  <c r="Q133" i="1"/>
  <c r="R132" i="1"/>
  <c r="Q132" i="1"/>
  <c r="R131" i="1"/>
  <c r="Q131" i="1"/>
  <c r="R130" i="1"/>
  <c r="Q130" i="1"/>
  <c r="R129" i="1"/>
  <c r="Q129" i="1"/>
  <c r="R128" i="1"/>
  <c r="Q128" i="1"/>
  <c r="R127" i="1"/>
  <c r="Q127" i="1"/>
  <c r="R126" i="1"/>
  <c r="Q126" i="1"/>
  <c r="R125" i="1"/>
  <c r="Q125" i="1"/>
  <c r="R124" i="1"/>
  <c r="Q124" i="1"/>
  <c r="R123" i="1"/>
  <c r="Q123" i="1"/>
  <c r="R122" i="1"/>
  <c r="Q122" i="1"/>
  <c r="R121" i="1"/>
  <c r="Q121" i="1"/>
  <c r="R120" i="1"/>
  <c r="Q120" i="1"/>
  <c r="R119" i="1"/>
  <c r="Q119" i="1"/>
  <c r="R118" i="1"/>
  <c r="Q118" i="1"/>
  <c r="R117" i="1"/>
  <c r="Q117" i="1"/>
  <c r="R116" i="1"/>
  <c r="Q116" i="1"/>
  <c r="R115" i="1"/>
  <c r="Q115" i="1"/>
  <c r="R114" i="1"/>
  <c r="Q114" i="1"/>
  <c r="R113" i="1"/>
  <c r="Q113" i="1"/>
  <c r="R112" i="1"/>
  <c r="Q112" i="1"/>
  <c r="R111" i="1"/>
  <c r="Q111" i="1"/>
  <c r="R110" i="1"/>
  <c r="Q110" i="1"/>
  <c r="R109" i="1"/>
  <c r="Q109" i="1"/>
  <c r="R108" i="1"/>
  <c r="Q108" i="1"/>
  <c r="R107" i="1"/>
  <c r="Q107" i="1"/>
  <c r="R106" i="1"/>
  <c r="Q106" i="1"/>
  <c r="R105" i="1"/>
  <c r="Q105" i="1"/>
  <c r="R104" i="1"/>
  <c r="Q104" i="1"/>
  <c r="R103" i="1"/>
  <c r="Q103" i="1"/>
  <c r="R102" i="1"/>
  <c r="Q102" i="1"/>
  <c r="R101" i="1"/>
  <c r="Q101" i="1"/>
  <c r="R100" i="1"/>
  <c r="Q100" i="1"/>
  <c r="R99" i="1"/>
  <c r="Q99" i="1"/>
  <c r="R98" i="1"/>
  <c r="Q98" i="1"/>
  <c r="R97" i="1"/>
  <c r="Q97" i="1"/>
  <c r="R96" i="1"/>
  <c r="Q96" i="1"/>
  <c r="R95" i="1"/>
  <c r="Q95" i="1"/>
  <c r="R94" i="1"/>
  <c r="Q94" i="1"/>
  <c r="R93" i="1"/>
  <c r="Q93" i="1"/>
  <c r="R92" i="1"/>
  <c r="Q92" i="1"/>
  <c r="R91" i="1"/>
  <c r="Q91" i="1"/>
  <c r="R90" i="1"/>
  <c r="Q90" i="1"/>
  <c r="R89" i="1"/>
  <c r="Q89" i="1"/>
  <c r="R88" i="1"/>
  <c r="Q88" i="1"/>
  <c r="R87" i="1"/>
  <c r="Q87" i="1"/>
  <c r="R86" i="1"/>
  <c r="Q86" i="1"/>
  <c r="R85" i="1"/>
  <c r="Q85" i="1"/>
  <c r="R84" i="1"/>
  <c r="Q84" i="1"/>
  <c r="R83" i="1"/>
  <c r="Q83" i="1"/>
  <c r="R82" i="1"/>
  <c r="Q82" i="1"/>
  <c r="R81" i="1"/>
  <c r="Q81" i="1"/>
  <c r="R80" i="1"/>
  <c r="Q80" i="1"/>
  <c r="R79" i="1"/>
  <c r="Q79" i="1"/>
  <c r="R78" i="1"/>
  <c r="Q78" i="1"/>
  <c r="R77" i="1"/>
  <c r="Q77" i="1"/>
  <c r="R76" i="1"/>
  <c r="Q76" i="1"/>
  <c r="R75" i="1"/>
  <c r="Q75" i="1"/>
  <c r="R74" i="1"/>
  <c r="Q74" i="1"/>
  <c r="R73" i="1"/>
  <c r="Q73" i="1"/>
  <c r="R72" i="1"/>
  <c r="Q72" i="1"/>
  <c r="R71" i="1"/>
  <c r="Q71" i="1"/>
  <c r="R70" i="1"/>
  <c r="Q70" i="1"/>
  <c r="R69" i="1"/>
  <c r="Q69" i="1"/>
  <c r="R68" i="1"/>
  <c r="Q68" i="1"/>
  <c r="R67" i="1"/>
  <c r="Q67" i="1"/>
  <c r="R66" i="1"/>
  <c r="Q66" i="1"/>
  <c r="R65" i="1"/>
  <c r="Q65" i="1"/>
  <c r="R64" i="1"/>
  <c r="Q64" i="1"/>
  <c r="R63" i="1"/>
  <c r="Q63" i="1"/>
  <c r="R62" i="1"/>
  <c r="Q62" i="1"/>
  <c r="R61" i="1"/>
  <c r="Q61" i="1"/>
  <c r="R60" i="1"/>
  <c r="Q60" i="1"/>
  <c r="R59" i="1"/>
  <c r="Q59" i="1"/>
  <c r="R58" i="1"/>
  <c r="Q58" i="1"/>
  <c r="R57" i="1"/>
  <c r="Q57" i="1"/>
  <c r="R56" i="1"/>
  <c r="Q56" i="1"/>
  <c r="R55" i="1"/>
  <c r="Q55" i="1"/>
  <c r="R54" i="1"/>
  <c r="Q54" i="1"/>
  <c r="R53" i="1"/>
  <c r="Q53" i="1"/>
  <c r="R52" i="1"/>
  <c r="Q52" i="1"/>
  <c r="R51" i="1"/>
  <c r="Q51" i="1"/>
  <c r="R50" i="1"/>
  <c r="Q50" i="1"/>
  <c r="R49" i="1"/>
  <c r="Q49" i="1"/>
  <c r="R48" i="1"/>
  <c r="Q48" i="1"/>
  <c r="R47" i="1"/>
  <c r="Q47" i="1"/>
  <c r="R46" i="1"/>
  <c r="Q46" i="1"/>
  <c r="R45" i="1"/>
  <c r="Q45" i="1"/>
  <c r="R44" i="1"/>
  <c r="Q44" i="1"/>
  <c r="R43" i="1"/>
  <c r="Q43" i="1"/>
  <c r="R42" i="1"/>
  <c r="Q42" i="1"/>
  <c r="R41" i="1"/>
  <c r="Q41" i="1"/>
  <c r="R40" i="1"/>
  <c r="Q40" i="1"/>
  <c r="R39" i="1"/>
  <c r="Q39" i="1"/>
  <c r="R38" i="1"/>
  <c r="Q38" i="1"/>
  <c r="R37" i="1"/>
  <c r="Q37" i="1"/>
  <c r="R36" i="1"/>
  <c r="Q36" i="1"/>
  <c r="R35" i="1"/>
  <c r="Q35" i="1"/>
  <c r="R34" i="1"/>
  <c r="Q34" i="1"/>
  <c r="R33" i="1"/>
  <c r="Q33" i="1"/>
  <c r="R32" i="1"/>
  <c r="Q32" i="1"/>
  <c r="R31" i="1"/>
  <c r="Q31" i="1"/>
  <c r="R30" i="1"/>
  <c r="Q30" i="1"/>
  <c r="R29" i="1"/>
  <c r="Q29" i="1"/>
  <c r="R28" i="1"/>
  <c r="Q28" i="1"/>
  <c r="R27" i="1"/>
  <c r="Q27" i="1"/>
  <c r="R26" i="1"/>
  <c r="Q26" i="1"/>
  <c r="R25" i="1"/>
  <c r="Q25" i="1"/>
  <c r="R24" i="1"/>
  <c r="Q24" i="1"/>
  <c r="R23" i="1"/>
  <c r="Q23" i="1"/>
  <c r="R22" i="1"/>
  <c r="Q22" i="1"/>
  <c r="R21" i="1"/>
  <c r="Q21" i="1"/>
  <c r="R20" i="1"/>
  <c r="Q20" i="1"/>
  <c r="R19" i="1"/>
  <c r="Q19" i="1"/>
  <c r="R18" i="1"/>
  <c r="Q18" i="1"/>
  <c r="R17" i="1"/>
  <c r="Q17" i="1"/>
  <c r="R16" i="1"/>
  <c r="Q16" i="1"/>
  <c r="R15" i="1"/>
  <c r="Q15" i="1"/>
  <c r="R14" i="1"/>
  <c r="Q14" i="1"/>
  <c r="R13" i="1"/>
  <c r="Q13" i="1"/>
  <c r="R12" i="1"/>
  <c r="Q12" i="1"/>
  <c r="R11" i="1"/>
  <c r="Q11" i="1"/>
  <c r="R10" i="1"/>
  <c r="Q10" i="1"/>
  <c r="R9" i="1"/>
  <c r="Q9" i="1"/>
  <c r="R8" i="1"/>
  <c r="Q8" i="1"/>
  <c r="R7" i="1"/>
  <c r="Q7" i="1"/>
  <c r="R6" i="1"/>
  <c r="Q6" i="1"/>
  <c r="R5" i="1"/>
  <c r="Q5" i="1"/>
  <c r="R4" i="1"/>
  <c r="Q4" i="1"/>
  <c r="R3" i="1"/>
  <c r="Q3" i="1"/>
  <c r="R2" i="1"/>
  <c r="Q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<sst xmlns="http://schemas.openxmlformats.org/spreadsheetml/2006/main" count="7166" uniqueCount="352">
  <si>
    <t>Store id</t>
  </si>
  <si>
    <t>Cogs</t>
  </si>
  <si>
    <t>Date</t>
  </si>
  <si>
    <t>Market Size</t>
  </si>
  <si>
    <t>Regional Performance</t>
  </si>
  <si>
    <t>Marketing</t>
  </si>
  <si>
    <t>Product Line</t>
  </si>
  <si>
    <t>Product Type</t>
  </si>
  <si>
    <t>Product</t>
  </si>
  <si>
    <t>Profit</t>
  </si>
  <si>
    <t>Sales</t>
  </si>
  <si>
    <t>State</t>
  </si>
  <si>
    <t>Target COGS</t>
  </si>
  <si>
    <t>Target Profit</t>
  </si>
  <si>
    <t>Target Sales</t>
  </si>
  <si>
    <t>Other Expenses</t>
  </si>
  <si>
    <t>Major Market</t>
  </si>
  <si>
    <t>Central</t>
  </si>
  <si>
    <t>Leaves</t>
  </si>
  <si>
    <t>Herbal Tea</t>
  </si>
  <si>
    <t>Lemon</t>
  </si>
  <si>
    <t>Colorado</t>
  </si>
  <si>
    <t>Mint</t>
  </si>
  <si>
    <t>South</t>
  </si>
  <si>
    <t>Texas</t>
  </si>
  <si>
    <t>East</t>
  </si>
  <si>
    <t>Tea</t>
  </si>
  <si>
    <t>Darjeeling</t>
  </si>
  <si>
    <t>Florida</t>
  </si>
  <si>
    <t>West</t>
  </si>
  <si>
    <t>Green Tea</t>
  </si>
  <si>
    <t>California</t>
  </si>
  <si>
    <t>Small Market</t>
  </si>
  <si>
    <t>Beans</t>
  </si>
  <si>
    <t>Espresso</t>
  </si>
  <si>
    <t>Decaf Espresso</t>
  </si>
  <si>
    <t>Iowa</t>
  </si>
  <si>
    <t>Connecticut</t>
  </si>
  <si>
    <t>Coffee</t>
  </si>
  <si>
    <t>Decaf Irish Cream</t>
  </si>
  <si>
    <t>Oklahoma</t>
  </si>
  <si>
    <t>Nevada</t>
  </si>
  <si>
    <t>Utah</t>
  </si>
  <si>
    <t>Amaretto</t>
  </si>
  <si>
    <t>New Hampshire</t>
  </si>
  <si>
    <t>Colombian</t>
  </si>
  <si>
    <t>Caffe Mocha</t>
  </si>
  <si>
    <t>Caffe Latte</t>
  </si>
  <si>
    <t>Louisiana</t>
  </si>
  <si>
    <t>Oregon</t>
  </si>
  <si>
    <t>Chamomile</t>
  </si>
  <si>
    <t>Missouri</t>
  </si>
  <si>
    <t>Wisconsin</t>
  </si>
  <si>
    <t>Washington</t>
  </si>
  <si>
    <t>Earl Grey</t>
  </si>
  <si>
    <t>Massachusetts</t>
  </si>
  <si>
    <t>Illinois</t>
  </si>
  <si>
    <t>New Mexico</t>
  </si>
  <si>
    <t>Ohio</t>
  </si>
  <si>
    <t>Regular Espresso</t>
  </si>
  <si>
    <t>New York</t>
  </si>
  <si>
    <t>Total Sales</t>
  </si>
  <si>
    <t>Total Profit</t>
  </si>
  <si>
    <t>ProftMargin</t>
  </si>
  <si>
    <t>Marketing spend</t>
  </si>
  <si>
    <t>Actual Variance</t>
  </si>
  <si>
    <t>Cost of Goods Sold (COGS)</t>
  </si>
  <si>
    <r>
      <rPr>
        <sz val="7"/>
        <color theme="1"/>
        <rFont val="Times New Roman"/>
        <family val="1"/>
      </rPr>
      <t xml:space="preserve"> </t>
    </r>
    <r>
      <rPr>
        <sz val="11"/>
        <color theme="1"/>
        <rFont val="Times New Roman"/>
        <family val="1"/>
      </rPr>
      <t>ROI on Marketing</t>
    </r>
  </si>
  <si>
    <t>Product Category</t>
  </si>
  <si>
    <t>COGS overview</t>
  </si>
  <si>
    <r>
      <t>•</t>
    </r>
    <r>
      <rPr>
        <sz val="7"/>
        <color theme="1"/>
        <rFont val="Times New Roman"/>
        <family val="1"/>
      </rPr>
      <t xml:space="preserve">                  </t>
    </r>
    <r>
      <rPr>
        <sz val="14"/>
        <color theme="1"/>
        <rFont val="Times New Roman"/>
        <family val="1"/>
      </rPr>
      <t>Revenue (Sales)</t>
    </r>
  </si>
  <si>
    <t xml:space="preserve"> Revenue (Sales)</t>
  </si>
  <si>
    <t>Column1</t>
  </si>
  <si>
    <t>Column2</t>
  </si>
  <si>
    <t>Products</t>
  </si>
  <si>
    <t>Type</t>
  </si>
  <si>
    <t>Decaf</t>
  </si>
  <si>
    <t>Regular</t>
  </si>
  <si>
    <t>1. Identify Key Drivers of Profit Decline</t>
  </si>
  <si>
    <t>The data suggests that while sales are steady, profit is being "squeezed" by rising costs.</t>
  </si>
  <si>
    <r>
      <t>The "COGS Creep" Analysis:</t>
    </r>
    <r>
      <rPr>
        <sz val="11"/>
        <color rgb="FF1F1F1F"/>
        <rFont val="Arial"/>
        <family val="2"/>
      </rPr>
      <t xml:space="preserve"> Create a column for </t>
    </r>
    <r>
      <rPr>
        <b/>
        <sz val="11"/>
        <color rgb="FF1F1F1F"/>
        <rFont val="Arial"/>
        <family val="2"/>
      </rPr>
      <t>COGS as a % of Sales</t>
    </r>
    <r>
      <rPr>
        <sz val="11"/>
        <color rgb="FF1F1F1F"/>
        <rFont val="Arial"/>
        <family val="2"/>
      </rPr>
      <t xml:space="preserve"> </t>
    </r>
    <r>
      <rPr>
        <sz val="10"/>
        <color rgb="FF444746"/>
        <rFont val="Google Sans Text"/>
        <family val="2"/>
      </rPr>
      <t>(=COGS/Sales)</t>
    </r>
    <r>
      <rPr>
        <sz val="11"/>
        <color rgb="FF1F1F1F"/>
        <rFont val="Arial"/>
        <family val="2"/>
      </rPr>
      <t>. If this percentage is increasing over the 2012–2013 period while sales stay flat, you have identified your primary driver: rising ingredient costs or waste.</t>
    </r>
  </si>
  <si>
    <r>
      <t>Marketing Inefficiency:</t>
    </r>
    <r>
      <rPr>
        <sz val="11"/>
        <color rgb="FF1F1F1F"/>
        <rFont val="Arial"/>
        <family val="2"/>
      </rPr>
      <t xml:space="preserve"> Use a </t>
    </r>
    <r>
      <rPr>
        <b/>
        <sz val="11"/>
        <color rgb="FF1F1F1F"/>
        <rFont val="Arial"/>
        <family val="2"/>
      </rPr>
      <t>Scatter Plot</t>
    </r>
    <r>
      <rPr>
        <sz val="11"/>
        <color rgb="FF1F1F1F"/>
        <rFont val="Arial"/>
        <family val="2"/>
      </rPr>
      <t xml:space="preserve"> with Marketing Spend on the X-axis and Sales on the Y-axis. Add a trendline. Points far below the line represent regions where you are spending heavily on ads but seeing no sales lift.</t>
    </r>
  </si>
  <si>
    <r>
      <t>The Fixed Cost Impact:</t>
    </r>
    <r>
      <rPr>
        <sz val="11"/>
        <color rgb="FF1F1F1F"/>
        <rFont val="Arial"/>
        <family val="2"/>
      </rPr>
      <t xml:space="preserve"> Analyze the </t>
    </r>
    <r>
      <rPr>
        <b/>
        <sz val="11"/>
        <color rgb="FF1F1F1F"/>
        <rFont val="Arial"/>
        <family val="2"/>
      </rPr>
      <t>Other Expenses</t>
    </r>
    <r>
      <rPr>
        <sz val="11"/>
        <color rgb="FF1F1F1F"/>
        <rFont val="Arial"/>
        <family val="2"/>
      </rPr>
      <t xml:space="preserve"> column. If these costs are rising faster than your Gross Margin, the business is becoming "top-heavy" with administrative or rental costs.</t>
    </r>
  </si>
  <si>
    <t>2. Evaluate Store, Product, and Regional Performance</t>
  </si>
  <si>
    <t>Use Pivot Tables to create a "Performance League Table."</t>
  </si>
  <si>
    <r>
      <t>Regional Performance:</t>
    </r>
    <r>
      <rPr>
        <sz val="11"/>
        <color rgb="FF1F1F1F"/>
        <rFont val="Arial"/>
        <family val="2"/>
      </rPr>
      <t xml:space="preserve"> Group by </t>
    </r>
    <r>
      <rPr>
        <b/>
        <sz val="11"/>
        <color rgb="FF1F1F1F"/>
        <rFont val="Arial"/>
        <family val="2"/>
      </rPr>
      <t>Regional Performance</t>
    </r>
    <r>
      <rPr>
        <sz val="11"/>
        <color rgb="FF1F1F1F"/>
        <rFont val="Arial"/>
        <family val="2"/>
      </rPr>
      <t xml:space="preserve"> and </t>
    </r>
    <r>
      <rPr>
        <b/>
        <sz val="11"/>
        <color rgb="FF1F1F1F"/>
        <rFont val="Arial"/>
        <family val="2"/>
      </rPr>
      <t>State</t>
    </r>
    <r>
      <rPr>
        <sz val="11"/>
        <color rgb="FF1F1F1F"/>
        <rFont val="Arial"/>
        <family val="2"/>
      </rPr>
      <t xml:space="preserve">. Calculate the </t>
    </r>
    <r>
      <rPr>
        <b/>
        <sz val="11"/>
        <color rgb="FF1F1F1F"/>
        <rFont val="Arial"/>
        <family val="2"/>
      </rPr>
      <t>Profit Margin %</t>
    </r>
    <r>
      <rPr>
        <sz val="11"/>
        <color rgb="FF1F1F1F"/>
        <rFont val="Arial"/>
        <family val="2"/>
      </rPr>
      <t>.</t>
    </r>
  </si>
  <si>
    <r>
      <t>Product Performance (The BCG Matrix):</t>
    </r>
    <r>
      <rPr>
        <sz val="11"/>
        <color rgb="FF1F1F1F"/>
        <rFont val="Arial"/>
        <family val="2"/>
      </rPr>
      <t xml:space="preserve"> * </t>
    </r>
    <r>
      <rPr>
        <b/>
        <sz val="11"/>
        <color rgb="FF1F1F1F"/>
        <rFont val="Arial"/>
        <family val="2"/>
      </rPr>
      <t>Stars:</t>
    </r>
    <r>
      <rPr>
        <sz val="11"/>
        <color rgb="FF1F1F1F"/>
        <rFont val="Arial"/>
        <family val="2"/>
      </rPr>
      <t xml:space="preserve"> High Sales / High Profit (e.g., Colombian Coffee).</t>
    </r>
  </si>
  <si>
    <r>
      <t>Dogs:</t>
    </r>
    <r>
      <rPr>
        <sz val="11"/>
        <color rgb="FF1F1F1F"/>
        <rFont val="Arial"/>
        <family val="2"/>
      </rPr>
      <t xml:space="preserve"> Low Sales / Low Profit (e.g., specific Decaf items).</t>
    </r>
  </si>
  <si>
    <r>
      <t>Store Ranking:</t>
    </r>
    <r>
      <rPr>
        <sz val="11"/>
        <color rgb="FF1F1F1F"/>
        <rFont val="Arial"/>
        <family val="2"/>
      </rPr>
      <t xml:space="preserve"> Use the </t>
    </r>
    <r>
      <rPr>
        <sz val="10"/>
        <color rgb="FF444746"/>
        <rFont val="Google Sans Text"/>
        <family val="2"/>
      </rPr>
      <t>RANK.EQ</t>
    </r>
    <r>
      <rPr>
        <sz val="11"/>
        <color rgb="FF1F1F1F"/>
        <rFont val="Arial"/>
        <family val="2"/>
      </rPr>
      <t xml:space="preserve"> function to find the top 10% and bottom 10% of stores by </t>
    </r>
    <r>
      <rPr>
        <b/>
        <sz val="11"/>
        <color rgb="FF1F1F1F"/>
        <rFont val="Arial"/>
        <family val="2"/>
      </rPr>
      <t>Net Profit</t>
    </r>
    <r>
      <rPr>
        <sz val="11"/>
        <color rgb="FF1F1F1F"/>
        <rFont val="Arial"/>
        <family val="2"/>
      </rPr>
      <t>.</t>
    </r>
  </si>
  <si>
    <t>3. Analyze Gap Between Actual vs. Target Metrics</t>
  </si>
  <si>
    <t>This is critical for your "Gap Analysis" slide in the presentation.</t>
  </si>
  <si>
    <t>Variance Formulas:</t>
  </si>
  <si>
    <r>
      <t>Sales Gap:</t>
    </r>
    <r>
      <rPr>
        <sz val="11"/>
        <color rgb="FF1F1F1F"/>
        <rFont val="Arial"/>
        <family val="2"/>
      </rPr>
      <t xml:space="preserve"> </t>
    </r>
    <r>
      <rPr>
        <sz val="10"/>
        <color rgb="FF444746"/>
        <rFont val="Google Sans Text"/>
        <family val="2"/>
      </rPr>
      <t>=Sales - [Target Sales]</t>
    </r>
  </si>
  <si>
    <r>
      <t>Profit Gap:</t>
    </r>
    <r>
      <rPr>
        <sz val="11"/>
        <color rgb="FF1F1F1F"/>
        <rFont val="Arial"/>
        <family val="2"/>
      </rPr>
      <t xml:space="preserve"> </t>
    </r>
    <r>
      <rPr>
        <sz val="10"/>
        <color rgb="FF444746"/>
        <rFont val="Google Sans Text"/>
        <family val="2"/>
      </rPr>
      <t>=Profit - [Target Profit]</t>
    </r>
  </si>
  <si>
    <r>
      <t>Visualization:</t>
    </r>
    <r>
      <rPr>
        <sz val="11"/>
        <color rgb="FF1F1F1F"/>
        <rFont val="Arial"/>
        <family val="2"/>
      </rPr>
      <t xml:space="preserve"> Create a </t>
    </r>
    <r>
      <rPr>
        <b/>
        <sz val="11"/>
        <color rgb="FF1F1F1F"/>
        <rFont val="Arial"/>
        <family val="2"/>
      </rPr>
      <t>Clustered Column Chart</t>
    </r>
    <r>
      <rPr>
        <sz val="11"/>
        <color rgb="FF1F1F1F"/>
        <rFont val="Arial"/>
        <family val="2"/>
      </rPr>
      <t xml:space="preserve"> comparing "Actual Profit" vs. "Target Profit" by Month.</t>
    </r>
  </si>
  <si>
    <r>
      <t>The "80% Rule":</t>
    </r>
    <r>
      <rPr>
        <sz val="11"/>
        <color rgb="FF1F1F1F"/>
        <rFont val="Arial"/>
        <family val="2"/>
      </rPr>
      <t xml:space="preserve"> According to your business objectives, any store where </t>
    </r>
    <r>
      <rPr>
        <sz val="10"/>
        <color rgb="FF444746"/>
        <rFont val="Google Sans Text"/>
        <family val="2"/>
      </rPr>
      <t>Actual Profit &lt; (Target Profit * 0.8)</t>
    </r>
    <r>
      <rPr>
        <sz val="11"/>
        <color rgb="FF1F1F1F"/>
        <rFont val="Arial"/>
        <family val="2"/>
      </rPr>
      <t xml:space="preserve"> is considered a high-risk location. Use </t>
    </r>
    <r>
      <rPr>
        <b/>
        <sz val="11"/>
        <color rgb="FF1F1F1F"/>
        <rFont val="Arial"/>
        <family val="2"/>
      </rPr>
      <t>Conditional Formatting</t>
    </r>
    <r>
      <rPr>
        <sz val="11"/>
        <color rgb="FF1F1F1F"/>
        <rFont val="Arial"/>
        <family val="2"/>
      </rPr>
      <t xml:space="preserve"> to highlight these stores in red.</t>
    </r>
  </si>
  <si>
    <t>4. Data-Backed Recommendations</t>
  </si>
  <si>
    <t>Your recommendations must link directly to the "Gaps" found in Step 3.</t>
  </si>
  <si>
    <r>
      <t>For High COGS:</t>
    </r>
    <r>
      <rPr>
        <sz val="11"/>
        <color rgb="FF1F1F1F"/>
        <rFont val="Arial"/>
        <family val="2"/>
      </rPr>
      <t xml:space="preserve"> "Implement automated milk dispensers in the South Region to reduce the 15% ingredient waste variance identified in the audit."</t>
    </r>
  </si>
  <si>
    <r>
      <t>For "Dogs" (Low-performing products):</t>
    </r>
    <r>
      <rPr>
        <sz val="11"/>
        <color rgb="FF1F1F1F"/>
        <rFont val="Arial"/>
        <family val="2"/>
      </rPr>
      <t xml:space="preserve"> "Remove the 'Mint' and 'Lemon' herbal teas from the West region menu to simplify inventory and recover $X in wasted COGS."</t>
    </r>
  </si>
  <si>
    <r>
      <t>For Inefficient Marketing:</t>
    </r>
    <r>
      <rPr>
        <sz val="11"/>
        <color rgb="FF1F1F1F"/>
        <rFont val="Arial"/>
        <family val="2"/>
      </rPr>
      <t xml:space="preserve"> "Reallocate 20% of the marketing budget from the East region (ROI of 1.1) to the Central region (ROI of 3.5) to maximize total chain profitability."</t>
    </r>
  </si>
  <si>
    <t>KPI - I</t>
  </si>
  <si>
    <r>
      <t>•</t>
    </r>
    <r>
      <rPr>
        <sz val="7"/>
        <color theme="1"/>
        <rFont val="Times New Roman"/>
        <family val="1"/>
      </rPr>
      <t xml:space="preserve">                  </t>
    </r>
    <r>
      <rPr>
        <sz val="14"/>
        <color theme="1"/>
        <rFont val="Times New Roman"/>
        <family val="1"/>
      </rPr>
      <t>Profit</t>
    </r>
  </si>
  <si>
    <t>Sum of Profit</t>
  </si>
  <si>
    <r>
      <t>•</t>
    </r>
    <r>
      <rPr>
        <sz val="7"/>
        <color theme="1"/>
        <rFont val="Times New Roman"/>
        <family val="1"/>
      </rPr>
      <t xml:space="preserve">                  </t>
    </r>
    <r>
      <rPr>
        <sz val="14"/>
        <color theme="1"/>
        <rFont val="Times New Roman"/>
        <family val="1"/>
      </rPr>
      <t>Cost of Goods Sold (COGS)</t>
    </r>
  </si>
  <si>
    <r>
      <t>•</t>
    </r>
    <r>
      <rPr>
        <sz val="7"/>
        <color theme="1"/>
        <rFont val="Times New Roman"/>
        <family val="1"/>
      </rPr>
      <t xml:space="preserve">                  </t>
    </r>
    <r>
      <rPr>
        <sz val="14"/>
        <color theme="1"/>
        <rFont val="Times New Roman"/>
        <family val="1"/>
      </rPr>
      <t>Profit Margin = Profit / Sales</t>
    </r>
  </si>
  <si>
    <r>
      <t>•</t>
    </r>
    <r>
      <rPr>
        <sz val="7"/>
        <color theme="1"/>
        <rFont val="Times New Roman"/>
        <family val="1"/>
      </rPr>
      <t xml:space="preserve">                  </t>
    </r>
    <r>
      <rPr>
        <sz val="14"/>
        <color theme="1"/>
        <rFont val="Times New Roman"/>
        <family val="1"/>
      </rPr>
      <t>Target vs Actual Variance</t>
    </r>
  </si>
  <si>
    <t>Sum of Total Sales</t>
  </si>
  <si>
    <t>Sum of Total Profit</t>
  </si>
  <si>
    <t>Sum of Marketing spend</t>
  </si>
  <si>
    <t>KPI - II</t>
  </si>
  <si>
    <t>KPI - III</t>
  </si>
  <si>
    <t>Sum of Cogs</t>
  </si>
  <si>
    <t>Sum of Sales</t>
  </si>
  <si>
    <t>KPI - IV</t>
  </si>
  <si>
    <t>Row Labels</t>
  </si>
  <si>
    <t>Grand Total</t>
  </si>
  <si>
    <t>KPI - V</t>
  </si>
  <si>
    <t>Sum of Target Sales</t>
  </si>
  <si>
    <t>KPI - VI</t>
  </si>
  <si>
    <t>Sum of Marketing</t>
  </si>
  <si>
    <t>Coffee Chain Dataset</t>
  </si>
  <si>
    <t>Includes transactional and operational data:</t>
  </si>
  <si>
    <r>
      <t>•</t>
    </r>
    <r>
      <rPr>
        <sz val="7"/>
        <color theme="1"/>
        <rFont val="Times New Roman"/>
        <family val="1"/>
      </rPr>
      <t xml:space="preserve">                  </t>
    </r>
    <r>
      <rPr>
        <sz val="14"/>
        <color theme="1"/>
        <rFont val="Times New Roman"/>
        <family val="1"/>
      </rPr>
      <t>Store_id, Date, Market Size, Market, State</t>
    </r>
  </si>
  <si>
    <r>
      <t>•</t>
    </r>
    <r>
      <rPr>
        <sz val="7"/>
        <color theme="1"/>
        <rFont val="Times New Roman"/>
        <family val="1"/>
      </rPr>
      <t xml:space="preserve">                  </t>
    </r>
    <r>
      <rPr>
        <sz val="14"/>
        <color theme="1"/>
        <rFont val="Times New Roman"/>
        <family val="1"/>
      </rPr>
      <t>Product Line, Product Type, Product</t>
    </r>
  </si>
  <si>
    <r>
      <t>•</t>
    </r>
    <r>
      <rPr>
        <sz val="7"/>
        <color theme="1"/>
        <rFont val="Times New Roman"/>
        <family val="1"/>
      </rPr>
      <t xml:space="preserve">                  </t>
    </r>
    <r>
      <rPr>
        <sz val="14"/>
        <color theme="1"/>
        <rFont val="Times New Roman"/>
        <family val="1"/>
      </rPr>
      <t>Sales, Profit, COGS, Marketing</t>
    </r>
  </si>
  <si>
    <t>Product Types Dataset</t>
  </si>
  <si>
    <r>
      <t>•</t>
    </r>
    <r>
      <rPr>
        <sz val="7"/>
        <color theme="1"/>
        <rFont val="Times New Roman"/>
        <family val="1"/>
      </rPr>
      <t xml:space="preserve">                  </t>
    </r>
    <r>
      <rPr>
        <sz val="14"/>
        <color theme="1"/>
        <rFont val="Times New Roman"/>
        <family val="1"/>
      </rPr>
      <t>Product, Product Type, Product Category</t>
    </r>
  </si>
  <si>
    <t>Sum of Store id</t>
  </si>
  <si>
    <t>Sum of Target Profit</t>
  </si>
  <si>
    <t>Sum of Target COGS</t>
  </si>
  <si>
    <t>High Profit</t>
  </si>
  <si>
    <t>Low Profit</t>
  </si>
  <si>
    <t>1. Data Cleaning &amp; Preparation</t>
  </si>
  <si>
    <r>
      <t>•</t>
    </r>
    <r>
      <rPr>
        <sz val="7"/>
        <color theme="1"/>
        <rFont val="Times New Roman"/>
        <family val="1"/>
      </rPr>
      <t xml:space="preserve">                  </t>
    </r>
    <r>
      <rPr>
        <sz val="14"/>
        <color theme="1"/>
        <rFont val="Times New Roman"/>
        <family val="1"/>
      </rPr>
      <t>Handle missing/null values</t>
    </r>
  </si>
  <si>
    <t>Before running calculations, you need to decide how to treat "empty" cells so they don't break your formulas.</t>
  </si>
  <si>
    <r>
      <t>Find &amp; Select:</t>
    </r>
    <r>
      <rPr>
        <sz val="11"/>
        <color theme="1"/>
        <rFont val="Calibri"/>
        <family val="2"/>
        <scheme val="minor"/>
      </rPr>
      <t xml:space="preserve"> Press </t>
    </r>
    <r>
      <rPr>
        <sz val="10"/>
        <color theme="1"/>
        <rFont val="Arial Unicode MS"/>
      </rPr>
      <t>Ctrl + G</t>
    </r>
    <r>
      <rPr>
        <sz val="11"/>
        <color theme="1"/>
        <rFont val="Calibri"/>
        <family val="2"/>
        <scheme val="minor"/>
      </rPr>
      <t xml:space="preserve"> &gt; </t>
    </r>
    <r>
      <rPr>
        <b/>
        <sz val="11"/>
        <color theme="1"/>
        <rFont val="Calibri"/>
        <family val="2"/>
        <scheme val="minor"/>
      </rPr>
      <t>Special...</t>
    </r>
    <r>
      <rPr>
        <sz val="11"/>
        <color theme="1"/>
        <rFont val="Calibri"/>
        <family val="2"/>
        <scheme val="minor"/>
      </rPr>
      <t xml:space="preserve"> &gt; </t>
    </r>
    <r>
      <rPr>
        <b/>
        <sz val="11"/>
        <color theme="1"/>
        <rFont val="Calibri"/>
        <family val="2"/>
        <scheme val="minor"/>
      </rPr>
      <t>Blanks</t>
    </r>
    <r>
      <rPr>
        <sz val="11"/>
        <color theme="1"/>
        <rFont val="Calibri"/>
        <family val="2"/>
        <scheme val="minor"/>
      </rPr>
      <t xml:space="preserve"> &gt; </t>
    </r>
    <r>
      <rPr>
        <b/>
        <sz val="11"/>
        <color theme="1"/>
        <rFont val="Calibri"/>
        <family val="2"/>
        <scheme val="minor"/>
      </rPr>
      <t>OK</t>
    </r>
    <r>
      <rPr>
        <sz val="11"/>
        <color theme="1"/>
        <rFont val="Calibri"/>
        <family val="2"/>
        <scheme val="minor"/>
      </rPr>
      <t>. This highlights all empty cells in your range.</t>
    </r>
  </si>
  <si>
    <r>
      <t>Bulk Fill:</t>
    </r>
    <r>
      <rPr>
        <sz val="11"/>
        <color theme="1"/>
        <rFont val="Calibri"/>
        <family val="2"/>
        <scheme val="minor"/>
      </rPr>
      <t xml:space="preserve"> While the blanks are selected, type </t>
    </r>
    <r>
      <rPr>
        <sz val="10"/>
        <color theme="1"/>
        <rFont val="Arial Unicode MS"/>
      </rPr>
      <t>0</t>
    </r>
    <r>
      <rPr>
        <sz val="11"/>
        <color theme="1"/>
        <rFont val="Calibri"/>
        <family val="2"/>
        <scheme val="minor"/>
      </rPr>
      <t xml:space="preserve"> or </t>
    </r>
    <r>
      <rPr>
        <sz val="10"/>
        <color theme="1"/>
        <rFont val="Arial Unicode MS"/>
      </rPr>
      <t>N/A</t>
    </r>
    <r>
      <rPr>
        <sz val="11"/>
        <color theme="1"/>
        <rFont val="Calibri"/>
        <family val="2"/>
        <scheme val="minor"/>
      </rPr>
      <t xml:space="preserve"> and press </t>
    </r>
    <r>
      <rPr>
        <sz val="10"/>
        <color theme="1"/>
        <rFont val="Arial Unicode MS"/>
      </rPr>
      <t>Ctrl + Enter</t>
    </r>
    <r>
      <rPr>
        <sz val="11"/>
        <color theme="1"/>
        <rFont val="Calibri"/>
        <family val="2"/>
        <scheme val="minor"/>
      </rPr>
      <t xml:space="preserve"> to fill all of them at once.</t>
    </r>
  </si>
  <si>
    <r>
      <t>IFNA/IFERROR:</t>
    </r>
    <r>
      <rPr>
        <sz val="11"/>
        <color theme="1"/>
        <rFont val="Calibri"/>
        <family val="2"/>
        <scheme val="minor"/>
      </rPr>
      <t xml:space="preserve"> Use these in your formulas to catch errors caused by missing data:</t>
    </r>
  </si>
  <si>
    <r>
      <t>•</t>
    </r>
    <r>
      <rPr>
        <sz val="7"/>
        <color theme="1"/>
        <rFont val="Times New Roman"/>
        <family val="1"/>
      </rPr>
      <t xml:space="preserve">                  </t>
    </r>
    <r>
      <rPr>
        <sz val="14"/>
        <color theme="1"/>
        <rFont val="Times New Roman"/>
        <family val="1"/>
      </rPr>
      <t>Check data consistency</t>
    </r>
  </si>
  <si>
    <r>
      <t>Remove Duplicates:</t>
    </r>
    <r>
      <rPr>
        <sz val="11"/>
        <color theme="1"/>
        <rFont val="Calibri"/>
        <family val="2"/>
        <scheme val="minor"/>
      </rPr>
      <t xml:space="preserve"> Select your data and go to </t>
    </r>
    <r>
      <rPr>
        <b/>
        <sz val="11"/>
        <color theme="1"/>
        <rFont val="Calibri"/>
        <family val="2"/>
        <scheme val="minor"/>
      </rPr>
      <t>Data</t>
    </r>
    <r>
      <rPr>
        <sz val="11"/>
        <color theme="1"/>
        <rFont val="Calibri"/>
        <family val="2"/>
        <scheme val="minor"/>
      </rPr>
      <t xml:space="preserve"> &gt; </t>
    </r>
    <r>
      <rPr>
        <b/>
        <sz val="11"/>
        <color theme="1"/>
        <rFont val="Calibri"/>
        <family val="2"/>
        <scheme val="minor"/>
      </rPr>
      <t>Remove Duplicates</t>
    </r>
    <r>
      <rPr>
        <sz val="11"/>
        <color theme="1"/>
        <rFont val="Calibri"/>
        <family val="2"/>
        <scheme val="minor"/>
      </rPr>
      <t>.</t>
    </r>
  </si>
  <si>
    <r>
      <t>Trim Spaces:</t>
    </r>
    <r>
      <rPr>
        <sz val="11"/>
        <color theme="1"/>
        <rFont val="Calibri"/>
        <family val="2"/>
        <scheme val="minor"/>
      </rPr>
      <t xml:space="preserve"> Use </t>
    </r>
    <r>
      <rPr>
        <sz val="10"/>
        <color theme="1"/>
        <rFont val="Arial Unicode MS"/>
      </rPr>
      <t>=TRIM(A2)</t>
    </r>
    <r>
      <rPr>
        <sz val="11"/>
        <color theme="1"/>
        <rFont val="Calibri"/>
        <family val="2"/>
        <scheme val="minor"/>
      </rPr>
      <t xml:space="preserve"> to remove leading or trailing spaces that often cause VLOOKUP or Pivot Table errors.</t>
    </r>
  </si>
  <si>
    <r>
      <t>Standardize Formats:</t>
    </r>
    <r>
      <rPr>
        <sz val="11"/>
        <color theme="1"/>
        <rFont val="Calibri"/>
        <family val="2"/>
        <scheme val="minor"/>
      </rPr>
      <t xml:space="preserve"> Ensure date columns are formatted as </t>
    </r>
    <r>
      <rPr>
        <b/>
        <sz val="11"/>
        <color theme="1"/>
        <rFont val="Calibri"/>
        <family val="2"/>
        <scheme val="minor"/>
      </rPr>
      <t>Short Date</t>
    </r>
    <r>
      <rPr>
        <sz val="11"/>
        <color theme="1"/>
        <rFont val="Calibri"/>
        <family val="2"/>
        <scheme val="minor"/>
      </rPr>
      <t xml:space="preserve"> and currency columns as </t>
    </r>
    <r>
      <rPr>
        <b/>
        <sz val="11"/>
        <color theme="1"/>
        <rFont val="Calibri"/>
        <family val="2"/>
        <scheme val="minor"/>
      </rPr>
      <t>Currency</t>
    </r>
    <r>
      <rPr>
        <sz val="11"/>
        <color theme="1"/>
        <rFont val="Calibri"/>
        <family val="2"/>
        <scheme val="minor"/>
      </rPr>
      <t xml:space="preserve"> or </t>
    </r>
    <r>
      <rPr>
        <b/>
        <sz val="11"/>
        <color theme="1"/>
        <rFont val="Calibri"/>
        <family val="2"/>
        <scheme val="minor"/>
      </rPr>
      <t>Accounting</t>
    </r>
    <r>
      <rPr>
        <sz val="11"/>
        <color theme="1"/>
        <rFont val="Calibri"/>
        <family val="2"/>
        <scheme val="minor"/>
      </rPr>
      <t xml:space="preserve"> via the Home tab.</t>
    </r>
  </si>
  <si>
    <r>
      <t>•</t>
    </r>
    <r>
      <rPr>
        <sz val="7"/>
        <color theme="1"/>
        <rFont val="Times New Roman"/>
        <family val="1"/>
      </rPr>
      <t xml:space="preserve">                  </t>
    </r>
    <r>
      <rPr>
        <sz val="14"/>
        <color theme="1"/>
        <rFont val="Times New Roman"/>
        <family val="1"/>
      </rPr>
      <t>Create calculated columns:</t>
    </r>
  </si>
  <si>
    <r>
      <t>•</t>
    </r>
    <r>
      <rPr>
        <sz val="7"/>
        <color theme="1"/>
        <rFont val="Times New Roman"/>
        <family val="1"/>
      </rPr>
      <t xml:space="preserve">                  </t>
    </r>
    <r>
      <rPr>
        <sz val="14"/>
        <color theme="1"/>
        <rFont val="Times New Roman"/>
        <family val="1"/>
      </rPr>
      <t>Profit Margin</t>
    </r>
  </si>
  <si>
    <r>
      <t>•</t>
    </r>
    <r>
      <rPr>
        <sz val="7"/>
        <color theme="1"/>
        <rFont val="Times New Roman"/>
        <family val="1"/>
      </rPr>
      <t xml:space="preserve">                  </t>
    </r>
    <r>
      <rPr>
        <sz val="14"/>
        <color theme="1"/>
        <rFont val="Times New Roman"/>
        <family val="1"/>
      </rPr>
      <t>Variance (Actual vs Target)</t>
    </r>
  </si>
  <si>
    <t>Profit Margin</t>
  </si>
  <si>
    <t>=UPPER(A2)      → Convert to uppercase</t>
  </si>
  <si>
    <t>=TRIM(A2)       → Remove extra spaces</t>
  </si>
  <si>
    <t>=PROPER(A2)     → Capitalize properly</t>
  </si>
  <si>
    <t>Actual Varience</t>
  </si>
  <si>
    <t>Remove space</t>
  </si>
  <si>
    <t>(= Profit/Sales)</t>
  </si>
  <si>
    <t>(=Sales-Target Sales)</t>
  </si>
  <si>
    <r>
      <t>•</t>
    </r>
    <r>
      <rPr>
        <sz val="7"/>
        <color theme="1"/>
        <rFont val="Times New Roman"/>
        <family val="1"/>
      </rPr>
      <t xml:space="preserve">                  </t>
    </r>
    <r>
      <rPr>
        <sz val="14"/>
        <color theme="1"/>
        <rFont val="Times New Roman"/>
        <family val="1"/>
      </rPr>
      <t>Total Sales, Profit, COGS overview</t>
    </r>
  </si>
  <si>
    <r>
      <t xml:space="preserve">Instead of a table, use </t>
    </r>
    <r>
      <rPr>
        <b/>
        <sz val="11"/>
        <color theme="1"/>
        <rFont val="Calibri"/>
        <family val="2"/>
        <scheme val="minor"/>
      </rPr>
      <t>cells with large fonts</t>
    </r>
    <r>
      <rPr>
        <sz val="11"/>
        <color theme="1"/>
        <rFont val="Calibri"/>
        <family val="2"/>
        <scheme val="minor"/>
      </rPr>
      <t xml:space="preserve"> at the top of your sheet to show the "Big Three" numbers. Use these formulas on your main data table:</t>
    </r>
  </si>
  <si>
    <r>
      <t>Total Sales:</t>
    </r>
    <r>
      <rPr>
        <sz val="11"/>
        <color theme="1"/>
        <rFont val="Calibri"/>
        <family val="2"/>
        <scheme val="minor"/>
      </rPr>
      <t xml:space="preserve"> </t>
    </r>
    <r>
      <rPr>
        <sz val="10"/>
        <color theme="1"/>
        <rFont val="Arial Unicode MS"/>
      </rPr>
      <t>=SUM(Table1[Sales])</t>
    </r>
  </si>
  <si>
    <r>
      <t>Total Profit:</t>
    </r>
    <r>
      <rPr>
        <sz val="11"/>
        <color theme="1"/>
        <rFont val="Calibri"/>
        <family val="2"/>
        <scheme val="minor"/>
      </rPr>
      <t xml:space="preserve"> </t>
    </r>
    <r>
      <rPr>
        <sz val="10"/>
        <color theme="1"/>
        <rFont val="Arial Unicode MS"/>
      </rPr>
      <t>=SUM(Table1[Profit])</t>
    </r>
  </si>
  <si>
    <r>
      <t>Total COGS:</t>
    </r>
    <r>
      <rPr>
        <sz val="11"/>
        <color theme="1"/>
        <rFont val="Calibri"/>
        <family val="2"/>
        <scheme val="minor"/>
      </rPr>
      <t xml:space="preserve"> </t>
    </r>
    <r>
      <rPr>
        <sz val="10"/>
        <color theme="1"/>
        <rFont val="Arial Unicode MS"/>
      </rPr>
      <t>=SUM(Table1[COGS])</t>
    </r>
    <r>
      <rPr>
        <sz val="11"/>
        <color theme="1"/>
        <rFont val="Calibri"/>
        <family val="2"/>
        <scheme val="minor"/>
      </rPr>
      <t xml:space="preserve"> (Cost of Goods Sold)</t>
    </r>
  </si>
  <si>
    <r>
      <t>The Insight:</t>
    </r>
    <r>
      <rPr>
        <sz val="11"/>
        <color theme="1"/>
        <rFont val="Calibri"/>
        <family val="2"/>
        <scheme val="minor"/>
      </rPr>
      <t xml:space="preserve"> This immediately tells the stakeholder the scale of the business before looking at the details.</t>
    </r>
  </si>
  <si>
    <r>
      <t>•</t>
    </r>
    <r>
      <rPr>
        <sz val="7"/>
        <color theme="1"/>
        <rFont val="Times New Roman"/>
        <family val="1"/>
      </rPr>
      <t xml:space="preserve">                  </t>
    </r>
    <r>
      <rPr>
        <sz val="14"/>
        <color theme="1"/>
        <rFont val="Times New Roman"/>
        <family val="1"/>
      </rPr>
      <t>Region-wise performance</t>
    </r>
  </si>
  <si>
    <r>
      <t xml:space="preserve">Use a </t>
    </r>
    <r>
      <rPr>
        <b/>
        <sz val="11"/>
        <color theme="1"/>
        <rFont val="Calibri"/>
        <family val="2"/>
        <scheme val="minor"/>
      </rPr>
      <t>Pivot Table</t>
    </r>
    <r>
      <rPr>
        <sz val="11"/>
        <color theme="1"/>
        <rFont val="Calibri"/>
        <family val="2"/>
        <scheme val="minor"/>
      </rPr>
      <t xml:space="preserve"> to group your coffee chain by territory.</t>
    </r>
  </si>
  <si>
    <r>
      <t>Rows:</t>
    </r>
    <r>
      <rPr>
        <sz val="11"/>
        <color theme="1"/>
        <rFont val="Calibri"/>
        <family val="2"/>
        <scheme val="minor"/>
      </rPr>
      <t xml:space="preserve"> </t>
    </r>
    <r>
      <rPr>
        <sz val="10"/>
        <color theme="1"/>
        <rFont val="Arial Unicode MS"/>
      </rPr>
      <t>Region</t>
    </r>
  </si>
  <si>
    <r>
      <t>Values:</t>
    </r>
    <r>
      <rPr>
        <sz val="11"/>
        <color theme="1"/>
        <rFont val="Calibri"/>
        <family val="2"/>
        <scheme val="minor"/>
      </rPr>
      <t xml:space="preserve"> </t>
    </r>
    <r>
      <rPr>
        <sz val="10"/>
        <color theme="1"/>
        <rFont val="Arial Unicode MS"/>
      </rPr>
      <t>Sales</t>
    </r>
    <r>
      <rPr>
        <sz val="11"/>
        <color theme="1"/>
        <rFont val="Calibri"/>
        <family val="2"/>
        <scheme val="minor"/>
      </rPr>
      <t xml:space="preserve"> and </t>
    </r>
    <r>
      <rPr>
        <sz val="10"/>
        <color theme="1"/>
        <rFont val="Arial Unicode MS"/>
      </rPr>
      <t>Profit</t>
    </r>
  </si>
  <si>
    <r>
      <t>Visualization:</t>
    </r>
    <r>
      <rPr>
        <sz val="11"/>
        <color theme="1"/>
        <rFont val="Calibri"/>
        <family val="2"/>
        <scheme val="minor"/>
      </rPr>
      <t xml:space="preserve"> Insert a </t>
    </r>
    <r>
      <rPr>
        <b/>
        <sz val="11"/>
        <color theme="1"/>
        <rFont val="Calibri"/>
        <family val="2"/>
        <scheme val="minor"/>
      </rPr>
      <t>Filled Map Chart</t>
    </r>
    <r>
      <rPr>
        <sz val="11"/>
        <color theme="1"/>
        <rFont val="Calibri"/>
        <family val="2"/>
        <scheme val="minor"/>
      </rPr>
      <t xml:space="preserve"> (select your pivot data &gt; Insert &gt; Maps).</t>
    </r>
  </si>
  <si>
    <r>
      <t>The Insight:</t>
    </r>
    <r>
      <rPr>
        <sz val="11"/>
        <color theme="1"/>
        <rFont val="Calibri"/>
        <family val="2"/>
        <scheme val="minor"/>
      </rPr>
      <t xml:space="preserve"> It visually highlights which geographic areas (e.g., West Coast vs. East Coast) are driving the most volume.</t>
    </r>
  </si>
  <si>
    <r>
      <t>•</t>
    </r>
    <r>
      <rPr>
        <sz val="7"/>
        <color theme="1"/>
        <rFont val="Times New Roman"/>
        <family val="1"/>
      </rPr>
      <t xml:space="preserve">                  </t>
    </r>
    <r>
      <rPr>
        <sz val="14"/>
        <color theme="1"/>
        <rFont val="Times New Roman"/>
        <family val="1"/>
      </rPr>
      <t>State-wise comparison</t>
    </r>
  </si>
  <si>
    <t>This is where you compare different states to see who is the most profitable, not just who has the most sales.</t>
  </si>
  <si>
    <r>
      <t>Rows:</t>
    </r>
    <r>
      <rPr>
        <sz val="11"/>
        <color theme="1"/>
        <rFont val="Calibri"/>
        <family val="2"/>
        <scheme val="minor"/>
      </rPr>
      <t xml:space="preserve"> </t>
    </r>
    <r>
      <rPr>
        <sz val="10"/>
        <color theme="1"/>
        <rFont val="Arial Unicode MS"/>
      </rPr>
      <t>State</t>
    </r>
  </si>
  <si>
    <r>
      <t>Visualization:</t>
    </r>
    <r>
      <rPr>
        <sz val="11"/>
        <color theme="1"/>
        <rFont val="Calibri"/>
        <family val="2"/>
        <scheme val="minor"/>
      </rPr>
      <t xml:space="preserve"> Use a </t>
    </r>
    <r>
      <rPr>
        <b/>
        <sz val="11"/>
        <color theme="1"/>
        <rFont val="Calibri"/>
        <family val="2"/>
        <scheme val="minor"/>
      </rPr>
      <t>Combo Chart</t>
    </r>
    <r>
      <rPr>
        <sz val="11"/>
        <color theme="1"/>
        <rFont val="Calibri"/>
        <family val="2"/>
        <scheme val="minor"/>
      </rPr>
      <t>.</t>
    </r>
  </si>
  <si>
    <r>
      <t>Sales:</t>
    </r>
    <r>
      <rPr>
        <sz val="11"/>
        <color theme="1"/>
        <rFont val="Calibri"/>
        <family val="2"/>
        <scheme val="minor"/>
      </rPr>
      <t xml:space="preserve"> Clustered Column (Primary Axis)</t>
    </r>
  </si>
  <si>
    <r>
      <t>•</t>
    </r>
    <r>
      <rPr>
        <sz val="7"/>
        <color theme="1"/>
        <rFont val="Times New Roman"/>
        <family val="1"/>
      </rPr>
      <t xml:space="preserve">                  </t>
    </r>
    <r>
      <rPr>
        <sz val="14"/>
        <color theme="1"/>
        <rFont val="Times New Roman"/>
        <family val="1"/>
      </rPr>
      <t>Store-level performance ranking</t>
    </r>
  </si>
  <si>
    <t>This identifies your "Star" stores and your "Struggling" stores.</t>
  </si>
  <si>
    <r>
      <t>Rows:</t>
    </r>
    <r>
      <rPr>
        <sz val="11"/>
        <color theme="1"/>
        <rFont val="Calibri"/>
        <family val="2"/>
        <scheme val="minor"/>
      </rPr>
      <t xml:space="preserve"> </t>
    </r>
    <r>
      <rPr>
        <sz val="10"/>
        <color theme="1"/>
        <rFont val="Arial Unicode MS"/>
      </rPr>
      <t>Store Name</t>
    </r>
    <r>
      <rPr>
        <sz val="11"/>
        <color theme="1"/>
        <rFont val="Calibri"/>
        <family val="2"/>
        <scheme val="minor"/>
      </rPr>
      <t xml:space="preserve"> (or Store ID)</t>
    </r>
  </si>
  <si>
    <r>
      <t>Values:</t>
    </r>
    <r>
      <rPr>
        <sz val="11"/>
        <color theme="1"/>
        <rFont val="Calibri"/>
        <family val="2"/>
        <scheme val="minor"/>
      </rPr>
      <t xml:space="preserve"> </t>
    </r>
    <r>
      <rPr>
        <sz val="10"/>
        <color theme="1"/>
        <rFont val="Arial Unicode MS"/>
      </rPr>
      <t>Sum of Sales</t>
    </r>
    <r>
      <rPr>
        <sz val="11"/>
        <color theme="1"/>
        <rFont val="Calibri"/>
        <family val="2"/>
        <scheme val="minor"/>
      </rPr>
      <t xml:space="preserve"> and sum of profit</t>
    </r>
  </si>
  <si>
    <r>
      <t>Values:</t>
    </r>
    <r>
      <rPr>
        <sz val="11"/>
        <color theme="1"/>
        <rFont val="Calibri"/>
        <family val="2"/>
        <scheme val="minor"/>
      </rPr>
      <t xml:space="preserve"> Sumof Sales,</t>
    </r>
    <r>
      <rPr>
        <sz val="10"/>
        <color theme="1"/>
        <rFont val="Arial Unicode MS"/>
      </rPr>
      <t>Sum of Profit</t>
    </r>
  </si>
  <si>
    <r>
      <t>Store-level performance ranking </t>
    </r>
    <r>
      <rPr>
        <sz val="11"/>
        <color theme="1"/>
        <rFont val="Calibri"/>
        <family val="2"/>
        <scheme val="minor"/>
      </rPr>
      <t>involves using specific Key Performance Indicators (KPIs) to compare, rank, and evaluate the operational efficiency, profitability, and sales success of different retail locations within a chain</t>
    </r>
    <r>
      <rPr>
        <sz val="10"/>
        <color rgb="FF0A0A0A"/>
        <rFont val="Arial"/>
        <family val="2"/>
      </rPr>
      <t>.</t>
    </r>
  </si>
  <si>
    <r>
      <t>•</t>
    </r>
    <r>
      <rPr>
        <sz val="7"/>
        <color theme="1"/>
        <rFont val="Times New Roman"/>
        <family val="1"/>
      </rPr>
      <t xml:space="preserve">                  </t>
    </r>
    <r>
      <rPr>
        <sz val="14"/>
        <color theme="1"/>
        <rFont val="Times New Roman"/>
        <family val="1"/>
      </rPr>
      <t xml:space="preserve">Identify </t>
    </r>
    <r>
      <rPr>
        <b/>
        <sz val="14"/>
        <color theme="1"/>
        <rFont val="Times New Roman"/>
        <family val="1"/>
      </rPr>
      <t>loss-making products/stores</t>
    </r>
  </si>
  <si>
    <t>The goal is to make negative numbers "pop" out immediately.</t>
  </si>
  <si>
    <r>
      <t>Step:</t>
    </r>
    <r>
      <rPr>
        <sz val="11"/>
        <color theme="1"/>
        <rFont val="Calibri"/>
        <family val="2"/>
        <scheme val="minor"/>
      </rPr>
      <t xml:space="preserve"> Create a Pivot Table with </t>
    </r>
    <r>
      <rPr>
        <b/>
        <sz val="11"/>
        <color theme="1"/>
        <rFont val="Calibri"/>
        <family val="2"/>
        <scheme val="minor"/>
      </rPr>
      <t>Store Name</t>
    </r>
    <r>
      <rPr>
        <sz val="11"/>
        <color theme="1"/>
        <rFont val="Calibri"/>
        <family val="2"/>
        <scheme val="minor"/>
      </rPr>
      <t xml:space="preserve"> or </t>
    </r>
    <r>
      <rPr>
        <b/>
        <sz val="11"/>
        <color theme="1"/>
        <rFont val="Calibri"/>
        <family val="2"/>
        <scheme val="minor"/>
      </rPr>
      <t>Product</t>
    </r>
    <r>
      <rPr>
        <sz val="11"/>
        <color theme="1"/>
        <rFont val="Calibri"/>
        <family val="2"/>
        <scheme val="minor"/>
      </rPr>
      <t xml:space="preserve"> in the Rows and </t>
    </r>
    <r>
      <rPr>
        <b/>
        <sz val="11"/>
        <color theme="1"/>
        <rFont val="Calibri"/>
        <family val="2"/>
        <scheme val="minor"/>
      </rPr>
      <t>Sum of Profit</t>
    </r>
    <r>
      <rPr>
        <sz val="11"/>
        <color theme="1"/>
        <rFont val="Calibri"/>
        <family val="2"/>
        <scheme val="minor"/>
      </rPr>
      <t xml:space="preserve"> in the Values.</t>
    </r>
  </si>
  <si>
    <r>
      <t>Excel Trick (Conditional Formatting):</t>
    </r>
    <r>
      <rPr>
        <sz val="11"/>
        <color theme="1"/>
        <rFont val="Calibri"/>
        <family val="2"/>
        <scheme val="minor"/>
      </rPr>
      <t xml:space="preserve"> 1. Select the Profit column. 2. Go to </t>
    </r>
    <r>
      <rPr>
        <b/>
        <sz val="11"/>
        <color theme="1"/>
        <rFont val="Calibri"/>
        <family val="2"/>
        <scheme val="minor"/>
      </rPr>
      <t>Conditional Formatting &gt; Highlight Cells Rules &gt; Less Than...</t>
    </r>
    <r>
      <rPr>
        <sz val="11"/>
        <color theme="1"/>
        <rFont val="Calibri"/>
        <family val="2"/>
        <scheme val="minor"/>
      </rPr>
      <t xml:space="preserve"> 3. Type </t>
    </r>
    <r>
      <rPr>
        <sz val="10"/>
        <color theme="1"/>
        <rFont val="Arial Unicode MS"/>
      </rPr>
      <t>0</t>
    </r>
    <r>
      <rPr>
        <sz val="11"/>
        <color theme="1"/>
        <rFont val="Calibri"/>
        <family val="2"/>
        <scheme val="minor"/>
      </rPr>
      <t xml:space="preserve">. 4. Choose </t>
    </r>
    <r>
      <rPr>
        <b/>
        <sz val="11"/>
        <color theme="1"/>
        <rFont val="Calibri"/>
        <family val="2"/>
        <scheme val="minor"/>
      </rPr>
      <t>Red Fill with Dark Red Text</t>
    </r>
    <r>
      <rPr>
        <sz val="11"/>
        <color theme="1"/>
        <rFont val="Calibri"/>
        <family val="2"/>
        <scheme val="minor"/>
      </rPr>
      <t>.</t>
    </r>
  </si>
  <si>
    <r>
      <t>The Insight:</t>
    </r>
    <r>
      <rPr>
        <sz val="11"/>
        <color theme="1"/>
        <rFont val="Calibri"/>
        <family val="2"/>
        <scheme val="minor"/>
      </rPr>
      <t xml:space="preserve"> Any product (like a complex seasonal latte) or store showing red needs an immediate cost review.</t>
    </r>
  </si>
  <si>
    <r>
      <t>•</t>
    </r>
    <r>
      <rPr>
        <sz val="7"/>
        <color theme="1"/>
        <rFont val="Times New Roman"/>
        <family val="1"/>
      </rPr>
      <t xml:space="preserve">                  </t>
    </r>
    <r>
      <rPr>
        <sz val="14"/>
        <color theme="1"/>
        <rFont val="Times New Roman"/>
        <family val="1"/>
      </rPr>
      <t xml:space="preserve">Analyze </t>
    </r>
    <r>
      <rPr>
        <b/>
        <sz val="14"/>
        <color theme="1"/>
        <rFont val="Times New Roman"/>
        <family val="1"/>
      </rPr>
      <t>high revenue but low profit products</t>
    </r>
  </si>
  <si>
    <t>These are your "False Stars"—products that look successful because everyone buys them, but they aren't actually making you money (often due to high milk or labor costs).</t>
  </si>
  <si>
    <r>
      <t>The Setup:</t>
    </r>
    <r>
      <rPr>
        <sz val="11"/>
        <color theme="1"/>
        <rFont val="Calibri"/>
        <family val="2"/>
        <scheme val="minor"/>
      </rPr>
      <t xml:space="preserve"> In a Pivot Table, put </t>
    </r>
    <r>
      <rPr>
        <b/>
        <sz val="11"/>
        <color theme="1"/>
        <rFont val="Calibri"/>
        <family val="2"/>
        <scheme val="minor"/>
      </rPr>
      <t>Product Name</t>
    </r>
    <r>
      <rPr>
        <sz val="11"/>
        <color theme="1"/>
        <rFont val="Calibri"/>
        <family val="2"/>
        <scheme val="minor"/>
      </rPr>
      <t xml:space="preserve"> in Rows. Add </t>
    </r>
    <r>
      <rPr>
        <b/>
        <sz val="11"/>
        <color theme="1"/>
        <rFont val="Calibri"/>
        <family val="2"/>
        <scheme val="minor"/>
      </rPr>
      <t>Sum of Sales</t>
    </r>
    <r>
      <rPr>
        <sz val="11"/>
        <color theme="1"/>
        <rFont val="Calibri"/>
        <family val="2"/>
        <scheme val="minor"/>
      </rPr>
      <t xml:space="preserve"> and </t>
    </r>
    <r>
      <rPr>
        <b/>
        <sz val="11"/>
        <color theme="1"/>
        <rFont val="Calibri"/>
        <family val="2"/>
        <scheme val="minor"/>
      </rPr>
      <t>Average of Profit Margin</t>
    </r>
    <r>
      <rPr>
        <sz val="11"/>
        <color theme="1"/>
        <rFont val="Calibri"/>
        <family val="2"/>
        <scheme val="minor"/>
      </rPr>
      <t>.</t>
    </r>
  </si>
  <si>
    <t>The Visual (Scatter Plot):</t>
  </si>
  <si>
    <t>Product Name</t>
  </si>
  <si>
    <t>Average of Profit Margin</t>
  </si>
  <si>
    <t>1. Select your two columns (Sales and Margin).</t>
  </si>
  <si>
    <r>
      <t xml:space="preserve">2. Insert a </t>
    </r>
    <r>
      <rPr>
        <b/>
        <sz val="11"/>
        <color theme="1"/>
        <rFont val="Calibri"/>
        <family val="2"/>
        <scheme val="minor"/>
      </rPr>
      <t>Scatter Chart</t>
    </r>
    <r>
      <rPr>
        <sz val="11"/>
        <color theme="1"/>
        <rFont val="Calibri"/>
        <family val="2"/>
        <scheme val="minor"/>
      </rPr>
      <t>.</t>
    </r>
  </si>
  <si>
    <r>
      <t>The Insight:</t>
    </r>
    <r>
      <rPr>
        <sz val="11"/>
        <color theme="1"/>
        <rFont val="Calibri"/>
        <family val="2"/>
        <scheme val="minor"/>
      </rPr>
      <t xml:space="preserve"> * </t>
    </r>
    <r>
      <rPr>
        <b/>
        <sz val="11"/>
        <color theme="1"/>
        <rFont val="Calibri"/>
        <family val="2"/>
        <scheme val="minor"/>
      </rPr>
      <t>Top-Left Quadrant:</t>
    </r>
    <r>
      <rPr>
        <sz val="11"/>
        <color theme="1"/>
        <rFont val="Calibri"/>
        <family val="2"/>
        <scheme val="minor"/>
      </rPr>
      <t xml:space="preserve"> High Margin, Low Sales (Your "Hidden Gems").</t>
    </r>
  </si>
  <si>
    <t>4. Marketing Effectiveness Analysis</t>
  </si>
  <si>
    <r>
      <t>•</t>
    </r>
    <r>
      <rPr>
        <sz val="7"/>
        <color theme="1"/>
        <rFont val="Times New Roman"/>
        <family val="1"/>
      </rPr>
      <t xml:space="preserve">                  </t>
    </r>
    <r>
      <rPr>
        <sz val="14"/>
        <color theme="1"/>
        <rFont val="Times New Roman"/>
        <family val="1"/>
      </rPr>
      <t xml:space="preserve">Analyze correlation using </t>
    </r>
    <r>
      <rPr>
        <b/>
        <sz val="14"/>
        <color theme="1"/>
        <rFont val="Times New Roman"/>
        <family val="1"/>
      </rPr>
      <t>Scatter Plot</t>
    </r>
  </si>
  <si>
    <r>
      <t>•</t>
    </r>
    <r>
      <rPr>
        <sz val="7"/>
        <color theme="1"/>
        <rFont val="Times New Roman"/>
        <family val="1"/>
      </rPr>
      <t xml:space="preserve">                  </t>
    </r>
    <r>
      <rPr>
        <sz val="14"/>
        <color theme="1"/>
        <rFont val="Times New Roman"/>
        <family val="1"/>
      </rPr>
      <t>Calculate Marketing ROI</t>
    </r>
  </si>
  <si>
    <r>
      <t>•</t>
    </r>
    <r>
      <rPr>
        <sz val="7"/>
        <color theme="1"/>
        <rFont val="Times New Roman"/>
        <family val="1"/>
      </rPr>
      <t xml:space="preserve">                  </t>
    </r>
    <r>
      <rPr>
        <sz val="14"/>
        <color theme="1"/>
        <rFont val="Times New Roman"/>
        <family val="1"/>
      </rPr>
      <t xml:space="preserve">Identify </t>
    </r>
    <r>
      <rPr>
        <b/>
        <sz val="14"/>
        <color theme="1"/>
        <rFont val="Times New Roman"/>
        <family val="1"/>
      </rPr>
      <t>over-spending regions</t>
    </r>
  </si>
  <si>
    <t>1. Correlation Analysis (Scatter Plot)</t>
  </si>
  <si>
    <r>
      <t xml:space="preserve">A scatter plot helps visualize the relationship between </t>
    </r>
    <r>
      <rPr>
        <b/>
        <sz val="11"/>
        <color theme="1"/>
        <rFont val="Arial"/>
        <family val="2"/>
      </rPr>
      <t>Marketing Spend</t>
    </r>
    <r>
      <rPr>
        <sz val="11"/>
        <color theme="1"/>
        <rFont val="Arial"/>
        <family val="2"/>
      </rPr>
      <t xml:space="preserve"> (Independent Variable) and </t>
    </r>
    <r>
      <rPr>
        <b/>
        <sz val="11"/>
        <color theme="1"/>
        <rFont val="Arial"/>
        <family val="2"/>
      </rPr>
      <t>Revenue/Sales</t>
    </r>
    <r>
      <rPr>
        <sz val="11"/>
        <color theme="1"/>
        <rFont val="Arial"/>
        <family val="2"/>
      </rPr>
      <t xml:space="preserve"> (Dependent Variable).</t>
    </r>
  </si>
  <si>
    <r>
      <t>Setup:</t>
    </r>
    <r>
      <rPr>
        <sz val="11"/>
        <color theme="1"/>
        <rFont val="Arial"/>
        <family val="2"/>
      </rPr>
      <t xml:space="preserve"> Place "Marketing Spend" on the X-axis and "Revenue" on the Y-axis.</t>
    </r>
  </si>
  <si>
    <r>
      <t>Trendline:</t>
    </r>
    <r>
      <rPr>
        <sz val="11"/>
        <color theme="1"/>
        <rFont val="Arial"/>
        <family val="2"/>
      </rPr>
      <t xml:space="preserve"> Add a linear trendline.</t>
    </r>
  </si>
  <si>
    <r>
      <t xml:space="preserve">A </t>
    </r>
    <r>
      <rPr>
        <b/>
        <sz val="11"/>
        <color theme="1"/>
        <rFont val="Arial"/>
        <family val="2"/>
      </rPr>
      <t>steep positive slope</t>
    </r>
    <r>
      <rPr>
        <sz val="11"/>
        <color theme="1"/>
        <rFont val="Arial"/>
        <family val="2"/>
      </rPr>
      <t xml:space="preserve"> indicates high effectiveness.</t>
    </r>
  </si>
  <si>
    <r>
      <t>Clusters</t>
    </r>
    <r>
      <rPr>
        <sz val="11"/>
        <color theme="1"/>
        <rFont val="Arial"/>
        <family val="2"/>
      </rPr>
      <t xml:space="preserve"> far below the trendline represent periods or campaigns where high spend did not yield proportional returns.</t>
    </r>
  </si>
  <si>
    <r>
      <t>Correlation Coefficient ($r$):</t>
    </r>
    <r>
      <rPr>
        <sz val="11"/>
        <color theme="1"/>
        <rFont val="Arial"/>
        <family val="2"/>
      </rPr>
      <t xml:space="preserve"> Use the </t>
    </r>
    <r>
      <rPr>
        <sz val="10"/>
        <color theme="1"/>
        <rFont val="Google Sans Text"/>
        <family val="2"/>
      </rPr>
      <t>CORREL</t>
    </r>
    <r>
      <rPr>
        <sz val="11"/>
        <color theme="1"/>
        <rFont val="Arial"/>
        <family val="2"/>
      </rPr>
      <t xml:space="preserve"> function in Excel or </t>
    </r>
    <r>
      <rPr>
        <sz val="10"/>
        <color theme="1"/>
        <rFont val="Google Sans Text"/>
        <family val="2"/>
      </rPr>
      <t>.corr()</t>
    </r>
    <r>
      <rPr>
        <sz val="11"/>
        <color theme="1"/>
        <rFont val="Arial"/>
        <family val="2"/>
      </rPr>
      <t xml:space="preserve"> in Python.</t>
    </r>
  </si>
  <si>
    <t>$r &gt; 0.7$: Strong positive relationship.</t>
  </si>
  <si>
    <t>$r &lt; 0.3$: Marketing spend is likely not the primary driver of sales.</t>
  </si>
  <si>
    <t>2. Calculating Marketing ROI</t>
  </si>
  <si>
    <t>Marketing Return on Investment (ROI) measures the profit generated relative to the cost of the marketing activities.</t>
  </si>
  <si>
    <t>Standard Formula</t>
  </si>
  <si>
    <t>Sales _Revenue  / marketing spend</t>
  </si>
  <si>
    <t>Simple ROI (Total Revenue)</t>
  </si>
  <si>
    <t>If you are looking at total impact without deducting baseline organic sales:</t>
  </si>
  <si>
    <r>
      <t>Note:</t>
    </r>
    <r>
      <rPr>
        <sz val="11"/>
        <color theme="1"/>
        <rFont val="Arial"/>
        <family val="2"/>
      </rPr>
      <t xml:space="preserve"> A "good" ROI is generally considered </t>
    </r>
    <r>
      <rPr>
        <b/>
        <sz val="11"/>
        <color theme="1"/>
        <rFont val="Arial"/>
        <family val="2"/>
      </rPr>
      <t>5:1</t>
    </r>
    <r>
      <rPr>
        <sz val="11"/>
        <color theme="1"/>
        <rFont val="Arial"/>
        <family val="2"/>
      </rPr>
      <t xml:space="preserve"> (500%), while </t>
    </r>
    <r>
      <rPr>
        <b/>
        <sz val="11"/>
        <color theme="1"/>
        <rFont val="Arial"/>
        <family val="2"/>
      </rPr>
      <t>10:1</t>
    </r>
    <r>
      <rPr>
        <sz val="11"/>
        <color theme="1"/>
        <rFont val="Arial"/>
        <family val="2"/>
      </rPr>
      <t xml:space="preserve"> is exceptional. A </t>
    </r>
    <r>
      <rPr>
        <b/>
        <sz val="11"/>
        <color theme="1"/>
        <rFont val="Arial"/>
        <family val="2"/>
      </rPr>
      <t>2:1</t>
    </r>
    <r>
      <rPr>
        <sz val="11"/>
        <color theme="1"/>
        <rFont val="Arial"/>
        <family val="2"/>
      </rPr>
      <t xml:space="preserve"> ratio is often the break-even point after accounting for Cost of Goods Sold (COGS).</t>
    </r>
  </si>
  <si>
    <t>3. Identifying Over-Spending Regions</t>
  </si>
  <si>
    <r>
      <t xml:space="preserve">To find "over-spending" regions, you must look for areas where the </t>
    </r>
    <r>
      <rPr>
        <b/>
        <sz val="11"/>
        <color theme="1"/>
        <rFont val="Arial"/>
        <family val="2"/>
      </rPr>
      <t>Cost Per Acquisition (CPA)</t>
    </r>
    <r>
      <rPr>
        <sz val="11"/>
        <color theme="1"/>
        <rFont val="Arial"/>
        <family val="2"/>
      </rPr>
      <t xml:space="preserve"> or </t>
    </r>
    <r>
      <rPr>
        <b/>
        <sz val="11"/>
        <color theme="1"/>
        <rFont val="Arial"/>
        <family val="2"/>
      </rPr>
      <t>Spend-to-Revenue Ratio</t>
    </r>
    <r>
      <rPr>
        <sz val="11"/>
        <color theme="1"/>
        <rFont val="Arial"/>
        <family val="2"/>
      </rPr>
      <t xml:space="preserve"> is disproportionately high compared to the average.</t>
    </r>
  </si>
  <si>
    <t>Analysis Table Structure</t>
  </si>
  <si>
    <t>Region</t>
  </si>
  <si>
    <t>Revenue Genrated</t>
  </si>
  <si>
    <t>RQI</t>
  </si>
  <si>
    <t>% of Total Spend</t>
  </si>
  <si>
    <t>% of Total Revenue</t>
  </si>
  <si>
    <t>North</t>
  </si>
  <si>
    <t>$50,000</t>
  </si>
  <si>
    <t>$200,000</t>
  </si>
  <si>
    <t>$20,000</t>
  </si>
  <si>
    <t>$150,000</t>
  </si>
  <si>
    <t>Revenue(Sales)</t>
  </si>
  <si>
    <r>
      <t>•</t>
    </r>
    <r>
      <rPr>
        <sz val="7"/>
        <color theme="1"/>
        <rFont val="Times New Roman"/>
        <family val="1"/>
      </rPr>
      <t xml:space="preserve">                  </t>
    </r>
    <r>
      <rPr>
        <sz val="14"/>
        <color theme="1"/>
        <rFont val="Times New Roman"/>
        <family val="1"/>
      </rPr>
      <t xml:space="preserve">Monthly Sales &amp; Profit trends using </t>
    </r>
    <r>
      <rPr>
        <b/>
        <sz val="14"/>
        <color theme="1"/>
        <rFont val="Times New Roman"/>
        <family val="1"/>
      </rPr>
      <t>Line Chart</t>
    </r>
  </si>
  <si>
    <r>
      <t xml:space="preserve">To compare Sales and Profit over time, a </t>
    </r>
    <r>
      <rPr>
        <b/>
        <sz val="11"/>
        <color theme="1"/>
        <rFont val="Calibri"/>
        <family val="2"/>
        <scheme val="minor"/>
      </rPr>
      <t>Combo Line Chart</t>
    </r>
    <r>
      <rPr>
        <sz val="11"/>
        <color theme="1"/>
        <rFont val="Calibri"/>
        <family val="2"/>
        <scheme val="minor"/>
      </rPr>
      <t xml:space="preserve"> is the professional standard.</t>
    </r>
  </si>
  <si>
    <t>The Setup in Excel:</t>
  </si>
  <si>
    <t>Oct</t>
  </si>
  <si>
    <t>1. Pivot Table:</t>
  </si>
  <si>
    <t>Nov</t>
  </si>
  <si>
    <t>Dec</t>
  </si>
  <si>
    <r>
      <t>Rows:</t>
    </r>
    <r>
      <rPr>
        <sz val="11"/>
        <color theme="1"/>
        <rFont val="Calibri"/>
        <family val="2"/>
        <scheme val="minor"/>
      </rPr>
      <t xml:space="preserve"> Drag your </t>
    </r>
    <r>
      <rPr>
        <sz val="10"/>
        <color theme="1"/>
        <rFont val="Arial Unicode MS"/>
      </rPr>
      <t>Date</t>
    </r>
    <r>
      <rPr>
        <sz val="11"/>
        <color theme="1"/>
        <rFont val="Calibri"/>
        <family val="2"/>
        <scheme val="minor"/>
      </rPr>
      <t xml:space="preserve"> field here. (Excel will automatically group this into Years, Quarters, and Months).</t>
    </r>
  </si>
  <si>
    <r>
      <t>Values:</t>
    </r>
    <r>
      <rPr>
        <sz val="11"/>
        <color theme="1"/>
        <rFont val="Calibri"/>
        <family val="2"/>
        <scheme val="minor"/>
      </rPr>
      <t xml:space="preserve"> Drag </t>
    </r>
    <r>
      <rPr>
        <sz val="10"/>
        <color theme="1"/>
        <rFont val="Arial Unicode MS"/>
      </rPr>
      <t>Sum of Sales</t>
    </r>
    <r>
      <rPr>
        <sz val="11"/>
        <color theme="1"/>
        <rFont val="Calibri"/>
        <family val="2"/>
        <scheme val="minor"/>
      </rPr>
      <t xml:space="preserve"> and </t>
    </r>
    <r>
      <rPr>
        <sz val="10"/>
        <color theme="1"/>
        <rFont val="Arial Unicode MS"/>
      </rPr>
      <t>Sum of Profit</t>
    </r>
    <r>
      <rPr>
        <sz val="11"/>
        <color theme="1"/>
        <rFont val="Calibri"/>
        <family val="2"/>
        <scheme val="minor"/>
      </rPr>
      <t>.</t>
    </r>
  </si>
  <si>
    <r>
      <t>2. Insert Chart:</t>
    </r>
    <r>
      <rPr>
        <sz val="11"/>
        <color theme="1"/>
        <rFont val="Calibri"/>
        <family val="2"/>
        <scheme val="minor"/>
      </rPr>
      <t xml:space="preserve"> Go to </t>
    </r>
    <r>
      <rPr>
        <b/>
        <sz val="11"/>
        <color theme="1"/>
        <rFont val="Calibri"/>
        <family val="2"/>
        <scheme val="minor"/>
      </rPr>
      <t>Insert &gt; Recommended Charts &gt; Combo Chart</t>
    </r>
    <r>
      <rPr>
        <sz val="11"/>
        <color theme="1"/>
        <rFont val="Calibri"/>
        <family val="2"/>
        <scheme val="minor"/>
      </rPr>
      <t>.</t>
    </r>
  </si>
  <si>
    <r>
      <t xml:space="preserve">Set </t>
    </r>
    <r>
      <rPr>
        <b/>
        <sz val="11"/>
        <color theme="1"/>
        <rFont val="Calibri"/>
        <family val="2"/>
        <scheme val="minor"/>
      </rPr>
      <t>Sales</t>
    </r>
    <r>
      <rPr>
        <sz val="11"/>
        <color theme="1"/>
        <rFont val="Calibri"/>
        <family val="2"/>
        <scheme val="minor"/>
      </rPr>
      <t xml:space="preserve"> as a </t>
    </r>
    <r>
      <rPr>
        <b/>
        <sz val="11"/>
        <color theme="1"/>
        <rFont val="Calibri"/>
        <family val="2"/>
        <scheme val="minor"/>
      </rPr>
      <t>Line</t>
    </r>
    <r>
      <rPr>
        <sz val="11"/>
        <color theme="1"/>
        <rFont val="Calibri"/>
        <family val="2"/>
        <scheme val="minor"/>
      </rPr>
      <t>.</t>
    </r>
  </si>
  <si>
    <r>
      <t xml:space="preserve">Set </t>
    </r>
    <r>
      <rPr>
        <b/>
        <sz val="11"/>
        <color theme="1"/>
        <rFont val="Calibri"/>
        <family val="2"/>
        <scheme val="minor"/>
      </rPr>
      <t>Profit</t>
    </r>
    <r>
      <rPr>
        <sz val="11"/>
        <color theme="1"/>
        <rFont val="Calibri"/>
        <family val="2"/>
        <scheme val="minor"/>
      </rPr>
      <t xml:space="preserve"> as a </t>
    </r>
    <r>
      <rPr>
        <b/>
        <sz val="11"/>
        <color theme="1"/>
        <rFont val="Calibri"/>
        <family val="2"/>
        <scheme val="minor"/>
      </rPr>
      <t>Line</t>
    </r>
    <r>
      <rPr>
        <sz val="11"/>
        <color theme="1"/>
        <rFont val="Calibri"/>
        <family val="2"/>
        <scheme val="minor"/>
      </rPr>
      <t xml:space="preserve"> (or Area chart if you want to show the "gap" between them).</t>
    </r>
  </si>
  <si>
    <r>
      <t>3. Formatting:</t>
    </r>
    <r>
      <rPr>
        <sz val="11"/>
        <color theme="1"/>
        <rFont val="Calibri"/>
        <family val="2"/>
        <scheme val="minor"/>
      </rPr>
      <t xml:space="preserve"> Use a secondary axis for Profit if the scale of Sales is significantly larger (e.g., Millions vs. Thousands).</t>
    </r>
  </si>
  <si>
    <r>
      <t>•</t>
    </r>
    <r>
      <rPr>
        <sz val="7"/>
        <color theme="1"/>
        <rFont val="Times New Roman"/>
        <family val="1"/>
      </rPr>
      <t xml:space="preserve">                  </t>
    </r>
    <r>
      <rPr>
        <sz val="14"/>
        <color theme="1"/>
        <rFont val="Times New Roman"/>
        <family val="1"/>
      </rPr>
      <t>Identify seasonality patterns</t>
    </r>
  </si>
  <si>
    <r>
      <t xml:space="preserve">Seasonality refers to predictable fluctuations that repeat every year (e.g., a spike every December). Since your data covers </t>
    </r>
    <r>
      <rPr>
        <b/>
        <sz val="11"/>
        <color theme="1"/>
        <rFont val="Calibri"/>
        <family val="2"/>
        <scheme val="minor"/>
      </rPr>
      <t>three full years (2012,2013)</t>
    </r>
    <r>
      <rPr>
        <sz val="11"/>
        <color theme="1"/>
        <rFont val="Calibri"/>
        <family val="2"/>
        <scheme val="minor"/>
      </rPr>
      <t>, you have enough information to prove these patterns exist.</t>
    </r>
  </si>
  <si>
    <t>How to Find the Patterns:</t>
  </si>
  <si>
    <t>Year</t>
  </si>
  <si>
    <t>2012</t>
  </si>
  <si>
    <t>2013</t>
  </si>
  <si>
    <r>
      <t>The "Overlap" Method:</t>
    </r>
    <r>
      <rPr>
        <sz val="11"/>
        <color theme="1"/>
        <rFont val="Calibri"/>
        <family val="2"/>
        <scheme val="minor"/>
      </rPr>
      <t xml:space="preserve"> Instead of one long line for 36 months, create a Pivot Table with </t>
    </r>
    <r>
      <rPr>
        <b/>
        <sz val="11"/>
        <color theme="1"/>
        <rFont val="Calibri"/>
        <family val="2"/>
        <scheme val="minor"/>
      </rPr>
      <t>Months</t>
    </r>
    <r>
      <rPr>
        <sz val="11"/>
        <color theme="1"/>
        <rFont val="Calibri"/>
        <family val="2"/>
        <scheme val="minor"/>
      </rPr>
      <t xml:space="preserve"> in the Rows and </t>
    </r>
    <r>
      <rPr>
        <b/>
        <sz val="11"/>
        <color theme="1"/>
        <rFont val="Calibri"/>
        <family val="2"/>
        <scheme val="minor"/>
      </rPr>
      <t>Years</t>
    </r>
    <r>
      <rPr>
        <sz val="11"/>
        <color theme="1"/>
        <rFont val="Calibri"/>
        <family val="2"/>
        <scheme val="minor"/>
      </rPr>
      <t xml:space="preserve"> in the Columns.</t>
    </r>
  </si>
  <si>
    <r>
      <t>The Visual:</t>
    </r>
    <r>
      <rPr>
        <sz val="11"/>
        <color theme="1"/>
        <rFont val="Calibri"/>
        <family val="2"/>
        <scheme val="minor"/>
      </rPr>
      <t xml:space="preserve"> Create a Line Chart where each year is its own line.</t>
    </r>
  </si>
  <si>
    <r>
      <t xml:space="preserve">If all two lines (2012 , 2013) spike in the same month (e.g., October,November/December), you have </t>
    </r>
    <r>
      <rPr>
        <b/>
        <sz val="11"/>
        <color theme="1"/>
        <rFont val="Calibri"/>
        <family val="2"/>
        <scheme val="minor"/>
      </rPr>
      <t>confirmed seasonality</t>
    </r>
    <r>
      <rPr>
        <sz val="11"/>
        <color theme="1"/>
        <rFont val="Calibri"/>
        <family val="2"/>
        <scheme val="minor"/>
      </rPr>
      <t>.</t>
    </r>
  </si>
  <si>
    <r>
      <t xml:space="preserve">If the spikes are random, you likely have </t>
    </r>
    <r>
      <rPr>
        <b/>
        <sz val="11"/>
        <color theme="1"/>
        <rFont val="Calibri"/>
        <family val="2"/>
        <scheme val="minor"/>
      </rPr>
      <t>one-off promotions</t>
    </r>
    <r>
      <rPr>
        <sz val="11"/>
        <color theme="1"/>
        <rFont val="Calibri"/>
        <family val="2"/>
        <scheme val="minor"/>
      </rPr>
      <t xml:space="preserve"> or market volatility rather than true seasonality.</t>
    </r>
  </si>
  <si>
    <t>Location-Agnostic Targeting :</t>
  </si>
  <si>
    <t>Coffee is a hyper-local business. Running ads in a 10-mile radius for a shop where 80% of customers live within 1 mile wastes budget on people who won't make the commute.</t>
  </si>
  <si>
    <r>
      <t>•</t>
    </r>
    <r>
      <rPr>
        <sz val="7"/>
        <color theme="1"/>
        <rFont val="Times New Roman"/>
        <family val="1"/>
      </rPr>
      <t xml:space="preserve">                  </t>
    </r>
    <r>
      <rPr>
        <sz val="14"/>
        <color theme="1"/>
        <rFont val="Times New Roman"/>
        <family val="1"/>
      </rPr>
      <t>Low-margin products?</t>
    </r>
  </si>
  <si>
    <t>. Low-Margin Product</t>
  </si>
  <si>
    <t>Not all menu items are created equal. You might be selling a lot of items, but they’re the "wrong" ones for the bottom line.</t>
  </si>
  <si>
    <r>
      <t>The Pastry Trap:</t>
    </r>
    <r>
      <rPr>
        <sz val="11"/>
        <color theme="1"/>
        <rFont val="Calibri"/>
        <family val="2"/>
        <scheme val="minor"/>
      </rPr>
      <t xml:space="preserve"> Many coffee chains buy pastries from outside vendors. After paying the vendor, the profit on a muffin might only be a few cents, whereas the profit on a black coffee is much higher.</t>
    </r>
  </si>
  <si>
    <r>
      <t>Discounts:</t>
    </r>
    <r>
      <rPr>
        <sz val="11"/>
        <color theme="1"/>
        <rFont val="Calibri"/>
        <family val="2"/>
        <scheme val="minor"/>
      </rPr>
      <t xml:space="preserve"> Over-reliance on "Buy One Get One" (BOGO) deals or loyalty rewards in 2013 to fight off competitors like McDonald's (who were aggressively entering the espresso space) often lowered the </t>
    </r>
    <r>
      <rPr>
        <b/>
        <sz val="11"/>
        <color theme="1"/>
        <rFont val="Calibri"/>
        <family val="2"/>
        <scheme val="minor"/>
      </rPr>
      <t>Average Ticket .</t>
    </r>
  </si>
  <si>
    <r>
      <t>The Result:</t>
    </r>
    <r>
      <rPr>
        <sz val="11"/>
        <color theme="1"/>
        <rFont val="Calibri"/>
        <family val="2"/>
        <scheme val="minor"/>
      </rPr>
      <t xml:space="preserve"> If a barista spends three minutes making one drink while a line forms, the labor cost per cup skyrockets, often outpacing the premium price charged to the customer.</t>
    </r>
  </si>
  <si>
    <r>
      <t>•</t>
    </r>
    <r>
      <rPr>
        <sz val="7"/>
        <color theme="1"/>
        <rFont val="Times New Roman"/>
        <family val="1"/>
      </rPr>
      <t xml:space="preserve">                  </t>
    </r>
    <r>
      <rPr>
        <sz val="14"/>
        <color theme="1"/>
        <rFont val="Times New Roman"/>
        <family val="1"/>
      </rPr>
      <t>Regional inefficiencies?</t>
    </r>
  </si>
  <si>
    <t>. Regional Inefficiencies</t>
  </si>
  <si>
    <t>If the chain expanded too fast in 2012, they likely faced "cannibalization."</t>
  </si>
  <si>
    <r>
      <t>Proximity:</t>
    </r>
    <r>
      <rPr>
        <sz val="11"/>
        <color theme="1"/>
        <rFont val="Calibri"/>
        <family val="2"/>
        <scheme val="minor"/>
      </rPr>
      <t xml:space="preserve"> Opening a new shop three blocks away from an existing one might steal its customers rather than finding new ones, doubling the rent and utility costs for the same amount of total sales.</t>
    </r>
  </si>
  <si>
    <r>
      <t>The Rent Hike:</t>
    </r>
    <r>
      <rPr>
        <sz val="11"/>
        <color theme="1"/>
        <rFont val="Calibri"/>
        <family val="2"/>
        <scheme val="minor"/>
      </rPr>
      <t xml:space="preserve"> 2013 saw a recovery in commercial real estate. If many leases came up for renewal at once, fixed costs jumped while coffee prices stayed the same.</t>
    </r>
  </si>
  <si>
    <r>
      <t>The Result:</t>
    </r>
    <r>
      <rPr>
        <sz val="11"/>
        <color theme="1"/>
        <rFont val="Calibri"/>
        <family val="2"/>
        <scheme val="minor"/>
      </rPr>
      <t xml:space="preserve"> Two stores might sell the exact same amount of coffee, but the store in a "difficult" logistics region will always have a lower net profit because its </t>
    </r>
    <r>
      <rPr>
        <b/>
        <sz val="11"/>
        <color theme="1"/>
        <rFont val="Calibri"/>
        <family val="2"/>
        <scheme val="minor"/>
      </rPr>
      <t>Cost of Goods Sold (COGS)</t>
    </r>
    <r>
      <rPr>
        <sz val="11"/>
        <color theme="1"/>
        <rFont val="Calibri"/>
        <family val="2"/>
        <scheme val="minor"/>
      </rPr>
      <t xml:space="preserve"> includes higher freight charges.</t>
    </r>
  </si>
  <si>
    <t>7. Business Recommendations</t>
  </si>
  <si>
    <t>Provide actionable strategies such as:</t>
  </si>
  <si>
    <r>
      <t>•</t>
    </r>
    <r>
      <rPr>
        <sz val="7"/>
        <color theme="1"/>
        <rFont val="Times New Roman"/>
        <family val="1"/>
      </rPr>
      <t xml:space="preserve">                  </t>
    </r>
    <r>
      <rPr>
        <sz val="14"/>
        <color theme="1"/>
        <rFont val="Times New Roman"/>
        <family val="1"/>
      </rPr>
      <t>Cost optimization strategies</t>
    </r>
  </si>
  <si>
    <t>High costs in coffee often stem from milk wastage and inefficient staff scheduling.</t>
  </si>
  <si>
    <r>
      <t>Excel Action:</t>
    </r>
    <r>
      <rPr>
        <sz val="11"/>
        <color theme="1"/>
        <rFont val="Arial"/>
        <family val="2"/>
      </rPr>
      <t xml:space="preserve"> Create a </t>
    </r>
    <r>
      <rPr>
        <b/>
        <sz val="11"/>
        <color theme="1"/>
        <rFont val="Arial"/>
        <family val="2"/>
      </rPr>
      <t>Variance Analysis</t>
    </r>
    <r>
      <rPr>
        <sz val="11"/>
        <color theme="1"/>
        <rFont val="Arial"/>
        <family val="2"/>
      </rPr>
      <t xml:space="preserve"> table.</t>
    </r>
  </si>
  <si>
    <t>Compare "Theoretical Usage" (Sales x Recipe) against "Actual Inventory Used."</t>
  </si>
  <si>
    <r>
      <t>The Strategy:</t>
    </r>
    <r>
      <rPr>
        <sz val="11"/>
        <color theme="1"/>
        <rFont val="Arial"/>
        <family val="2"/>
      </rPr>
      <t xml:space="preserve"> Identify stores with a variance $&gt; 5\%$. This usually indicates over-pouring or theft. Implement automated milk dispensers or retraining in high-variance locations.</t>
    </r>
  </si>
  <si>
    <r>
      <t>Labor Scaling:</t>
    </r>
    <r>
      <rPr>
        <sz val="11"/>
        <color theme="1"/>
        <rFont val="Arial"/>
        <family val="2"/>
      </rPr>
      <t xml:space="preserve"> Use the </t>
    </r>
    <r>
      <rPr>
        <sz val="10"/>
        <color theme="1"/>
        <rFont val="Google Sans Text"/>
        <family val="2"/>
      </rPr>
      <t>MEDIAN</t>
    </r>
    <r>
      <rPr>
        <sz val="11"/>
        <color theme="1"/>
        <rFont val="Arial"/>
        <family val="2"/>
      </rPr>
      <t xml:space="preserve"> function to find average transactions per hour. If labor costs exceed </t>
    </r>
    <r>
      <rPr>
        <b/>
        <sz val="11"/>
        <color theme="1"/>
        <rFont val="Arial"/>
        <family val="2"/>
      </rPr>
      <t>20% of sales</t>
    </r>
    <r>
      <rPr>
        <sz val="11"/>
        <color theme="1"/>
        <rFont val="Arial"/>
        <family val="2"/>
      </rPr>
      <t xml:space="preserve"> during off-peak hours (2 PM – 4 PM), shift to a "lean staffing" model for those blocks.</t>
    </r>
  </si>
  <si>
    <r>
      <t>•</t>
    </r>
    <r>
      <rPr>
        <sz val="7"/>
        <color theme="1"/>
        <rFont val="Times New Roman"/>
        <family val="1"/>
      </rPr>
      <t xml:space="preserve">                  </t>
    </r>
    <r>
      <rPr>
        <sz val="14"/>
        <color theme="1"/>
        <rFont val="Times New Roman"/>
        <family val="1"/>
      </rPr>
      <t>Product portfolio improvement</t>
    </r>
  </si>
  <si>
    <t>Category</t>
  </si>
  <si>
    <t>High Volume</t>
  </si>
  <si>
    <t>Action</t>
  </si>
  <si>
    <t>Stars</t>
  </si>
  <si>
    <t>Yes</t>
  </si>
  <si>
    <r>
      <t>Highlight:</t>
    </r>
    <r>
      <rPr>
        <sz val="11"/>
        <color rgb="FF1F1F1F"/>
        <rFont val="Arial"/>
        <family val="2"/>
      </rPr>
      <t xml:space="preserve"> Keep these front and center on the menu.</t>
    </r>
  </si>
  <si>
    <t>Plowhorses</t>
  </si>
  <si>
    <t>No</t>
  </si>
  <si>
    <r>
      <t>Price Hike:</t>
    </r>
    <r>
      <rPr>
        <sz val="11"/>
        <color rgb="FF1F1F1F"/>
        <rFont val="Arial"/>
        <family val="2"/>
      </rPr>
      <t xml:space="preserve"> Increase price slightly or reduce portion cost.</t>
    </r>
  </si>
  <si>
    <t>Puzzles</t>
  </si>
  <si>
    <r>
      <t>Promote:</t>
    </r>
    <r>
      <rPr>
        <sz val="11"/>
        <color rgb="FF1F1F1F"/>
        <rFont val="Arial"/>
        <family val="2"/>
      </rPr>
      <t xml:space="preserve"> Use "Staff Picks" to drive volume to these.</t>
    </r>
  </si>
  <si>
    <t>Dogs</t>
  </si>
  <si>
    <r>
      <t>Delete:</t>
    </r>
    <r>
      <rPr>
        <sz val="11"/>
        <color rgb="FF1F1F1F"/>
        <rFont val="Arial"/>
        <family val="2"/>
      </rPr>
      <t xml:space="preserve"> Remove these to simplify inventory.</t>
    </r>
  </si>
  <si>
    <r>
      <t>Excel Action:</t>
    </r>
    <r>
      <rPr>
        <sz val="11"/>
        <color theme="1"/>
        <rFont val="Arial"/>
        <family val="2"/>
      </rPr>
      <t xml:space="preserve"> Calculate the </t>
    </r>
    <r>
      <rPr>
        <b/>
        <sz val="11"/>
        <color theme="1"/>
        <rFont val="Arial"/>
        <family val="2"/>
      </rPr>
      <t>Contribution Margin</t>
    </r>
    <r>
      <rPr>
        <sz val="11"/>
        <color theme="1"/>
        <rFont val="Arial"/>
        <family val="2"/>
      </rPr>
      <t xml:space="preserve"> (</t>
    </r>
  </si>
  <si>
    <t>$$Price - Variable Cost$$</t>
  </si>
  <si>
    <r>
      <t xml:space="preserve">) for every SKU. Use </t>
    </r>
    <r>
      <rPr>
        <b/>
        <sz val="11"/>
        <color theme="1"/>
        <rFont val="Arial"/>
        <family val="2"/>
      </rPr>
      <t>Conditional Formatting</t>
    </r>
    <r>
      <rPr>
        <sz val="11"/>
        <color theme="1"/>
        <rFont val="Arial"/>
        <family val="2"/>
      </rPr>
      <t xml:space="preserve"> to highlight items where the margin is below your chain average</t>
    </r>
  </si>
  <si>
    <r>
      <t>•</t>
    </r>
    <r>
      <rPr>
        <sz val="7"/>
        <color theme="1"/>
        <rFont val="Times New Roman"/>
        <family val="1"/>
      </rPr>
      <t xml:space="preserve">                  </t>
    </r>
    <r>
      <rPr>
        <sz val="14"/>
        <color theme="1"/>
        <rFont val="Times New Roman"/>
        <family val="1"/>
      </rPr>
      <t>Marketing budget reallocation</t>
    </r>
  </si>
  <si>
    <r>
      <t xml:space="preserve">Stop spending equally across all platforms. Use Excel to find your </t>
    </r>
    <r>
      <rPr>
        <b/>
        <sz val="11"/>
        <color theme="1"/>
        <rFont val="Calibri"/>
        <family val="2"/>
        <scheme val="minor"/>
      </rPr>
      <t>Customer Acquisition Cost (CAC)</t>
    </r>
    <r>
      <rPr>
        <sz val="11"/>
        <color theme="1"/>
        <rFont val="Calibri"/>
        <family val="2"/>
        <scheme val="minor"/>
      </rPr>
      <t>.</t>
    </r>
  </si>
  <si>
    <r>
      <t>Excel Action:</t>
    </r>
    <r>
      <rPr>
        <sz val="11"/>
        <color theme="1"/>
        <rFont val="Calibri"/>
        <family val="2"/>
        <scheme val="minor"/>
      </rPr>
      <t xml:space="preserve"> Build a table comparing Spend vs. New Loyalty App Signups per channel (Instagram, Local Flyers, Google Maps Ads).</t>
    </r>
  </si>
  <si>
    <r>
      <t>The Strategy:</t>
    </r>
    <r>
      <rPr>
        <sz val="11"/>
        <color theme="1"/>
        <rFont val="Calibri"/>
        <family val="2"/>
        <scheme val="minor"/>
      </rPr>
      <t xml:space="preserve"> Use the </t>
    </r>
    <r>
      <rPr>
        <sz val="10"/>
        <color theme="1"/>
        <rFont val="Arial Unicode MS"/>
      </rPr>
      <t>RANK</t>
    </r>
    <r>
      <rPr>
        <sz val="11"/>
        <color theme="1"/>
        <rFont val="Calibri"/>
        <family val="2"/>
        <scheme val="minor"/>
      </rPr>
      <t xml:space="preserve"> function to see which channel has the lowest cost per signup.</t>
    </r>
  </si>
  <si>
    <r>
      <t>Pivot:</t>
    </r>
    <r>
      <rPr>
        <sz val="11"/>
        <color theme="1"/>
        <rFont val="Calibri"/>
        <family val="2"/>
        <scheme val="minor"/>
      </rPr>
      <t xml:space="preserve"> If "Local SEO/Google Maps" drives 60% of morning foot traffic but only gets 10% of the budget, reallocate 20% of your Instagram "brand awareness" budget into localized "Coffee Near Me" search ads.</t>
    </r>
  </si>
  <si>
    <r>
      <t>•</t>
    </r>
    <r>
      <rPr>
        <sz val="7"/>
        <color theme="1"/>
        <rFont val="Times New Roman"/>
        <family val="1"/>
      </rPr>
      <t xml:space="preserve">                  </t>
    </r>
    <r>
      <rPr>
        <sz val="14"/>
        <color theme="1"/>
        <rFont val="Times New Roman"/>
        <family val="1"/>
      </rPr>
      <t>High-performing store expansion</t>
    </r>
  </si>
  <si>
    <t>Before opening a new location, use your Excel data to create a "Success Profile."</t>
  </si>
  <si>
    <r>
      <t>Excel Action:</t>
    </r>
    <r>
      <rPr>
        <sz val="11"/>
        <color theme="1"/>
        <rFont val="Calibri"/>
        <family val="2"/>
        <scheme val="minor"/>
      </rPr>
      <t xml:space="preserve"> Use </t>
    </r>
    <r>
      <rPr>
        <b/>
        <sz val="11"/>
        <color theme="1"/>
        <rFont val="Calibri"/>
        <family val="2"/>
        <scheme val="minor"/>
      </rPr>
      <t>Correlation Analysis</t>
    </r>
    <r>
      <rPr>
        <sz val="11"/>
        <color theme="1"/>
        <rFont val="Calibri"/>
        <family val="2"/>
        <scheme val="minor"/>
      </rPr>
      <t xml:space="preserve"> (</t>
    </r>
    <r>
      <rPr>
        <sz val="10"/>
        <color theme="1"/>
        <rFont val="Arial Unicode MS"/>
      </rPr>
      <t>=CORREL</t>
    </r>
    <r>
      <rPr>
        <sz val="11"/>
        <color theme="1"/>
        <rFont val="Calibri"/>
        <family val="2"/>
        <scheme val="minor"/>
      </rPr>
      <t>) to see which factors link most closely to high EBIT (Earnings Before Interest and Taxes).</t>
    </r>
  </si>
  <si>
    <r>
      <t>Examples to test:</t>
    </r>
    <r>
      <rPr>
        <sz val="11"/>
        <color theme="1"/>
        <rFont val="Calibri"/>
        <family val="2"/>
        <scheme val="minor"/>
      </rPr>
      <t xml:space="preserve"> Square footage vs. Profit; Drive-thru presence vs. Profit; Nearby foot traffic count vs. Profit.</t>
    </r>
  </si>
  <si>
    <r>
      <t>The Strategy:</t>
    </r>
    <r>
      <rPr>
        <sz val="11"/>
        <color theme="1"/>
        <rFont val="Calibri"/>
        <family val="2"/>
        <scheme val="minor"/>
      </rPr>
      <t xml:space="preserve"> If the data shows that </t>
    </r>
    <r>
      <rPr>
        <b/>
        <sz val="11"/>
        <color theme="1"/>
        <rFont val="Calibri"/>
        <family val="2"/>
        <scheme val="minor"/>
      </rPr>
      <t>Drive-Thru</t>
    </r>
    <r>
      <rPr>
        <sz val="11"/>
        <color theme="1"/>
        <rFont val="Calibri"/>
        <family val="2"/>
        <scheme val="minor"/>
      </rPr>
      <t xml:space="preserve"> stores have a </t>
    </r>
    <r>
      <rPr>
        <b/>
        <sz val="11"/>
        <color theme="1"/>
        <rFont val="Calibri"/>
        <family val="2"/>
        <scheme val="minor"/>
      </rPr>
      <t>40% higher margin</t>
    </r>
    <r>
      <rPr>
        <sz val="11"/>
        <color theme="1"/>
        <rFont val="Calibri"/>
        <family val="2"/>
        <scheme val="minor"/>
      </rPr>
      <t xml:space="preserve"> despite 20% higher rent, your expansion strategy should pivot exclusively to "Drive-Thru Only" kiosks rather than traditional sit-down cafes.</t>
    </r>
  </si>
  <si>
    <r>
      <t>•</t>
    </r>
    <r>
      <rPr>
        <sz val="7"/>
        <color theme="1"/>
        <rFont val="Times New Roman"/>
        <family val="1"/>
      </rPr>
      <t xml:space="preserve">                  </t>
    </r>
    <r>
      <rPr>
        <sz val="14"/>
        <color theme="1"/>
        <rFont val="Times New Roman"/>
        <family val="1"/>
      </rPr>
      <t>High COGS?</t>
    </r>
  </si>
  <si>
    <t>High Cost of Goods Sold (COGS)</t>
  </si>
  <si>
    <r>
      <t xml:space="preserve">In 2012-2013, the coffee market was volatile. Even if sales stayed the same, the </t>
    </r>
    <r>
      <rPr>
        <b/>
        <sz val="11"/>
        <color theme="1"/>
        <rFont val="Aptos Narrow"/>
        <family val="2"/>
      </rPr>
      <t>cost of the beans and milk</t>
    </r>
    <r>
      <rPr>
        <sz val="11"/>
        <color theme="1"/>
        <rFont val="Aptos Narrow"/>
        <family val="2"/>
      </rPr>
      <t xml:space="preserve"> increased.</t>
    </r>
  </si>
  <si>
    <r>
      <t>The "Milk Factor":</t>
    </r>
    <r>
      <rPr>
        <sz val="11"/>
        <color theme="1"/>
        <rFont val="Calibri"/>
        <family val="2"/>
        <scheme val="minor"/>
      </rPr>
      <t xml:space="preserve"> High-end coffee drinks are mostly milk. If dairy prices spiked, every latte sold squeezed the profit margin thinner.</t>
    </r>
  </si>
  <si>
    <r>
      <t>Waste:</t>
    </r>
    <r>
      <rPr>
        <sz val="11"/>
        <color theme="1"/>
        <rFont val="Calibri"/>
        <family val="2"/>
        <scheme val="minor"/>
      </rPr>
      <t xml:space="preserve"> If baristas weren't properly trained, they might have "over-poured" milk or thrown away expired pastries, which is essentially throwing cash in the bin.</t>
    </r>
  </si>
  <si>
    <t>Ingredient Waste :</t>
  </si>
  <si>
    <t>Milk is often the largest COGS component after coffee beans. High waste due to improper steaming techniques or expired perishables significantly inflates costs.</t>
  </si>
  <si>
    <r>
      <t>•</t>
    </r>
    <r>
      <rPr>
        <sz val="7"/>
        <color theme="1"/>
        <rFont val="Times New Roman"/>
        <family val="1"/>
      </rPr>
      <t xml:space="preserve">                  </t>
    </r>
    <r>
      <rPr>
        <sz val="14"/>
        <color theme="1"/>
        <rFont val="Times New Roman"/>
        <family val="1"/>
      </rPr>
      <t>Inefficient marketing?</t>
    </r>
  </si>
  <si>
    <t>Inefficient Marketing Spend</t>
  </si>
  <si>
    <t>In the early 2010s, digital marketing was still evolving.</t>
  </si>
  <si>
    <r>
      <t>Traditional vs. Digital:</t>
    </r>
    <r>
      <rPr>
        <sz val="11"/>
        <color theme="1"/>
        <rFont val="Calibri"/>
        <family val="2"/>
        <scheme val="minor"/>
      </rPr>
      <t xml:space="preserve"> If the chain spent heavily on billboards or local newspaper ads (Traditional) instead of targeted social media or mobile apps, they were likely paying for "eyes" that never walked through the door.</t>
    </r>
  </si>
  <si>
    <r>
      <t>Lack of Personalization:</t>
    </r>
    <r>
      <rPr>
        <sz val="11"/>
        <color theme="1"/>
        <rFont val="Calibri"/>
        <family val="2"/>
        <scheme val="minor"/>
      </rPr>
      <t xml:space="preserve"> Without a digital loyalty program, the chain couldn't "nudge" a customer to come back for a second afternoon coffee, making their marketing spend a "one-and-done" expense.</t>
    </r>
  </si>
  <si>
    <t xml:space="preserve"> KPI - III</t>
  </si>
  <si>
    <t xml:space="preserve"> KPI - IV</t>
  </si>
  <si>
    <r>
      <t>•</t>
    </r>
    <r>
      <rPr>
        <sz val="7"/>
        <color theme="1"/>
        <rFont val="Times New Roman"/>
        <family val="1"/>
      </rPr>
      <t xml:space="preserve">                  </t>
    </r>
    <r>
      <rPr>
        <sz val="14"/>
        <color theme="1"/>
        <rFont val="Times New Roman"/>
        <family val="1"/>
      </rPr>
      <t>Total Sales</t>
    </r>
  </si>
  <si>
    <r>
      <t>•</t>
    </r>
    <r>
      <rPr>
        <sz val="7"/>
        <color theme="1"/>
        <rFont val="Times New Roman"/>
        <family val="1"/>
      </rPr>
      <t xml:space="preserve">                  </t>
    </r>
    <r>
      <rPr>
        <sz val="14"/>
        <color theme="1"/>
        <rFont val="Times New Roman"/>
        <family val="1"/>
      </rPr>
      <t>Total Profit</t>
    </r>
  </si>
  <si>
    <t>Marketing Spend</t>
  </si>
  <si>
    <t>Sum of ProftMargin</t>
  </si>
  <si>
    <t>Total grand</t>
  </si>
  <si>
    <r>
      <t>•</t>
    </r>
    <r>
      <rPr>
        <sz val="7"/>
        <color theme="1"/>
        <rFont val="Times New Roman"/>
        <family val="1"/>
      </rPr>
      <t xml:space="preserve">                  </t>
    </r>
    <r>
      <rPr>
        <sz val="14"/>
        <color theme="1"/>
        <rFont val="Times New Roman"/>
        <family val="1"/>
      </rPr>
      <t>Sales vs Profit (Column Chart)</t>
    </r>
  </si>
  <si>
    <r>
      <t>•</t>
    </r>
    <r>
      <rPr>
        <sz val="7"/>
        <color theme="1"/>
        <rFont val="Times New Roman"/>
        <family val="1"/>
      </rPr>
      <t xml:space="preserve">                  </t>
    </r>
    <r>
      <rPr>
        <sz val="14"/>
        <color theme="1"/>
        <rFont val="Times New Roman"/>
        <family val="1"/>
      </rPr>
      <t>Monthly Trend (Line Chart)</t>
    </r>
  </si>
  <si>
    <t>Marketing vs Sales (Scatter Plot)</t>
  </si>
  <si>
    <r>
      <t>•</t>
    </r>
    <r>
      <rPr>
        <sz val="7"/>
        <color theme="1"/>
        <rFont val="Times New Roman"/>
        <family val="1"/>
      </rPr>
      <t> </t>
    </r>
    <r>
      <rPr>
        <sz val="14"/>
        <color theme="1"/>
        <rFont val="Times New Roman"/>
        <family val="1"/>
      </rPr>
      <t>Region Contribution (Pie Chart)</t>
    </r>
  </si>
  <si>
    <t>Interactivity</t>
  </si>
  <si>
    <r>
      <t>•</t>
    </r>
    <r>
      <rPr>
        <sz val="7"/>
        <color theme="1"/>
        <rFont val="Times New Roman"/>
        <family val="1"/>
      </rPr>
      <t xml:space="preserve">                  </t>
    </r>
    <r>
      <rPr>
        <sz val="14"/>
        <color theme="1"/>
        <rFont val="Times New Roman"/>
        <family val="1"/>
      </rPr>
      <t>Slicers for:</t>
    </r>
  </si>
  <si>
    <r>
      <t>•</t>
    </r>
    <r>
      <rPr>
        <sz val="7"/>
        <color theme="1"/>
        <rFont val="Times New Roman"/>
        <family val="1"/>
      </rPr>
      <t xml:space="preserve">                  </t>
    </r>
    <r>
      <rPr>
        <sz val="14"/>
        <color theme="1"/>
        <rFont val="Times New Roman"/>
        <family val="1"/>
      </rPr>
      <t>Region n - Product Type</t>
    </r>
  </si>
  <si>
    <r>
      <t>•</t>
    </r>
    <r>
      <rPr>
        <sz val="7"/>
        <color theme="1"/>
        <rFont val="Times New Roman"/>
        <family val="1"/>
      </rPr>
      <t xml:space="preserve">                  </t>
    </r>
    <r>
      <rPr>
        <sz val="14"/>
        <color theme="1"/>
        <rFont val="Times New Roman"/>
        <family val="1"/>
      </rPr>
      <t>State</t>
    </r>
  </si>
  <si>
    <t>Profit * other Expenses</t>
  </si>
  <si>
    <t xml:space="preserve"> sum(profit)</t>
  </si>
  <si>
    <t>Sum of Sales_Revenue</t>
  </si>
  <si>
    <t>•	Marketing Spend</t>
  </si>
  <si>
    <t>Sales / COGS</t>
  </si>
  <si>
    <t>Profit /  Marketing</t>
  </si>
  <si>
    <t>Target profit - Target sales</t>
  </si>
  <si>
    <t>Sum of Varience</t>
  </si>
  <si>
    <t>Questions</t>
  </si>
  <si>
    <t>Answers</t>
  </si>
  <si>
    <t>Max of Cogs</t>
  </si>
  <si>
    <t>#DIV/0!</t>
  </si>
  <si>
    <t>1. Which regions were least profitable and why?</t>
  </si>
  <si>
    <r>
      <t xml:space="preserve">During 2012–2013, </t>
    </r>
    <r>
      <rPr>
        <b/>
        <sz val="11"/>
        <color theme="1"/>
        <rFont val="Calibri"/>
        <family val="2"/>
        <scheme val="minor"/>
      </rPr>
      <t>Southern Europe</t>
    </r>
    <r>
      <rPr>
        <sz val="11"/>
        <color theme="1"/>
        <rFont val="Calibri"/>
        <family val="2"/>
        <scheme val="minor"/>
      </rPr>
      <t xml:space="preserve"> (specifically Greece, Italy, and Spain) was often the least profitable region for international coffee chains.</t>
    </r>
  </si>
  <si>
    <r>
      <t>The Eurozone Crisis:</t>
    </r>
    <r>
      <rPr>
        <sz val="11"/>
        <color theme="1"/>
        <rFont val="Calibri"/>
        <family val="2"/>
        <scheme val="minor"/>
      </rPr>
      <t xml:space="preserve"> These regions were in the grip of a debt crisis. Consumer spending plummeted, and "coffee out" became a luxury many locals cut back on.</t>
    </r>
  </si>
  <si>
    <r>
      <t>Cultural Resistance:</t>
    </r>
    <r>
      <rPr>
        <sz val="11"/>
        <color theme="1"/>
        <rFont val="Calibri"/>
        <family val="2"/>
        <scheme val="minor"/>
      </rPr>
      <t xml:space="preserve"> In Italy, international chains struggled against the deeply entrenched local espresso bar culture, where coffee was expected to be fast, stand-up, and very cheap ($1.00–$1.50). High-overhead chain models couldn't compete with the low-cost structure of local family-run bars.</t>
    </r>
  </si>
  <si>
    <t>2. Which products drove revenue but hurt margins?</t>
  </si>
  <si>
    <t>In the 2012–2013 window, the "Complexity Creep" began to hit margins.</t>
  </si>
  <si>
    <r>
      <t>Blended/Frozen Beverages (Frappes):</t>
    </r>
    <r>
      <rPr>
        <sz val="11"/>
        <color theme="1"/>
        <rFont val="Calibri"/>
        <family val="2"/>
        <scheme val="minor"/>
      </rPr>
      <t xml:space="preserve"> These were massive revenue drivers, especially in the summer. However, they hurt margins because of </t>
    </r>
    <r>
      <rPr>
        <b/>
        <sz val="11"/>
        <color theme="1"/>
        <rFont val="Calibri"/>
        <family val="2"/>
        <scheme val="minor"/>
      </rPr>
      <t>high labor time</t>
    </r>
    <r>
      <rPr>
        <sz val="11"/>
        <color theme="1"/>
        <rFont val="Calibri"/>
        <family val="2"/>
        <scheme val="minor"/>
      </rPr>
      <t xml:space="preserve"> (cleaning blenders, complex builds) and the high cost of specialized syrups and dairy bases.</t>
    </r>
  </si>
  <si>
    <r>
      <t>Early Breakfast Sandwiches:</t>
    </r>
    <r>
      <rPr>
        <sz val="11"/>
        <color theme="1"/>
        <rFont val="Calibri"/>
        <family val="2"/>
        <scheme val="minor"/>
      </rPr>
      <t xml:space="preserve"> Many chains were expanding their food menus to compete with fast-food giants. While this increased the average transaction value, the </t>
    </r>
    <r>
      <rPr>
        <b/>
        <sz val="11"/>
        <color theme="1"/>
        <rFont val="Calibri"/>
        <family val="2"/>
        <scheme val="minor"/>
      </rPr>
      <t>waste/shrinkage rates</t>
    </r>
    <r>
      <rPr>
        <sz val="11"/>
        <color theme="1"/>
        <rFont val="Calibri"/>
        <family val="2"/>
        <scheme val="minor"/>
      </rPr>
      <t xml:space="preserve"> for fresh food and the energy costs for high-speed ovens suppressed the margins compared to high-margin roasted beans.</t>
    </r>
  </si>
  <si>
    <t>3. Was marketing spend justified across all regions?</t>
  </si>
  <si>
    <r>
      <t>Justified in Emerging Markets:</t>
    </r>
    <r>
      <rPr>
        <sz val="11"/>
        <color theme="1"/>
        <rFont val="Calibri"/>
        <family val="2"/>
        <scheme val="minor"/>
      </rPr>
      <t xml:space="preserve"> In 2012, spending in </t>
    </r>
    <r>
      <rPr>
        <b/>
        <sz val="11"/>
        <color theme="1"/>
        <rFont val="Calibri"/>
        <family val="2"/>
        <scheme val="minor"/>
      </rPr>
      <t>China and Brazil</t>
    </r>
    <r>
      <rPr>
        <sz val="11"/>
        <color theme="1"/>
        <rFont val="Calibri"/>
        <family val="2"/>
        <scheme val="minor"/>
      </rPr>
      <t xml:space="preserve"> was highly justified. These were "land grab" years where brand loyalty was being established. Marketing was focused on "aspirational lifestyle" rather than just the product.</t>
    </r>
  </si>
  <si>
    <r>
      <t>Unjustified in Mature Suburbs:</t>
    </r>
    <r>
      <rPr>
        <sz val="11"/>
        <color theme="1"/>
        <rFont val="Calibri"/>
        <family val="2"/>
        <scheme val="minor"/>
      </rPr>
      <t xml:space="preserve"> In North America and the UK, broad TV and billboard advertising began to lose its edge. Chains found that </t>
    </r>
    <r>
      <rPr>
        <b/>
        <sz val="11"/>
        <color theme="1"/>
        <rFont val="Calibri"/>
        <family val="2"/>
        <scheme val="minor"/>
      </rPr>
      <t>Direct Mail and early Loyalty Apps</t>
    </r>
    <r>
      <rPr>
        <sz val="11"/>
        <color theme="1"/>
        <rFont val="Calibri"/>
        <family val="2"/>
        <scheme val="minor"/>
      </rPr>
      <t xml:space="preserve"> (Starbucks launched its mobile payment app around this time) were far more cost-effective than mass-market media.</t>
    </r>
  </si>
  <si>
    <t>4. Which stores exceeded targets consistently?</t>
  </si>
  <si>
    <r>
      <t xml:space="preserve">Between 2012 and 2013, the top performers were </t>
    </r>
    <r>
      <rPr>
        <b/>
        <sz val="11"/>
        <color theme="1"/>
        <rFont val="Calibri"/>
        <family val="2"/>
        <scheme val="minor"/>
      </rPr>
      <t>"In-and-Out" Urban Hubs</t>
    </r>
    <r>
      <rPr>
        <sz val="11"/>
        <color theme="1"/>
        <rFont val="Calibri"/>
        <family val="2"/>
        <scheme val="minor"/>
      </rPr>
      <t xml:space="preserve"> and </t>
    </r>
    <r>
      <rPr>
        <b/>
        <sz val="11"/>
        <color theme="1"/>
        <rFont val="Calibri"/>
        <family val="2"/>
        <scheme val="minor"/>
      </rPr>
      <t>Drive-Thrus</t>
    </r>
    <r>
      <rPr>
        <sz val="11"/>
        <color theme="1"/>
        <rFont val="Calibri"/>
        <family val="2"/>
        <scheme val="minor"/>
      </rPr>
      <t>.</t>
    </r>
  </si>
  <si>
    <r>
      <t>Commuter Kiosks:</t>
    </r>
    <r>
      <rPr>
        <sz val="11"/>
        <color theme="1"/>
        <rFont val="Calibri"/>
        <family val="2"/>
        <scheme val="minor"/>
      </rPr>
      <t xml:space="preserve"> Stores located inside train stations or major transit hubs had the highest sales per square foot. They had limited seating (low rent/maintenance) and massive volume.</t>
    </r>
  </si>
  <si>
    <r>
      <t>Drive-Thru Expansion:</t>
    </r>
    <r>
      <rPr>
        <sz val="11"/>
        <color theme="1"/>
        <rFont val="Calibri"/>
        <family val="2"/>
        <scheme val="minor"/>
      </rPr>
      <t xml:space="preserve"> This was the "golden era" for the drive-thru. Stores with a drive-thru lane consistently saw </t>
    </r>
    <r>
      <rPr>
        <b/>
        <sz val="11"/>
        <color theme="1"/>
        <rFont val="Calibri"/>
        <family val="2"/>
        <scheme val="minor"/>
      </rPr>
      <t>20-30% higher sales</t>
    </r>
    <r>
      <rPr>
        <sz val="11"/>
        <color theme="1"/>
        <rFont val="Calibri"/>
        <family val="2"/>
        <scheme val="minor"/>
      </rPr>
      <t xml:space="preserve"> than cafe-only locations because they captured the morning rush-hour demographic that valued speed over the "third place" experience.</t>
    </r>
  </si>
  <si>
    <t xml:space="preserve">Real Business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</si>
</sst>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33">
    <font>
      <sz val="11"/>
      <color theme="1"/>
      <name val="Calibri"/>
      <family val="2"/>
      <scheme val="minor"/>
    </font>
    <font>
      <sz val="11"/>
      <color theme="1"/>
      <name val="Calibri"/>
      <family val="2"/>
      <scheme val="minor"/>
    </font>
    <font>
      <b/>
      <sz val="11"/>
      <color theme="0"/>
      <name val="Calibri"/>
      <family val="2"/>
      <scheme val="minor"/>
    </font>
    <font>
      <b/>
      <sz val="11"/>
      <color theme="0"/>
      <name val="Calibri"/>
      <family val="2"/>
    </font>
    <font>
      <sz val="11"/>
      <color theme="1"/>
      <name val="Calibri"/>
      <family val="2"/>
    </font>
    <font>
      <sz val="14"/>
      <color theme="1"/>
      <name val="Times New Roman"/>
      <family val="1"/>
    </font>
    <font>
      <sz val="7"/>
      <color theme="1"/>
      <name val="Times New Roman"/>
      <family val="1"/>
    </font>
    <font>
      <sz val="11"/>
      <color theme="1"/>
      <name val="Times New Roman"/>
      <family val="1"/>
    </font>
    <font>
      <sz val="11"/>
      <color rgb="FF1F1F1F"/>
      <name val="Arial"/>
      <family val="2"/>
    </font>
    <font>
      <b/>
      <sz val="13.5"/>
      <color rgb="FF1F1F1F"/>
      <name val="Arial"/>
      <family val="2"/>
    </font>
    <font>
      <b/>
      <sz val="11"/>
      <color rgb="FF1F1F1F"/>
      <name val="Arial"/>
      <family val="2"/>
    </font>
    <font>
      <sz val="10"/>
      <color rgb="FF444746"/>
      <name val="Google Sans Text"/>
      <family val="2"/>
    </font>
    <font>
      <b/>
      <sz val="11"/>
      <color theme="1"/>
      <name val="Calibri"/>
      <family val="2"/>
      <scheme val="minor"/>
    </font>
    <font>
      <b/>
      <sz val="16"/>
      <color rgb="FF00B050"/>
      <name val="Times New Roman"/>
      <family val="1"/>
    </font>
    <font>
      <b/>
      <sz val="14"/>
      <color rgb="FFFF0000"/>
      <name val="Times New Roman"/>
      <family val="1"/>
    </font>
    <font>
      <sz val="10"/>
      <color theme="1"/>
      <name val="Arial Unicode MS"/>
    </font>
    <font>
      <sz val="11"/>
      <color theme="1"/>
      <name val="Arial"/>
      <family val="2"/>
    </font>
    <font>
      <sz val="10"/>
      <color theme="1"/>
      <name val="Google Sans Text"/>
      <family val="2"/>
    </font>
    <font>
      <b/>
      <sz val="13.5"/>
      <color theme="1"/>
      <name val="Arial"/>
      <family val="2"/>
    </font>
    <font>
      <b/>
      <sz val="11"/>
      <color theme="1"/>
      <name val="Arial"/>
      <family val="2"/>
    </font>
    <font>
      <i/>
      <sz val="11"/>
      <color theme="1"/>
      <name val="Arial"/>
      <family val="2"/>
    </font>
    <font>
      <sz val="10"/>
      <color rgb="FF0A0A0A"/>
      <name val="Arial"/>
      <family val="2"/>
    </font>
    <font>
      <b/>
      <sz val="14"/>
      <color theme="1"/>
      <name val="Times New Roman"/>
      <family val="1"/>
    </font>
    <font>
      <b/>
      <sz val="18"/>
      <color theme="1"/>
      <name val="Arial"/>
      <family val="2"/>
    </font>
    <font>
      <sz val="14"/>
      <color theme="1"/>
      <name val="Aptos Display"/>
      <family val="2"/>
    </font>
    <font>
      <sz val="11"/>
      <color theme="1"/>
      <name val="Aptos Narrow"/>
      <family val="2"/>
    </font>
    <font>
      <b/>
      <sz val="13.5"/>
      <color theme="1"/>
      <name val="Calibri"/>
      <family val="2"/>
      <scheme val="minor"/>
    </font>
    <font>
      <i/>
      <sz val="11"/>
      <color theme="1"/>
      <name val="Calibri"/>
      <family val="2"/>
      <scheme val="minor"/>
    </font>
    <font>
      <b/>
      <sz val="11"/>
      <color theme="1"/>
      <name val="Aptos Narrow"/>
      <family val="2"/>
    </font>
    <font>
      <sz val="16"/>
      <color rgb="FFC00000"/>
      <name val="Calibri"/>
      <family val="2"/>
      <scheme val="minor"/>
    </font>
    <font>
      <sz val="11"/>
      <color rgb="FFFF0000"/>
      <name val="Calibri"/>
      <family val="2"/>
      <scheme val="minor"/>
    </font>
    <font>
      <sz val="16"/>
      <color rgb="FFFF0000"/>
      <name val="Calibri"/>
      <family val="2"/>
      <scheme val="minor"/>
    </font>
    <font>
      <b/>
      <sz val="16"/>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00B0F0"/>
        <bgColor indexed="64"/>
      </patternFill>
    </fill>
    <fill>
      <patternFill patternType="solid">
        <fgColor rgb="FFFFFF00"/>
        <bgColor indexed="64"/>
      </patternFill>
    </fill>
  </fills>
  <borders count="5">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65">
    <xf numFmtId="0" fontId="0" fillId="0" borderId="0" xfId="0"/>
    <xf numFmtId="0" fontId="2" fillId="2" borderId="1" xfId="0" applyFont="1" applyFill="1" applyBorder="1"/>
    <xf numFmtId="14" fontId="3" fillId="2" borderId="1" xfId="0" applyNumberFormat="1" applyFont="1" applyFill="1" applyBorder="1"/>
    <xf numFmtId="0" fontId="0" fillId="3" borderId="1" xfId="0" applyFill="1" applyBorder="1"/>
    <xf numFmtId="14" fontId="4" fillId="3" borderId="1" xfId="0" applyNumberFormat="1" applyFont="1" applyFill="1" applyBorder="1"/>
    <xf numFmtId="0" fontId="0" fillId="0" borderId="1" xfId="0" applyBorder="1"/>
    <xf numFmtId="14" fontId="4" fillId="0" borderId="1" xfId="0" applyNumberFormat="1" applyFont="1" applyBorder="1"/>
    <xf numFmtId="9" fontId="0" fillId="0" borderId="0" xfId="1" applyFont="1"/>
    <xf numFmtId="0" fontId="2" fillId="2" borderId="0" xfId="0" applyFont="1" applyFill="1"/>
    <xf numFmtId="0" fontId="5" fillId="0" borderId="0" xfId="0" applyFont="1" applyAlignment="1">
      <alignment vertical="center"/>
    </xf>
    <xf numFmtId="0" fontId="7" fillId="0" borderId="0" xfId="0" applyFont="1" applyAlignment="1">
      <alignment vertical="center"/>
    </xf>
    <xf numFmtId="0" fontId="1" fillId="0" borderId="0" xfId="0" applyFont="1"/>
    <xf numFmtId="0" fontId="8" fillId="0" borderId="0" xfId="0" applyFont="1" applyAlignment="1">
      <alignment vertical="center" readingOrder="1"/>
    </xf>
    <xf numFmtId="0" fontId="9" fillId="0" borderId="0" xfId="0" applyFont="1" applyAlignment="1">
      <alignment vertical="center" readingOrder="1"/>
    </xf>
    <xf numFmtId="0" fontId="10" fillId="0" borderId="0" xfId="0" applyFont="1" applyAlignment="1">
      <alignment horizontal="left" vertical="center" indent="1" readingOrder="1"/>
    </xf>
    <xf numFmtId="0" fontId="8" fillId="0" borderId="0" xfId="0" applyFont="1" applyAlignment="1">
      <alignment horizontal="left" vertical="center" indent="1" readingOrder="1"/>
    </xf>
    <xf numFmtId="0" fontId="10" fillId="0" borderId="0" xfId="0" applyFont="1" applyAlignment="1">
      <alignment horizontal="left" vertical="center" indent="2" readingOrder="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vertical="center"/>
    </xf>
    <xf numFmtId="0" fontId="13" fillId="0" borderId="0" xfId="0" applyFont="1" applyAlignment="1">
      <alignment vertical="center"/>
    </xf>
    <xf numFmtId="14" fontId="0" fillId="0" borderId="0" xfId="0" applyNumberFormat="1" applyAlignment="1">
      <alignment horizontal="left"/>
    </xf>
    <xf numFmtId="0" fontId="0" fillId="0" borderId="0" xfId="0" applyAlignment="1">
      <alignment horizontal="left" indent="2"/>
    </xf>
    <xf numFmtId="0" fontId="14" fillId="0" borderId="0" xfId="0" applyFont="1" applyAlignment="1">
      <alignment vertical="center"/>
    </xf>
    <xf numFmtId="0" fontId="0" fillId="0" borderId="0" xfId="0" applyAlignment="1">
      <alignment horizontal="left" vertical="center" indent="1"/>
    </xf>
    <xf numFmtId="0" fontId="12" fillId="0" borderId="0" xfId="0" applyFont="1" applyAlignment="1">
      <alignment horizontal="left" vertical="center" indent="1"/>
    </xf>
    <xf numFmtId="0" fontId="0" fillId="0" borderId="0" xfId="0" applyAlignment="1">
      <alignment horizontal="left" vertical="center" indent="2"/>
    </xf>
    <xf numFmtId="0" fontId="12" fillId="0" borderId="0" xfId="0" applyFont="1"/>
    <xf numFmtId="0" fontId="16"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7" fillId="0" borderId="0" xfId="0" applyFont="1" applyAlignment="1">
      <alignment vertical="center"/>
    </xf>
    <xf numFmtId="0" fontId="20" fillId="0" borderId="0" xfId="0" applyFont="1" applyAlignment="1">
      <alignment vertical="center"/>
    </xf>
    <xf numFmtId="0" fontId="0" fillId="0" borderId="2" xfId="0" applyBorder="1"/>
    <xf numFmtId="0" fontId="0" fillId="0" borderId="3" xfId="0" applyBorder="1"/>
    <xf numFmtId="0" fontId="12" fillId="0" borderId="0" xfId="0" applyFont="1" applyAlignment="1">
      <alignment horizontal="left" vertical="center" indent="2"/>
    </xf>
    <xf numFmtId="0" fontId="2" fillId="2" borderId="2" xfId="0" applyFont="1" applyFill="1" applyBorder="1"/>
    <xf numFmtId="0" fontId="21" fillId="0" borderId="0" xfId="0" applyFont="1"/>
    <xf numFmtId="0" fontId="23" fillId="0" borderId="0" xfId="0" applyFont="1" applyAlignment="1">
      <alignment vertical="center"/>
    </xf>
    <xf numFmtId="0" fontId="19" fillId="0" borderId="0" xfId="0" applyFont="1" applyAlignment="1">
      <alignment horizontal="left" vertical="center" indent="1"/>
    </xf>
    <xf numFmtId="0" fontId="16" fillId="0" borderId="0" xfId="0" applyFont="1" applyAlignment="1">
      <alignment horizontal="left" vertical="center" indent="1"/>
    </xf>
    <xf numFmtId="0" fontId="16" fillId="0" borderId="0" xfId="0" applyFont="1" applyAlignment="1">
      <alignment horizontal="left" vertical="center" indent="2"/>
    </xf>
    <xf numFmtId="0" fontId="19" fillId="0" borderId="0" xfId="0" applyFont="1" applyAlignment="1">
      <alignment horizontal="left" vertical="center" indent="2"/>
    </xf>
    <xf numFmtId="0" fontId="24" fillId="0" borderId="0" xfId="0" applyFont="1"/>
    <xf numFmtId="0" fontId="25" fillId="0" borderId="0" xfId="0" applyFont="1"/>
    <xf numFmtId="164" fontId="25" fillId="0" borderId="0" xfId="0" applyNumberFormat="1" applyFont="1"/>
    <xf numFmtId="9" fontId="25" fillId="0" borderId="0" xfId="0" applyNumberFormat="1" applyFont="1"/>
    <xf numFmtId="0" fontId="26" fillId="0" borderId="0" xfId="0" applyFont="1" applyAlignment="1">
      <alignment vertical="center"/>
    </xf>
    <xf numFmtId="0" fontId="10" fillId="0" borderId="4" xfId="0" applyFont="1" applyBorder="1" applyAlignment="1">
      <alignment horizontal="left" vertical="center" wrapText="1" indent="1" readingOrder="1"/>
    </xf>
    <xf numFmtId="0" fontId="10" fillId="0" borderId="4" xfId="0" applyFont="1" applyBorder="1" applyAlignment="1">
      <alignment vertical="center" wrapText="1" readingOrder="1"/>
    </xf>
    <xf numFmtId="0" fontId="8" fillId="0" borderId="4" xfId="0" applyFont="1" applyBorder="1" applyAlignment="1">
      <alignment horizontal="left" vertical="center" wrapText="1" indent="1" readingOrder="1"/>
    </xf>
    <xf numFmtId="0" fontId="27" fillId="0" borderId="0" xfId="0" applyFont="1" applyAlignment="1">
      <alignment horizontal="left" vertical="center" indent="2"/>
    </xf>
    <xf numFmtId="0" fontId="5" fillId="0" borderId="0" xfId="0" applyFont="1"/>
    <xf numFmtId="9" fontId="0" fillId="0" borderId="0" xfId="0" applyNumberFormat="1"/>
    <xf numFmtId="0" fontId="22" fillId="0" borderId="0" xfId="0" applyFont="1" applyAlignment="1">
      <alignment vertical="center"/>
    </xf>
    <xf numFmtId="0" fontId="0" fillId="0" borderId="0" xfId="0" applyAlignment="1">
      <alignment horizontal="center" vertical="center"/>
    </xf>
    <xf numFmtId="0" fontId="32" fillId="0" borderId="0" xfId="0" applyFont="1" applyAlignment="1">
      <alignment vertical="center"/>
    </xf>
    <xf numFmtId="0" fontId="32" fillId="0" borderId="0" xfId="0" applyFont="1" applyAlignment="1">
      <alignment horizontal="center" vertical="center"/>
    </xf>
    <xf numFmtId="0" fontId="31" fillId="5" borderId="0" xfId="0" applyFont="1" applyFill="1" applyAlignment="1">
      <alignment horizontal="center"/>
    </xf>
    <xf numFmtId="0" fontId="30" fillId="5" borderId="0" xfId="0" applyFont="1" applyFill="1" applyAlignment="1">
      <alignment horizontal="center"/>
    </xf>
    <xf numFmtId="0" fontId="31" fillId="4" borderId="0" xfId="0" applyFont="1" applyFill="1" applyAlignment="1">
      <alignment horizontal="center"/>
    </xf>
    <xf numFmtId="0" fontId="30" fillId="4" borderId="0" xfId="0" applyFont="1" applyFill="1" applyAlignment="1">
      <alignment horizontal="center"/>
    </xf>
    <xf numFmtId="0" fontId="29" fillId="5" borderId="0" xfId="0" applyFont="1" applyFill="1" applyAlignment="1">
      <alignment horizontal="center"/>
    </xf>
    <xf numFmtId="0" fontId="14" fillId="0" borderId="0" xfId="0" applyFont="1"/>
  </cellXfs>
  <cellStyles count="2">
    <cellStyle name="Normal" xfId="0" builtinId="0"/>
    <cellStyle name="Percent" xfId="1" builtinId="5"/>
  </cellStyles>
  <dxfs count="45">
    <dxf>
      <font>
        <color rgb="FF9C0006"/>
      </font>
      <fill>
        <patternFill>
          <bgColor rgb="FFFFC7CE"/>
        </patternFill>
      </fill>
    </dxf>
    <dxf>
      <font>
        <color rgb="FF9C0006"/>
      </font>
      <fill>
        <patternFill>
          <bgColor rgb="FFFFC7CE"/>
        </patternFill>
      </fill>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0" formatCode="General"/>
    </dxf>
    <dxf>
      <alignment horizontal="left" vertical="bottom" textRotation="0" wrapText="0" indent="0" justifyLastLine="0" shrinkToFit="0" readingOrder="0"/>
    </dxf>
    <dxf>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s>
  <tableStyles count="0" defaultTableStyle="TableStyleMedium2" defaultPivotStyle="PivotStyleLight16"/>
  <colors>
    <mruColors>
      <color rgb="FF6D92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6.xml"/><Relationship Id="rId39" Type="http://schemas.openxmlformats.org/officeDocument/2006/relationships/sheetMetadata" Target="metadata.xml"/><Relationship Id="rId21" Type="http://schemas.microsoft.com/office/2007/relationships/slicerCache" Target="slicerCaches/slicerCache1.xml"/><Relationship Id="rId34"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5.xml"/><Relationship Id="rId33" Type="http://schemas.microsoft.com/office/2007/relationships/slicerCache" Target="slicerCaches/slicerCache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4.xml"/><Relationship Id="rId29"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microsoft.com/office/2007/relationships/slicerCache" Target="slicerCaches/slicerCache1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microsoft.com/office/2007/relationships/slicerCache" Target="slicerCaches/slicerCache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microsoft.com/office/2007/relationships/slicerCache" Target="slicerCaches/slicerCache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microsoft.com/office/2007/relationships/slicerCache" Target="slicerCaches/slicerCache10.xml"/><Relationship Id="rId35" Type="http://schemas.microsoft.com/office/2011/relationships/timelineCache" Target="timelineCaches/timelineCache2.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Revenue(sales)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Central</c:v>
              </c:pt>
              <c:pt idx="1">
                <c:v>East</c:v>
              </c:pt>
              <c:pt idx="2">
                <c:v>South</c:v>
              </c:pt>
              <c:pt idx="3">
                <c:v>West</c:v>
              </c:pt>
            </c:strLit>
          </c:cat>
          <c:val>
            <c:numLit>
              <c:formatCode>General</c:formatCode>
              <c:ptCount val="4"/>
              <c:pt idx="0">
                <c:v>1552914</c:v>
              </c:pt>
              <c:pt idx="1">
                <c:v>930459</c:v>
              </c:pt>
              <c:pt idx="2">
                <c:v>434993</c:v>
              </c:pt>
              <c:pt idx="3">
                <c:v>1198668</c:v>
              </c:pt>
            </c:numLit>
          </c:val>
          <c:extLst>
            <c:ext xmlns:c16="http://schemas.microsoft.com/office/drawing/2014/chart" uri="{C3380CC4-5D6E-409C-BE32-E72D297353CC}">
              <c16:uniqueId val="{00000000-A888-4427-9855-8711A6891F56}"/>
            </c:ext>
          </c:extLst>
        </c:ser>
        <c:dLbls>
          <c:showLegendKey val="0"/>
          <c:showVal val="0"/>
          <c:showCatName val="0"/>
          <c:showSerName val="0"/>
          <c:showPercent val="0"/>
          <c:showBubbleSize val="0"/>
        </c:dLbls>
        <c:gapWidth val="219"/>
        <c:overlap val="-27"/>
        <c:axId val="1210027904"/>
        <c:axId val="1210044704"/>
      </c:barChart>
      <c:catAx>
        <c:axId val="121002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0044704"/>
        <c:crosses val="autoZero"/>
        <c:auto val="1"/>
        <c:lblAlgn val="ctr"/>
        <c:lblOffset val="100"/>
        <c:noMultiLvlLbl val="0"/>
      </c:catAx>
      <c:valAx>
        <c:axId val="121004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002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E1-4233-8FAA-AF9BC7A2550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E1-4233-8FAA-AF9BC7A2550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BE1-4233-8FAA-AF9BC7A2550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BE1-4233-8FAA-AF9BC7A25505}"/>
              </c:ext>
            </c:extLst>
          </c:dPt>
          <c:cat>
            <c:strLit>
              <c:ptCount val="4"/>
              <c:pt idx="0">
                <c:v>Coffee</c:v>
              </c:pt>
              <c:pt idx="1">
                <c:v>Espresso</c:v>
              </c:pt>
              <c:pt idx="2">
                <c:v>Herbal Tea</c:v>
              </c:pt>
              <c:pt idx="3">
                <c:v>Tea</c:v>
              </c:pt>
            </c:strLit>
          </c:cat>
          <c:val>
            <c:numLit>
              <c:formatCode>General</c:formatCode>
              <c:ptCount val="4"/>
              <c:pt idx="0">
                <c:v>17485</c:v>
              </c:pt>
              <c:pt idx="1">
                <c:v>17880</c:v>
              </c:pt>
              <c:pt idx="2">
                <c:v>15906</c:v>
              </c:pt>
              <c:pt idx="3">
                <c:v>13040</c:v>
              </c:pt>
            </c:numLit>
          </c:val>
          <c:extLst>
            <c:ext xmlns:c16="http://schemas.microsoft.com/office/drawing/2014/chart" uri="{C3380CC4-5D6E-409C-BE32-E72D297353CC}">
              <c16:uniqueId val="{00000008-CBE1-4233-8FAA-AF9BC7A255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Cost of good sold(COGS)</a:t>
            </a:r>
          </a:p>
        </c:rich>
      </c:tx>
      <c:layout>
        <c:manualLayout>
          <c:xMode val="edge"/>
          <c:yMode val="edge"/>
          <c:x val="0.30569444444444449"/>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Coffee</c:v>
              </c:pt>
              <c:pt idx="1">
                <c:v>Espresso</c:v>
              </c:pt>
              <c:pt idx="2">
                <c:v>Herbal Tea</c:v>
              </c:pt>
              <c:pt idx="3">
                <c:v>Tea</c:v>
              </c:pt>
            </c:strLit>
          </c:cat>
          <c:val>
            <c:numLit>
              <c:formatCode>General</c:formatCode>
              <c:ptCount val="4"/>
              <c:pt idx="0">
                <c:v>52373</c:v>
              </c:pt>
              <c:pt idx="1">
                <c:v>56013</c:v>
              </c:pt>
              <c:pt idx="2">
                <c:v>51685</c:v>
              </c:pt>
              <c:pt idx="3">
                <c:v>42824</c:v>
              </c:pt>
            </c:numLit>
          </c:val>
          <c:extLst>
            <c:ext xmlns:c16="http://schemas.microsoft.com/office/drawing/2014/chart" uri="{C3380CC4-5D6E-409C-BE32-E72D297353CC}">
              <c16:uniqueId val="{00000000-1CFA-4C38-8A49-E8A7F4543670}"/>
            </c:ext>
          </c:extLst>
        </c:ser>
        <c:dLbls>
          <c:showLegendKey val="0"/>
          <c:showVal val="0"/>
          <c:showCatName val="0"/>
          <c:showSerName val="0"/>
          <c:showPercent val="0"/>
          <c:showBubbleSize val="0"/>
        </c:dLbls>
        <c:gapWidth val="115"/>
        <c:overlap val="-20"/>
        <c:axId val="1210078304"/>
        <c:axId val="1210078784"/>
      </c:barChart>
      <c:catAx>
        <c:axId val="1210078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0078784"/>
        <c:crosses val="autoZero"/>
        <c:auto val="1"/>
        <c:lblAlgn val="ctr"/>
        <c:lblOffset val="100"/>
        <c:noMultiLvlLbl val="0"/>
      </c:catAx>
      <c:valAx>
        <c:axId val="12100787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007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Marketing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Coffee</c:v>
              </c:pt>
              <c:pt idx="1">
                <c:v>Espresso</c:v>
              </c:pt>
              <c:pt idx="2">
                <c:v>Herbal Tea</c:v>
              </c:pt>
              <c:pt idx="3">
                <c:v>Tea</c:v>
              </c:pt>
            </c:strLit>
          </c:cat>
          <c:val>
            <c:numLit>
              <c:formatCode>General</c:formatCode>
              <c:ptCount val="4"/>
              <c:pt idx="0">
                <c:v>8036</c:v>
              </c:pt>
              <c:pt idx="1">
                <c:v>9344</c:v>
              </c:pt>
              <c:pt idx="2">
                <c:v>8372</c:v>
              </c:pt>
              <c:pt idx="3">
                <c:v>6568</c:v>
              </c:pt>
            </c:numLit>
          </c:val>
          <c:extLst>
            <c:ext xmlns:c16="http://schemas.microsoft.com/office/drawing/2014/chart" uri="{C3380CC4-5D6E-409C-BE32-E72D297353CC}">
              <c16:uniqueId val="{00000000-B4AC-49F4-81A6-E58F55C640E7}"/>
            </c:ext>
          </c:extLst>
        </c:ser>
        <c:dLbls>
          <c:showLegendKey val="0"/>
          <c:showVal val="0"/>
          <c:showCatName val="0"/>
          <c:showSerName val="0"/>
          <c:showPercent val="0"/>
          <c:showBubbleSize val="0"/>
        </c:dLbls>
        <c:gapWidth val="150"/>
        <c:overlap val="100"/>
        <c:axId val="1595592544"/>
        <c:axId val="1595590144"/>
      </c:barChart>
      <c:catAx>
        <c:axId val="1595592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5590144"/>
        <c:crosses val="autoZero"/>
        <c:auto val="1"/>
        <c:lblAlgn val="ctr"/>
        <c:lblOffset val="100"/>
        <c:noMultiLvlLbl val="0"/>
      </c:catAx>
      <c:valAx>
        <c:axId val="1595590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559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Profit = Profit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v>Sum of Sales_Revenue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Lit>
              <c:ptCount val="4"/>
              <c:pt idx="0">
                <c:v>Coffee</c:v>
              </c:pt>
              <c:pt idx="1">
                <c:v>Espresso</c:v>
              </c:pt>
              <c:pt idx="2">
                <c:v>Herbal Tea</c:v>
              </c:pt>
              <c:pt idx="3">
                <c:v>Tea</c:v>
              </c:pt>
            </c:strLit>
          </c:cat>
          <c:val>
            <c:numLit>
              <c:formatCode>General</c:formatCode>
              <c:ptCount val="4"/>
              <c:pt idx="0">
                <c:v>1287335</c:v>
              </c:pt>
              <c:pt idx="1">
                <c:v>1113215</c:v>
              </c:pt>
              <c:pt idx="2">
                <c:v>1090570</c:v>
              </c:pt>
              <c:pt idx="3">
                <c:v>625914</c:v>
              </c:pt>
            </c:numLit>
          </c:val>
          <c:smooth val="0"/>
          <c:extLst>
            <c:ext xmlns:c16="http://schemas.microsoft.com/office/drawing/2014/chart" uri="{C3380CC4-5D6E-409C-BE32-E72D297353CC}">
              <c16:uniqueId val="{00000000-7FA6-439D-8F3A-449EFB0025A8}"/>
            </c:ext>
          </c:extLst>
        </c:ser>
        <c:ser>
          <c:idx val="1"/>
          <c:order val="1"/>
          <c:tx>
            <c:v>Sum of Marketing</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cat>
            <c:strLit>
              <c:ptCount val="4"/>
              <c:pt idx="0">
                <c:v>Coffee</c:v>
              </c:pt>
              <c:pt idx="1">
                <c:v>Espresso</c:v>
              </c:pt>
              <c:pt idx="2">
                <c:v>Herbal Tea</c:v>
              </c:pt>
              <c:pt idx="3">
                <c:v>Tea</c:v>
              </c:pt>
            </c:strLit>
          </c:cat>
          <c:val>
            <c:numLit>
              <c:formatCode>General</c:formatCode>
              <c:ptCount val="4"/>
              <c:pt idx="0">
                <c:v>8036</c:v>
              </c:pt>
              <c:pt idx="1">
                <c:v>9344</c:v>
              </c:pt>
              <c:pt idx="2">
                <c:v>8372</c:v>
              </c:pt>
              <c:pt idx="3">
                <c:v>6568</c:v>
              </c:pt>
            </c:numLit>
          </c:val>
          <c:smooth val="0"/>
          <c:extLst>
            <c:ext xmlns:c16="http://schemas.microsoft.com/office/drawing/2014/chart" uri="{C3380CC4-5D6E-409C-BE32-E72D297353CC}">
              <c16:uniqueId val="{00000001-7FA6-439D-8F3A-449EFB0025A8}"/>
            </c:ext>
          </c:extLst>
        </c:ser>
        <c:dLbls>
          <c:showLegendKey val="0"/>
          <c:showVal val="0"/>
          <c:showCatName val="0"/>
          <c:showSerName val="0"/>
          <c:showPercent val="0"/>
          <c:showBubbleSize val="0"/>
        </c:dLbls>
        <c:axId val="1595582464"/>
        <c:axId val="1595577664"/>
        <c:axId val="1591689360"/>
      </c:line3DChart>
      <c:catAx>
        <c:axId val="159558246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5577664"/>
        <c:crosses val="autoZero"/>
        <c:auto val="1"/>
        <c:lblAlgn val="ctr"/>
        <c:lblOffset val="100"/>
        <c:noMultiLvlLbl val="0"/>
      </c:catAx>
      <c:valAx>
        <c:axId val="15955776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5582464"/>
        <c:crosses val="autoZero"/>
        <c:crossBetween val="between"/>
      </c:valAx>
      <c:serAx>
        <c:axId val="1591689360"/>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557766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IN" sz="1800">
                <a:effectLst/>
              </a:rPr>
              <a:t>ROI on Marketing</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53F-4F5A-8B80-F0446766B63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53F-4F5A-8B80-F0446766B6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53F-4F5A-8B80-F0446766B63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53F-4F5A-8B80-F0446766B639}"/>
              </c:ext>
            </c:extLst>
          </c:dPt>
          <c:cat>
            <c:strLit>
              <c:ptCount val="4"/>
              <c:pt idx="0">
                <c:v>Coffee</c:v>
              </c:pt>
              <c:pt idx="1">
                <c:v>Espresso</c:v>
              </c:pt>
              <c:pt idx="2">
                <c:v>Herbal Tea</c:v>
              </c:pt>
              <c:pt idx="3">
                <c:v>Tea</c:v>
              </c:pt>
            </c:strLit>
          </c:cat>
          <c:val>
            <c:numLit>
              <c:formatCode>General</c:formatCode>
              <c:ptCount val="4"/>
              <c:pt idx="0">
                <c:v>-33520</c:v>
              </c:pt>
              <c:pt idx="1">
                <c:v>-33680</c:v>
              </c:pt>
              <c:pt idx="2">
                <c:v>-27100</c:v>
              </c:pt>
              <c:pt idx="3">
                <c:v>-20740</c:v>
              </c:pt>
            </c:numLit>
          </c:val>
          <c:extLst>
            <c:ext xmlns:c16="http://schemas.microsoft.com/office/drawing/2014/chart" uri="{C3380CC4-5D6E-409C-BE32-E72D297353CC}">
              <c16:uniqueId val="{00000008-853F-4F5A-8B80-F0446766B63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600">
                <a:effectLst/>
              </a:rPr>
              <a:t>Total Sales, Profit, COGS overview</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contourW="6350" prstMaterial="flat">
            <a:contourClr>
              <a:schemeClr val="accent2"/>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v>Sum of Total Sales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contourW="6350" prstMaterial="flat">
              <a:contourClr>
                <a:schemeClr val="accent2"/>
              </a:contourClr>
            </a:sp3d>
          </c:spPr>
          <c:invertIfNegative val="0"/>
          <c:cat>
            <c:strLit>
              <c:ptCount val="1"/>
              <c:pt idx="0">
                <c:v>Total</c:v>
              </c:pt>
            </c:strLit>
          </c:cat>
          <c:val>
            <c:numLit>
              <c:formatCode>General</c:formatCode>
              <c:ptCount val="1"/>
              <c:pt idx="0">
                <c:v>202895</c:v>
              </c:pt>
            </c:numLit>
          </c:val>
          <c:extLst>
            <c:ext xmlns:c16="http://schemas.microsoft.com/office/drawing/2014/chart" uri="{C3380CC4-5D6E-409C-BE32-E72D297353CC}">
              <c16:uniqueId val="{00000000-52AD-4966-BE20-862EBE1ED7F4}"/>
            </c:ext>
          </c:extLst>
        </c:ser>
        <c:ser>
          <c:idx val="1"/>
          <c:order val="1"/>
          <c:tx>
            <c:v>Sum of Profit</c:v>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strLit>
              <c:ptCount val="1"/>
              <c:pt idx="0">
                <c:v>Total</c:v>
              </c:pt>
            </c:strLit>
          </c:cat>
          <c:val>
            <c:numLit>
              <c:formatCode>General</c:formatCode>
              <c:ptCount val="1"/>
              <c:pt idx="0">
                <c:v>64311</c:v>
              </c:pt>
            </c:numLit>
          </c:val>
          <c:extLst>
            <c:ext xmlns:c16="http://schemas.microsoft.com/office/drawing/2014/chart" uri="{C3380CC4-5D6E-409C-BE32-E72D297353CC}">
              <c16:uniqueId val="{00000001-52AD-4966-BE20-862EBE1ED7F4}"/>
            </c:ext>
          </c:extLst>
        </c:ser>
        <c:ser>
          <c:idx val="2"/>
          <c:order val="2"/>
          <c:tx>
            <c:v>Sum of Cogs</c:v>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cat>
            <c:strLit>
              <c:ptCount val="1"/>
              <c:pt idx="0">
                <c:v>Total</c:v>
              </c:pt>
            </c:strLit>
          </c:cat>
          <c:val>
            <c:numLit>
              <c:formatCode>General</c:formatCode>
              <c:ptCount val="1"/>
              <c:pt idx="0">
                <c:v>87508</c:v>
              </c:pt>
            </c:numLit>
          </c:val>
          <c:extLst>
            <c:ext xmlns:c16="http://schemas.microsoft.com/office/drawing/2014/chart" uri="{C3380CC4-5D6E-409C-BE32-E72D297353CC}">
              <c16:uniqueId val="{00000002-52AD-4966-BE20-862EBE1ED7F4}"/>
            </c:ext>
          </c:extLst>
        </c:ser>
        <c:dLbls>
          <c:showLegendKey val="0"/>
          <c:showVal val="0"/>
          <c:showCatName val="0"/>
          <c:showSerName val="0"/>
          <c:showPercent val="0"/>
          <c:showBubbleSize val="0"/>
        </c:dLbls>
        <c:gapWidth val="150"/>
        <c:shape val="box"/>
        <c:axId val="2132812352"/>
        <c:axId val="2132816672"/>
        <c:axId val="0"/>
      </c:bar3DChart>
      <c:catAx>
        <c:axId val="2132812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2816672"/>
        <c:crosses val="autoZero"/>
        <c:auto val="1"/>
        <c:lblAlgn val="ctr"/>
        <c:lblOffset val="100"/>
        <c:noMultiLvlLbl val="0"/>
      </c:catAx>
      <c:valAx>
        <c:axId val="2132816672"/>
        <c:scaling>
          <c:orientation val="minMax"/>
        </c:scaling>
        <c:delete val="0"/>
        <c:axPos val="l"/>
        <c:majorGridlines>
          <c:spPr>
            <a:ln w="9525">
              <a:solidFill>
                <a:schemeClr val="lt1">
                  <a:lumMod val="50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281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Region - wise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Central</c:v>
              </c:pt>
              <c:pt idx="1">
                <c:v>East</c:v>
              </c:pt>
              <c:pt idx="2">
                <c:v>South</c:v>
              </c:pt>
              <c:pt idx="3">
                <c:v>West</c:v>
              </c:pt>
            </c:strLit>
          </c:cat>
          <c:val>
            <c:numLit>
              <c:formatCode>General</c:formatCode>
              <c:ptCount val="4"/>
              <c:pt idx="0">
                <c:v>64981</c:v>
              </c:pt>
              <c:pt idx="1">
                <c:v>44108</c:v>
              </c:pt>
              <c:pt idx="2">
                <c:v>26388</c:v>
              </c:pt>
              <c:pt idx="3">
                <c:v>67418</c:v>
              </c:pt>
            </c:numLit>
          </c:val>
          <c:extLst>
            <c:ext xmlns:c16="http://schemas.microsoft.com/office/drawing/2014/chart" uri="{C3380CC4-5D6E-409C-BE32-E72D297353CC}">
              <c16:uniqueId val="{00000000-0317-4717-9A49-2C74CACD86C1}"/>
            </c:ext>
          </c:extLst>
        </c:ser>
        <c:dLbls>
          <c:showLegendKey val="0"/>
          <c:showVal val="0"/>
          <c:showCatName val="0"/>
          <c:showSerName val="0"/>
          <c:showPercent val="0"/>
          <c:showBubbleSize val="0"/>
        </c:dLbls>
        <c:gapWidth val="150"/>
        <c:axId val="39802704"/>
        <c:axId val="63222223"/>
      </c:barChart>
      <c:lineChart>
        <c:grouping val="standard"/>
        <c:varyColors val="0"/>
        <c:ser>
          <c:idx val="1"/>
          <c:order val="1"/>
          <c:tx>
            <c:v>Sum of Profit</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4"/>
              <c:pt idx="0">
                <c:v>Central</c:v>
              </c:pt>
              <c:pt idx="1">
                <c:v>East</c:v>
              </c:pt>
              <c:pt idx="2">
                <c:v>South</c:v>
              </c:pt>
              <c:pt idx="3">
                <c:v>West</c:v>
              </c:pt>
            </c:strLit>
          </c:cat>
          <c:val>
            <c:numLit>
              <c:formatCode>General</c:formatCode>
              <c:ptCount val="4"/>
              <c:pt idx="0">
                <c:v>22901</c:v>
              </c:pt>
              <c:pt idx="1">
                <c:v>14745</c:v>
              </c:pt>
              <c:pt idx="2">
                <c:v>8396</c:v>
              </c:pt>
              <c:pt idx="3">
                <c:v>18269</c:v>
              </c:pt>
            </c:numLit>
          </c:val>
          <c:smooth val="0"/>
          <c:extLst>
            <c:ext xmlns:c16="http://schemas.microsoft.com/office/drawing/2014/chart" uri="{C3380CC4-5D6E-409C-BE32-E72D297353CC}">
              <c16:uniqueId val="{00000001-0317-4717-9A49-2C74CACD86C1}"/>
            </c:ext>
          </c:extLst>
        </c:ser>
        <c:dLbls>
          <c:showLegendKey val="0"/>
          <c:showVal val="0"/>
          <c:showCatName val="0"/>
          <c:showSerName val="0"/>
          <c:showPercent val="0"/>
          <c:showBubbleSize val="0"/>
        </c:dLbls>
        <c:marker val="1"/>
        <c:smooth val="0"/>
        <c:axId val="39802704"/>
        <c:axId val="63222223"/>
      </c:lineChart>
      <c:catAx>
        <c:axId val="39802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222223"/>
        <c:crosses val="autoZero"/>
        <c:auto val="1"/>
        <c:lblAlgn val="ctr"/>
        <c:lblOffset val="100"/>
        <c:noMultiLvlLbl val="0"/>
      </c:catAx>
      <c:valAx>
        <c:axId val="63222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980270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State-wise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California</c:v>
              </c:pt>
              <c:pt idx="1">
                <c:v>Colorado</c:v>
              </c:pt>
              <c:pt idx="2">
                <c:v>Illinois</c:v>
              </c:pt>
              <c:pt idx="3">
                <c:v>Iowa</c:v>
              </c:pt>
              <c:pt idx="4">
                <c:v>Nevada</c:v>
              </c:pt>
              <c:pt idx="5">
                <c:v>New York</c:v>
              </c:pt>
              <c:pt idx="6">
                <c:v>Oregon</c:v>
              </c:pt>
              <c:pt idx="7">
                <c:v>Texas</c:v>
              </c:pt>
              <c:pt idx="8">
                <c:v>Utah</c:v>
              </c:pt>
              <c:pt idx="9">
                <c:v>Washington</c:v>
              </c:pt>
            </c:strLit>
          </c:cat>
          <c:val>
            <c:numLit>
              <c:formatCode>General</c:formatCode>
              <c:ptCount val="10"/>
              <c:pt idx="0">
                <c:v>23032</c:v>
              </c:pt>
              <c:pt idx="1">
                <c:v>12112</c:v>
              </c:pt>
              <c:pt idx="2">
                <c:v>16812</c:v>
              </c:pt>
              <c:pt idx="3">
                <c:v>13359</c:v>
              </c:pt>
              <c:pt idx="4">
                <c:v>14822</c:v>
              </c:pt>
              <c:pt idx="5">
                <c:v>17731</c:v>
              </c:pt>
              <c:pt idx="6">
                <c:v>10661</c:v>
              </c:pt>
              <c:pt idx="7">
                <c:v>9092</c:v>
              </c:pt>
              <c:pt idx="8">
                <c:v>9159</c:v>
              </c:pt>
              <c:pt idx="9">
                <c:v>9744</c:v>
              </c:pt>
            </c:numLit>
          </c:val>
          <c:extLst>
            <c:ext xmlns:c16="http://schemas.microsoft.com/office/drawing/2014/chart" uri="{C3380CC4-5D6E-409C-BE32-E72D297353CC}">
              <c16:uniqueId val="{00000000-99E0-403E-B59D-4D327EB7D37E}"/>
            </c:ext>
          </c:extLst>
        </c:ser>
        <c:ser>
          <c:idx val="1"/>
          <c:order val="1"/>
          <c:tx>
            <c:v>Average of ProftMargin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California</c:v>
              </c:pt>
              <c:pt idx="1">
                <c:v>Colorado</c:v>
              </c:pt>
              <c:pt idx="2">
                <c:v>Illinois</c:v>
              </c:pt>
              <c:pt idx="3">
                <c:v>Iowa</c:v>
              </c:pt>
              <c:pt idx="4">
                <c:v>Nevada</c:v>
              </c:pt>
              <c:pt idx="5">
                <c:v>New York</c:v>
              </c:pt>
              <c:pt idx="6">
                <c:v>Oregon</c:v>
              </c:pt>
              <c:pt idx="7">
                <c:v>Texas</c:v>
              </c:pt>
              <c:pt idx="8">
                <c:v>Utah</c:v>
              </c:pt>
              <c:pt idx="9">
                <c:v>Washington</c:v>
              </c:pt>
            </c:strLit>
          </c:cat>
          <c:val>
            <c:numLit>
              <c:formatCode>General</c:formatCode>
              <c:ptCount val="10"/>
              <c:pt idx="0">
                <c:v>217.94444444444446</c:v>
              </c:pt>
              <c:pt idx="1">
                <c:v>116.09090909090909</c:v>
              </c:pt>
              <c:pt idx="2">
                <c:v>174.66666666666666</c:v>
              </c:pt>
              <c:pt idx="3">
                <c:v>147.16666666666666</c:v>
              </c:pt>
              <c:pt idx="4">
                <c:v>185.84848484848484</c:v>
              </c:pt>
              <c:pt idx="5">
                <c:v>253.45833333333334</c:v>
              </c:pt>
              <c:pt idx="6">
                <c:v>111.39393939393939</c:v>
              </c:pt>
              <c:pt idx="7">
                <c:v>125.92857142857143</c:v>
              </c:pt>
              <c:pt idx="8">
                <c:v>96.666666666666671</c:v>
              </c:pt>
              <c:pt idx="9">
                <c:v>114.65</c:v>
              </c:pt>
            </c:numLit>
          </c:val>
          <c:extLst>
            <c:ext xmlns:c16="http://schemas.microsoft.com/office/drawing/2014/chart" uri="{C3380CC4-5D6E-409C-BE32-E72D297353CC}">
              <c16:uniqueId val="{00000001-99E0-403E-B59D-4D327EB7D37E}"/>
            </c:ext>
          </c:extLst>
        </c:ser>
        <c:dLbls>
          <c:showLegendKey val="0"/>
          <c:showVal val="0"/>
          <c:showCatName val="0"/>
          <c:showSerName val="0"/>
          <c:showPercent val="0"/>
          <c:showBubbleSize val="0"/>
        </c:dLbls>
        <c:gapWidth val="0"/>
        <c:axId val="1095374399"/>
        <c:axId val="1095374879"/>
      </c:barChart>
      <c:catAx>
        <c:axId val="1095374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5374879"/>
        <c:crosses val="autoZero"/>
        <c:auto val="1"/>
        <c:lblAlgn val="ctr"/>
        <c:lblOffset val="100"/>
        <c:noMultiLvlLbl val="0"/>
      </c:catAx>
      <c:valAx>
        <c:axId val="10953748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537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ubbleChart>
        <c:varyColors val="0"/>
        <c:ser>
          <c:idx val="0"/>
          <c:order val="0"/>
          <c:tx>
            <c:strRef>
              <c:f>'[1]Profitability Deep Dive'!$J$27</c:f>
              <c:strCache>
                <c:ptCount val="1"/>
                <c:pt idx="0">
                  <c:v>Sum of Sales</c:v>
                </c:pt>
              </c:strCache>
            </c:strRef>
          </c:tx>
          <c:spPr>
            <a:solidFill>
              <a:srgbClr val="0070C0"/>
            </a:solidFill>
            <a:ln>
              <a:noFill/>
            </a:ln>
            <a:effectLst>
              <a:outerShdw blurRad="57150" dist="19050" dir="5400000" algn="ctr" rotWithShape="0">
                <a:srgbClr val="000000">
                  <a:alpha val="63000"/>
                </a:srgbClr>
              </a:outerShdw>
            </a:effectLst>
          </c:spPr>
          <c:invertIfNegative val="0"/>
          <c:xVal>
            <c:strRef>
              <c:f>'[1]Profitability Deep Dive'!$I$28:$I$32</c:f>
              <c:strCache>
                <c:ptCount val="5"/>
                <c:pt idx="0">
                  <c:v>Coffee</c:v>
                </c:pt>
                <c:pt idx="1">
                  <c:v>Espresso</c:v>
                </c:pt>
                <c:pt idx="2">
                  <c:v>Herbal Tea</c:v>
                </c:pt>
                <c:pt idx="3">
                  <c:v>Tea</c:v>
                </c:pt>
                <c:pt idx="4">
                  <c:v>Grand Total</c:v>
                </c:pt>
              </c:strCache>
            </c:strRef>
          </c:xVal>
          <c:yVal>
            <c:numRef>
              <c:f>'[1]Profitability Deep Dive'!$J$28:$J$32</c:f>
              <c:numCache>
                <c:formatCode>General</c:formatCode>
                <c:ptCount val="5"/>
                <c:pt idx="0">
                  <c:v>52373</c:v>
                </c:pt>
                <c:pt idx="1">
                  <c:v>56013</c:v>
                </c:pt>
                <c:pt idx="2">
                  <c:v>51685</c:v>
                </c:pt>
                <c:pt idx="3">
                  <c:v>42824</c:v>
                </c:pt>
                <c:pt idx="4">
                  <c:v>202895</c:v>
                </c:pt>
              </c:numCache>
            </c:numRef>
          </c:yVal>
          <c:bubbleSize>
            <c:numRef>
              <c:f>'[1]Profitability Deep Dive'!$K$28:$K$32</c:f>
              <c:numCache>
                <c:formatCode>General</c:formatCode>
                <c:ptCount val="5"/>
                <c:pt idx="0">
                  <c:v>132.15151515151516</c:v>
                </c:pt>
                <c:pt idx="1">
                  <c:v>129.70408163265307</c:v>
                </c:pt>
                <c:pt idx="2">
                  <c:v>135.52651515151516</c:v>
                </c:pt>
                <c:pt idx="3">
                  <c:v>124.1</c:v>
                </c:pt>
                <c:pt idx="4">
                  <c:v>521.48211193568341</c:v>
                </c:pt>
              </c:numCache>
            </c:numRef>
          </c:bubbleSize>
          <c:bubble3D val="1"/>
          <c:extLst>
            <c:ext xmlns:c16="http://schemas.microsoft.com/office/drawing/2014/chart" uri="{C3380CC4-5D6E-409C-BE32-E72D297353CC}">
              <c16:uniqueId val="{00000000-1774-418A-8F5A-7A05CCD6C884}"/>
            </c:ext>
          </c:extLst>
        </c:ser>
        <c:dLbls>
          <c:showLegendKey val="0"/>
          <c:showVal val="0"/>
          <c:showCatName val="0"/>
          <c:showSerName val="0"/>
          <c:showPercent val="0"/>
          <c:showBubbleSize val="0"/>
        </c:dLbls>
        <c:bubbleScale val="100"/>
        <c:showNegBubbles val="0"/>
        <c:axId val="1095346079"/>
        <c:axId val="1095346559"/>
      </c:bubbleChart>
      <c:valAx>
        <c:axId val="1095346079"/>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5346559"/>
        <c:crosses val="autoZero"/>
        <c:crossBetween val="midCat"/>
      </c:valAx>
      <c:valAx>
        <c:axId val="1095346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53460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'Marketing Effectiveness Analysi'!$Q$1</c:f>
              <c:strCache>
                <c:ptCount val="1"/>
                <c:pt idx="0">
                  <c:v>Revenue(Sales)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'Marketing Effectiveness Analysi'!$P$2:$P$1063</c:f>
              <c:numCache>
                <c:formatCode>General</c:formatCode>
                <c:ptCount val="1062"/>
                <c:pt idx="0">
                  <c:v>46</c:v>
                </c:pt>
                <c:pt idx="1">
                  <c:v>17</c:v>
                </c:pt>
                <c:pt idx="2">
                  <c:v>13</c:v>
                </c:pt>
                <c:pt idx="3">
                  <c:v>10</c:v>
                </c:pt>
                <c:pt idx="4">
                  <c:v>23</c:v>
                </c:pt>
                <c:pt idx="5">
                  <c:v>0</c:v>
                </c:pt>
                <c:pt idx="6">
                  <c:v>15</c:v>
                </c:pt>
                <c:pt idx="7">
                  <c:v>7</c:v>
                </c:pt>
                <c:pt idx="8">
                  <c:v>9</c:v>
                </c:pt>
                <c:pt idx="9">
                  <c:v>11</c:v>
                </c:pt>
                <c:pt idx="10">
                  <c:v>15</c:v>
                </c:pt>
                <c:pt idx="11">
                  <c:v>14</c:v>
                </c:pt>
                <c:pt idx="12">
                  <c:v>41</c:v>
                </c:pt>
                <c:pt idx="13">
                  <c:v>54</c:v>
                </c:pt>
                <c:pt idx="14">
                  <c:v>12</c:v>
                </c:pt>
                <c:pt idx="15">
                  <c:v>20</c:v>
                </c:pt>
                <c:pt idx="16">
                  <c:v>41</c:v>
                </c:pt>
                <c:pt idx="17">
                  <c:v>13</c:v>
                </c:pt>
                <c:pt idx="18">
                  <c:v>15</c:v>
                </c:pt>
                <c:pt idx="19">
                  <c:v>13</c:v>
                </c:pt>
                <c:pt idx="20">
                  <c:v>11</c:v>
                </c:pt>
                <c:pt idx="21">
                  <c:v>27</c:v>
                </c:pt>
                <c:pt idx="22">
                  <c:v>28</c:v>
                </c:pt>
                <c:pt idx="23">
                  <c:v>13</c:v>
                </c:pt>
                <c:pt idx="24">
                  <c:v>14</c:v>
                </c:pt>
                <c:pt idx="25">
                  <c:v>13</c:v>
                </c:pt>
                <c:pt idx="26">
                  <c:v>47</c:v>
                </c:pt>
                <c:pt idx="27">
                  <c:v>23</c:v>
                </c:pt>
                <c:pt idx="28">
                  <c:v>14</c:v>
                </c:pt>
                <c:pt idx="29">
                  <c:v>20</c:v>
                </c:pt>
                <c:pt idx="30">
                  <c:v>14</c:v>
                </c:pt>
                <c:pt idx="31">
                  <c:v>17</c:v>
                </c:pt>
                <c:pt idx="32">
                  <c:v>10</c:v>
                </c:pt>
                <c:pt idx="33">
                  <c:v>9</c:v>
                </c:pt>
                <c:pt idx="34">
                  <c:v>8</c:v>
                </c:pt>
                <c:pt idx="35">
                  <c:v>10</c:v>
                </c:pt>
                <c:pt idx="36">
                  <c:v>15</c:v>
                </c:pt>
                <c:pt idx="37">
                  <c:v>20</c:v>
                </c:pt>
                <c:pt idx="38">
                  <c:v>14</c:v>
                </c:pt>
                <c:pt idx="39">
                  <c:v>14</c:v>
                </c:pt>
                <c:pt idx="40">
                  <c:v>40</c:v>
                </c:pt>
                <c:pt idx="41">
                  <c:v>16</c:v>
                </c:pt>
                <c:pt idx="42">
                  <c:v>20</c:v>
                </c:pt>
                <c:pt idx="43">
                  <c:v>20</c:v>
                </c:pt>
                <c:pt idx="44">
                  <c:v>14</c:v>
                </c:pt>
                <c:pt idx="45">
                  <c:v>14</c:v>
                </c:pt>
                <c:pt idx="46">
                  <c:v>13</c:v>
                </c:pt>
                <c:pt idx="47">
                  <c:v>10</c:v>
                </c:pt>
                <c:pt idx="48">
                  <c:v>55</c:v>
                </c:pt>
                <c:pt idx="49">
                  <c:v>14</c:v>
                </c:pt>
                <c:pt idx="50">
                  <c:v>15</c:v>
                </c:pt>
                <c:pt idx="51">
                  <c:v>42</c:v>
                </c:pt>
                <c:pt idx="52">
                  <c:v>17</c:v>
                </c:pt>
                <c:pt idx="53">
                  <c:v>24</c:v>
                </c:pt>
                <c:pt idx="54">
                  <c:v>24</c:v>
                </c:pt>
                <c:pt idx="55">
                  <c:v>17</c:v>
                </c:pt>
                <c:pt idx="56">
                  <c:v>13</c:v>
                </c:pt>
                <c:pt idx="57">
                  <c:v>15</c:v>
                </c:pt>
                <c:pt idx="58">
                  <c:v>8</c:v>
                </c:pt>
                <c:pt idx="59">
                  <c:v>9</c:v>
                </c:pt>
                <c:pt idx="60">
                  <c:v>9</c:v>
                </c:pt>
                <c:pt idx="61">
                  <c:v>15</c:v>
                </c:pt>
                <c:pt idx="62">
                  <c:v>49</c:v>
                </c:pt>
                <c:pt idx="63">
                  <c:v>44</c:v>
                </c:pt>
                <c:pt idx="64">
                  <c:v>14</c:v>
                </c:pt>
                <c:pt idx="65">
                  <c:v>44</c:v>
                </c:pt>
                <c:pt idx="66">
                  <c:v>12</c:v>
                </c:pt>
                <c:pt idx="67">
                  <c:v>28</c:v>
                </c:pt>
                <c:pt idx="68">
                  <c:v>25</c:v>
                </c:pt>
                <c:pt idx="69">
                  <c:v>19</c:v>
                </c:pt>
                <c:pt idx="70">
                  <c:v>28</c:v>
                </c:pt>
                <c:pt idx="71">
                  <c:v>49</c:v>
                </c:pt>
                <c:pt idx="72">
                  <c:v>46</c:v>
                </c:pt>
                <c:pt idx="73">
                  <c:v>17</c:v>
                </c:pt>
                <c:pt idx="74">
                  <c:v>13</c:v>
                </c:pt>
                <c:pt idx="75">
                  <c:v>10</c:v>
                </c:pt>
                <c:pt idx="76">
                  <c:v>23</c:v>
                </c:pt>
                <c:pt idx="77">
                  <c:v>0</c:v>
                </c:pt>
                <c:pt idx="78">
                  <c:v>15</c:v>
                </c:pt>
                <c:pt idx="79">
                  <c:v>7</c:v>
                </c:pt>
                <c:pt idx="80">
                  <c:v>9</c:v>
                </c:pt>
                <c:pt idx="81">
                  <c:v>11</c:v>
                </c:pt>
                <c:pt idx="82">
                  <c:v>15</c:v>
                </c:pt>
                <c:pt idx="83">
                  <c:v>14</c:v>
                </c:pt>
                <c:pt idx="84">
                  <c:v>41</c:v>
                </c:pt>
                <c:pt idx="85">
                  <c:v>54</c:v>
                </c:pt>
                <c:pt idx="86">
                  <c:v>12</c:v>
                </c:pt>
                <c:pt idx="87">
                  <c:v>20</c:v>
                </c:pt>
                <c:pt idx="88">
                  <c:v>41</c:v>
                </c:pt>
                <c:pt idx="89">
                  <c:v>13</c:v>
                </c:pt>
                <c:pt idx="90">
                  <c:v>15</c:v>
                </c:pt>
                <c:pt idx="91">
                  <c:v>13</c:v>
                </c:pt>
                <c:pt idx="92">
                  <c:v>11</c:v>
                </c:pt>
                <c:pt idx="93">
                  <c:v>27</c:v>
                </c:pt>
                <c:pt idx="94">
                  <c:v>28</c:v>
                </c:pt>
                <c:pt idx="95">
                  <c:v>13</c:v>
                </c:pt>
                <c:pt idx="96">
                  <c:v>14</c:v>
                </c:pt>
                <c:pt idx="97">
                  <c:v>13</c:v>
                </c:pt>
                <c:pt idx="98">
                  <c:v>47</c:v>
                </c:pt>
                <c:pt idx="99">
                  <c:v>23</c:v>
                </c:pt>
                <c:pt idx="100">
                  <c:v>14</c:v>
                </c:pt>
                <c:pt idx="101">
                  <c:v>20</c:v>
                </c:pt>
                <c:pt idx="102">
                  <c:v>14</c:v>
                </c:pt>
                <c:pt idx="103">
                  <c:v>17</c:v>
                </c:pt>
                <c:pt idx="104">
                  <c:v>10</c:v>
                </c:pt>
                <c:pt idx="105">
                  <c:v>9</c:v>
                </c:pt>
                <c:pt idx="106">
                  <c:v>8</c:v>
                </c:pt>
                <c:pt idx="107">
                  <c:v>10</c:v>
                </c:pt>
                <c:pt idx="108">
                  <c:v>15</c:v>
                </c:pt>
                <c:pt idx="109">
                  <c:v>20</c:v>
                </c:pt>
                <c:pt idx="110">
                  <c:v>14</c:v>
                </c:pt>
                <c:pt idx="111">
                  <c:v>14</c:v>
                </c:pt>
                <c:pt idx="112">
                  <c:v>40</c:v>
                </c:pt>
                <c:pt idx="113">
                  <c:v>16</c:v>
                </c:pt>
                <c:pt idx="114">
                  <c:v>20</c:v>
                </c:pt>
                <c:pt idx="115">
                  <c:v>20</c:v>
                </c:pt>
                <c:pt idx="116">
                  <c:v>14</c:v>
                </c:pt>
                <c:pt idx="117">
                  <c:v>14</c:v>
                </c:pt>
                <c:pt idx="118">
                  <c:v>13</c:v>
                </c:pt>
                <c:pt idx="119">
                  <c:v>10</c:v>
                </c:pt>
                <c:pt idx="120">
                  <c:v>55</c:v>
                </c:pt>
                <c:pt idx="121">
                  <c:v>14</c:v>
                </c:pt>
                <c:pt idx="122">
                  <c:v>15</c:v>
                </c:pt>
                <c:pt idx="123">
                  <c:v>42</c:v>
                </c:pt>
                <c:pt idx="124">
                  <c:v>17</c:v>
                </c:pt>
                <c:pt idx="125">
                  <c:v>24</c:v>
                </c:pt>
                <c:pt idx="126">
                  <c:v>24</c:v>
                </c:pt>
                <c:pt idx="127">
                  <c:v>17</c:v>
                </c:pt>
                <c:pt idx="128">
                  <c:v>13</c:v>
                </c:pt>
                <c:pt idx="129">
                  <c:v>15</c:v>
                </c:pt>
                <c:pt idx="130">
                  <c:v>8</c:v>
                </c:pt>
                <c:pt idx="131">
                  <c:v>9</c:v>
                </c:pt>
                <c:pt idx="132">
                  <c:v>9</c:v>
                </c:pt>
                <c:pt idx="133">
                  <c:v>15</c:v>
                </c:pt>
                <c:pt idx="134">
                  <c:v>49</c:v>
                </c:pt>
                <c:pt idx="135">
                  <c:v>44</c:v>
                </c:pt>
                <c:pt idx="136">
                  <c:v>14</c:v>
                </c:pt>
                <c:pt idx="137">
                  <c:v>44</c:v>
                </c:pt>
                <c:pt idx="138">
                  <c:v>12</c:v>
                </c:pt>
                <c:pt idx="139">
                  <c:v>28</c:v>
                </c:pt>
                <c:pt idx="140">
                  <c:v>25</c:v>
                </c:pt>
                <c:pt idx="141">
                  <c:v>19</c:v>
                </c:pt>
                <c:pt idx="142">
                  <c:v>28</c:v>
                </c:pt>
                <c:pt idx="143">
                  <c:v>49</c:v>
                </c:pt>
                <c:pt idx="144">
                  <c:v>12</c:v>
                </c:pt>
                <c:pt idx="145">
                  <c:v>24</c:v>
                </c:pt>
                <c:pt idx="146">
                  <c:v>20</c:v>
                </c:pt>
                <c:pt idx="147">
                  <c:v>16</c:v>
                </c:pt>
                <c:pt idx="148">
                  <c:v>7</c:v>
                </c:pt>
                <c:pt idx="149">
                  <c:v>21</c:v>
                </c:pt>
                <c:pt idx="150">
                  <c:v>7</c:v>
                </c:pt>
                <c:pt idx="151">
                  <c:v>6</c:v>
                </c:pt>
                <c:pt idx="152">
                  <c:v>30</c:v>
                </c:pt>
                <c:pt idx="153">
                  <c:v>20</c:v>
                </c:pt>
                <c:pt idx="154">
                  <c:v>14</c:v>
                </c:pt>
                <c:pt idx="155">
                  <c:v>54</c:v>
                </c:pt>
                <c:pt idx="156">
                  <c:v>18</c:v>
                </c:pt>
                <c:pt idx="157">
                  <c:v>13</c:v>
                </c:pt>
                <c:pt idx="158">
                  <c:v>10</c:v>
                </c:pt>
                <c:pt idx="159">
                  <c:v>20</c:v>
                </c:pt>
                <c:pt idx="160">
                  <c:v>13</c:v>
                </c:pt>
                <c:pt idx="161">
                  <c:v>7</c:v>
                </c:pt>
                <c:pt idx="162">
                  <c:v>8</c:v>
                </c:pt>
                <c:pt idx="163">
                  <c:v>8</c:v>
                </c:pt>
                <c:pt idx="164">
                  <c:v>14</c:v>
                </c:pt>
                <c:pt idx="165">
                  <c:v>0</c:v>
                </c:pt>
                <c:pt idx="166">
                  <c:v>25</c:v>
                </c:pt>
                <c:pt idx="167">
                  <c:v>6</c:v>
                </c:pt>
                <c:pt idx="168">
                  <c:v>40</c:v>
                </c:pt>
                <c:pt idx="169">
                  <c:v>12</c:v>
                </c:pt>
                <c:pt idx="170">
                  <c:v>40</c:v>
                </c:pt>
                <c:pt idx="171">
                  <c:v>8</c:v>
                </c:pt>
                <c:pt idx="172">
                  <c:v>21</c:v>
                </c:pt>
                <c:pt idx="173">
                  <c:v>15</c:v>
                </c:pt>
                <c:pt idx="174">
                  <c:v>15</c:v>
                </c:pt>
                <c:pt idx="175">
                  <c:v>14</c:v>
                </c:pt>
                <c:pt idx="176">
                  <c:v>13</c:v>
                </c:pt>
                <c:pt idx="177">
                  <c:v>42</c:v>
                </c:pt>
                <c:pt idx="178">
                  <c:v>14</c:v>
                </c:pt>
                <c:pt idx="179">
                  <c:v>14</c:v>
                </c:pt>
                <c:pt idx="180">
                  <c:v>17</c:v>
                </c:pt>
                <c:pt idx="181">
                  <c:v>16</c:v>
                </c:pt>
                <c:pt idx="182">
                  <c:v>9</c:v>
                </c:pt>
                <c:pt idx="183">
                  <c:v>9</c:v>
                </c:pt>
                <c:pt idx="184">
                  <c:v>0</c:v>
                </c:pt>
                <c:pt idx="185">
                  <c:v>13</c:v>
                </c:pt>
                <c:pt idx="186">
                  <c:v>9</c:v>
                </c:pt>
                <c:pt idx="187">
                  <c:v>6</c:v>
                </c:pt>
                <c:pt idx="188">
                  <c:v>12</c:v>
                </c:pt>
                <c:pt idx="189">
                  <c:v>17</c:v>
                </c:pt>
                <c:pt idx="190">
                  <c:v>13</c:v>
                </c:pt>
                <c:pt idx="191">
                  <c:v>9</c:v>
                </c:pt>
                <c:pt idx="192">
                  <c:v>44</c:v>
                </c:pt>
                <c:pt idx="193">
                  <c:v>49</c:v>
                </c:pt>
                <c:pt idx="194">
                  <c:v>12</c:v>
                </c:pt>
                <c:pt idx="195">
                  <c:v>24</c:v>
                </c:pt>
                <c:pt idx="196">
                  <c:v>20</c:v>
                </c:pt>
                <c:pt idx="197">
                  <c:v>16</c:v>
                </c:pt>
                <c:pt idx="198">
                  <c:v>7</c:v>
                </c:pt>
                <c:pt idx="199">
                  <c:v>21</c:v>
                </c:pt>
                <c:pt idx="200">
                  <c:v>7</c:v>
                </c:pt>
                <c:pt idx="201">
                  <c:v>6</c:v>
                </c:pt>
                <c:pt idx="202">
                  <c:v>30</c:v>
                </c:pt>
                <c:pt idx="203">
                  <c:v>20</c:v>
                </c:pt>
                <c:pt idx="204">
                  <c:v>14</c:v>
                </c:pt>
                <c:pt idx="205">
                  <c:v>54</c:v>
                </c:pt>
                <c:pt idx="206">
                  <c:v>18</c:v>
                </c:pt>
                <c:pt idx="207">
                  <c:v>13</c:v>
                </c:pt>
                <c:pt idx="208">
                  <c:v>10</c:v>
                </c:pt>
                <c:pt idx="209">
                  <c:v>20</c:v>
                </c:pt>
                <c:pt idx="210">
                  <c:v>13</c:v>
                </c:pt>
                <c:pt idx="211">
                  <c:v>7</c:v>
                </c:pt>
                <c:pt idx="212">
                  <c:v>8</c:v>
                </c:pt>
                <c:pt idx="213">
                  <c:v>8</c:v>
                </c:pt>
                <c:pt idx="214">
                  <c:v>14</c:v>
                </c:pt>
                <c:pt idx="215">
                  <c:v>0</c:v>
                </c:pt>
                <c:pt idx="216">
                  <c:v>25</c:v>
                </c:pt>
                <c:pt idx="217">
                  <c:v>6</c:v>
                </c:pt>
                <c:pt idx="218">
                  <c:v>40</c:v>
                </c:pt>
                <c:pt idx="219">
                  <c:v>12</c:v>
                </c:pt>
                <c:pt idx="220">
                  <c:v>40</c:v>
                </c:pt>
                <c:pt idx="221">
                  <c:v>8</c:v>
                </c:pt>
                <c:pt idx="222">
                  <c:v>21</c:v>
                </c:pt>
                <c:pt idx="223">
                  <c:v>15</c:v>
                </c:pt>
                <c:pt idx="224">
                  <c:v>15</c:v>
                </c:pt>
                <c:pt idx="225">
                  <c:v>14</c:v>
                </c:pt>
                <c:pt idx="226">
                  <c:v>13</c:v>
                </c:pt>
                <c:pt idx="227">
                  <c:v>42</c:v>
                </c:pt>
                <c:pt idx="228">
                  <c:v>14</c:v>
                </c:pt>
                <c:pt idx="229">
                  <c:v>14</c:v>
                </c:pt>
                <c:pt idx="230">
                  <c:v>17</c:v>
                </c:pt>
                <c:pt idx="231">
                  <c:v>16</c:v>
                </c:pt>
                <c:pt idx="232">
                  <c:v>9</c:v>
                </c:pt>
                <c:pt idx="233">
                  <c:v>9</c:v>
                </c:pt>
                <c:pt idx="234">
                  <c:v>0</c:v>
                </c:pt>
                <c:pt idx="235">
                  <c:v>13</c:v>
                </c:pt>
                <c:pt idx="236">
                  <c:v>9</c:v>
                </c:pt>
                <c:pt idx="237">
                  <c:v>6</c:v>
                </c:pt>
                <c:pt idx="238">
                  <c:v>12</c:v>
                </c:pt>
                <c:pt idx="239">
                  <c:v>17</c:v>
                </c:pt>
                <c:pt idx="240">
                  <c:v>13</c:v>
                </c:pt>
                <c:pt idx="241">
                  <c:v>9</c:v>
                </c:pt>
                <c:pt idx="242">
                  <c:v>44</c:v>
                </c:pt>
                <c:pt idx="243">
                  <c:v>49</c:v>
                </c:pt>
                <c:pt idx="244">
                  <c:v>12</c:v>
                </c:pt>
                <c:pt idx="245">
                  <c:v>12</c:v>
                </c:pt>
                <c:pt idx="246">
                  <c:v>26</c:v>
                </c:pt>
                <c:pt idx="247">
                  <c:v>14</c:v>
                </c:pt>
                <c:pt idx="248">
                  <c:v>9</c:v>
                </c:pt>
                <c:pt idx="249">
                  <c:v>41</c:v>
                </c:pt>
                <c:pt idx="250">
                  <c:v>8</c:v>
                </c:pt>
                <c:pt idx="251">
                  <c:v>9</c:v>
                </c:pt>
                <c:pt idx="252">
                  <c:v>12</c:v>
                </c:pt>
                <c:pt idx="253">
                  <c:v>6</c:v>
                </c:pt>
                <c:pt idx="254">
                  <c:v>0</c:v>
                </c:pt>
                <c:pt idx="255">
                  <c:v>41</c:v>
                </c:pt>
                <c:pt idx="256">
                  <c:v>54</c:v>
                </c:pt>
                <c:pt idx="257">
                  <c:v>8</c:v>
                </c:pt>
                <c:pt idx="258">
                  <c:v>20</c:v>
                </c:pt>
                <c:pt idx="259">
                  <c:v>7</c:v>
                </c:pt>
                <c:pt idx="260">
                  <c:v>11</c:v>
                </c:pt>
                <c:pt idx="261">
                  <c:v>8</c:v>
                </c:pt>
                <c:pt idx="262">
                  <c:v>8</c:v>
                </c:pt>
                <c:pt idx="263">
                  <c:v>12</c:v>
                </c:pt>
                <c:pt idx="264">
                  <c:v>8</c:v>
                </c:pt>
                <c:pt idx="265">
                  <c:v>0</c:v>
                </c:pt>
                <c:pt idx="266">
                  <c:v>9</c:v>
                </c:pt>
                <c:pt idx="267">
                  <c:v>25</c:v>
                </c:pt>
                <c:pt idx="268">
                  <c:v>25</c:v>
                </c:pt>
                <c:pt idx="269">
                  <c:v>11</c:v>
                </c:pt>
                <c:pt idx="270">
                  <c:v>12</c:v>
                </c:pt>
                <c:pt idx="271">
                  <c:v>12</c:v>
                </c:pt>
                <c:pt idx="272">
                  <c:v>0</c:v>
                </c:pt>
                <c:pt idx="273">
                  <c:v>40</c:v>
                </c:pt>
                <c:pt idx="274">
                  <c:v>8</c:v>
                </c:pt>
                <c:pt idx="275">
                  <c:v>9</c:v>
                </c:pt>
                <c:pt idx="276">
                  <c:v>17</c:v>
                </c:pt>
                <c:pt idx="277">
                  <c:v>8</c:v>
                </c:pt>
                <c:pt idx="278">
                  <c:v>8</c:v>
                </c:pt>
                <c:pt idx="279">
                  <c:v>7</c:v>
                </c:pt>
                <c:pt idx="280">
                  <c:v>0</c:v>
                </c:pt>
                <c:pt idx="281">
                  <c:v>8</c:v>
                </c:pt>
                <c:pt idx="282">
                  <c:v>9</c:v>
                </c:pt>
                <c:pt idx="283">
                  <c:v>14</c:v>
                </c:pt>
                <c:pt idx="284">
                  <c:v>9</c:v>
                </c:pt>
                <c:pt idx="285">
                  <c:v>12</c:v>
                </c:pt>
                <c:pt idx="286">
                  <c:v>14</c:v>
                </c:pt>
                <c:pt idx="287">
                  <c:v>0</c:v>
                </c:pt>
                <c:pt idx="288">
                  <c:v>12</c:v>
                </c:pt>
                <c:pt idx="289">
                  <c:v>12</c:v>
                </c:pt>
                <c:pt idx="290">
                  <c:v>13</c:v>
                </c:pt>
                <c:pt idx="291">
                  <c:v>12</c:v>
                </c:pt>
                <c:pt idx="292">
                  <c:v>12</c:v>
                </c:pt>
                <c:pt idx="293">
                  <c:v>26</c:v>
                </c:pt>
                <c:pt idx="294">
                  <c:v>14</c:v>
                </c:pt>
                <c:pt idx="295">
                  <c:v>9</c:v>
                </c:pt>
                <c:pt idx="296">
                  <c:v>41</c:v>
                </c:pt>
                <c:pt idx="297">
                  <c:v>8</c:v>
                </c:pt>
                <c:pt idx="298">
                  <c:v>9</c:v>
                </c:pt>
                <c:pt idx="299">
                  <c:v>12</c:v>
                </c:pt>
                <c:pt idx="300">
                  <c:v>6</c:v>
                </c:pt>
                <c:pt idx="301">
                  <c:v>0</c:v>
                </c:pt>
                <c:pt idx="302">
                  <c:v>41</c:v>
                </c:pt>
                <c:pt idx="303">
                  <c:v>54</c:v>
                </c:pt>
                <c:pt idx="304">
                  <c:v>8</c:v>
                </c:pt>
                <c:pt idx="305">
                  <c:v>20</c:v>
                </c:pt>
                <c:pt idx="306">
                  <c:v>7</c:v>
                </c:pt>
                <c:pt idx="307">
                  <c:v>11</c:v>
                </c:pt>
                <c:pt idx="308">
                  <c:v>8</c:v>
                </c:pt>
                <c:pt idx="309">
                  <c:v>8</c:v>
                </c:pt>
                <c:pt idx="310">
                  <c:v>12</c:v>
                </c:pt>
                <c:pt idx="311">
                  <c:v>8</c:v>
                </c:pt>
                <c:pt idx="312">
                  <c:v>0</c:v>
                </c:pt>
                <c:pt idx="313">
                  <c:v>9</c:v>
                </c:pt>
                <c:pt idx="314">
                  <c:v>25</c:v>
                </c:pt>
                <c:pt idx="315">
                  <c:v>25</c:v>
                </c:pt>
                <c:pt idx="316">
                  <c:v>11</c:v>
                </c:pt>
                <c:pt idx="317">
                  <c:v>12</c:v>
                </c:pt>
                <c:pt idx="318">
                  <c:v>12</c:v>
                </c:pt>
                <c:pt idx="319">
                  <c:v>0</c:v>
                </c:pt>
                <c:pt idx="320">
                  <c:v>40</c:v>
                </c:pt>
                <c:pt idx="321">
                  <c:v>8</c:v>
                </c:pt>
                <c:pt idx="322">
                  <c:v>9</c:v>
                </c:pt>
                <c:pt idx="323">
                  <c:v>17</c:v>
                </c:pt>
                <c:pt idx="324">
                  <c:v>8</c:v>
                </c:pt>
                <c:pt idx="325">
                  <c:v>8</c:v>
                </c:pt>
                <c:pt idx="326">
                  <c:v>7</c:v>
                </c:pt>
                <c:pt idx="327">
                  <c:v>0</c:v>
                </c:pt>
                <c:pt idx="328">
                  <c:v>8</c:v>
                </c:pt>
                <c:pt idx="329">
                  <c:v>9</c:v>
                </c:pt>
                <c:pt idx="330">
                  <c:v>14</c:v>
                </c:pt>
                <c:pt idx="331">
                  <c:v>9</c:v>
                </c:pt>
                <c:pt idx="332">
                  <c:v>12</c:v>
                </c:pt>
                <c:pt idx="333">
                  <c:v>14</c:v>
                </c:pt>
                <c:pt idx="334">
                  <c:v>0</c:v>
                </c:pt>
                <c:pt idx="335">
                  <c:v>12</c:v>
                </c:pt>
                <c:pt idx="336">
                  <c:v>12</c:v>
                </c:pt>
                <c:pt idx="337">
                  <c:v>13</c:v>
                </c:pt>
                <c:pt idx="338">
                  <c:v>46</c:v>
                </c:pt>
                <c:pt idx="339">
                  <c:v>17</c:v>
                </c:pt>
                <c:pt idx="340">
                  <c:v>13</c:v>
                </c:pt>
                <c:pt idx="341">
                  <c:v>46</c:v>
                </c:pt>
                <c:pt idx="342">
                  <c:v>23</c:v>
                </c:pt>
                <c:pt idx="343">
                  <c:v>13</c:v>
                </c:pt>
                <c:pt idx="344">
                  <c:v>18</c:v>
                </c:pt>
                <c:pt idx="345">
                  <c:v>17</c:v>
                </c:pt>
                <c:pt idx="346">
                  <c:v>21</c:v>
                </c:pt>
                <c:pt idx="347">
                  <c:v>21</c:v>
                </c:pt>
                <c:pt idx="348">
                  <c:v>14</c:v>
                </c:pt>
                <c:pt idx="349">
                  <c:v>47</c:v>
                </c:pt>
                <c:pt idx="350">
                  <c:v>14</c:v>
                </c:pt>
                <c:pt idx="351">
                  <c:v>47</c:v>
                </c:pt>
                <c:pt idx="352">
                  <c:v>19</c:v>
                </c:pt>
                <c:pt idx="353">
                  <c:v>19</c:v>
                </c:pt>
                <c:pt idx="354">
                  <c:v>14</c:v>
                </c:pt>
                <c:pt idx="355">
                  <c:v>17</c:v>
                </c:pt>
                <c:pt idx="356">
                  <c:v>15</c:v>
                </c:pt>
                <c:pt idx="357">
                  <c:v>14</c:v>
                </c:pt>
                <c:pt idx="358">
                  <c:v>55</c:v>
                </c:pt>
                <c:pt idx="359">
                  <c:v>20</c:v>
                </c:pt>
                <c:pt idx="360">
                  <c:v>31</c:v>
                </c:pt>
                <c:pt idx="361">
                  <c:v>55</c:v>
                </c:pt>
                <c:pt idx="362">
                  <c:v>16</c:v>
                </c:pt>
                <c:pt idx="363">
                  <c:v>42</c:v>
                </c:pt>
                <c:pt idx="364">
                  <c:v>17</c:v>
                </c:pt>
                <c:pt idx="365">
                  <c:v>22</c:v>
                </c:pt>
                <c:pt idx="366">
                  <c:v>15</c:v>
                </c:pt>
                <c:pt idx="367">
                  <c:v>19</c:v>
                </c:pt>
                <c:pt idx="368">
                  <c:v>16</c:v>
                </c:pt>
                <c:pt idx="369">
                  <c:v>14</c:v>
                </c:pt>
                <c:pt idx="370">
                  <c:v>16</c:v>
                </c:pt>
                <c:pt idx="371">
                  <c:v>49</c:v>
                </c:pt>
                <c:pt idx="372">
                  <c:v>44</c:v>
                </c:pt>
                <c:pt idx="373">
                  <c:v>13</c:v>
                </c:pt>
                <c:pt idx="374">
                  <c:v>17</c:v>
                </c:pt>
                <c:pt idx="375">
                  <c:v>24</c:v>
                </c:pt>
                <c:pt idx="376">
                  <c:v>16</c:v>
                </c:pt>
                <c:pt idx="377">
                  <c:v>15</c:v>
                </c:pt>
                <c:pt idx="378">
                  <c:v>13</c:v>
                </c:pt>
                <c:pt idx="379">
                  <c:v>14</c:v>
                </c:pt>
                <c:pt idx="380">
                  <c:v>46</c:v>
                </c:pt>
                <c:pt idx="381">
                  <c:v>17</c:v>
                </c:pt>
                <c:pt idx="382">
                  <c:v>13</c:v>
                </c:pt>
                <c:pt idx="383">
                  <c:v>46</c:v>
                </c:pt>
                <c:pt idx="384">
                  <c:v>23</c:v>
                </c:pt>
                <c:pt idx="385">
                  <c:v>13</c:v>
                </c:pt>
                <c:pt idx="386">
                  <c:v>18</c:v>
                </c:pt>
                <c:pt idx="387">
                  <c:v>17</c:v>
                </c:pt>
                <c:pt idx="388">
                  <c:v>21</c:v>
                </c:pt>
                <c:pt idx="389">
                  <c:v>21</c:v>
                </c:pt>
                <c:pt idx="390">
                  <c:v>14</c:v>
                </c:pt>
                <c:pt idx="391">
                  <c:v>47</c:v>
                </c:pt>
                <c:pt idx="392">
                  <c:v>14</c:v>
                </c:pt>
                <c:pt idx="393">
                  <c:v>47</c:v>
                </c:pt>
                <c:pt idx="394">
                  <c:v>19</c:v>
                </c:pt>
                <c:pt idx="395">
                  <c:v>19</c:v>
                </c:pt>
                <c:pt idx="396">
                  <c:v>14</c:v>
                </c:pt>
                <c:pt idx="397">
                  <c:v>17</c:v>
                </c:pt>
                <c:pt idx="398">
                  <c:v>15</c:v>
                </c:pt>
                <c:pt idx="399">
                  <c:v>14</c:v>
                </c:pt>
                <c:pt idx="400">
                  <c:v>55</c:v>
                </c:pt>
                <c:pt idx="401">
                  <c:v>20</c:v>
                </c:pt>
                <c:pt idx="402">
                  <c:v>31</c:v>
                </c:pt>
                <c:pt idx="403">
                  <c:v>55</c:v>
                </c:pt>
                <c:pt idx="404">
                  <c:v>16</c:v>
                </c:pt>
                <c:pt idx="405">
                  <c:v>42</c:v>
                </c:pt>
                <c:pt idx="406">
                  <c:v>17</c:v>
                </c:pt>
                <c:pt idx="407">
                  <c:v>22</c:v>
                </c:pt>
                <c:pt idx="408">
                  <c:v>15</c:v>
                </c:pt>
                <c:pt idx="409">
                  <c:v>19</c:v>
                </c:pt>
                <c:pt idx="410">
                  <c:v>16</c:v>
                </c:pt>
                <c:pt idx="411">
                  <c:v>14</c:v>
                </c:pt>
                <c:pt idx="412">
                  <c:v>16</c:v>
                </c:pt>
                <c:pt idx="413">
                  <c:v>49</c:v>
                </c:pt>
                <c:pt idx="414">
                  <c:v>44</c:v>
                </c:pt>
                <c:pt idx="415">
                  <c:v>13</c:v>
                </c:pt>
                <c:pt idx="416">
                  <c:v>17</c:v>
                </c:pt>
                <c:pt idx="417">
                  <c:v>24</c:v>
                </c:pt>
                <c:pt idx="418">
                  <c:v>16</c:v>
                </c:pt>
                <c:pt idx="419">
                  <c:v>15</c:v>
                </c:pt>
                <c:pt idx="420">
                  <c:v>13</c:v>
                </c:pt>
                <c:pt idx="421">
                  <c:v>14</c:v>
                </c:pt>
                <c:pt idx="422">
                  <c:v>5</c:v>
                </c:pt>
                <c:pt idx="423">
                  <c:v>7</c:v>
                </c:pt>
                <c:pt idx="424">
                  <c:v>21</c:v>
                </c:pt>
                <c:pt idx="425">
                  <c:v>20</c:v>
                </c:pt>
                <c:pt idx="426">
                  <c:v>5</c:v>
                </c:pt>
                <c:pt idx="427">
                  <c:v>12</c:v>
                </c:pt>
                <c:pt idx="428">
                  <c:v>6</c:v>
                </c:pt>
                <c:pt idx="429">
                  <c:v>5</c:v>
                </c:pt>
                <c:pt idx="430">
                  <c:v>9</c:v>
                </c:pt>
                <c:pt idx="431">
                  <c:v>5</c:v>
                </c:pt>
                <c:pt idx="432">
                  <c:v>0</c:v>
                </c:pt>
                <c:pt idx="433">
                  <c:v>12</c:v>
                </c:pt>
                <c:pt idx="434">
                  <c:v>5</c:v>
                </c:pt>
                <c:pt idx="435">
                  <c:v>7</c:v>
                </c:pt>
                <c:pt idx="436">
                  <c:v>12</c:v>
                </c:pt>
                <c:pt idx="437">
                  <c:v>5</c:v>
                </c:pt>
                <c:pt idx="438">
                  <c:v>12</c:v>
                </c:pt>
                <c:pt idx="439">
                  <c:v>14</c:v>
                </c:pt>
                <c:pt idx="440">
                  <c:v>6</c:v>
                </c:pt>
                <c:pt idx="441">
                  <c:v>12</c:v>
                </c:pt>
                <c:pt idx="442">
                  <c:v>7</c:v>
                </c:pt>
                <c:pt idx="443">
                  <c:v>12</c:v>
                </c:pt>
                <c:pt idx="444">
                  <c:v>8</c:v>
                </c:pt>
                <c:pt idx="445">
                  <c:v>7</c:v>
                </c:pt>
                <c:pt idx="446">
                  <c:v>4</c:v>
                </c:pt>
                <c:pt idx="447">
                  <c:v>8</c:v>
                </c:pt>
                <c:pt idx="448">
                  <c:v>11</c:v>
                </c:pt>
                <c:pt idx="449">
                  <c:v>12</c:v>
                </c:pt>
                <c:pt idx="450">
                  <c:v>7</c:v>
                </c:pt>
                <c:pt idx="451">
                  <c:v>12</c:v>
                </c:pt>
                <c:pt idx="452">
                  <c:v>6</c:v>
                </c:pt>
                <c:pt idx="453">
                  <c:v>4</c:v>
                </c:pt>
                <c:pt idx="454">
                  <c:v>9</c:v>
                </c:pt>
                <c:pt idx="455">
                  <c:v>7</c:v>
                </c:pt>
                <c:pt idx="456">
                  <c:v>8</c:v>
                </c:pt>
                <c:pt idx="457">
                  <c:v>7</c:v>
                </c:pt>
                <c:pt idx="458">
                  <c:v>6</c:v>
                </c:pt>
                <c:pt idx="459">
                  <c:v>4</c:v>
                </c:pt>
                <c:pt idx="460">
                  <c:v>8</c:v>
                </c:pt>
                <c:pt idx="461">
                  <c:v>5</c:v>
                </c:pt>
                <c:pt idx="462">
                  <c:v>7</c:v>
                </c:pt>
                <c:pt idx="463">
                  <c:v>21</c:v>
                </c:pt>
                <c:pt idx="464">
                  <c:v>20</c:v>
                </c:pt>
                <c:pt idx="465">
                  <c:v>5</c:v>
                </c:pt>
                <c:pt idx="466">
                  <c:v>12</c:v>
                </c:pt>
                <c:pt idx="467">
                  <c:v>6</c:v>
                </c:pt>
                <c:pt idx="468">
                  <c:v>5</c:v>
                </c:pt>
                <c:pt idx="469">
                  <c:v>9</c:v>
                </c:pt>
                <c:pt idx="470">
                  <c:v>5</c:v>
                </c:pt>
                <c:pt idx="471">
                  <c:v>0</c:v>
                </c:pt>
                <c:pt idx="472">
                  <c:v>12</c:v>
                </c:pt>
                <c:pt idx="473">
                  <c:v>5</c:v>
                </c:pt>
                <c:pt idx="474">
                  <c:v>7</c:v>
                </c:pt>
                <c:pt idx="475">
                  <c:v>12</c:v>
                </c:pt>
                <c:pt idx="476">
                  <c:v>5</c:v>
                </c:pt>
                <c:pt idx="477">
                  <c:v>12</c:v>
                </c:pt>
                <c:pt idx="478">
                  <c:v>14</c:v>
                </c:pt>
                <c:pt idx="479">
                  <c:v>6</c:v>
                </c:pt>
                <c:pt idx="480">
                  <c:v>12</c:v>
                </c:pt>
                <c:pt idx="481">
                  <c:v>7</c:v>
                </c:pt>
                <c:pt idx="482">
                  <c:v>12</c:v>
                </c:pt>
                <c:pt idx="483">
                  <c:v>8</c:v>
                </c:pt>
                <c:pt idx="484">
                  <c:v>7</c:v>
                </c:pt>
                <c:pt idx="485">
                  <c:v>4</c:v>
                </c:pt>
                <c:pt idx="486">
                  <c:v>8</c:v>
                </c:pt>
                <c:pt idx="487">
                  <c:v>11</c:v>
                </c:pt>
                <c:pt idx="488">
                  <c:v>12</c:v>
                </c:pt>
                <c:pt idx="489">
                  <c:v>7</c:v>
                </c:pt>
                <c:pt idx="490">
                  <c:v>12</c:v>
                </c:pt>
                <c:pt idx="491">
                  <c:v>6</c:v>
                </c:pt>
                <c:pt idx="492">
                  <c:v>4</c:v>
                </c:pt>
                <c:pt idx="493">
                  <c:v>9</c:v>
                </c:pt>
                <c:pt idx="494">
                  <c:v>7</c:v>
                </c:pt>
                <c:pt idx="495">
                  <c:v>8</c:v>
                </c:pt>
                <c:pt idx="496">
                  <c:v>7</c:v>
                </c:pt>
                <c:pt idx="497">
                  <c:v>6</c:v>
                </c:pt>
                <c:pt idx="498">
                  <c:v>4</c:v>
                </c:pt>
                <c:pt idx="499">
                  <c:v>8</c:v>
                </c:pt>
                <c:pt idx="500">
                  <c:v>21</c:v>
                </c:pt>
                <c:pt idx="501">
                  <c:v>17</c:v>
                </c:pt>
                <c:pt idx="502">
                  <c:v>21</c:v>
                </c:pt>
                <c:pt idx="503">
                  <c:v>23</c:v>
                </c:pt>
                <c:pt idx="504">
                  <c:v>20</c:v>
                </c:pt>
                <c:pt idx="505">
                  <c:v>8</c:v>
                </c:pt>
                <c:pt idx="506">
                  <c:v>27</c:v>
                </c:pt>
                <c:pt idx="507">
                  <c:v>21</c:v>
                </c:pt>
                <c:pt idx="508">
                  <c:v>28</c:v>
                </c:pt>
                <c:pt idx="509">
                  <c:v>18</c:v>
                </c:pt>
                <c:pt idx="510">
                  <c:v>20</c:v>
                </c:pt>
                <c:pt idx="511">
                  <c:v>19</c:v>
                </c:pt>
                <c:pt idx="512">
                  <c:v>24</c:v>
                </c:pt>
                <c:pt idx="513">
                  <c:v>21</c:v>
                </c:pt>
                <c:pt idx="514">
                  <c:v>14</c:v>
                </c:pt>
                <c:pt idx="515">
                  <c:v>23</c:v>
                </c:pt>
                <c:pt idx="516">
                  <c:v>55</c:v>
                </c:pt>
                <c:pt idx="517">
                  <c:v>13</c:v>
                </c:pt>
                <c:pt idx="518">
                  <c:v>47</c:v>
                </c:pt>
                <c:pt idx="519">
                  <c:v>17</c:v>
                </c:pt>
                <c:pt idx="520">
                  <c:v>19</c:v>
                </c:pt>
                <c:pt idx="521">
                  <c:v>16</c:v>
                </c:pt>
                <c:pt idx="522">
                  <c:v>15</c:v>
                </c:pt>
                <c:pt idx="523">
                  <c:v>17</c:v>
                </c:pt>
                <c:pt idx="524">
                  <c:v>22</c:v>
                </c:pt>
                <c:pt idx="525">
                  <c:v>15</c:v>
                </c:pt>
                <c:pt idx="526">
                  <c:v>22</c:v>
                </c:pt>
                <c:pt idx="527">
                  <c:v>13</c:v>
                </c:pt>
                <c:pt idx="528">
                  <c:v>24</c:v>
                </c:pt>
                <c:pt idx="529">
                  <c:v>42</c:v>
                </c:pt>
                <c:pt idx="530">
                  <c:v>16</c:v>
                </c:pt>
                <c:pt idx="531">
                  <c:v>24</c:v>
                </c:pt>
                <c:pt idx="532">
                  <c:v>25</c:v>
                </c:pt>
                <c:pt idx="533">
                  <c:v>21</c:v>
                </c:pt>
                <c:pt idx="534">
                  <c:v>17</c:v>
                </c:pt>
                <c:pt idx="535">
                  <c:v>21</c:v>
                </c:pt>
                <c:pt idx="536">
                  <c:v>23</c:v>
                </c:pt>
                <c:pt idx="537">
                  <c:v>20</c:v>
                </c:pt>
                <c:pt idx="538">
                  <c:v>8</c:v>
                </c:pt>
                <c:pt idx="539">
                  <c:v>27</c:v>
                </c:pt>
                <c:pt idx="540">
                  <c:v>21</c:v>
                </c:pt>
                <c:pt idx="541">
                  <c:v>28</c:v>
                </c:pt>
                <c:pt idx="542">
                  <c:v>18</c:v>
                </c:pt>
                <c:pt idx="543">
                  <c:v>20</c:v>
                </c:pt>
                <c:pt idx="544">
                  <c:v>19</c:v>
                </c:pt>
                <c:pt idx="545">
                  <c:v>24</c:v>
                </c:pt>
                <c:pt idx="546">
                  <c:v>21</c:v>
                </c:pt>
                <c:pt idx="547">
                  <c:v>14</c:v>
                </c:pt>
                <c:pt idx="548">
                  <c:v>23</c:v>
                </c:pt>
                <c:pt idx="549">
                  <c:v>55</c:v>
                </c:pt>
                <c:pt idx="550">
                  <c:v>13</c:v>
                </c:pt>
                <c:pt idx="551">
                  <c:v>47</c:v>
                </c:pt>
                <c:pt idx="552">
                  <c:v>17</c:v>
                </c:pt>
                <c:pt idx="553">
                  <c:v>19</c:v>
                </c:pt>
                <c:pt idx="554">
                  <c:v>16</c:v>
                </c:pt>
                <c:pt idx="555">
                  <c:v>15</c:v>
                </c:pt>
                <c:pt idx="556">
                  <c:v>17</c:v>
                </c:pt>
                <c:pt idx="557">
                  <c:v>22</c:v>
                </c:pt>
                <c:pt idx="558">
                  <c:v>15</c:v>
                </c:pt>
                <c:pt idx="559">
                  <c:v>22</c:v>
                </c:pt>
                <c:pt idx="560">
                  <c:v>13</c:v>
                </c:pt>
                <c:pt idx="561">
                  <c:v>24</c:v>
                </c:pt>
                <c:pt idx="562">
                  <c:v>42</c:v>
                </c:pt>
                <c:pt idx="563">
                  <c:v>16</c:v>
                </c:pt>
                <c:pt idx="564">
                  <c:v>24</c:v>
                </c:pt>
                <c:pt idx="565">
                  <c:v>25</c:v>
                </c:pt>
                <c:pt idx="566">
                  <c:v>12</c:v>
                </c:pt>
                <c:pt idx="567">
                  <c:v>74</c:v>
                </c:pt>
                <c:pt idx="568">
                  <c:v>34</c:v>
                </c:pt>
                <c:pt idx="569">
                  <c:v>13</c:v>
                </c:pt>
                <c:pt idx="570">
                  <c:v>13</c:v>
                </c:pt>
                <c:pt idx="571">
                  <c:v>14</c:v>
                </c:pt>
                <c:pt idx="572">
                  <c:v>29</c:v>
                </c:pt>
                <c:pt idx="573">
                  <c:v>9</c:v>
                </c:pt>
                <c:pt idx="574">
                  <c:v>33</c:v>
                </c:pt>
                <c:pt idx="575">
                  <c:v>30</c:v>
                </c:pt>
                <c:pt idx="576">
                  <c:v>87</c:v>
                </c:pt>
                <c:pt idx="577">
                  <c:v>69</c:v>
                </c:pt>
                <c:pt idx="578">
                  <c:v>24</c:v>
                </c:pt>
                <c:pt idx="579">
                  <c:v>33</c:v>
                </c:pt>
                <c:pt idx="580">
                  <c:v>25</c:v>
                </c:pt>
                <c:pt idx="581">
                  <c:v>29</c:v>
                </c:pt>
                <c:pt idx="582">
                  <c:v>31</c:v>
                </c:pt>
                <c:pt idx="583">
                  <c:v>33</c:v>
                </c:pt>
                <c:pt idx="584">
                  <c:v>4</c:v>
                </c:pt>
                <c:pt idx="585">
                  <c:v>31</c:v>
                </c:pt>
                <c:pt idx="586">
                  <c:v>85</c:v>
                </c:pt>
                <c:pt idx="587">
                  <c:v>74</c:v>
                </c:pt>
                <c:pt idx="588">
                  <c:v>34</c:v>
                </c:pt>
                <c:pt idx="589">
                  <c:v>28</c:v>
                </c:pt>
                <c:pt idx="590">
                  <c:v>29</c:v>
                </c:pt>
                <c:pt idx="591">
                  <c:v>13</c:v>
                </c:pt>
                <c:pt idx="592">
                  <c:v>15</c:v>
                </c:pt>
                <c:pt idx="593">
                  <c:v>26</c:v>
                </c:pt>
                <c:pt idx="594">
                  <c:v>7</c:v>
                </c:pt>
                <c:pt idx="595">
                  <c:v>41</c:v>
                </c:pt>
                <c:pt idx="596">
                  <c:v>31</c:v>
                </c:pt>
                <c:pt idx="597">
                  <c:v>4</c:v>
                </c:pt>
                <c:pt idx="598">
                  <c:v>95</c:v>
                </c:pt>
                <c:pt idx="599">
                  <c:v>12</c:v>
                </c:pt>
                <c:pt idx="600">
                  <c:v>74</c:v>
                </c:pt>
                <c:pt idx="601">
                  <c:v>34</c:v>
                </c:pt>
                <c:pt idx="602">
                  <c:v>13</c:v>
                </c:pt>
                <c:pt idx="603">
                  <c:v>13</c:v>
                </c:pt>
                <c:pt idx="604">
                  <c:v>14</c:v>
                </c:pt>
                <c:pt idx="605">
                  <c:v>29</c:v>
                </c:pt>
                <c:pt idx="606">
                  <c:v>9</c:v>
                </c:pt>
                <c:pt idx="607">
                  <c:v>33</c:v>
                </c:pt>
                <c:pt idx="608">
                  <c:v>30</c:v>
                </c:pt>
                <c:pt idx="609">
                  <c:v>87</c:v>
                </c:pt>
                <c:pt idx="610">
                  <c:v>69</c:v>
                </c:pt>
                <c:pt idx="611">
                  <c:v>24</c:v>
                </c:pt>
                <c:pt idx="612">
                  <c:v>33</c:v>
                </c:pt>
                <c:pt idx="613">
                  <c:v>25</c:v>
                </c:pt>
                <c:pt idx="614">
                  <c:v>29</c:v>
                </c:pt>
                <c:pt idx="615">
                  <c:v>31</c:v>
                </c:pt>
                <c:pt idx="616">
                  <c:v>33</c:v>
                </c:pt>
                <c:pt idx="617">
                  <c:v>4</c:v>
                </c:pt>
                <c:pt idx="618">
                  <c:v>31</c:v>
                </c:pt>
                <c:pt idx="619">
                  <c:v>85</c:v>
                </c:pt>
                <c:pt idx="620">
                  <c:v>74</c:v>
                </c:pt>
                <c:pt idx="621">
                  <c:v>34</c:v>
                </c:pt>
                <c:pt idx="622">
                  <c:v>28</c:v>
                </c:pt>
                <c:pt idx="623">
                  <c:v>29</c:v>
                </c:pt>
                <c:pt idx="624">
                  <c:v>13</c:v>
                </c:pt>
                <c:pt idx="625">
                  <c:v>15</c:v>
                </c:pt>
                <c:pt idx="626">
                  <c:v>26</c:v>
                </c:pt>
                <c:pt idx="627">
                  <c:v>7</c:v>
                </c:pt>
                <c:pt idx="628">
                  <c:v>41</c:v>
                </c:pt>
                <c:pt idx="629">
                  <c:v>31</c:v>
                </c:pt>
                <c:pt idx="630">
                  <c:v>4</c:v>
                </c:pt>
                <c:pt idx="631">
                  <c:v>95</c:v>
                </c:pt>
                <c:pt idx="632">
                  <c:v>41</c:v>
                </c:pt>
                <c:pt idx="633">
                  <c:v>54</c:v>
                </c:pt>
                <c:pt idx="634">
                  <c:v>42</c:v>
                </c:pt>
                <c:pt idx="635">
                  <c:v>37</c:v>
                </c:pt>
                <c:pt idx="636">
                  <c:v>41</c:v>
                </c:pt>
                <c:pt idx="637">
                  <c:v>54</c:v>
                </c:pt>
                <c:pt idx="638">
                  <c:v>42</c:v>
                </c:pt>
                <c:pt idx="639">
                  <c:v>37</c:v>
                </c:pt>
                <c:pt idx="640">
                  <c:v>28</c:v>
                </c:pt>
                <c:pt idx="641">
                  <c:v>28</c:v>
                </c:pt>
                <c:pt idx="642">
                  <c:v>27</c:v>
                </c:pt>
                <c:pt idx="643">
                  <c:v>23</c:v>
                </c:pt>
                <c:pt idx="644">
                  <c:v>91</c:v>
                </c:pt>
                <c:pt idx="645">
                  <c:v>87</c:v>
                </c:pt>
                <c:pt idx="646">
                  <c:v>113</c:v>
                </c:pt>
                <c:pt idx="647">
                  <c:v>45</c:v>
                </c:pt>
                <c:pt idx="648">
                  <c:v>66</c:v>
                </c:pt>
                <c:pt idx="649">
                  <c:v>7</c:v>
                </c:pt>
                <c:pt idx="650">
                  <c:v>96</c:v>
                </c:pt>
                <c:pt idx="651">
                  <c:v>74</c:v>
                </c:pt>
                <c:pt idx="652">
                  <c:v>30</c:v>
                </c:pt>
                <c:pt idx="653">
                  <c:v>34</c:v>
                </c:pt>
                <c:pt idx="654">
                  <c:v>21</c:v>
                </c:pt>
                <c:pt idx="655">
                  <c:v>31</c:v>
                </c:pt>
                <c:pt idx="656">
                  <c:v>25</c:v>
                </c:pt>
                <c:pt idx="657">
                  <c:v>25</c:v>
                </c:pt>
                <c:pt idx="658">
                  <c:v>24</c:v>
                </c:pt>
                <c:pt idx="659">
                  <c:v>87</c:v>
                </c:pt>
                <c:pt idx="660">
                  <c:v>85</c:v>
                </c:pt>
                <c:pt idx="661">
                  <c:v>109</c:v>
                </c:pt>
                <c:pt idx="662">
                  <c:v>50</c:v>
                </c:pt>
                <c:pt idx="663">
                  <c:v>59</c:v>
                </c:pt>
                <c:pt idx="664">
                  <c:v>7</c:v>
                </c:pt>
                <c:pt idx="665">
                  <c:v>93</c:v>
                </c:pt>
                <c:pt idx="666">
                  <c:v>69</c:v>
                </c:pt>
                <c:pt idx="667">
                  <c:v>22</c:v>
                </c:pt>
                <c:pt idx="668">
                  <c:v>33</c:v>
                </c:pt>
                <c:pt idx="669">
                  <c:v>41</c:v>
                </c:pt>
                <c:pt idx="670">
                  <c:v>27</c:v>
                </c:pt>
                <c:pt idx="671">
                  <c:v>29</c:v>
                </c:pt>
                <c:pt idx="672">
                  <c:v>22</c:v>
                </c:pt>
                <c:pt idx="673">
                  <c:v>97</c:v>
                </c:pt>
                <c:pt idx="674">
                  <c:v>95</c:v>
                </c:pt>
                <c:pt idx="675">
                  <c:v>122</c:v>
                </c:pt>
                <c:pt idx="676">
                  <c:v>42</c:v>
                </c:pt>
                <c:pt idx="677">
                  <c:v>70</c:v>
                </c:pt>
                <c:pt idx="678">
                  <c:v>111</c:v>
                </c:pt>
                <c:pt idx="679">
                  <c:v>74</c:v>
                </c:pt>
                <c:pt idx="680">
                  <c:v>24</c:v>
                </c:pt>
                <c:pt idx="681">
                  <c:v>34</c:v>
                </c:pt>
                <c:pt idx="682">
                  <c:v>28</c:v>
                </c:pt>
                <c:pt idx="683">
                  <c:v>28</c:v>
                </c:pt>
                <c:pt idx="684">
                  <c:v>27</c:v>
                </c:pt>
                <c:pt idx="685">
                  <c:v>23</c:v>
                </c:pt>
                <c:pt idx="686">
                  <c:v>91</c:v>
                </c:pt>
                <c:pt idx="687">
                  <c:v>87</c:v>
                </c:pt>
                <c:pt idx="688">
                  <c:v>113</c:v>
                </c:pt>
                <c:pt idx="689">
                  <c:v>45</c:v>
                </c:pt>
                <c:pt idx="690">
                  <c:v>66</c:v>
                </c:pt>
                <c:pt idx="691">
                  <c:v>7</c:v>
                </c:pt>
                <c:pt idx="692">
                  <c:v>96</c:v>
                </c:pt>
                <c:pt idx="693">
                  <c:v>74</c:v>
                </c:pt>
                <c:pt idx="694">
                  <c:v>30</c:v>
                </c:pt>
                <c:pt idx="695">
                  <c:v>34</c:v>
                </c:pt>
                <c:pt idx="696">
                  <c:v>21</c:v>
                </c:pt>
                <c:pt idx="697">
                  <c:v>31</c:v>
                </c:pt>
                <c:pt idx="698">
                  <c:v>25</c:v>
                </c:pt>
                <c:pt idx="699">
                  <c:v>25</c:v>
                </c:pt>
                <c:pt idx="700">
                  <c:v>24</c:v>
                </c:pt>
                <c:pt idx="701">
                  <c:v>87</c:v>
                </c:pt>
                <c:pt idx="702">
                  <c:v>85</c:v>
                </c:pt>
                <c:pt idx="703">
                  <c:v>109</c:v>
                </c:pt>
                <c:pt idx="704">
                  <c:v>50</c:v>
                </c:pt>
                <c:pt idx="705">
                  <c:v>59</c:v>
                </c:pt>
                <c:pt idx="706">
                  <c:v>7</c:v>
                </c:pt>
                <c:pt idx="707">
                  <c:v>93</c:v>
                </c:pt>
                <c:pt idx="708">
                  <c:v>69</c:v>
                </c:pt>
                <c:pt idx="709">
                  <c:v>22</c:v>
                </c:pt>
                <c:pt idx="710">
                  <c:v>33</c:v>
                </c:pt>
                <c:pt idx="711">
                  <c:v>41</c:v>
                </c:pt>
                <c:pt idx="712">
                  <c:v>27</c:v>
                </c:pt>
                <c:pt idx="713">
                  <c:v>29</c:v>
                </c:pt>
                <c:pt idx="714">
                  <c:v>22</c:v>
                </c:pt>
                <c:pt idx="715">
                  <c:v>97</c:v>
                </c:pt>
                <c:pt idx="716">
                  <c:v>95</c:v>
                </c:pt>
                <c:pt idx="717">
                  <c:v>122</c:v>
                </c:pt>
                <c:pt idx="718">
                  <c:v>42</c:v>
                </c:pt>
                <c:pt idx="719">
                  <c:v>70</c:v>
                </c:pt>
                <c:pt idx="720">
                  <c:v>111</c:v>
                </c:pt>
                <c:pt idx="721">
                  <c:v>74</c:v>
                </c:pt>
                <c:pt idx="722">
                  <c:v>24</c:v>
                </c:pt>
                <c:pt idx="723">
                  <c:v>34</c:v>
                </c:pt>
                <c:pt idx="724">
                  <c:v>30</c:v>
                </c:pt>
                <c:pt idx="725">
                  <c:v>39</c:v>
                </c:pt>
                <c:pt idx="726">
                  <c:v>23</c:v>
                </c:pt>
                <c:pt idx="727">
                  <c:v>66</c:v>
                </c:pt>
                <c:pt idx="728">
                  <c:v>20</c:v>
                </c:pt>
                <c:pt idx="729">
                  <c:v>34</c:v>
                </c:pt>
                <c:pt idx="730">
                  <c:v>50</c:v>
                </c:pt>
                <c:pt idx="731">
                  <c:v>21</c:v>
                </c:pt>
                <c:pt idx="732">
                  <c:v>84</c:v>
                </c:pt>
                <c:pt idx="733">
                  <c:v>45</c:v>
                </c:pt>
                <c:pt idx="734">
                  <c:v>45</c:v>
                </c:pt>
                <c:pt idx="735">
                  <c:v>34</c:v>
                </c:pt>
                <c:pt idx="736">
                  <c:v>30</c:v>
                </c:pt>
                <c:pt idx="737">
                  <c:v>27</c:v>
                </c:pt>
                <c:pt idx="738">
                  <c:v>28</c:v>
                </c:pt>
                <c:pt idx="739">
                  <c:v>29</c:v>
                </c:pt>
                <c:pt idx="740">
                  <c:v>3</c:v>
                </c:pt>
                <c:pt idx="741">
                  <c:v>28</c:v>
                </c:pt>
                <c:pt idx="742">
                  <c:v>30</c:v>
                </c:pt>
                <c:pt idx="743">
                  <c:v>87</c:v>
                </c:pt>
                <c:pt idx="744">
                  <c:v>11</c:v>
                </c:pt>
                <c:pt idx="745">
                  <c:v>24</c:v>
                </c:pt>
                <c:pt idx="746">
                  <c:v>84</c:v>
                </c:pt>
                <c:pt idx="747">
                  <c:v>39</c:v>
                </c:pt>
                <c:pt idx="748">
                  <c:v>26</c:v>
                </c:pt>
                <c:pt idx="749">
                  <c:v>66</c:v>
                </c:pt>
                <c:pt idx="750">
                  <c:v>96</c:v>
                </c:pt>
                <c:pt idx="751">
                  <c:v>9</c:v>
                </c:pt>
                <c:pt idx="752">
                  <c:v>22</c:v>
                </c:pt>
                <c:pt idx="753">
                  <c:v>36</c:v>
                </c:pt>
                <c:pt idx="754">
                  <c:v>24</c:v>
                </c:pt>
                <c:pt idx="755">
                  <c:v>59</c:v>
                </c:pt>
                <c:pt idx="756">
                  <c:v>33</c:v>
                </c:pt>
                <c:pt idx="757">
                  <c:v>57</c:v>
                </c:pt>
                <c:pt idx="758">
                  <c:v>14</c:v>
                </c:pt>
                <c:pt idx="759">
                  <c:v>75</c:v>
                </c:pt>
                <c:pt idx="760">
                  <c:v>50</c:v>
                </c:pt>
                <c:pt idx="761">
                  <c:v>50</c:v>
                </c:pt>
                <c:pt idx="762">
                  <c:v>33</c:v>
                </c:pt>
                <c:pt idx="763">
                  <c:v>22</c:v>
                </c:pt>
                <c:pt idx="764">
                  <c:v>25</c:v>
                </c:pt>
                <c:pt idx="765">
                  <c:v>24</c:v>
                </c:pt>
                <c:pt idx="766">
                  <c:v>31</c:v>
                </c:pt>
                <c:pt idx="767">
                  <c:v>29</c:v>
                </c:pt>
                <c:pt idx="768">
                  <c:v>3</c:v>
                </c:pt>
                <c:pt idx="769">
                  <c:v>25</c:v>
                </c:pt>
                <c:pt idx="770">
                  <c:v>4</c:v>
                </c:pt>
                <c:pt idx="771">
                  <c:v>31</c:v>
                </c:pt>
                <c:pt idx="772">
                  <c:v>85</c:v>
                </c:pt>
                <c:pt idx="773">
                  <c:v>15</c:v>
                </c:pt>
                <c:pt idx="774">
                  <c:v>23</c:v>
                </c:pt>
                <c:pt idx="775">
                  <c:v>75</c:v>
                </c:pt>
                <c:pt idx="776">
                  <c:v>36</c:v>
                </c:pt>
                <c:pt idx="777">
                  <c:v>59</c:v>
                </c:pt>
                <c:pt idx="778">
                  <c:v>93</c:v>
                </c:pt>
                <c:pt idx="779">
                  <c:v>24</c:v>
                </c:pt>
                <c:pt idx="780">
                  <c:v>40</c:v>
                </c:pt>
                <c:pt idx="781">
                  <c:v>22</c:v>
                </c:pt>
                <c:pt idx="782">
                  <c:v>70</c:v>
                </c:pt>
                <c:pt idx="783">
                  <c:v>34</c:v>
                </c:pt>
                <c:pt idx="784">
                  <c:v>73</c:v>
                </c:pt>
                <c:pt idx="785">
                  <c:v>15</c:v>
                </c:pt>
                <c:pt idx="786">
                  <c:v>81</c:v>
                </c:pt>
                <c:pt idx="787">
                  <c:v>42</c:v>
                </c:pt>
                <c:pt idx="788">
                  <c:v>42</c:v>
                </c:pt>
                <c:pt idx="789">
                  <c:v>34</c:v>
                </c:pt>
                <c:pt idx="790">
                  <c:v>24</c:v>
                </c:pt>
                <c:pt idx="791">
                  <c:v>29</c:v>
                </c:pt>
                <c:pt idx="792">
                  <c:v>41</c:v>
                </c:pt>
                <c:pt idx="793">
                  <c:v>26</c:v>
                </c:pt>
                <c:pt idx="794">
                  <c:v>3</c:v>
                </c:pt>
                <c:pt idx="795">
                  <c:v>27</c:v>
                </c:pt>
                <c:pt idx="796">
                  <c:v>25</c:v>
                </c:pt>
                <c:pt idx="797">
                  <c:v>95</c:v>
                </c:pt>
                <c:pt idx="798">
                  <c:v>14</c:v>
                </c:pt>
                <c:pt idx="799">
                  <c:v>24</c:v>
                </c:pt>
                <c:pt idx="800">
                  <c:v>81</c:v>
                </c:pt>
                <c:pt idx="801">
                  <c:v>40</c:v>
                </c:pt>
                <c:pt idx="802">
                  <c:v>70</c:v>
                </c:pt>
                <c:pt idx="803">
                  <c:v>111</c:v>
                </c:pt>
                <c:pt idx="804">
                  <c:v>7</c:v>
                </c:pt>
                <c:pt idx="805">
                  <c:v>30</c:v>
                </c:pt>
                <c:pt idx="806">
                  <c:v>39</c:v>
                </c:pt>
                <c:pt idx="807">
                  <c:v>23</c:v>
                </c:pt>
                <c:pt idx="808">
                  <c:v>66</c:v>
                </c:pt>
                <c:pt idx="809">
                  <c:v>20</c:v>
                </c:pt>
                <c:pt idx="810">
                  <c:v>34</c:v>
                </c:pt>
                <c:pt idx="811">
                  <c:v>50</c:v>
                </c:pt>
                <c:pt idx="812">
                  <c:v>21</c:v>
                </c:pt>
                <c:pt idx="813">
                  <c:v>84</c:v>
                </c:pt>
                <c:pt idx="814">
                  <c:v>45</c:v>
                </c:pt>
                <c:pt idx="815">
                  <c:v>45</c:v>
                </c:pt>
                <c:pt idx="816">
                  <c:v>34</c:v>
                </c:pt>
                <c:pt idx="817">
                  <c:v>30</c:v>
                </c:pt>
                <c:pt idx="818">
                  <c:v>27</c:v>
                </c:pt>
                <c:pt idx="819">
                  <c:v>28</c:v>
                </c:pt>
                <c:pt idx="820">
                  <c:v>29</c:v>
                </c:pt>
                <c:pt idx="821">
                  <c:v>3</c:v>
                </c:pt>
                <c:pt idx="822">
                  <c:v>28</c:v>
                </c:pt>
                <c:pt idx="823">
                  <c:v>30</c:v>
                </c:pt>
                <c:pt idx="824">
                  <c:v>87</c:v>
                </c:pt>
                <c:pt idx="825">
                  <c:v>11</c:v>
                </c:pt>
                <c:pt idx="826">
                  <c:v>24</c:v>
                </c:pt>
                <c:pt idx="827">
                  <c:v>84</c:v>
                </c:pt>
                <c:pt idx="828">
                  <c:v>39</c:v>
                </c:pt>
                <c:pt idx="829">
                  <c:v>26</c:v>
                </c:pt>
                <c:pt idx="830">
                  <c:v>66</c:v>
                </c:pt>
                <c:pt idx="831">
                  <c:v>96</c:v>
                </c:pt>
                <c:pt idx="832">
                  <c:v>9</c:v>
                </c:pt>
                <c:pt idx="833">
                  <c:v>22</c:v>
                </c:pt>
                <c:pt idx="834">
                  <c:v>36</c:v>
                </c:pt>
                <c:pt idx="835">
                  <c:v>24</c:v>
                </c:pt>
                <c:pt idx="836">
                  <c:v>59</c:v>
                </c:pt>
                <c:pt idx="837">
                  <c:v>33</c:v>
                </c:pt>
                <c:pt idx="838">
                  <c:v>57</c:v>
                </c:pt>
                <c:pt idx="839">
                  <c:v>14</c:v>
                </c:pt>
                <c:pt idx="840">
                  <c:v>75</c:v>
                </c:pt>
                <c:pt idx="841">
                  <c:v>50</c:v>
                </c:pt>
                <c:pt idx="842">
                  <c:v>50</c:v>
                </c:pt>
                <c:pt idx="843">
                  <c:v>33</c:v>
                </c:pt>
                <c:pt idx="844">
                  <c:v>22</c:v>
                </c:pt>
                <c:pt idx="845">
                  <c:v>25</c:v>
                </c:pt>
                <c:pt idx="846">
                  <c:v>24</c:v>
                </c:pt>
                <c:pt idx="847">
                  <c:v>31</c:v>
                </c:pt>
                <c:pt idx="848">
                  <c:v>29</c:v>
                </c:pt>
                <c:pt idx="849">
                  <c:v>3</c:v>
                </c:pt>
                <c:pt idx="850">
                  <c:v>25</c:v>
                </c:pt>
                <c:pt idx="851">
                  <c:v>4</c:v>
                </c:pt>
                <c:pt idx="852">
                  <c:v>31</c:v>
                </c:pt>
                <c:pt idx="853">
                  <c:v>85</c:v>
                </c:pt>
                <c:pt idx="854">
                  <c:v>15</c:v>
                </c:pt>
                <c:pt idx="855">
                  <c:v>23</c:v>
                </c:pt>
                <c:pt idx="856">
                  <c:v>75</c:v>
                </c:pt>
                <c:pt idx="857">
                  <c:v>36</c:v>
                </c:pt>
                <c:pt idx="858">
                  <c:v>59</c:v>
                </c:pt>
                <c:pt idx="859">
                  <c:v>93</c:v>
                </c:pt>
                <c:pt idx="860">
                  <c:v>24</c:v>
                </c:pt>
                <c:pt idx="861">
                  <c:v>40</c:v>
                </c:pt>
                <c:pt idx="862">
                  <c:v>22</c:v>
                </c:pt>
                <c:pt idx="863">
                  <c:v>70</c:v>
                </c:pt>
                <c:pt idx="864">
                  <c:v>34</c:v>
                </c:pt>
                <c:pt idx="865">
                  <c:v>73</c:v>
                </c:pt>
                <c:pt idx="866">
                  <c:v>15</c:v>
                </c:pt>
                <c:pt idx="867">
                  <c:v>81</c:v>
                </c:pt>
                <c:pt idx="868">
                  <c:v>42</c:v>
                </c:pt>
                <c:pt idx="869">
                  <c:v>42</c:v>
                </c:pt>
                <c:pt idx="870">
                  <c:v>34</c:v>
                </c:pt>
                <c:pt idx="871">
                  <c:v>24</c:v>
                </c:pt>
                <c:pt idx="872">
                  <c:v>29</c:v>
                </c:pt>
                <c:pt idx="873">
                  <c:v>41</c:v>
                </c:pt>
                <c:pt idx="874">
                  <c:v>26</c:v>
                </c:pt>
                <c:pt idx="875">
                  <c:v>3</c:v>
                </c:pt>
                <c:pt idx="876">
                  <c:v>27</c:v>
                </c:pt>
                <c:pt idx="877">
                  <c:v>25</c:v>
                </c:pt>
                <c:pt idx="878">
                  <c:v>95</c:v>
                </c:pt>
                <c:pt idx="879">
                  <c:v>14</c:v>
                </c:pt>
                <c:pt idx="880">
                  <c:v>24</c:v>
                </c:pt>
                <c:pt idx="881">
                  <c:v>81</c:v>
                </c:pt>
                <c:pt idx="882">
                  <c:v>40</c:v>
                </c:pt>
                <c:pt idx="883">
                  <c:v>70</c:v>
                </c:pt>
                <c:pt idx="884">
                  <c:v>111</c:v>
                </c:pt>
                <c:pt idx="885">
                  <c:v>7</c:v>
                </c:pt>
                <c:pt idx="886">
                  <c:v>50</c:v>
                </c:pt>
                <c:pt idx="887">
                  <c:v>84</c:v>
                </c:pt>
                <c:pt idx="888">
                  <c:v>39</c:v>
                </c:pt>
                <c:pt idx="889">
                  <c:v>91</c:v>
                </c:pt>
                <c:pt idx="890">
                  <c:v>66</c:v>
                </c:pt>
                <c:pt idx="891">
                  <c:v>113</c:v>
                </c:pt>
                <c:pt idx="892">
                  <c:v>30</c:v>
                </c:pt>
                <c:pt idx="893">
                  <c:v>74</c:v>
                </c:pt>
                <c:pt idx="894">
                  <c:v>34</c:v>
                </c:pt>
                <c:pt idx="895">
                  <c:v>13</c:v>
                </c:pt>
                <c:pt idx="896">
                  <c:v>30</c:v>
                </c:pt>
                <c:pt idx="897">
                  <c:v>87</c:v>
                </c:pt>
                <c:pt idx="898">
                  <c:v>45</c:v>
                </c:pt>
                <c:pt idx="899">
                  <c:v>24</c:v>
                </c:pt>
                <c:pt idx="900">
                  <c:v>46</c:v>
                </c:pt>
                <c:pt idx="901">
                  <c:v>20</c:v>
                </c:pt>
                <c:pt idx="902">
                  <c:v>19</c:v>
                </c:pt>
                <c:pt idx="903">
                  <c:v>15</c:v>
                </c:pt>
                <c:pt idx="904">
                  <c:v>21</c:v>
                </c:pt>
                <c:pt idx="905">
                  <c:v>7</c:v>
                </c:pt>
                <c:pt idx="906">
                  <c:v>5</c:v>
                </c:pt>
                <c:pt idx="907">
                  <c:v>33</c:v>
                </c:pt>
                <c:pt idx="908">
                  <c:v>113</c:v>
                </c:pt>
                <c:pt idx="909">
                  <c:v>41</c:v>
                </c:pt>
                <c:pt idx="910">
                  <c:v>50</c:v>
                </c:pt>
                <c:pt idx="911">
                  <c:v>29</c:v>
                </c:pt>
                <c:pt idx="912">
                  <c:v>39</c:v>
                </c:pt>
                <c:pt idx="913">
                  <c:v>26</c:v>
                </c:pt>
                <c:pt idx="914">
                  <c:v>84</c:v>
                </c:pt>
                <c:pt idx="915">
                  <c:v>5</c:v>
                </c:pt>
                <c:pt idx="916">
                  <c:v>66</c:v>
                </c:pt>
                <c:pt idx="917">
                  <c:v>96</c:v>
                </c:pt>
                <c:pt idx="918">
                  <c:v>9</c:v>
                </c:pt>
                <c:pt idx="919">
                  <c:v>57</c:v>
                </c:pt>
                <c:pt idx="920">
                  <c:v>75</c:v>
                </c:pt>
                <c:pt idx="921">
                  <c:v>36</c:v>
                </c:pt>
                <c:pt idx="922">
                  <c:v>87</c:v>
                </c:pt>
                <c:pt idx="923">
                  <c:v>59</c:v>
                </c:pt>
                <c:pt idx="924">
                  <c:v>109</c:v>
                </c:pt>
                <c:pt idx="925">
                  <c:v>22</c:v>
                </c:pt>
                <c:pt idx="926">
                  <c:v>69</c:v>
                </c:pt>
                <c:pt idx="927">
                  <c:v>33</c:v>
                </c:pt>
                <c:pt idx="928">
                  <c:v>31</c:v>
                </c:pt>
                <c:pt idx="929">
                  <c:v>85</c:v>
                </c:pt>
                <c:pt idx="930">
                  <c:v>50</c:v>
                </c:pt>
                <c:pt idx="931">
                  <c:v>21</c:v>
                </c:pt>
                <c:pt idx="932">
                  <c:v>17</c:v>
                </c:pt>
                <c:pt idx="933">
                  <c:v>20</c:v>
                </c:pt>
                <c:pt idx="934">
                  <c:v>4</c:v>
                </c:pt>
                <c:pt idx="935">
                  <c:v>33</c:v>
                </c:pt>
                <c:pt idx="936">
                  <c:v>109</c:v>
                </c:pt>
                <c:pt idx="937">
                  <c:v>42</c:v>
                </c:pt>
                <c:pt idx="938">
                  <c:v>57</c:v>
                </c:pt>
                <c:pt idx="939">
                  <c:v>29</c:v>
                </c:pt>
                <c:pt idx="940">
                  <c:v>36</c:v>
                </c:pt>
                <c:pt idx="941">
                  <c:v>75</c:v>
                </c:pt>
                <c:pt idx="942">
                  <c:v>59</c:v>
                </c:pt>
                <c:pt idx="943">
                  <c:v>25</c:v>
                </c:pt>
                <c:pt idx="944">
                  <c:v>93</c:v>
                </c:pt>
                <c:pt idx="945">
                  <c:v>31</c:v>
                </c:pt>
                <c:pt idx="946">
                  <c:v>73</c:v>
                </c:pt>
                <c:pt idx="947">
                  <c:v>81</c:v>
                </c:pt>
                <c:pt idx="948">
                  <c:v>40</c:v>
                </c:pt>
                <c:pt idx="949">
                  <c:v>97</c:v>
                </c:pt>
                <c:pt idx="950">
                  <c:v>70</c:v>
                </c:pt>
                <c:pt idx="951">
                  <c:v>122</c:v>
                </c:pt>
                <c:pt idx="952">
                  <c:v>24</c:v>
                </c:pt>
                <c:pt idx="953">
                  <c:v>74</c:v>
                </c:pt>
                <c:pt idx="954">
                  <c:v>34</c:v>
                </c:pt>
                <c:pt idx="955">
                  <c:v>25</c:v>
                </c:pt>
                <c:pt idx="956">
                  <c:v>95</c:v>
                </c:pt>
                <c:pt idx="957">
                  <c:v>42</c:v>
                </c:pt>
                <c:pt idx="958">
                  <c:v>24</c:v>
                </c:pt>
                <c:pt idx="959">
                  <c:v>19</c:v>
                </c:pt>
                <c:pt idx="960">
                  <c:v>23</c:v>
                </c:pt>
                <c:pt idx="961">
                  <c:v>4</c:v>
                </c:pt>
                <c:pt idx="962">
                  <c:v>31</c:v>
                </c:pt>
                <c:pt idx="963">
                  <c:v>122</c:v>
                </c:pt>
                <c:pt idx="964">
                  <c:v>37</c:v>
                </c:pt>
                <c:pt idx="965">
                  <c:v>73</c:v>
                </c:pt>
                <c:pt idx="966">
                  <c:v>26</c:v>
                </c:pt>
                <c:pt idx="967">
                  <c:v>40</c:v>
                </c:pt>
                <c:pt idx="968">
                  <c:v>81</c:v>
                </c:pt>
                <c:pt idx="969">
                  <c:v>70</c:v>
                </c:pt>
                <c:pt idx="970">
                  <c:v>29</c:v>
                </c:pt>
                <c:pt idx="971">
                  <c:v>111</c:v>
                </c:pt>
                <c:pt idx="972">
                  <c:v>41</c:v>
                </c:pt>
                <c:pt idx="973">
                  <c:v>7</c:v>
                </c:pt>
                <c:pt idx="974">
                  <c:v>50</c:v>
                </c:pt>
                <c:pt idx="975">
                  <c:v>84</c:v>
                </c:pt>
                <c:pt idx="976">
                  <c:v>39</c:v>
                </c:pt>
                <c:pt idx="977">
                  <c:v>91</c:v>
                </c:pt>
                <c:pt idx="978">
                  <c:v>66</c:v>
                </c:pt>
                <c:pt idx="979">
                  <c:v>113</c:v>
                </c:pt>
                <c:pt idx="980">
                  <c:v>30</c:v>
                </c:pt>
                <c:pt idx="981">
                  <c:v>74</c:v>
                </c:pt>
                <c:pt idx="982">
                  <c:v>34</c:v>
                </c:pt>
                <c:pt idx="983">
                  <c:v>13</c:v>
                </c:pt>
                <c:pt idx="984">
                  <c:v>30</c:v>
                </c:pt>
                <c:pt idx="985">
                  <c:v>87</c:v>
                </c:pt>
                <c:pt idx="986">
                  <c:v>45</c:v>
                </c:pt>
                <c:pt idx="987">
                  <c:v>24</c:v>
                </c:pt>
                <c:pt idx="988">
                  <c:v>46</c:v>
                </c:pt>
                <c:pt idx="989">
                  <c:v>20</c:v>
                </c:pt>
                <c:pt idx="990">
                  <c:v>19</c:v>
                </c:pt>
                <c:pt idx="991">
                  <c:v>15</c:v>
                </c:pt>
                <c:pt idx="992">
                  <c:v>21</c:v>
                </c:pt>
                <c:pt idx="993">
                  <c:v>7</c:v>
                </c:pt>
                <c:pt idx="994">
                  <c:v>5</c:v>
                </c:pt>
                <c:pt idx="995">
                  <c:v>33</c:v>
                </c:pt>
                <c:pt idx="996">
                  <c:v>113</c:v>
                </c:pt>
                <c:pt idx="997">
                  <c:v>41</c:v>
                </c:pt>
                <c:pt idx="998">
                  <c:v>50</c:v>
                </c:pt>
                <c:pt idx="999">
                  <c:v>29</c:v>
                </c:pt>
                <c:pt idx="1000">
                  <c:v>39</c:v>
                </c:pt>
                <c:pt idx="1001">
                  <c:v>26</c:v>
                </c:pt>
                <c:pt idx="1002">
                  <c:v>84</c:v>
                </c:pt>
                <c:pt idx="1003">
                  <c:v>5</c:v>
                </c:pt>
                <c:pt idx="1004">
                  <c:v>66</c:v>
                </c:pt>
                <c:pt idx="1005">
                  <c:v>96</c:v>
                </c:pt>
                <c:pt idx="1006">
                  <c:v>9</c:v>
                </c:pt>
                <c:pt idx="1007">
                  <c:v>57</c:v>
                </c:pt>
                <c:pt idx="1008">
                  <c:v>75</c:v>
                </c:pt>
                <c:pt idx="1009">
                  <c:v>36</c:v>
                </c:pt>
                <c:pt idx="1010">
                  <c:v>87</c:v>
                </c:pt>
                <c:pt idx="1011">
                  <c:v>59</c:v>
                </c:pt>
                <c:pt idx="1012">
                  <c:v>109</c:v>
                </c:pt>
                <c:pt idx="1013">
                  <c:v>22</c:v>
                </c:pt>
                <c:pt idx="1014">
                  <c:v>69</c:v>
                </c:pt>
                <c:pt idx="1015">
                  <c:v>33</c:v>
                </c:pt>
                <c:pt idx="1016">
                  <c:v>31</c:v>
                </c:pt>
                <c:pt idx="1017">
                  <c:v>85</c:v>
                </c:pt>
                <c:pt idx="1018">
                  <c:v>50</c:v>
                </c:pt>
                <c:pt idx="1019">
                  <c:v>21</c:v>
                </c:pt>
                <c:pt idx="1020">
                  <c:v>17</c:v>
                </c:pt>
                <c:pt idx="1021">
                  <c:v>20</c:v>
                </c:pt>
                <c:pt idx="1022">
                  <c:v>4</c:v>
                </c:pt>
                <c:pt idx="1023">
                  <c:v>33</c:v>
                </c:pt>
                <c:pt idx="1024">
                  <c:v>109</c:v>
                </c:pt>
                <c:pt idx="1025">
                  <c:v>42</c:v>
                </c:pt>
                <c:pt idx="1026">
                  <c:v>57</c:v>
                </c:pt>
                <c:pt idx="1027">
                  <c:v>29</c:v>
                </c:pt>
                <c:pt idx="1028">
                  <c:v>36</c:v>
                </c:pt>
                <c:pt idx="1029">
                  <c:v>75</c:v>
                </c:pt>
                <c:pt idx="1030">
                  <c:v>59</c:v>
                </c:pt>
                <c:pt idx="1031">
                  <c:v>25</c:v>
                </c:pt>
                <c:pt idx="1032">
                  <c:v>93</c:v>
                </c:pt>
                <c:pt idx="1033">
                  <c:v>31</c:v>
                </c:pt>
                <c:pt idx="1034">
                  <c:v>73</c:v>
                </c:pt>
                <c:pt idx="1035">
                  <c:v>81</c:v>
                </c:pt>
                <c:pt idx="1036">
                  <c:v>40</c:v>
                </c:pt>
                <c:pt idx="1037">
                  <c:v>97</c:v>
                </c:pt>
                <c:pt idx="1038">
                  <c:v>70</c:v>
                </c:pt>
                <c:pt idx="1039">
                  <c:v>122</c:v>
                </c:pt>
                <c:pt idx="1040">
                  <c:v>24</c:v>
                </c:pt>
                <c:pt idx="1041">
                  <c:v>74</c:v>
                </c:pt>
                <c:pt idx="1042">
                  <c:v>34</c:v>
                </c:pt>
                <c:pt idx="1043">
                  <c:v>25</c:v>
                </c:pt>
                <c:pt idx="1044">
                  <c:v>95</c:v>
                </c:pt>
                <c:pt idx="1045">
                  <c:v>42</c:v>
                </c:pt>
                <c:pt idx="1046">
                  <c:v>24</c:v>
                </c:pt>
                <c:pt idx="1047">
                  <c:v>19</c:v>
                </c:pt>
                <c:pt idx="1048">
                  <c:v>23</c:v>
                </c:pt>
                <c:pt idx="1049">
                  <c:v>4</c:v>
                </c:pt>
                <c:pt idx="1050">
                  <c:v>31</c:v>
                </c:pt>
                <c:pt idx="1051">
                  <c:v>122</c:v>
                </c:pt>
                <c:pt idx="1052">
                  <c:v>37</c:v>
                </c:pt>
                <c:pt idx="1053">
                  <c:v>73</c:v>
                </c:pt>
                <c:pt idx="1054">
                  <c:v>26</c:v>
                </c:pt>
                <c:pt idx="1055">
                  <c:v>40</c:v>
                </c:pt>
                <c:pt idx="1056">
                  <c:v>81</c:v>
                </c:pt>
                <c:pt idx="1057">
                  <c:v>70</c:v>
                </c:pt>
                <c:pt idx="1058">
                  <c:v>29</c:v>
                </c:pt>
                <c:pt idx="1059">
                  <c:v>111</c:v>
                </c:pt>
                <c:pt idx="1060">
                  <c:v>41</c:v>
                </c:pt>
                <c:pt idx="1061">
                  <c:v>7</c:v>
                </c:pt>
              </c:numCache>
            </c:numRef>
          </c:xVal>
          <c:yVal>
            <c:numRef>
              <c:f>'Marketing Effectiveness Analysi'!$Q$2:$Q$1063</c:f>
              <c:numCache>
                <c:formatCode>General</c:formatCode>
                <c:ptCount val="1062"/>
                <c:pt idx="0">
                  <c:v>122</c:v>
                </c:pt>
                <c:pt idx="1">
                  <c:v>123</c:v>
                </c:pt>
                <c:pt idx="2">
                  <c:v>107</c:v>
                </c:pt>
                <c:pt idx="3">
                  <c:v>94</c:v>
                </c:pt>
                <c:pt idx="4">
                  <c:v>182</c:v>
                </c:pt>
                <c:pt idx="5">
                  <c:v>43</c:v>
                </c:pt>
                <c:pt idx="6">
                  <c:v>111</c:v>
                </c:pt>
                <c:pt idx="7">
                  <c:v>66</c:v>
                </c:pt>
                <c:pt idx="8">
                  <c:v>68</c:v>
                </c:pt>
                <c:pt idx="9">
                  <c:v>99</c:v>
                </c:pt>
                <c:pt idx="10">
                  <c:v>120</c:v>
                </c:pt>
                <c:pt idx="11">
                  <c:v>114</c:v>
                </c:pt>
                <c:pt idx="12">
                  <c:v>109</c:v>
                </c:pt>
                <c:pt idx="13">
                  <c:v>144</c:v>
                </c:pt>
                <c:pt idx="14">
                  <c:v>77</c:v>
                </c:pt>
                <c:pt idx="15">
                  <c:v>120</c:v>
                </c:pt>
                <c:pt idx="16">
                  <c:v>109</c:v>
                </c:pt>
                <c:pt idx="17">
                  <c:v>118</c:v>
                </c:pt>
                <c:pt idx="18">
                  <c:v>120</c:v>
                </c:pt>
                <c:pt idx="19">
                  <c:v>119</c:v>
                </c:pt>
                <c:pt idx="20">
                  <c:v>99</c:v>
                </c:pt>
                <c:pt idx="21">
                  <c:v>205</c:v>
                </c:pt>
                <c:pt idx="22">
                  <c:v>218</c:v>
                </c:pt>
                <c:pt idx="23">
                  <c:v>92</c:v>
                </c:pt>
                <c:pt idx="24">
                  <c:v>123</c:v>
                </c:pt>
                <c:pt idx="25">
                  <c:v>92</c:v>
                </c:pt>
                <c:pt idx="26">
                  <c:v>120</c:v>
                </c:pt>
                <c:pt idx="27">
                  <c:v>164</c:v>
                </c:pt>
                <c:pt idx="28">
                  <c:v>114</c:v>
                </c:pt>
                <c:pt idx="29">
                  <c:v>124</c:v>
                </c:pt>
                <c:pt idx="30">
                  <c:v>123</c:v>
                </c:pt>
                <c:pt idx="31">
                  <c:v>125</c:v>
                </c:pt>
                <c:pt idx="32">
                  <c:v>88</c:v>
                </c:pt>
                <c:pt idx="33">
                  <c:v>81</c:v>
                </c:pt>
                <c:pt idx="34">
                  <c:v>78</c:v>
                </c:pt>
                <c:pt idx="35">
                  <c:v>88</c:v>
                </c:pt>
                <c:pt idx="36">
                  <c:v>120</c:v>
                </c:pt>
                <c:pt idx="37">
                  <c:v>121</c:v>
                </c:pt>
                <c:pt idx="38">
                  <c:v>113</c:v>
                </c:pt>
                <c:pt idx="39">
                  <c:v>109</c:v>
                </c:pt>
                <c:pt idx="40">
                  <c:v>106</c:v>
                </c:pt>
                <c:pt idx="41">
                  <c:v>141</c:v>
                </c:pt>
                <c:pt idx="42">
                  <c:v>121</c:v>
                </c:pt>
                <c:pt idx="43">
                  <c:v>121</c:v>
                </c:pt>
                <c:pt idx="44">
                  <c:v>113</c:v>
                </c:pt>
                <c:pt idx="45">
                  <c:v>109</c:v>
                </c:pt>
                <c:pt idx="46">
                  <c:v>115</c:v>
                </c:pt>
                <c:pt idx="47">
                  <c:v>90</c:v>
                </c:pt>
                <c:pt idx="48">
                  <c:v>147</c:v>
                </c:pt>
                <c:pt idx="49">
                  <c:v>99</c:v>
                </c:pt>
                <c:pt idx="50">
                  <c:v>133</c:v>
                </c:pt>
                <c:pt idx="51">
                  <c:v>112</c:v>
                </c:pt>
                <c:pt idx="52">
                  <c:v>127</c:v>
                </c:pt>
                <c:pt idx="53">
                  <c:v>145</c:v>
                </c:pt>
                <c:pt idx="54">
                  <c:v>176</c:v>
                </c:pt>
                <c:pt idx="55">
                  <c:v>127</c:v>
                </c:pt>
                <c:pt idx="56">
                  <c:v>101</c:v>
                </c:pt>
                <c:pt idx="57">
                  <c:v>133</c:v>
                </c:pt>
                <c:pt idx="58">
                  <c:v>77</c:v>
                </c:pt>
                <c:pt idx="59">
                  <c:v>85</c:v>
                </c:pt>
                <c:pt idx="60">
                  <c:v>82</c:v>
                </c:pt>
                <c:pt idx="61">
                  <c:v>122</c:v>
                </c:pt>
                <c:pt idx="62">
                  <c:v>131</c:v>
                </c:pt>
                <c:pt idx="63">
                  <c:v>118</c:v>
                </c:pt>
                <c:pt idx="64">
                  <c:v>88</c:v>
                </c:pt>
                <c:pt idx="65">
                  <c:v>118</c:v>
                </c:pt>
                <c:pt idx="66">
                  <c:v>107</c:v>
                </c:pt>
                <c:pt idx="67">
                  <c:v>160</c:v>
                </c:pt>
                <c:pt idx="68">
                  <c:v>153</c:v>
                </c:pt>
                <c:pt idx="69">
                  <c:v>139</c:v>
                </c:pt>
                <c:pt idx="70">
                  <c:v>160</c:v>
                </c:pt>
                <c:pt idx="71">
                  <c:v>131</c:v>
                </c:pt>
                <c:pt idx="72">
                  <c:v>130</c:v>
                </c:pt>
                <c:pt idx="73">
                  <c:v>131</c:v>
                </c:pt>
                <c:pt idx="74">
                  <c:v>114</c:v>
                </c:pt>
                <c:pt idx="75">
                  <c:v>100</c:v>
                </c:pt>
                <c:pt idx="76">
                  <c:v>194</c:v>
                </c:pt>
                <c:pt idx="77">
                  <c:v>46</c:v>
                </c:pt>
                <c:pt idx="78">
                  <c:v>118</c:v>
                </c:pt>
                <c:pt idx="79">
                  <c:v>70</c:v>
                </c:pt>
                <c:pt idx="80">
                  <c:v>72</c:v>
                </c:pt>
                <c:pt idx="81">
                  <c:v>106</c:v>
                </c:pt>
                <c:pt idx="82">
                  <c:v>128</c:v>
                </c:pt>
                <c:pt idx="83">
                  <c:v>121</c:v>
                </c:pt>
                <c:pt idx="84">
                  <c:v>116</c:v>
                </c:pt>
                <c:pt idx="85">
                  <c:v>153</c:v>
                </c:pt>
                <c:pt idx="86">
                  <c:v>82</c:v>
                </c:pt>
                <c:pt idx="87">
                  <c:v>128</c:v>
                </c:pt>
                <c:pt idx="88">
                  <c:v>116</c:v>
                </c:pt>
                <c:pt idx="89">
                  <c:v>126</c:v>
                </c:pt>
                <c:pt idx="90">
                  <c:v>128</c:v>
                </c:pt>
                <c:pt idx="91">
                  <c:v>127</c:v>
                </c:pt>
                <c:pt idx="92">
                  <c:v>106</c:v>
                </c:pt>
                <c:pt idx="93">
                  <c:v>218</c:v>
                </c:pt>
                <c:pt idx="94">
                  <c:v>232</c:v>
                </c:pt>
                <c:pt idx="95">
                  <c:v>98</c:v>
                </c:pt>
                <c:pt idx="96">
                  <c:v>131</c:v>
                </c:pt>
                <c:pt idx="97">
                  <c:v>98</c:v>
                </c:pt>
                <c:pt idx="98">
                  <c:v>128</c:v>
                </c:pt>
                <c:pt idx="99">
                  <c:v>175</c:v>
                </c:pt>
                <c:pt idx="100">
                  <c:v>121</c:v>
                </c:pt>
                <c:pt idx="101">
                  <c:v>132</c:v>
                </c:pt>
                <c:pt idx="102">
                  <c:v>131</c:v>
                </c:pt>
                <c:pt idx="103">
                  <c:v>133</c:v>
                </c:pt>
                <c:pt idx="104">
                  <c:v>94</c:v>
                </c:pt>
                <c:pt idx="105">
                  <c:v>86</c:v>
                </c:pt>
                <c:pt idx="106">
                  <c:v>83</c:v>
                </c:pt>
                <c:pt idx="107">
                  <c:v>94</c:v>
                </c:pt>
                <c:pt idx="108">
                  <c:v>128</c:v>
                </c:pt>
                <c:pt idx="109">
                  <c:v>129</c:v>
                </c:pt>
                <c:pt idx="110">
                  <c:v>120</c:v>
                </c:pt>
                <c:pt idx="111">
                  <c:v>116</c:v>
                </c:pt>
                <c:pt idx="112">
                  <c:v>113</c:v>
                </c:pt>
                <c:pt idx="113">
                  <c:v>150</c:v>
                </c:pt>
                <c:pt idx="114">
                  <c:v>129</c:v>
                </c:pt>
                <c:pt idx="115">
                  <c:v>129</c:v>
                </c:pt>
                <c:pt idx="116">
                  <c:v>120</c:v>
                </c:pt>
                <c:pt idx="117">
                  <c:v>116</c:v>
                </c:pt>
                <c:pt idx="118">
                  <c:v>123</c:v>
                </c:pt>
                <c:pt idx="119">
                  <c:v>96</c:v>
                </c:pt>
                <c:pt idx="120">
                  <c:v>157</c:v>
                </c:pt>
                <c:pt idx="121">
                  <c:v>106</c:v>
                </c:pt>
                <c:pt idx="122">
                  <c:v>142</c:v>
                </c:pt>
                <c:pt idx="123">
                  <c:v>119</c:v>
                </c:pt>
                <c:pt idx="124">
                  <c:v>135</c:v>
                </c:pt>
                <c:pt idx="125">
                  <c:v>155</c:v>
                </c:pt>
                <c:pt idx="126">
                  <c:v>188</c:v>
                </c:pt>
                <c:pt idx="127">
                  <c:v>135</c:v>
                </c:pt>
                <c:pt idx="128">
                  <c:v>108</c:v>
                </c:pt>
                <c:pt idx="129">
                  <c:v>142</c:v>
                </c:pt>
                <c:pt idx="130">
                  <c:v>82</c:v>
                </c:pt>
                <c:pt idx="131">
                  <c:v>91</c:v>
                </c:pt>
                <c:pt idx="132">
                  <c:v>87</c:v>
                </c:pt>
                <c:pt idx="133">
                  <c:v>130</c:v>
                </c:pt>
                <c:pt idx="134">
                  <c:v>140</c:v>
                </c:pt>
                <c:pt idx="135">
                  <c:v>126</c:v>
                </c:pt>
                <c:pt idx="136">
                  <c:v>94</c:v>
                </c:pt>
                <c:pt idx="137">
                  <c:v>126</c:v>
                </c:pt>
                <c:pt idx="138">
                  <c:v>114</c:v>
                </c:pt>
                <c:pt idx="139">
                  <c:v>171</c:v>
                </c:pt>
                <c:pt idx="140">
                  <c:v>163</c:v>
                </c:pt>
                <c:pt idx="141">
                  <c:v>148</c:v>
                </c:pt>
                <c:pt idx="142">
                  <c:v>171</c:v>
                </c:pt>
                <c:pt idx="143">
                  <c:v>140</c:v>
                </c:pt>
                <c:pt idx="144">
                  <c:v>90</c:v>
                </c:pt>
                <c:pt idx="145">
                  <c:v>174</c:v>
                </c:pt>
                <c:pt idx="146">
                  <c:v>120</c:v>
                </c:pt>
                <c:pt idx="147">
                  <c:v>118</c:v>
                </c:pt>
                <c:pt idx="148">
                  <c:v>66</c:v>
                </c:pt>
                <c:pt idx="149">
                  <c:v>187</c:v>
                </c:pt>
                <c:pt idx="150">
                  <c:v>51</c:v>
                </c:pt>
                <c:pt idx="151">
                  <c:v>58</c:v>
                </c:pt>
                <c:pt idx="152">
                  <c:v>177</c:v>
                </c:pt>
                <c:pt idx="153">
                  <c:v>142</c:v>
                </c:pt>
                <c:pt idx="154">
                  <c:v>113</c:v>
                </c:pt>
                <c:pt idx="155">
                  <c:v>144</c:v>
                </c:pt>
                <c:pt idx="156">
                  <c:v>159</c:v>
                </c:pt>
                <c:pt idx="157">
                  <c:v>92</c:v>
                </c:pt>
                <c:pt idx="158">
                  <c:v>88</c:v>
                </c:pt>
                <c:pt idx="159">
                  <c:v>124</c:v>
                </c:pt>
                <c:pt idx="160">
                  <c:v>92</c:v>
                </c:pt>
                <c:pt idx="161">
                  <c:v>70</c:v>
                </c:pt>
                <c:pt idx="162">
                  <c:v>78</c:v>
                </c:pt>
                <c:pt idx="163">
                  <c:v>80</c:v>
                </c:pt>
                <c:pt idx="164">
                  <c:v>123</c:v>
                </c:pt>
                <c:pt idx="165">
                  <c:v>43</c:v>
                </c:pt>
                <c:pt idx="166">
                  <c:v>122</c:v>
                </c:pt>
                <c:pt idx="167">
                  <c:v>56</c:v>
                </c:pt>
                <c:pt idx="168">
                  <c:v>106</c:v>
                </c:pt>
                <c:pt idx="169">
                  <c:v>74</c:v>
                </c:pt>
                <c:pt idx="170">
                  <c:v>106</c:v>
                </c:pt>
                <c:pt idx="171">
                  <c:v>78</c:v>
                </c:pt>
                <c:pt idx="172">
                  <c:v>150</c:v>
                </c:pt>
                <c:pt idx="173">
                  <c:v>120</c:v>
                </c:pt>
                <c:pt idx="174">
                  <c:v>120</c:v>
                </c:pt>
                <c:pt idx="175">
                  <c:v>99</c:v>
                </c:pt>
                <c:pt idx="176">
                  <c:v>101</c:v>
                </c:pt>
                <c:pt idx="177">
                  <c:v>99</c:v>
                </c:pt>
                <c:pt idx="178">
                  <c:v>99</c:v>
                </c:pt>
                <c:pt idx="179">
                  <c:v>99</c:v>
                </c:pt>
                <c:pt idx="180">
                  <c:v>103</c:v>
                </c:pt>
                <c:pt idx="181">
                  <c:v>116</c:v>
                </c:pt>
                <c:pt idx="182">
                  <c:v>82</c:v>
                </c:pt>
                <c:pt idx="183">
                  <c:v>85</c:v>
                </c:pt>
                <c:pt idx="184">
                  <c:v>43</c:v>
                </c:pt>
                <c:pt idx="185">
                  <c:v>106</c:v>
                </c:pt>
                <c:pt idx="186">
                  <c:v>69</c:v>
                </c:pt>
                <c:pt idx="187">
                  <c:v>58</c:v>
                </c:pt>
                <c:pt idx="188">
                  <c:v>107</c:v>
                </c:pt>
                <c:pt idx="189">
                  <c:v>103</c:v>
                </c:pt>
                <c:pt idx="190">
                  <c:v>106</c:v>
                </c:pt>
                <c:pt idx="191">
                  <c:v>82</c:v>
                </c:pt>
                <c:pt idx="192">
                  <c:v>118</c:v>
                </c:pt>
                <c:pt idx="193">
                  <c:v>131</c:v>
                </c:pt>
                <c:pt idx="194">
                  <c:v>96</c:v>
                </c:pt>
                <c:pt idx="195">
                  <c:v>185</c:v>
                </c:pt>
                <c:pt idx="196">
                  <c:v>128</c:v>
                </c:pt>
                <c:pt idx="197">
                  <c:v>126</c:v>
                </c:pt>
                <c:pt idx="198">
                  <c:v>70</c:v>
                </c:pt>
                <c:pt idx="199">
                  <c:v>199</c:v>
                </c:pt>
                <c:pt idx="200">
                  <c:v>54</c:v>
                </c:pt>
                <c:pt idx="201">
                  <c:v>62</c:v>
                </c:pt>
                <c:pt idx="202">
                  <c:v>189</c:v>
                </c:pt>
                <c:pt idx="203">
                  <c:v>151</c:v>
                </c:pt>
                <c:pt idx="204">
                  <c:v>120</c:v>
                </c:pt>
                <c:pt idx="205">
                  <c:v>153</c:v>
                </c:pt>
                <c:pt idx="206">
                  <c:v>169</c:v>
                </c:pt>
                <c:pt idx="207">
                  <c:v>98</c:v>
                </c:pt>
                <c:pt idx="208">
                  <c:v>94</c:v>
                </c:pt>
                <c:pt idx="209">
                  <c:v>132</c:v>
                </c:pt>
                <c:pt idx="210">
                  <c:v>98</c:v>
                </c:pt>
                <c:pt idx="211">
                  <c:v>75</c:v>
                </c:pt>
                <c:pt idx="212">
                  <c:v>83</c:v>
                </c:pt>
                <c:pt idx="213">
                  <c:v>85</c:v>
                </c:pt>
                <c:pt idx="214">
                  <c:v>131</c:v>
                </c:pt>
                <c:pt idx="215">
                  <c:v>46</c:v>
                </c:pt>
                <c:pt idx="216">
                  <c:v>130</c:v>
                </c:pt>
                <c:pt idx="217">
                  <c:v>60</c:v>
                </c:pt>
                <c:pt idx="218">
                  <c:v>113</c:v>
                </c:pt>
                <c:pt idx="219">
                  <c:v>79</c:v>
                </c:pt>
                <c:pt idx="220">
                  <c:v>113</c:v>
                </c:pt>
                <c:pt idx="221">
                  <c:v>83</c:v>
                </c:pt>
                <c:pt idx="222">
                  <c:v>160</c:v>
                </c:pt>
                <c:pt idx="223">
                  <c:v>128</c:v>
                </c:pt>
                <c:pt idx="224">
                  <c:v>128</c:v>
                </c:pt>
                <c:pt idx="225">
                  <c:v>106</c:v>
                </c:pt>
                <c:pt idx="226">
                  <c:v>108</c:v>
                </c:pt>
                <c:pt idx="227">
                  <c:v>106</c:v>
                </c:pt>
                <c:pt idx="228">
                  <c:v>106</c:v>
                </c:pt>
                <c:pt idx="229">
                  <c:v>106</c:v>
                </c:pt>
                <c:pt idx="230">
                  <c:v>110</c:v>
                </c:pt>
                <c:pt idx="231">
                  <c:v>124</c:v>
                </c:pt>
                <c:pt idx="232">
                  <c:v>87</c:v>
                </c:pt>
                <c:pt idx="233">
                  <c:v>91</c:v>
                </c:pt>
                <c:pt idx="234">
                  <c:v>46</c:v>
                </c:pt>
                <c:pt idx="235">
                  <c:v>113</c:v>
                </c:pt>
                <c:pt idx="236">
                  <c:v>74</c:v>
                </c:pt>
                <c:pt idx="237">
                  <c:v>62</c:v>
                </c:pt>
                <c:pt idx="238">
                  <c:v>114</c:v>
                </c:pt>
                <c:pt idx="239">
                  <c:v>110</c:v>
                </c:pt>
                <c:pt idx="240">
                  <c:v>113</c:v>
                </c:pt>
                <c:pt idx="241">
                  <c:v>87</c:v>
                </c:pt>
                <c:pt idx="242">
                  <c:v>126</c:v>
                </c:pt>
                <c:pt idx="243">
                  <c:v>140</c:v>
                </c:pt>
                <c:pt idx="244">
                  <c:v>90</c:v>
                </c:pt>
                <c:pt idx="245">
                  <c:v>90</c:v>
                </c:pt>
                <c:pt idx="246">
                  <c:v>109</c:v>
                </c:pt>
                <c:pt idx="247">
                  <c:v>113</c:v>
                </c:pt>
                <c:pt idx="248">
                  <c:v>68</c:v>
                </c:pt>
                <c:pt idx="249">
                  <c:v>109</c:v>
                </c:pt>
                <c:pt idx="250">
                  <c:v>79</c:v>
                </c:pt>
                <c:pt idx="251">
                  <c:v>68</c:v>
                </c:pt>
                <c:pt idx="252">
                  <c:v>92</c:v>
                </c:pt>
                <c:pt idx="253">
                  <c:v>60</c:v>
                </c:pt>
                <c:pt idx="254">
                  <c:v>43</c:v>
                </c:pt>
                <c:pt idx="255">
                  <c:v>109</c:v>
                </c:pt>
                <c:pt idx="256">
                  <c:v>144</c:v>
                </c:pt>
                <c:pt idx="257">
                  <c:v>80</c:v>
                </c:pt>
                <c:pt idx="258">
                  <c:v>121</c:v>
                </c:pt>
                <c:pt idx="259">
                  <c:v>52</c:v>
                </c:pt>
                <c:pt idx="260">
                  <c:v>82</c:v>
                </c:pt>
                <c:pt idx="261">
                  <c:v>64</c:v>
                </c:pt>
                <c:pt idx="262">
                  <c:v>64</c:v>
                </c:pt>
                <c:pt idx="263">
                  <c:v>76</c:v>
                </c:pt>
                <c:pt idx="264">
                  <c:v>80</c:v>
                </c:pt>
                <c:pt idx="265">
                  <c:v>43</c:v>
                </c:pt>
                <c:pt idx="266">
                  <c:v>81</c:v>
                </c:pt>
                <c:pt idx="267">
                  <c:v>122</c:v>
                </c:pt>
                <c:pt idx="268">
                  <c:v>122</c:v>
                </c:pt>
                <c:pt idx="269">
                  <c:v>82</c:v>
                </c:pt>
                <c:pt idx="270">
                  <c:v>76</c:v>
                </c:pt>
                <c:pt idx="271">
                  <c:v>74</c:v>
                </c:pt>
                <c:pt idx="272">
                  <c:v>43</c:v>
                </c:pt>
                <c:pt idx="273">
                  <c:v>106</c:v>
                </c:pt>
                <c:pt idx="274">
                  <c:v>73</c:v>
                </c:pt>
                <c:pt idx="275">
                  <c:v>82</c:v>
                </c:pt>
                <c:pt idx="276">
                  <c:v>103</c:v>
                </c:pt>
                <c:pt idx="277">
                  <c:v>75</c:v>
                </c:pt>
                <c:pt idx="278">
                  <c:v>73</c:v>
                </c:pt>
                <c:pt idx="279">
                  <c:v>56</c:v>
                </c:pt>
                <c:pt idx="280">
                  <c:v>43</c:v>
                </c:pt>
                <c:pt idx="281">
                  <c:v>77</c:v>
                </c:pt>
                <c:pt idx="282">
                  <c:v>85</c:v>
                </c:pt>
                <c:pt idx="283">
                  <c:v>88</c:v>
                </c:pt>
                <c:pt idx="284">
                  <c:v>69</c:v>
                </c:pt>
                <c:pt idx="285">
                  <c:v>89</c:v>
                </c:pt>
                <c:pt idx="286">
                  <c:v>88</c:v>
                </c:pt>
                <c:pt idx="287">
                  <c:v>43</c:v>
                </c:pt>
                <c:pt idx="288">
                  <c:v>107</c:v>
                </c:pt>
                <c:pt idx="289">
                  <c:v>89</c:v>
                </c:pt>
                <c:pt idx="290">
                  <c:v>106</c:v>
                </c:pt>
                <c:pt idx="291">
                  <c:v>96</c:v>
                </c:pt>
                <c:pt idx="292">
                  <c:v>96</c:v>
                </c:pt>
                <c:pt idx="293">
                  <c:v>116</c:v>
                </c:pt>
                <c:pt idx="294">
                  <c:v>120</c:v>
                </c:pt>
                <c:pt idx="295">
                  <c:v>72</c:v>
                </c:pt>
                <c:pt idx="296">
                  <c:v>116</c:v>
                </c:pt>
                <c:pt idx="297">
                  <c:v>84</c:v>
                </c:pt>
                <c:pt idx="298">
                  <c:v>72</c:v>
                </c:pt>
                <c:pt idx="299">
                  <c:v>98</c:v>
                </c:pt>
                <c:pt idx="300">
                  <c:v>64</c:v>
                </c:pt>
                <c:pt idx="301">
                  <c:v>46</c:v>
                </c:pt>
                <c:pt idx="302">
                  <c:v>116</c:v>
                </c:pt>
                <c:pt idx="303">
                  <c:v>153</c:v>
                </c:pt>
                <c:pt idx="304">
                  <c:v>85</c:v>
                </c:pt>
                <c:pt idx="305">
                  <c:v>129</c:v>
                </c:pt>
                <c:pt idx="306">
                  <c:v>55</c:v>
                </c:pt>
                <c:pt idx="307">
                  <c:v>87</c:v>
                </c:pt>
                <c:pt idx="308">
                  <c:v>68</c:v>
                </c:pt>
                <c:pt idx="309">
                  <c:v>68</c:v>
                </c:pt>
                <c:pt idx="310">
                  <c:v>81</c:v>
                </c:pt>
                <c:pt idx="311">
                  <c:v>85</c:v>
                </c:pt>
                <c:pt idx="312">
                  <c:v>46</c:v>
                </c:pt>
                <c:pt idx="313">
                  <c:v>86</c:v>
                </c:pt>
                <c:pt idx="314">
                  <c:v>130</c:v>
                </c:pt>
                <c:pt idx="315">
                  <c:v>130</c:v>
                </c:pt>
                <c:pt idx="316">
                  <c:v>87</c:v>
                </c:pt>
                <c:pt idx="317">
                  <c:v>81</c:v>
                </c:pt>
                <c:pt idx="318">
                  <c:v>79</c:v>
                </c:pt>
                <c:pt idx="319">
                  <c:v>46</c:v>
                </c:pt>
                <c:pt idx="320">
                  <c:v>113</c:v>
                </c:pt>
                <c:pt idx="321">
                  <c:v>78</c:v>
                </c:pt>
                <c:pt idx="322">
                  <c:v>87</c:v>
                </c:pt>
                <c:pt idx="323">
                  <c:v>110</c:v>
                </c:pt>
                <c:pt idx="324">
                  <c:v>80</c:v>
                </c:pt>
                <c:pt idx="325">
                  <c:v>78</c:v>
                </c:pt>
                <c:pt idx="326">
                  <c:v>60</c:v>
                </c:pt>
                <c:pt idx="327">
                  <c:v>46</c:v>
                </c:pt>
                <c:pt idx="328">
                  <c:v>82</c:v>
                </c:pt>
                <c:pt idx="329">
                  <c:v>91</c:v>
                </c:pt>
                <c:pt idx="330">
                  <c:v>94</c:v>
                </c:pt>
                <c:pt idx="331">
                  <c:v>74</c:v>
                </c:pt>
                <c:pt idx="332">
                  <c:v>95</c:v>
                </c:pt>
                <c:pt idx="333">
                  <c:v>94</c:v>
                </c:pt>
                <c:pt idx="334">
                  <c:v>46</c:v>
                </c:pt>
                <c:pt idx="335">
                  <c:v>114</c:v>
                </c:pt>
                <c:pt idx="336">
                  <c:v>95</c:v>
                </c:pt>
                <c:pt idx="337">
                  <c:v>113</c:v>
                </c:pt>
                <c:pt idx="338">
                  <c:v>122</c:v>
                </c:pt>
                <c:pt idx="339">
                  <c:v>123</c:v>
                </c:pt>
                <c:pt idx="340">
                  <c:v>107</c:v>
                </c:pt>
                <c:pt idx="341">
                  <c:v>116</c:v>
                </c:pt>
                <c:pt idx="342">
                  <c:v>182</c:v>
                </c:pt>
                <c:pt idx="343">
                  <c:v>118</c:v>
                </c:pt>
                <c:pt idx="344">
                  <c:v>159</c:v>
                </c:pt>
                <c:pt idx="345">
                  <c:v>123</c:v>
                </c:pt>
                <c:pt idx="346">
                  <c:v>126</c:v>
                </c:pt>
                <c:pt idx="347">
                  <c:v>126</c:v>
                </c:pt>
                <c:pt idx="348">
                  <c:v>114</c:v>
                </c:pt>
                <c:pt idx="349">
                  <c:v>125</c:v>
                </c:pt>
                <c:pt idx="350">
                  <c:v>114</c:v>
                </c:pt>
                <c:pt idx="351">
                  <c:v>125</c:v>
                </c:pt>
                <c:pt idx="352">
                  <c:v>138</c:v>
                </c:pt>
                <c:pt idx="353">
                  <c:v>138</c:v>
                </c:pt>
                <c:pt idx="354">
                  <c:v>123</c:v>
                </c:pt>
                <c:pt idx="355">
                  <c:v>124</c:v>
                </c:pt>
                <c:pt idx="356">
                  <c:v>132</c:v>
                </c:pt>
                <c:pt idx="357">
                  <c:v>109</c:v>
                </c:pt>
                <c:pt idx="358">
                  <c:v>147</c:v>
                </c:pt>
                <c:pt idx="359">
                  <c:v>124</c:v>
                </c:pt>
                <c:pt idx="360">
                  <c:v>184</c:v>
                </c:pt>
                <c:pt idx="361">
                  <c:v>147</c:v>
                </c:pt>
                <c:pt idx="362">
                  <c:v>141</c:v>
                </c:pt>
                <c:pt idx="363">
                  <c:v>112</c:v>
                </c:pt>
                <c:pt idx="364">
                  <c:v>127</c:v>
                </c:pt>
                <c:pt idx="365">
                  <c:v>168</c:v>
                </c:pt>
                <c:pt idx="366">
                  <c:v>133</c:v>
                </c:pt>
                <c:pt idx="367">
                  <c:v>139</c:v>
                </c:pt>
                <c:pt idx="368">
                  <c:v>114</c:v>
                </c:pt>
                <c:pt idx="369">
                  <c:v>123</c:v>
                </c:pt>
                <c:pt idx="370">
                  <c:v>127</c:v>
                </c:pt>
                <c:pt idx="371">
                  <c:v>131</c:v>
                </c:pt>
                <c:pt idx="372">
                  <c:v>118</c:v>
                </c:pt>
                <c:pt idx="373">
                  <c:v>98</c:v>
                </c:pt>
                <c:pt idx="374">
                  <c:v>127</c:v>
                </c:pt>
                <c:pt idx="375">
                  <c:v>145</c:v>
                </c:pt>
                <c:pt idx="376">
                  <c:v>127</c:v>
                </c:pt>
                <c:pt idx="377">
                  <c:v>122</c:v>
                </c:pt>
                <c:pt idx="378">
                  <c:v>120</c:v>
                </c:pt>
                <c:pt idx="379">
                  <c:v>123</c:v>
                </c:pt>
                <c:pt idx="380">
                  <c:v>130</c:v>
                </c:pt>
                <c:pt idx="381">
                  <c:v>131</c:v>
                </c:pt>
                <c:pt idx="382">
                  <c:v>114</c:v>
                </c:pt>
                <c:pt idx="383">
                  <c:v>124</c:v>
                </c:pt>
                <c:pt idx="384">
                  <c:v>194</c:v>
                </c:pt>
                <c:pt idx="385">
                  <c:v>126</c:v>
                </c:pt>
                <c:pt idx="386">
                  <c:v>169</c:v>
                </c:pt>
                <c:pt idx="387">
                  <c:v>131</c:v>
                </c:pt>
                <c:pt idx="388">
                  <c:v>134</c:v>
                </c:pt>
                <c:pt idx="389">
                  <c:v>134</c:v>
                </c:pt>
                <c:pt idx="390">
                  <c:v>121</c:v>
                </c:pt>
                <c:pt idx="391">
                  <c:v>133</c:v>
                </c:pt>
                <c:pt idx="392">
                  <c:v>121</c:v>
                </c:pt>
                <c:pt idx="393">
                  <c:v>133</c:v>
                </c:pt>
                <c:pt idx="394">
                  <c:v>147</c:v>
                </c:pt>
                <c:pt idx="395">
                  <c:v>147</c:v>
                </c:pt>
                <c:pt idx="396">
                  <c:v>131</c:v>
                </c:pt>
                <c:pt idx="397">
                  <c:v>132</c:v>
                </c:pt>
                <c:pt idx="398">
                  <c:v>141</c:v>
                </c:pt>
                <c:pt idx="399">
                  <c:v>116</c:v>
                </c:pt>
                <c:pt idx="400">
                  <c:v>157</c:v>
                </c:pt>
                <c:pt idx="401">
                  <c:v>132</c:v>
                </c:pt>
                <c:pt idx="402">
                  <c:v>196</c:v>
                </c:pt>
                <c:pt idx="403">
                  <c:v>157</c:v>
                </c:pt>
                <c:pt idx="404">
                  <c:v>150</c:v>
                </c:pt>
                <c:pt idx="405">
                  <c:v>119</c:v>
                </c:pt>
                <c:pt idx="406">
                  <c:v>135</c:v>
                </c:pt>
                <c:pt idx="407">
                  <c:v>179</c:v>
                </c:pt>
                <c:pt idx="408">
                  <c:v>142</c:v>
                </c:pt>
                <c:pt idx="409">
                  <c:v>148</c:v>
                </c:pt>
                <c:pt idx="410">
                  <c:v>121</c:v>
                </c:pt>
                <c:pt idx="411">
                  <c:v>131</c:v>
                </c:pt>
                <c:pt idx="412">
                  <c:v>135</c:v>
                </c:pt>
                <c:pt idx="413">
                  <c:v>140</c:v>
                </c:pt>
                <c:pt idx="414">
                  <c:v>126</c:v>
                </c:pt>
                <c:pt idx="415">
                  <c:v>104</c:v>
                </c:pt>
                <c:pt idx="416">
                  <c:v>135</c:v>
                </c:pt>
                <c:pt idx="417">
                  <c:v>155</c:v>
                </c:pt>
                <c:pt idx="418">
                  <c:v>135</c:v>
                </c:pt>
                <c:pt idx="419">
                  <c:v>130</c:v>
                </c:pt>
                <c:pt idx="420">
                  <c:v>128</c:v>
                </c:pt>
                <c:pt idx="421">
                  <c:v>131</c:v>
                </c:pt>
                <c:pt idx="422">
                  <c:v>53</c:v>
                </c:pt>
                <c:pt idx="423">
                  <c:v>66</c:v>
                </c:pt>
                <c:pt idx="424">
                  <c:v>126</c:v>
                </c:pt>
                <c:pt idx="425">
                  <c:v>120</c:v>
                </c:pt>
                <c:pt idx="426">
                  <c:v>53</c:v>
                </c:pt>
                <c:pt idx="427">
                  <c:v>92</c:v>
                </c:pt>
                <c:pt idx="428">
                  <c:v>58</c:v>
                </c:pt>
                <c:pt idx="429">
                  <c:v>52</c:v>
                </c:pt>
                <c:pt idx="430">
                  <c:v>56</c:v>
                </c:pt>
                <c:pt idx="431">
                  <c:v>53</c:v>
                </c:pt>
                <c:pt idx="432">
                  <c:v>43</c:v>
                </c:pt>
                <c:pt idx="433">
                  <c:v>77</c:v>
                </c:pt>
                <c:pt idx="434">
                  <c:v>52</c:v>
                </c:pt>
                <c:pt idx="435">
                  <c:v>61</c:v>
                </c:pt>
                <c:pt idx="436">
                  <c:v>77</c:v>
                </c:pt>
                <c:pt idx="437">
                  <c:v>52</c:v>
                </c:pt>
                <c:pt idx="438">
                  <c:v>92</c:v>
                </c:pt>
                <c:pt idx="439">
                  <c:v>113</c:v>
                </c:pt>
                <c:pt idx="440">
                  <c:v>56</c:v>
                </c:pt>
                <c:pt idx="441">
                  <c:v>76</c:v>
                </c:pt>
                <c:pt idx="442">
                  <c:v>52</c:v>
                </c:pt>
                <c:pt idx="443">
                  <c:v>74</c:v>
                </c:pt>
                <c:pt idx="444">
                  <c:v>64</c:v>
                </c:pt>
                <c:pt idx="445">
                  <c:v>63</c:v>
                </c:pt>
                <c:pt idx="446">
                  <c:v>39</c:v>
                </c:pt>
                <c:pt idx="447">
                  <c:v>80</c:v>
                </c:pt>
                <c:pt idx="448">
                  <c:v>82</c:v>
                </c:pt>
                <c:pt idx="449">
                  <c:v>76</c:v>
                </c:pt>
                <c:pt idx="450">
                  <c:v>56</c:v>
                </c:pt>
                <c:pt idx="451">
                  <c:v>89</c:v>
                </c:pt>
                <c:pt idx="452">
                  <c:v>58</c:v>
                </c:pt>
                <c:pt idx="453">
                  <c:v>41</c:v>
                </c:pt>
                <c:pt idx="454">
                  <c:v>69</c:v>
                </c:pt>
                <c:pt idx="455">
                  <c:v>45</c:v>
                </c:pt>
                <c:pt idx="456">
                  <c:v>73</c:v>
                </c:pt>
                <c:pt idx="457">
                  <c:v>56</c:v>
                </c:pt>
                <c:pt idx="458">
                  <c:v>60</c:v>
                </c:pt>
                <c:pt idx="459">
                  <c:v>41</c:v>
                </c:pt>
                <c:pt idx="460">
                  <c:v>73</c:v>
                </c:pt>
                <c:pt idx="461">
                  <c:v>56</c:v>
                </c:pt>
                <c:pt idx="462">
                  <c:v>70</c:v>
                </c:pt>
                <c:pt idx="463">
                  <c:v>134</c:v>
                </c:pt>
                <c:pt idx="464">
                  <c:v>128</c:v>
                </c:pt>
                <c:pt idx="465">
                  <c:v>56</c:v>
                </c:pt>
                <c:pt idx="466">
                  <c:v>98</c:v>
                </c:pt>
                <c:pt idx="467">
                  <c:v>62</c:v>
                </c:pt>
                <c:pt idx="468">
                  <c:v>55</c:v>
                </c:pt>
                <c:pt idx="469">
                  <c:v>60</c:v>
                </c:pt>
                <c:pt idx="470">
                  <c:v>56</c:v>
                </c:pt>
                <c:pt idx="471">
                  <c:v>46</c:v>
                </c:pt>
                <c:pt idx="472">
                  <c:v>82</c:v>
                </c:pt>
                <c:pt idx="473">
                  <c:v>55</c:v>
                </c:pt>
                <c:pt idx="474">
                  <c:v>65</c:v>
                </c:pt>
                <c:pt idx="475">
                  <c:v>82</c:v>
                </c:pt>
                <c:pt idx="476">
                  <c:v>55</c:v>
                </c:pt>
                <c:pt idx="477">
                  <c:v>98</c:v>
                </c:pt>
                <c:pt idx="478">
                  <c:v>120</c:v>
                </c:pt>
                <c:pt idx="479">
                  <c:v>60</c:v>
                </c:pt>
                <c:pt idx="480">
                  <c:v>81</c:v>
                </c:pt>
                <c:pt idx="481">
                  <c:v>55</c:v>
                </c:pt>
                <c:pt idx="482">
                  <c:v>79</c:v>
                </c:pt>
                <c:pt idx="483">
                  <c:v>68</c:v>
                </c:pt>
                <c:pt idx="484">
                  <c:v>67</c:v>
                </c:pt>
                <c:pt idx="485">
                  <c:v>42</c:v>
                </c:pt>
                <c:pt idx="486">
                  <c:v>85</c:v>
                </c:pt>
                <c:pt idx="487">
                  <c:v>87</c:v>
                </c:pt>
                <c:pt idx="488">
                  <c:v>81</c:v>
                </c:pt>
                <c:pt idx="489">
                  <c:v>60</c:v>
                </c:pt>
                <c:pt idx="490">
                  <c:v>95</c:v>
                </c:pt>
                <c:pt idx="491">
                  <c:v>62</c:v>
                </c:pt>
                <c:pt idx="492">
                  <c:v>44</c:v>
                </c:pt>
                <c:pt idx="493">
                  <c:v>74</c:v>
                </c:pt>
                <c:pt idx="494">
                  <c:v>48</c:v>
                </c:pt>
                <c:pt idx="495">
                  <c:v>78</c:v>
                </c:pt>
                <c:pt idx="496">
                  <c:v>60</c:v>
                </c:pt>
                <c:pt idx="497">
                  <c:v>64</c:v>
                </c:pt>
                <c:pt idx="498">
                  <c:v>44</c:v>
                </c:pt>
                <c:pt idx="499">
                  <c:v>78</c:v>
                </c:pt>
                <c:pt idx="500">
                  <c:v>187</c:v>
                </c:pt>
                <c:pt idx="501">
                  <c:v>123</c:v>
                </c:pt>
                <c:pt idx="502">
                  <c:v>187</c:v>
                </c:pt>
                <c:pt idx="503">
                  <c:v>182</c:v>
                </c:pt>
                <c:pt idx="504">
                  <c:v>142</c:v>
                </c:pt>
                <c:pt idx="505">
                  <c:v>79</c:v>
                </c:pt>
                <c:pt idx="506">
                  <c:v>205</c:v>
                </c:pt>
                <c:pt idx="507">
                  <c:v>126</c:v>
                </c:pt>
                <c:pt idx="508">
                  <c:v>218</c:v>
                </c:pt>
                <c:pt idx="509">
                  <c:v>159</c:v>
                </c:pt>
                <c:pt idx="510">
                  <c:v>124</c:v>
                </c:pt>
                <c:pt idx="511">
                  <c:v>138</c:v>
                </c:pt>
                <c:pt idx="512">
                  <c:v>189</c:v>
                </c:pt>
                <c:pt idx="513">
                  <c:v>150</c:v>
                </c:pt>
                <c:pt idx="514">
                  <c:v>114</c:v>
                </c:pt>
                <c:pt idx="515">
                  <c:v>164</c:v>
                </c:pt>
                <c:pt idx="516">
                  <c:v>147</c:v>
                </c:pt>
                <c:pt idx="517">
                  <c:v>115</c:v>
                </c:pt>
                <c:pt idx="518">
                  <c:v>125</c:v>
                </c:pt>
                <c:pt idx="519">
                  <c:v>124</c:v>
                </c:pt>
                <c:pt idx="520">
                  <c:v>138</c:v>
                </c:pt>
                <c:pt idx="521">
                  <c:v>141</c:v>
                </c:pt>
                <c:pt idx="522">
                  <c:v>132</c:v>
                </c:pt>
                <c:pt idx="523">
                  <c:v>103</c:v>
                </c:pt>
                <c:pt idx="524">
                  <c:v>168</c:v>
                </c:pt>
                <c:pt idx="525">
                  <c:v>133</c:v>
                </c:pt>
                <c:pt idx="526">
                  <c:v>168</c:v>
                </c:pt>
                <c:pt idx="527">
                  <c:v>101</c:v>
                </c:pt>
                <c:pt idx="528">
                  <c:v>145</c:v>
                </c:pt>
                <c:pt idx="529">
                  <c:v>112</c:v>
                </c:pt>
                <c:pt idx="530">
                  <c:v>114</c:v>
                </c:pt>
                <c:pt idx="531">
                  <c:v>145</c:v>
                </c:pt>
                <c:pt idx="532">
                  <c:v>153</c:v>
                </c:pt>
                <c:pt idx="533">
                  <c:v>199</c:v>
                </c:pt>
                <c:pt idx="534">
                  <c:v>131</c:v>
                </c:pt>
                <c:pt idx="535">
                  <c:v>199</c:v>
                </c:pt>
                <c:pt idx="536">
                  <c:v>194</c:v>
                </c:pt>
                <c:pt idx="537">
                  <c:v>151</c:v>
                </c:pt>
                <c:pt idx="538">
                  <c:v>84</c:v>
                </c:pt>
                <c:pt idx="539">
                  <c:v>218</c:v>
                </c:pt>
                <c:pt idx="540">
                  <c:v>134</c:v>
                </c:pt>
                <c:pt idx="541">
                  <c:v>232</c:v>
                </c:pt>
                <c:pt idx="542">
                  <c:v>169</c:v>
                </c:pt>
                <c:pt idx="543">
                  <c:v>132</c:v>
                </c:pt>
                <c:pt idx="544">
                  <c:v>147</c:v>
                </c:pt>
                <c:pt idx="545">
                  <c:v>201</c:v>
                </c:pt>
                <c:pt idx="546">
                  <c:v>160</c:v>
                </c:pt>
                <c:pt idx="547">
                  <c:v>121</c:v>
                </c:pt>
                <c:pt idx="548">
                  <c:v>175</c:v>
                </c:pt>
                <c:pt idx="549">
                  <c:v>157</c:v>
                </c:pt>
                <c:pt idx="550">
                  <c:v>123</c:v>
                </c:pt>
                <c:pt idx="551">
                  <c:v>133</c:v>
                </c:pt>
                <c:pt idx="552">
                  <c:v>132</c:v>
                </c:pt>
                <c:pt idx="553">
                  <c:v>147</c:v>
                </c:pt>
                <c:pt idx="554">
                  <c:v>150</c:v>
                </c:pt>
                <c:pt idx="555">
                  <c:v>141</c:v>
                </c:pt>
                <c:pt idx="556">
                  <c:v>110</c:v>
                </c:pt>
                <c:pt idx="557">
                  <c:v>179</c:v>
                </c:pt>
                <c:pt idx="558">
                  <c:v>142</c:v>
                </c:pt>
                <c:pt idx="559">
                  <c:v>179</c:v>
                </c:pt>
                <c:pt idx="560">
                  <c:v>108</c:v>
                </c:pt>
                <c:pt idx="561">
                  <c:v>155</c:v>
                </c:pt>
                <c:pt idx="562">
                  <c:v>119</c:v>
                </c:pt>
                <c:pt idx="563">
                  <c:v>121</c:v>
                </c:pt>
                <c:pt idx="564">
                  <c:v>155</c:v>
                </c:pt>
                <c:pt idx="565">
                  <c:v>163</c:v>
                </c:pt>
                <c:pt idx="566">
                  <c:v>90</c:v>
                </c:pt>
                <c:pt idx="567">
                  <c:v>520</c:v>
                </c:pt>
                <c:pt idx="568">
                  <c:v>302</c:v>
                </c:pt>
                <c:pt idx="569">
                  <c:v>118</c:v>
                </c:pt>
                <c:pt idx="570">
                  <c:v>119</c:v>
                </c:pt>
                <c:pt idx="571">
                  <c:v>114</c:v>
                </c:pt>
                <c:pt idx="572">
                  <c:v>205</c:v>
                </c:pt>
                <c:pt idx="573">
                  <c:v>56</c:v>
                </c:pt>
                <c:pt idx="574">
                  <c:v>236</c:v>
                </c:pt>
                <c:pt idx="575">
                  <c:v>177</c:v>
                </c:pt>
                <c:pt idx="576">
                  <c:v>230</c:v>
                </c:pt>
                <c:pt idx="577">
                  <c:v>490</c:v>
                </c:pt>
                <c:pt idx="578">
                  <c:v>189</c:v>
                </c:pt>
                <c:pt idx="579">
                  <c:v>290</c:v>
                </c:pt>
                <c:pt idx="580">
                  <c:v>197</c:v>
                </c:pt>
                <c:pt idx="581">
                  <c:v>200</c:v>
                </c:pt>
                <c:pt idx="582">
                  <c:v>245</c:v>
                </c:pt>
                <c:pt idx="583">
                  <c:v>231</c:v>
                </c:pt>
                <c:pt idx="584">
                  <c:v>39</c:v>
                </c:pt>
                <c:pt idx="585">
                  <c:v>184</c:v>
                </c:pt>
                <c:pt idx="586">
                  <c:v>224</c:v>
                </c:pt>
                <c:pt idx="587">
                  <c:v>525</c:v>
                </c:pt>
                <c:pt idx="588">
                  <c:v>302</c:v>
                </c:pt>
                <c:pt idx="589">
                  <c:v>160</c:v>
                </c:pt>
                <c:pt idx="590">
                  <c:v>221</c:v>
                </c:pt>
                <c:pt idx="591">
                  <c:v>120</c:v>
                </c:pt>
                <c:pt idx="592">
                  <c:v>122</c:v>
                </c:pt>
                <c:pt idx="593">
                  <c:v>185</c:v>
                </c:pt>
                <c:pt idx="594">
                  <c:v>45</c:v>
                </c:pt>
                <c:pt idx="595">
                  <c:v>320</c:v>
                </c:pt>
                <c:pt idx="596">
                  <c:v>214</c:v>
                </c:pt>
                <c:pt idx="597">
                  <c:v>41</c:v>
                </c:pt>
                <c:pt idx="598">
                  <c:v>250</c:v>
                </c:pt>
                <c:pt idx="599">
                  <c:v>96</c:v>
                </c:pt>
                <c:pt idx="600">
                  <c:v>554</c:v>
                </c:pt>
                <c:pt idx="601">
                  <c:v>322</c:v>
                </c:pt>
                <c:pt idx="602">
                  <c:v>126</c:v>
                </c:pt>
                <c:pt idx="603">
                  <c:v>127</c:v>
                </c:pt>
                <c:pt idx="604">
                  <c:v>121</c:v>
                </c:pt>
                <c:pt idx="605">
                  <c:v>218</c:v>
                </c:pt>
                <c:pt idx="606">
                  <c:v>60</c:v>
                </c:pt>
                <c:pt idx="607">
                  <c:v>251</c:v>
                </c:pt>
                <c:pt idx="608">
                  <c:v>189</c:v>
                </c:pt>
                <c:pt idx="609">
                  <c:v>245</c:v>
                </c:pt>
                <c:pt idx="610">
                  <c:v>522</c:v>
                </c:pt>
                <c:pt idx="611">
                  <c:v>201</c:v>
                </c:pt>
                <c:pt idx="612">
                  <c:v>309</c:v>
                </c:pt>
                <c:pt idx="613">
                  <c:v>210</c:v>
                </c:pt>
                <c:pt idx="614">
                  <c:v>213</c:v>
                </c:pt>
                <c:pt idx="615">
                  <c:v>261</c:v>
                </c:pt>
                <c:pt idx="616">
                  <c:v>246</c:v>
                </c:pt>
                <c:pt idx="617">
                  <c:v>42</c:v>
                </c:pt>
                <c:pt idx="618">
                  <c:v>196</c:v>
                </c:pt>
                <c:pt idx="619">
                  <c:v>239</c:v>
                </c:pt>
                <c:pt idx="620">
                  <c:v>559</c:v>
                </c:pt>
                <c:pt idx="621">
                  <c:v>322</c:v>
                </c:pt>
                <c:pt idx="622">
                  <c:v>171</c:v>
                </c:pt>
                <c:pt idx="623">
                  <c:v>236</c:v>
                </c:pt>
                <c:pt idx="624">
                  <c:v>128</c:v>
                </c:pt>
                <c:pt idx="625">
                  <c:v>130</c:v>
                </c:pt>
                <c:pt idx="626">
                  <c:v>197</c:v>
                </c:pt>
                <c:pt idx="627">
                  <c:v>48</c:v>
                </c:pt>
                <c:pt idx="628">
                  <c:v>341</c:v>
                </c:pt>
                <c:pt idx="629">
                  <c:v>228</c:v>
                </c:pt>
                <c:pt idx="630">
                  <c:v>44</c:v>
                </c:pt>
                <c:pt idx="631">
                  <c:v>266</c:v>
                </c:pt>
                <c:pt idx="632">
                  <c:v>313</c:v>
                </c:pt>
                <c:pt idx="633">
                  <c:v>144</c:v>
                </c:pt>
                <c:pt idx="634">
                  <c:v>325</c:v>
                </c:pt>
                <c:pt idx="635">
                  <c:v>289</c:v>
                </c:pt>
                <c:pt idx="636">
                  <c:v>334</c:v>
                </c:pt>
                <c:pt idx="637">
                  <c:v>153</c:v>
                </c:pt>
                <c:pt idx="638">
                  <c:v>346</c:v>
                </c:pt>
                <c:pt idx="639">
                  <c:v>308</c:v>
                </c:pt>
                <c:pt idx="640">
                  <c:v>218</c:v>
                </c:pt>
                <c:pt idx="641">
                  <c:v>202</c:v>
                </c:pt>
                <c:pt idx="642">
                  <c:v>205</c:v>
                </c:pt>
                <c:pt idx="643">
                  <c:v>474</c:v>
                </c:pt>
                <c:pt idx="644">
                  <c:v>650</c:v>
                </c:pt>
                <c:pt idx="645">
                  <c:v>230</c:v>
                </c:pt>
                <c:pt idx="646">
                  <c:v>69</c:v>
                </c:pt>
                <c:pt idx="647">
                  <c:v>322</c:v>
                </c:pt>
                <c:pt idx="648">
                  <c:v>765</c:v>
                </c:pt>
                <c:pt idx="649">
                  <c:v>51</c:v>
                </c:pt>
                <c:pt idx="650">
                  <c:v>513</c:v>
                </c:pt>
                <c:pt idx="651">
                  <c:v>164</c:v>
                </c:pt>
                <c:pt idx="652">
                  <c:v>265</c:v>
                </c:pt>
                <c:pt idx="653">
                  <c:v>302</c:v>
                </c:pt>
                <c:pt idx="654">
                  <c:v>187</c:v>
                </c:pt>
                <c:pt idx="655">
                  <c:v>245</c:v>
                </c:pt>
                <c:pt idx="656">
                  <c:v>180</c:v>
                </c:pt>
                <c:pt idx="657">
                  <c:v>197</c:v>
                </c:pt>
                <c:pt idx="658">
                  <c:v>454</c:v>
                </c:pt>
                <c:pt idx="659">
                  <c:v>623</c:v>
                </c:pt>
                <c:pt idx="660">
                  <c:v>224</c:v>
                </c:pt>
                <c:pt idx="661">
                  <c:v>61</c:v>
                </c:pt>
                <c:pt idx="662">
                  <c:v>363</c:v>
                </c:pt>
                <c:pt idx="663">
                  <c:v>675</c:v>
                </c:pt>
                <c:pt idx="664">
                  <c:v>52</c:v>
                </c:pt>
                <c:pt idx="665">
                  <c:v>576</c:v>
                </c:pt>
                <c:pt idx="666">
                  <c:v>160</c:v>
                </c:pt>
                <c:pt idx="667">
                  <c:v>198</c:v>
                </c:pt>
                <c:pt idx="668">
                  <c:v>290</c:v>
                </c:pt>
                <c:pt idx="669">
                  <c:v>320</c:v>
                </c:pt>
                <c:pt idx="670">
                  <c:v>195</c:v>
                </c:pt>
                <c:pt idx="671">
                  <c:v>221</c:v>
                </c:pt>
                <c:pt idx="672">
                  <c:v>510</c:v>
                </c:pt>
                <c:pt idx="673">
                  <c:v>699</c:v>
                </c:pt>
                <c:pt idx="674">
                  <c:v>250</c:v>
                </c:pt>
                <c:pt idx="675">
                  <c:v>66</c:v>
                </c:pt>
                <c:pt idx="676">
                  <c:v>306</c:v>
                </c:pt>
                <c:pt idx="677">
                  <c:v>657</c:v>
                </c:pt>
                <c:pt idx="678">
                  <c:v>747</c:v>
                </c:pt>
                <c:pt idx="679">
                  <c:v>148</c:v>
                </c:pt>
                <c:pt idx="680">
                  <c:v>210</c:v>
                </c:pt>
                <c:pt idx="681">
                  <c:v>302</c:v>
                </c:pt>
                <c:pt idx="682">
                  <c:v>232</c:v>
                </c:pt>
                <c:pt idx="683">
                  <c:v>215</c:v>
                </c:pt>
                <c:pt idx="684">
                  <c:v>218</c:v>
                </c:pt>
                <c:pt idx="685">
                  <c:v>505</c:v>
                </c:pt>
                <c:pt idx="686">
                  <c:v>693</c:v>
                </c:pt>
                <c:pt idx="687">
                  <c:v>245</c:v>
                </c:pt>
                <c:pt idx="688">
                  <c:v>74</c:v>
                </c:pt>
                <c:pt idx="689">
                  <c:v>343</c:v>
                </c:pt>
                <c:pt idx="690">
                  <c:v>815</c:v>
                </c:pt>
                <c:pt idx="691">
                  <c:v>54</c:v>
                </c:pt>
                <c:pt idx="692">
                  <c:v>547</c:v>
                </c:pt>
                <c:pt idx="693">
                  <c:v>175</c:v>
                </c:pt>
                <c:pt idx="694">
                  <c:v>282</c:v>
                </c:pt>
                <c:pt idx="695">
                  <c:v>322</c:v>
                </c:pt>
                <c:pt idx="696">
                  <c:v>199</c:v>
                </c:pt>
                <c:pt idx="697">
                  <c:v>261</c:v>
                </c:pt>
                <c:pt idx="698">
                  <c:v>192</c:v>
                </c:pt>
                <c:pt idx="699">
                  <c:v>210</c:v>
                </c:pt>
                <c:pt idx="700">
                  <c:v>484</c:v>
                </c:pt>
                <c:pt idx="701">
                  <c:v>664</c:v>
                </c:pt>
                <c:pt idx="702">
                  <c:v>239</c:v>
                </c:pt>
                <c:pt idx="703">
                  <c:v>65</c:v>
                </c:pt>
                <c:pt idx="704">
                  <c:v>387</c:v>
                </c:pt>
                <c:pt idx="705">
                  <c:v>719</c:v>
                </c:pt>
                <c:pt idx="706">
                  <c:v>55</c:v>
                </c:pt>
                <c:pt idx="707">
                  <c:v>614</c:v>
                </c:pt>
                <c:pt idx="708">
                  <c:v>171</c:v>
                </c:pt>
                <c:pt idx="709">
                  <c:v>211</c:v>
                </c:pt>
                <c:pt idx="710">
                  <c:v>309</c:v>
                </c:pt>
                <c:pt idx="711">
                  <c:v>341</c:v>
                </c:pt>
                <c:pt idx="712">
                  <c:v>208</c:v>
                </c:pt>
                <c:pt idx="713">
                  <c:v>236</c:v>
                </c:pt>
                <c:pt idx="714">
                  <c:v>543</c:v>
                </c:pt>
                <c:pt idx="715">
                  <c:v>745</c:v>
                </c:pt>
                <c:pt idx="716">
                  <c:v>266</c:v>
                </c:pt>
                <c:pt idx="717">
                  <c:v>70</c:v>
                </c:pt>
                <c:pt idx="718">
                  <c:v>326</c:v>
                </c:pt>
                <c:pt idx="719">
                  <c:v>700</c:v>
                </c:pt>
                <c:pt idx="720">
                  <c:v>796</c:v>
                </c:pt>
                <c:pt idx="721">
                  <c:v>158</c:v>
                </c:pt>
                <c:pt idx="722">
                  <c:v>224</c:v>
                </c:pt>
                <c:pt idx="723">
                  <c:v>322</c:v>
                </c:pt>
                <c:pt idx="724">
                  <c:v>265</c:v>
                </c:pt>
                <c:pt idx="725">
                  <c:v>298</c:v>
                </c:pt>
                <c:pt idx="726">
                  <c:v>182</c:v>
                </c:pt>
                <c:pt idx="727">
                  <c:v>478</c:v>
                </c:pt>
                <c:pt idx="728">
                  <c:v>120</c:v>
                </c:pt>
                <c:pt idx="729">
                  <c:v>302</c:v>
                </c:pt>
                <c:pt idx="730">
                  <c:v>367</c:v>
                </c:pt>
                <c:pt idx="731">
                  <c:v>187</c:v>
                </c:pt>
                <c:pt idx="732">
                  <c:v>598</c:v>
                </c:pt>
                <c:pt idx="733">
                  <c:v>322</c:v>
                </c:pt>
                <c:pt idx="734">
                  <c:v>322</c:v>
                </c:pt>
                <c:pt idx="735">
                  <c:v>302</c:v>
                </c:pt>
                <c:pt idx="736">
                  <c:v>265</c:v>
                </c:pt>
                <c:pt idx="737">
                  <c:v>205</c:v>
                </c:pt>
                <c:pt idx="738">
                  <c:v>218</c:v>
                </c:pt>
                <c:pt idx="739">
                  <c:v>205</c:v>
                </c:pt>
                <c:pt idx="740">
                  <c:v>23</c:v>
                </c:pt>
                <c:pt idx="741">
                  <c:v>202</c:v>
                </c:pt>
                <c:pt idx="742">
                  <c:v>177</c:v>
                </c:pt>
                <c:pt idx="743">
                  <c:v>230</c:v>
                </c:pt>
                <c:pt idx="744">
                  <c:v>99</c:v>
                </c:pt>
                <c:pt idx="745">
                  <c:v>174</c:v>
                </c:pt>
                <c:pt idx="746">
                  <c:v>598</c:v>
                </c:pt>
                <c:pt idx="747">
                  <c:v>298</c:v>
                </c:pt>
                <c:pt idx="748">
                  <c:v>109</c:v>
                </c:pt>
                <c:pt idx="749">
                  <c:v>478</c:v>
                </c:pt>
                <c:pt idx="750">
                  <c:v>567</c:v>
                </c:pt>
                <c:pt idx="751">
                  <c:v>56</c:v>
                </c:pt>
                <c:pt idx="752">
                  <c:v>198</c:v>
                </c:pt>
                <c:pt idx="753">
                  <c:v>278</c:v>
                </c:pt>
                <c:pt idx="754">
                  <c:v>189</c:v>
                </c:pt>
                <c:pt idx="755">
                  <c:v>423</c:v>
                </c:pt>
                <c:pt idx="756">
                  <c:v>290</c:v>
                </c:pt>
                <c:pt idx="757">
                  <c:v>412</c:v>
                </c:pt>
                <c:pt idx="758">
                  <c:v>123</c:v>
                </c:pt>
                <c:pt idx="759">
                  <c:v>532</c:v>
                </c:pt>
                <c:pt idx="760">
                  <c:v>363</c:v>
                </c:pt>
                <c:pt idx="761">
                  <c:v>363</c:v>
                </c:pt>
                <c:pt idx="762">
                  <c:v>290</c:v>
                </c:pt>
                <c:pt idx="763">
                  <c:v>198</c:v>
                </c:pt>
                <c:pt idx="764">
                  <c:v>197</c:v>
                </c:pt>
                <c:pt idx="765">
                  <c:v>189</c:v>
                </c:pt>
                <c:pt idx="766">
                  <c:v>245</c:v>
                </c:pt>
                <c:pt idx="767">
                  <c:v>200</c:v>
                </c:pt>
                <c:pt idx="768">
                  <c:v>23</c:v>
                </c:pt>
                <c:pt idx="769">
                  <c:v>180</c:v>
                </c:pt>
                <c:pt idx="770">
                  <c:v>39</c:v>
                </c:pt>
                <c:pt idx="771">
                  <c:v>184</c:v>
                </c:pt>
                <c:pt idx="772">
                  <c:v>224</c:v>
                </c:pt>
                <c:pt idx="773">
                  <c:v>132</c:v>
                </c:pt>
                <c:pt idx="774">
                  <c:v>164</c:v>
                </c:pt>
                <c:pt idx="775">
                  <c:v>532</c:v>
                </c:pt>
                <c:pt idx="776">
                  <c:v>278</c:v>
                </c:pt>
                <c:pt idx="777">
                  <c:v>423</c:v>
                </c:pt>
                <c:pt idx="778">
                  <c:v>545</c:v>
                </c:pt>
                <c:pt idx="779">
                  <c:v>210</c:v>
                </c:pt>
                <c:pt idx="780">
                  <c:v>312</c:v>
                </c:pt>
                <c:pt idx="781">
                  <c:v>168</c:v>
                </c:pt>
                <c:pt idx="782">
                  <c:v>501</c:v>
                </c:pt>
                <c:pt idx="783">
                  <c:v>302</c:v>
                </c:pt>
                <c:pt idx="784">
                  <c:v>534</c:v>
                </c:pt>
                <c:pt idx="785">
                  <c:v>133</c:v>
                </c:pt>
                <c:pt idx="786">
                  <c:v>576</c:v>
                </c:pt>
                <c:pt idx="787">
                  <c:v>306</c:v>
                </c:pt>
                <c:pt idx="788">
                  <c:v>306</c:v>
                </c:pt>
                <c:pt idx="789">
                  <c:v>302</c:v>
                </c:pt>
                <c:pt idx="790">
                  <c:v>210</c:v>
                </c:pt>
                <c:pt idx="791">
                  <c:v>221</c:v>
                </c:pt>
                <c:pt idx="792">
                  <c:v>320</c:v>
                </c:pt>
                <c:pt idx="793">
                  <c:v>185</c:v>
                </c:pt>
                <c:pt idx="794">
                  <c:v>24</c:v>
                </c:pt>
                <c:pt idx="795">
                  <c:v>195</c:v>
                </c:pt>
                <c:pt idx="796">
                  <c:v>153</c:v>
                </c:pt>
                <c:pt idx="797">
                  <c:v>250</c:v>
                </c:pt>
                <c:pt idx="798">
                  <c:v>123</c:v>
                </c:pt>
                <c:pt idx="799">
                  <c:v>176</c:v>
                </c:pt>
                <c:pt idx="800">
                  <c:v>576</c:v>
                </c:pt>
                <c:pt idx="801">
                  <c:v>312</c:v>
                </c:pt>
                <c:pt idx="802">
                  <c:v>501</c:v>
                </c:pt>
                <c:pt idx="803">
                  <c:v>654</c:v>
                </c:pt>
                <c:pt idx="804">
                  <c:v>45</c:v>
                </c:pt>
                <c:pt idx="805">
                  <c:v>282</c:v>
                </c:pt>
                <c:pt idx="806">
                  <c:v>318</c:v>
                </c:pt>
                <c:pt idx="807">
                  <c:v>194</c:v>
                </c:pt>
                <c:pt idx="808">
                  <c:v>509</c:v>
                </c:pt>
                <c:pt idx="809">
                  <c:v>128</c:v>
                </c:pt>
                <c:pt idx="810">
                  <c:v>322</c:v>
                </c:pt>
                <c:pt idx="811">
                  <c:v>391</c:v>
                </c:pt>
                <c:pt idx="812">
                  <c:v>199</c:v>
                </c:pt>
                <c:pt idx="813">
                  <c:v>637</c:v>
                </c:pt>
                <c:pt idx="814">
                  <c:v>343</c:v>
                </c:pt>
                <c:pt idx="815">
                  <c:v>343</c:v>
                </c:pt>
                <c:pt idx="816">
                  <c:v>322</c:v>
                </c:pt>
                <c:pt idx="817">
                  <c:v>282</c:v>
                </c:pt>
                <c:pt idx="818">
                  <c:v>218</c:v>
                </c:pt>
                <c:pt idx="819">
                  <c:v>232</c:v>
                </c:pt>
                <c:pt idx="820">
                  <c:v>218</c:v>
                </c:pt>
                <c:pt idx="821">
                  <c:v>25</c:v>
                </c:pt>
                <c:pt idx="822">
                  <c:v>215</c:v>
                </c:pt>
                <c:pt idx="823">
                  <c:v>189</c:v>
                </c:pt>
                <c:pt idx="824">
                  <c:v>245</c:v>
                </c:pt>
                <c:pt idx="825">
                  <c:v>106</c:v>
                </c:pt>
                <c:pt idx="826">
                  <c:v>185</c:v>
                </c:pt>
                <c:pt idx="827">
                  <c:v>637</c:v>
                </c:pt>
                <c:pt idx="828">
                  <c:v>318</c:v>
                </c:pt>
                <c:pt idx="829">
                  <c:v>116</c:v>
                </c:pt>
                <c:pt idx="830">
                  <c:v>509</c:v>
                </c:pt>
                <c:pt idx="831">
                  <c:v>604</c:v>
                </c:pt>
                <c:pt idx="832">
                  <c:v>60</c:v>
                </c:pt>
                <c:pt idx="833">
                  <c:v>211</c:v>
                </c:pt>
                <c:pt idx="834">
                  <c:v>296</c:v>
                </c:pt>
                <c:pt idx="835">
                  <c:v>201</c:v>
                </c:pt>
                <c:pt idx="836">
                  <c:v>451</c:v>
                </c:pt>
                <c:pt idx="837">
                  <c:v>309</c:v>
                </c:pt>
                <c:pt idx="838">
                  <c:v>439</c:v>
                </c:pt>
                <c:pt idx="839">
                  <c:v>131</c:v>
                </c:pt>
                <c:pt idx="840">
                  <c:v>567</c:v>
                </c:pt>
                <c:pt idx="841">
                  <c:v>387</c:v>
                </c:pt>
                <c:pt idx="842">
                  <c:v>387</c:v>
                </c:pt>
                <c:pt idx="843">
                  <c:v>309</c:v>
                </c:pt>
                <c:pt idx="844">
                  <c:v>211</c:v>
                </c:pt>
                <c:pt idx="845">
                  <c:v>210</c:v>
                </c:pt>
                <c:pt idx="846">
                  <c:v>201</c:v>
                </c:pt>
                <c:pt idx="847">
                  <c:v>261</c:v>
                </c:pt>
                <c:pt idx="848">
                  <c:v>213</c:v>
                </c:pt>
                <c:pt idx="849">
                  <c:v>25</c:v>
                </c:pt>
                <c:pt idx="850">
                  <c:v>192</c:v>
                </c:pt>
                <c:pt idx="851">
                  <c:v>42</c:v>
                </c:pt>
                <c:pt idx="852">
                  <c:v>196</c:v>
                </c:pt>
                <c:pt idx="853">
                  <c:v>239</c:v>
                </c:pt>
                <c:pt idx="854">
                  <c:v>141</c:v>
                </c:pt>
                <c:pt idx="855">
                  <c:v>175</c:v>
                </c:pt>
                <c:pt idx="856">
                  <c:v>567</c:v>
                </c:pt>
                <c:pt idx="857">
                  <c:v>296</c:v>
                </c:pt>
                <c:pt idx="858">
                  <c:v>451</c:v>
                </c:pt>
                <c:pt idx="859">
                  <c:v>581</c:v>
                </c:pt>
                <c:pt idx="860">
                  <c:v>224</c:v>
                </c:pt>
                <c:pt idx="861">
                  <c:v>332</c:v>
                </c:pt>
                <c:pt idx="862">
                  <c:v>179</c:v>
                </c:pt>
                <c:pt idx="863">
                  <c:v>534</c:v>
                </c:pt>
                <c:pt idx="864">
                  <c:v>322</c:v>
                </c:pt>
                <c:pt idx="865">
                  <c:v>569</c:v>
                </c:pt>
                <c:pt idx="866">
                  <c:v>142</c:v>
                </c:pt>
                <c:pt idx="867">
                  <c:v>614</c:v>
                </c:pt>
                <c:pt idx="868">
                  <c:v>326</c:v>
                </c:pt>
                <c:pt idx="869">
                  <c:v>326</c:v>
                </c:pt>
                <c:pt idx="870">
                  <c:v>322</c:v>
                </c:pt>
                <c:pt idx="871">
                  <c:v>224</c:v>
                </c:pt>
                <c:pt idx="872">
                  <c:v>236</c:v>
                </c:pt>
                <c:pt idx="873">
                  <c:v>341</c:v>
                </c:pt>
                <c:pt idx="874">
                  <c:v>197</c:v>
                </c:pt>
                <c:pt idx="875">
                  <c:v>26</c:v>
                </c:pt>
                <c:pt idx="876">
                  <c:v>208</c:v>
                </c:pt>
                <c:pt idx="877">
                  <c:v>163</c:v>
                </c:pt>
                <c:pt idx="878">
                  <c:v>266</c:v>
                </c:pt>
                <c:pt idx="879">
                  <c:v>131</c:v>
                </c:pt>
                <c:pt idx="880">
                  <c:v>188</c:v>
                </c:pt>
                <c:pt idx="881">
                  <c:v>614</c:v>
                </c:pt>
                <c:pt idx="882">
                  <c:v>332</c:v>
                </c:pt>
                <c:pt idx="883">
                  <c:v>534</c:v>
                </c:pt>
                <c:pt idx="884">
                  <c:v>697</c:v>
                </c:pt>
                <c:pt idx="885">
                  <c:v>48</c:v>
                </c:pt>
                <c:pt idx="886">
                  <c:v>130</c:v>
                </c:pt>
                <c:pt idx="887">
                  <c:v>598</c:v>
                </c:pt>
                <c:pt idx="888">
                  <c:v>109</c:v>
                </c:pt>
                <c:pt idx="889">
                  <c:v>650</c:v>
                </c:pt>
                <c:pt idx="890">
                  <c:v>478</c:v>
                </c:pt>
                <c:pt idx="891">
                  <c:v>298</c:v>
                </c:pt>
                <c:pt idx="892">
                  <c:v>265</c:v>
                </c:pt>
                <c:pt idx="893">
                  <c:v>520</c:v>
                </c:pt>
                <c:pt idx="894">
                  <c:v>302</c:v>
                </c:pt>
                <c:pt idx="895">
                  <c:v>107</c:v>
                </c:pt>
                <c:pt idx="896">
                  <c:v>177</c:v>
                </c:pt>
                <c:pt idx="897">
                  <c:v>230</c:v>
                </c:pt>
                <c:pt idx="898">
                  <c:v>322</c:v>
                </c:pt>
                <c:pt idx="899">
                  <c:v>174</c:v>
                </c:pt>
                <c:pt idx="900">
                  <c:v>122</c:v>
                </c:pt>
                <c:pt idx="901">
                  <c:v>142</c:v>
                </c:pt>
                <c:pt idx="902">
                  <c:v>144</c:v>
                </c:pt>
                <c:pt idx="903">
                  <c:v>111</c:v>
                </c:pt>
                <c:pt idx="904">
                  <c:v>167</c:v>
                </c:pt>
                <c:pt idx="905">
                  <c:v>51</c:v>
                </c:pt>
                <c:pt idx="906">
                  <c:v>52</c:v>
                </c:pt>
                <c:pt idx="907">
                  <c:v>236</c:v>
                </c:pt>
                <c:pt idx="908">
                  <c:v>298</c:v>
                </c:pt>
                <c:pt idx="909">
                  <c:v>313</c:v>
                </c:pt>
                <c:pt idx="910">
                  <c:v>367</c:v>
                </c:pt>
                <c:pt idx="911">
                  <c:v>205</c:v>
                </c:pt>
                <c:pt idx="912">
                  <c:v>298</c:v>
                </c:pt>
                <c:pt idx="913">
                  <c:v>109</c:v>
                </c:pt>
                <c:pt idx="914">
                  <c:v>598</c:v>
                </c:pt>
                <c:pt idx="915">
                  <c:v>53</c:v>
                </c:pt>
                <c:pt idx="916">
                  <c:v>478</c:v>
                </c:pt>
                <c:pt idx="917">
                  <c:v>21</c:v>
                </c:pt>
                <c:pt idx="918">
                  <c:v>56</c:v>
                </c:pt>
                <c:pt idx="919">
                  <c:v>146</c:v>
                </c:pt>
                <c:pt idx="920">
                  <c:v>532</c:v>
                </c:pt>
                <c:pt idx="921">
                  <c:v>116</c:v>
                </c:pt>
                <c:pt idx="922">
                  <c:v>623</c:v>
                </c:pt>
                <c:pt idx="923">
                  <c:v>423</c:v>
                </c:pt>
                <c:pt idx="924">
                  <c:v>289</c:v>
                </c:pt>
                <c:pt idx="925">
                  <c:v>198</c:v>
                </c:pt>
                <c:pt idx="926">
                  <c:v>490</c:v>
                </c:pt>
                <c:pt idx="927">
                  <c:v>290</c:v>
                </c:pt>
                <c:pt idx="928">
                  <c:v>184</c:v>
                </c:pt>
                <c:pt idx="929">
                  <c:v>224</c:v>
                </c:pt>
                <c:pt idx="930">
                  <c:v>363</c:v>
                </c:pt>
                <c:pt idx="931">
                  <c:v>150</c:v>
                </c:pt>
                <c:pt idx="932">
                  <c:v>128</c:v>
                </c:pt>
                <c:pt idx="933">
                  <c:v>156</c:v>
                </c:pt>
                <c:pt idx="934">
                  <c:v>39</c:v>
                </c:pt>
                <c:pt idx="935">
                  <c:v>231</c:v>
                </c:pt>
                <c:pt idx="936">
                  <c:v>289</c:v>
                </c:pt>
                <c:pt idx="937">
                  <c:v>325</c:v>
                </c:pt>
                <c:pt idx="938">
                  <c:v>412</c:v>
                </c:pt>
                <c:pt idx="939">
                  <c:v>200</c:v>
                </c:pt>
                <c:pt idx="940">
                  <c:v>278</c:v>
                </c:pt>
                <c:pt idx="941">
                  <c:v>532</c:v>
                </c:pt>
                <c:pt idx="942">
                  <c:v>423</c:v>
                </c:pt>
                <c:pt idx="943">
                  <c:v>197</c:v>
                </c:pt>
                <c:pt idx="944">
                  <c:v>32</c:v>
                </c:pt>
                <c:pt idx="945">
                  <c:v>245</c:v>
                </c:pt>
                <c:pt idx="946">
                  <c:v>192</c:v>
                </c:pt>
                <c:pt idx="947">
                  <c:v>576</c:v>
                </c:pt>
                <c:pt idx="948">
                  <c:v>102</c:v>
                </c:pt>
                <c:pt idx="949">
                  <c:v>699</c:v>
                </c:pt>
                <c:pt idx="950">
                  <c:v>501</c:v>
                </c:pt>
                <c:pt idx="951">
                  <c:v>322</c:v>
                </c:pt>
                <c:pt idx="952">
                  <c:v>210</c:v>
                </c:pt>
                <c:pt idx="953">
                  <c:v>525</c:v>
                </c:pt>
                <c:pt idx="954">
                  <c:v>302</c:v>
                </c:pt>
                <c:pt idx="955">
                  <c:v>153</c:v>
                </c:pt>
                <c:pt idx="956">
                  <c:v>250</c:v>
                </c:pt>
                <c:pt idx="957">
                  <c:v>306</c:v>
                </c:pt>
                <c:pt idx="958">
                  <c:v>176</c:v>
                </c:pt>
                <c:pt idx="959">
                  <c:v>139</c:v>
                </c:pt>
                <c:pt idx="960">
                  <c:v>176</c:v>
                </c:pt>
                <c:pt idx="961">
                  <c:v>41</c:v>
                </c:pt>
                <c:pt idx="962">
                  <c:v>214</c:v>
                </c:pt>
                <c:pt idx="963">
                  <c:v>322</c:v>
                </c:pt>
                <c:pt idx="964">
                  <c:v>289</c:v>
                </c:pt>
                <c:pt idx="965">
                  <c:v>534</c:v>
                </c:pt>
                <c:pt idx="966">
                  <c:v>185</c:v>
                </c:pt>
                <c:pt idx="967">
                  <c:v>312</c:v>
                </c:pt>
                <c:pt idx="968">
                  <c:v>576</c:v>
                </c:pt>
                <c:pt idx="969">
                  <c:v>501</c:v>
                </c:pt>
                <c:pt idx="970">
                  <c:v>221</c:v>
                </c:pt>
                <c:pt idx="971">
                  <c:v>31</c:v>
                </c:pt>
                <c:pt idx="972">
                  <c:v>320</c:v>
                </c:pt>
                <c:pt idx="973">
                  <c:v>45</c:v>
                </c:pt>
                <c:pt idx="974">
                  <c:v>139</c:v>
                </c:pt>
                <c:pt idx="975">
                  <c:v>637</c:v>
                </c:pt>
                <c:pt idx="976">
                  <c:v>116</c:v>
                </c:pt>
                <c:pt idx="977">
                  <c:v>693</c:v>
                </c:pt>
                <c:pt idx="978">
                  <c:v>509</c:v>
                </c:pt>
                <c:pt idx="979">
                  <c:v>318</c:v>
                </c:pt>
                <c:pt idx="980">
                  <c:v>282</c:v>
                </c:pt>
                <c:pt idx="981">
                  <c:v>554</c:v>
                </c:pt>
                <c:pt idx="982">
                  <c:v>322</c:v>
                </c:pt>
                <c:pt idx="983">
                  <c:v>114</c:v>
                </c:pt>
                <c:pt idx="984">
                  <c:v>189</c:v>
                </c:pt>
                <c:pt idx="985">
                  <c:v>245</c:v>
                </c:pt>
                <c:pt idx="986">
                  <c:v>343</c:v>
                </c:pt>
                <c:pt idx="987">
                  <c:v>185</c:v>
                </c:pt>
                <c:pt idx="988">
                  <c:v>130</c:v>
                </c:pt>
                <c:pt idx="989">
                  <c:v>151</c:v>
                </c:pt>
                <c:pt idx="990">
                  <c:v>153</c:v>
                </c:pt>
                <c:pt idx="991">
                  <c:v>118</c:v>
                </c:pt>
                <c:pt idx="992">
                  <c:v>178</c:v>
                </c:pt>
                <c:pt idx="993">
                  <c:v>54</c:v>
                </c:pt>
                <c:pt idx="994">
                  <c:v>55</c:v>
                </c:pt>
                <c:pt idx="995">
                  <c:v>251</c:v>
                </c:pt>
                <c:pt idx="996">
                  <c:v>318</c:v>
                </c:pt>
                <c:pt idx="997">
                  <c:v>334</c:v>
                </c:pt>
                <c:pt idx="998">
                  <c:v>391</c:v>
                </c:pt>
                <c:pt idx="999">
                  <c:v>218</c:v>
                </c:pt>
                <c:pt idx="1000">
                  <c:v>318</c:v>
                </c:pt>
                <c:pt idx="1001">
                  <c:v>116</c:v>
                </c:pt>
                <c:pt idx="1002">
                  <c:v>637</c:v>
                </c:pt>
                <c:pt idx="1003">
                  <c:v>56</c:v>
                </c:pt>
                <c:pt idx="1004">
                  <c:v>509</c:v>
                </c:pt>
                <c:pt idx="1005">
                  <c:v>22</c:v>
                </c:pt>
                <c:pt idx="1006">
                  <c:v>60</c:v>
                </c:pt>
                <c:pt idx="1007">
                  <c:v>156</c:v>
                </c:pt>
                <c:pt idx="1008">
                  <c:v>567</c:v>
                </c:pt>
                <c:pt idx="1009">
                  <c:v>124</c:v>
                </c:pt>
                <c:pt idx="1010">
                  <c:v>664</c:v>
                </c:pt>
                <c:pt idx="1011">
                  <c:v>451</c:v>
                </c:pt>
                <c:pt idx="1012">
                  <c:v>308</c:v>
                </c:pt>
                <c:pt idx="1013">
                  <c:v>211</c:v>
                </c:pt>
                <c:pt idx="1014">
                  <c:v>522</c:v>
                </c:pt>
                <c:pt idx="1015">
                  <c:v>309</c:v>
                </c:pt>
                <c:pt idx="1016">
                  <c:v>196</c:v>
                </c:pt>
                <c:pt idx="1017">
                  <c:v>239</c:v>
                </c:pt>
                <c:pt idx="1018">
                  <c:v>387</c:v>
                </c:pt>
                <c:pt idx="1019">
                  <c:v>160</c:v>
                </c:pt>
                <c:pt idx="1020">
                  <c:v>136</c:v>
                </c:pt>
                <c:pt idx="1021">
                  <c:v>166</c:v>
                </c:pt>
                <c:pt idx="1022">
                  <c:v>42</c:v>
                </c:pt>
                <c:pt idx="1023">
                  <c:v>246</c:v>
                </c:pt>
                <c:pt idx="1024">
                  <c:v>308</c:v>
                </c:pt>
                <c:pt idx="1025">
                  <c:v>346</c:v>
                </c:pt>
                <c:pt idx="1026">
                  <c:v>439</c:v>
                </c:pt>
                <c:pt idx="1027">
                  <c:v>213</c:v>
                </c:pt>
                <c:pt idx="1028">
                  <c:v>296</c:v>
                </c:pt>
                <c:pt idx="1029">
                  <c:v>567</c:v>
                </c:pt>
                <c:pt idx="1030">
                  <c:v>451</c:v>
                </c:pt>
                <c:pt idx="1031">
                  <c:v>210</c:v>
                </c:pt>
                <c:pt idx="1032">
                  <c:v>34</c:v>
                </c:pt>
                <c:pt idx="1033">
                  <c:v>261</c:v>
                </c:pt>
                <c:pt idx="1034">
                  <c:v>205</c:v>
                </c:pt>
                <c:pt idx="1035">
                  <c:v>614</c:v>
                </c:pt>
                <c:pt idx="1036">
                  <c:v>109</c:v>
                </c:pt>
                <c:pt idx="1037">
                  <c:v>745</c:v>
                </c:pt>
                <c:pt idx="1038">
                  <c:v>534</c:v>
                </c:pt>
                <c:pt idx="1039">
                  <c:v>343</c:v>
                </c:pt>
                <c:pt idx="1040">
                  <c:v>224</c:v>
                </c:pt>
                <c:pt idx="1041">
                  <c:v>559</c:v>
                </c:pt>
                <c:pt idx="1042">
                  <c:v>322</c:v>
                </c:pt>
                <c:pt idx="1043">
                  <c:v>163</c:v>
                </c:pt>
                <c:pt idx="1044">
                  <c:v>266</c:v>
                </c:pt>
                <c:pt idx="1045">
                  <c:v>326</c:v>
                </c:pt>
                <c:pt idx="1046">
                  <c:v>188</c:v>
                </c:pt>
                <c:pt idx="1047">
                  <c:v>148</c:v>
                </c:pt>
                <c:pt idx="1048">
                  <c:v>188</c:v>
                </c:pt>
                <c:pt idx="1049">
                  <c:v>44</c:v>
                </c:pt>
                <c:pt idx="1050">
                  <c:v>228</c:v>
                </c:pt>
                <c:pt idx="1051">
                  <c:v>343</c:v>
                </c:pt>
                <c:pt idx="1052">
                  <c:v>308</c:v>
                </c:pt>
                <c:pt idx="1053">
                  <c:v>569</c:v>
                </c:pt>
                <c:pt idx="1054">
                  <c:v>197</c:v>
                </c:pt>
                <c:pt idx="1055">
                  <c:v>332</c:v>
                </c:pt>
                <c:pt idx="1056">
                  <c:v>614</c:v>
                </c:pt>
                <c:pt idx="1057">
                  <c:v>534</c:v>
                </c:pt>
                <c:pt idx="1058">
                  <c:v>236</c:v>
                </c:pt>
                <c:pt idx="1059">
                  <c:v>33</c:v>
                </c:pt>
                <c:pt idx="1060">
                  <c:v>341</c:v>
                </c:pt>
                <c:pt idx="1061">
                  <c:v>48</c:v>
                </c:pt>
              </c:numCache>
            </c:numRef>
          </c:yVal>
          <c:smooth val="0"/>
          <c:extLst>
            <c:ext xmlns:c16="http://schemas.microsoft.com/office/drawing/2014/chart" uri="{C3380CC4-5D6E-409C-BE32-E72D297353CC}">
              <c16:uniqueId val="{00000000-3A6B-4DEC-B915-B3B682E055A5}"/>
            </c:ext>
          </c:extLst>
        </c:ser>
        <c:dLbls>
          <c:showLegendKey val="0"/>
          <c:showVal val="0"/>
          <c:showCatName val="0"/>
          <c:showSerName val="0"/>
          <c:showPercent val="0"/>
          <c:showBubbleSize val="0"/>
        </c:dLbls>
        <c:axId val="1424976624"/>
        <c:axId val="1424979024"/>
      </c:scatterChart>
      <c:valAx>
        <c:axId val="1424976624"/>
        <c:scaling>
          <c:orientation val="minMax"/>
        </c:scaling>
        <c:delete val="0"/>
        <c:axPos val="b"/>
        <c:majorGridlines>
          <c:spPr>
            <a:ln w="9525" cap="flat" cmpd="sng" algn="ctr">
              <a:solidFill>
                <a:schemeClr val="lt1">
                  <a:lumMod val="95000"/>
                  <a:alpha val="1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24979024"/>
        <c:crosses val="autoZero"/>
        <c:crossBetween val="midCat"/>
      </c:valAx>
      <c:valAx>
        <c:axId val="1424979024"/>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24976624"/>
        <c:crosses val="autoZero"/>
        <c:crossBetween val="midCat"/>
      </c:valA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v>Sum of Sales</c:v>
          </c:tx>
          <c:spPr>
            <a:solidFill>
              <a:srgbClr val="FFC000"/>
            </a:solidFill>
            <a:ln>
              <a:noFill/>
            </a:ln>
            <a:effectLst>
              <a:outerShdw blurRad="57150" dist="19050" dir="5400000" algn="ctr" rotWithShape="0">
                <a:srgbClr val="000000">
                  <a:alpha val="63000"/>
                </a:srgbClr>
              </a:outerShdw>
            </a:effectLst>
          </c:spPr>
          <c:invertIfNegative val="0"/>
          <c:cat>
            <c:strLit>
              <c:ptCount val="3"/>
              <c:pt idx="0">
                <c:v>Oct</c:v>
              </c:pt>
              <c:pt idx="1">
                <c:v>Nov</c:v>
              </c:pt>
              <c:pt idx="2">
                <c:v>Dec</c:v>
              </c:pt>
            </c:strLit>
          </c:cat>
          <c:val>
            <c:numLit>
              <c:formatCode>General</c:formatCode>
              <c:ptCount val="3"/>
              <c:pt idx="0">
                <c:v>67836</c:v>
              </c:pt>
              <c:pt idx="1">
                <c:v>66106</c:v>
              </c:pt>
              <c:pt idx="2">
                <c:v>68953</c:v>
              </c:pt>
            </c:numLit>
          </c:val>
          <c:extLst>
            <c:ext xmlns:c16="http://schemas.microsoft.com/office/drawing/2014/chart" uri="{C3380CC4-5D6E-409C-BE32-E72D297353CC}">
              <c16:uniqueId val="{00000000-CD30-499B-9EF1-1D4B3C16EE48}"/>
            </c:ext>
          </c:extLst>
        </c:ser>
        <c:dLbls>
          <c:showLegendKey val="0"/>
          <c:showVal val="0"/>
          <c:showCatName val="0"/>
          <c:showSerName val="0"/>
          <c:showPercent val="0"/>
          <c:showBubbleSize val="0"/>
        </c:dLbls>
        <c:gapWidth val="219"/>
        <c:overlap val="-27"/>
        <c:axId val="1977045584"/>
        <c:axId val="1767380480"/>
      </c:barChart>
      <c:lineChart>
        <c:grouping val="standard"/>
        <c:varyColors val="0"/>
        <c:ser>
          <c:idx val="1"/>
          <c:order val="1"/>
          <c:tx>
            <c:v>Sum of Profit</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solidFill>
                  <a:srgbClr val="FF0000"/>
                </a:solidFill>
                <a:ln w="9525">
                  <a:solidFill>
                    <a:srgbClr val="FF0000"/>
                  </a:solidFill>
                  <a:round/>
                </a:ln>
                <a:effectLst>
                  <a:outerShdw blurRad="57150" dist="19050" dir="5400000" algn="ctr" rotWithShape="0">
                    <a:srgbClr val="000000">
                      <a:alpha val="63000"/>
                    </a:srgbClr>
                  </a:outerShdw>
                </a:effectLst>
              </c:spPr>
            </c:marker>
            <c:bubble3D val="0"/>
            <c:spPr>
              <a:ln w="34925" cap="rnd">
                <a:solidFill>
                  <a:srgbClr val="FF00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D30-499B-9EF1-1D4B3C16EE48}"/>
              </c:ext>
            </c:extLst>
          </c:dPt>
          <c:dPt>
            <c:idx val="1"/>
            <c:marker>
              <c:symbol val="circle"/>
              <c:size val="6"/>
              <c:spPr>
                <a:solidFill>
                  <a:srgbClr val="FF0000"/>
                </a:solidFill>
                <a:ln w="9525">
                  <a:solidFill>
                    <a:srgbClr val="FF0000"/>
                  </a:solidFill>
                  <a:round/>
                </a:ln>
                <a:effectLst>
                  <a:outerShdw blurRad="57150" dist="19050" dir="5400000" algn="ctr" rotWithShape="0">
                    <a:srgbClr val="000000">
                      <a:alpha val="63000"/>
                    </a:srgbClr>
                  </a:outerShdw>
                </a:effectLst>
              </c:spPr>
            </c:marker>
            <c:bubble3D val="0"/>
            <c:spPr>
              <a:ln w="34925" cap="rnd">
                <a:solidFill>
                  <a:srgbClr val="FF00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D30-499B-9EF1-1D4B3C16EE48}"/>
              </c:ext>
            </c:extLst>
          </c:dPt>
          <c:dPt>
            <c:idx val="2"/>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rgbClr val="FF00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D30-499B-9EF1-1D4B3C16EE48}"/>
              </c:ext>
            </c:extLst>
          </c:dPt>
          <c:cat>
            <c:strLit>
              <c:ptCount val="3"/>
              <c:pt idx="0">
                <c:v>Oct</c:v>
              </c:pt>
              <c:pt idx="1">
                <c:v>Nov</c:v>
              </c:pt>
              <c:pt idx="2">
                <c:v>Dec</c:v>
              </c:pt>
            </c:strLit>
          </c:cat>
          <c:val>
            <c:numLit>
              <c:formatCode>General</c:formatCode>
              <c:ptCount val="3"/>
              <c:pt idx="0">
                <c:v>21552</c:v>
              </c:pt>
              <c:pt idx="1">
                <c:v>20859</c:v>
              </c:pt>
              <c:pt idx="2">
                <c:v>21900</c:v>
              </c:pt>
            </c:numLit>
          </c:val>
          <c:smooth val="0"/>
          <c:extLst>
            <c:ext xmlns:c16="http://schemas.microsoft.com/office/drawing/2014/chart" uri="{C3380CC4-5D6E-409C-BE32-E72D297353CC}">
              <c16:uniqueId val="{00000007-CD30-499B-9EF1-1D4B3C16EE48}"/>
            </c:ext>
          </c:extLst>
        </c:ser>
        <c:dLbls>
          <c:showLegendKey val="0"/>
          <c:showVal val="0"/>
          <c:showCatName val="0"/>
          <c:showSerName val="0"/>
          <c:showPercent val="0"/>
          <c:showBubbleSize val="0"/>
        </c:dLbls>
        <c:marker val="1"/>
        <c:smooth val="0"/>
        <c:axId val="1977045584"/>
        <c:axId val="1767380480"/>
      </c:lineChart>
      <c:catAx>
        <c:axId val="1977045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67380480"/>
        <c:crosses val="autoZero"/>
        <c:auto val="1"/>
        <c:lblAlgn val="ctr"/>
        <c:lblOffset val="100"/>
        <c:noMultiLvlLbl val="0"/>
      </c:catAx>
      <c:valAx>
        <c:axId val="17673804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7045584"/>
        <c:crosses val="autoZero"/>
        <c:crossBetween val="between"/>
      </c:valA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Seasonality patterns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layout>
            <c:manualLayout>
              <c:x val="7.1942446043165464E-2"/>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extLst>
        </c:dLbl>
      </c:pivotFmt>
    </c:pivotFmts>
    <c:plotArea>
      <c:layout/>
      <c:lineChart>
        <c:grouping val="stacked"/>
        <c:varyColors val="0"/>
        <c:ser>
          <c:idx val="0"/>
          <c:order val="0"/>
          <c:tx>
            <c:v>2012</c:v>
          </c:tx>
          <c:spPr>
            <a:ln w="28575" cap="rnd">
              <a:solidFill>
                <a:schemeClr val="accent1"/>
              </a:solidFill>
              <a:round/>
            </a:ln>
            <a:effectLst/>
          </c:spPr>
          <c:marker>
            <c:symbol val="none"/>
          </c:marker>
          <c:dPt>
            <c:idx val="2"/>
            <c:marker>
              <c:symbol val="none"/>
            </c:marker>
            <c:bubble3D val="0"/>
            <c:extLst>
              <c:ext xmlns:c16="http://schemas.microsoft.com/office/drawing/2014/chart" uri="{C3380CC4-5D6E-409C-BE32-E72D297353CC}">
                <c16:uniqueId val="{00000000-A37D-4D82-A205-B51E950FE3FE}"/>
              </c:ext>
            </c:extLst>
          </c:dPt>
          <c:dLbls>
            <c:dLbl>
              <c:idx val="2"/>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A37D-4D82-A205-B51E950FE3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Oct</c:v>
              </c:pt>
              <c:pt idx="1">
                <c:v>Nov</c:v>
              </c:pt>
              <c:pt idx="2">
                <c:v>Dec</c:v>
              </c:pt>
            </c:strLit>
          </c:cat>
          <c:val>
            <c:numLit>
              <c:formatCode>General</c:formatCode>
              <c:ptCount val="3"/>
              <c:pt idx="0">
                <c:v>0</c:v>
              </c:pt>
              <c:pt idx="1">
                <c:v>0</c:v>
              </c:pt>
              <c:pt idx="2">
                <c:v>0</c:v>
              </c:pt>
            </c:numLit>
          </c:val>
          <c:smooth val="0"/>
          <c:extLst>
            <c:ext xmlns:c16="http://schemas.microsoft.com/office/drawing/2014/chart" uri="{C3380CC4-5D6E-409C-BE32-E72D297353CC}">
              <c16:uniqueId val="{00000001-A37D-4D82-A205-B51E950FE3FE}"/>
            </c:ext>
          </c:extLst>
        </c:ser>
        <c:ser>
          <c:idx val="1"/>
          <c:order val="1"/>
          <c:tx>
            <c:v>2013</c:v>
          </c:tx>
          <c:spPr>
            <a:ln w="28575" cap="rnd">
              <a:solidFill>
                <a:srgbClr val="FF0000"/>
              </a:solidFill>
              <a:round/>
            </a:ln>
            <a:effectLst/>
          </c:spPr>
          <c:marker>
            <c:symbol val="none"/>
          </c:marker>
          <c:dPt>
            <c:idx val="2"/>
            <c:marker>
              <c:symbol val="none"/>
            </c:marker>
            <c:bubble3D val="0"/>
            <c:extLst>
              <c:ext xmlns:c16="http://schemas.microsoft.com/office/drawing/2014/chart" uri="{C3380CC4-5D6E-409C-BE32-E72D297353CC}">
                <c16:uniqueId val="{00000002-A37D-4D82-A205-B51E950FE3FE}"/>
              </c:ext>
            </c:extLst>
          </c:dPt>
          <c:dLbls>
            <c:dLbl>
              <c:idx val="2"/>
              <c:layout>
                <c:manualLayout>
                  <c:x val="7.1942446043165464E-2"/>
                  <c:y val="4.6296296296294602E-3"/>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A37D-4D82-A205-B51E950FE3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Oct</c:v>
              </c:pt>
              <c:pt idx="1">
                <c:v>Nov</c:v>
              </c:pt>
              <c:pt idx="2">
                <c:v>Dec</c:v>
              </c:pt>
            </c:strLit>
          </c:cat>
          <c:val>
            <c:numLit>
              <c:formatCode>General</c:formatCode>
              <c:ptCount val="3"/>
              <c:pt idx="0">
                <c:v>0</c:v>
              </c:pt>
              <c:pt idx="1">
                <c:v>0</c:v>
              </c:pt>
              <c:pt idx="2">
                <c:v>0</c:v>
              </c:pt>
            </c:numLit>
          </c:val>
          <c:smooth val="0"/>
          <c:extLst>
            <c:ext xmlns:c16="http://schemas.microsoft.com/office/drawing/2014/chart" uri="{C3380CC4-5D6E-409C-BE32-E72D297353CC}">
              <c16:uniqueId val="{00000003-A37D-4D82-A205-B51E950FE3FE}"/>
            </c:ext>
          </c:extLst>
        </c:ser>
        <c:dLbls>
          <c:showLegendKey val="0"/>
          <c:showVal val="0"/>
          <c:showCatName val="0"/>
          <c:showSerName val="0"/>
          <c:showPercent val="0"/>
          <c:showBubbleSize val="0"/>
        </c:dLbls>
        <c:smooth val="0"/>
        <c:axId val="2137418112"/>
        <c:axId val="2137412352"/>
      </c:lineChart>
      <c:catAx>
        <c:axId val="213741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7412352"/>
        <c:crosses val="autoZero"/>
        <c:auto val="1"/>
        <c:lblAlgn val="ctr"/>
        <c:lblOffset val="100"/>
        <c:noMultiLvlLbl val="0"/>
      </c:catAx>
      <c:valAx>
        <c:axId val="213741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74181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'KPIs Section'!$R$1</c:f>
              <c:strCache>
                <c:ptCount val="1"/>
                <c:pt idx="0">
                  <c:v>Sales</c:v>
                </c:pt>
              </c:strCache>
            </c:strRef>
          </c:tx>
          <c:spPr>
            <a:ln w="25400" cap="rnd">
              <a:noFill/>
              <a:round/>
            </a:ln>
            <a:effectLst/>
          </c:spPr>
          <c:marker>
            <c:symbol val="circle"/>
            <c:size val="5"/>
            <c:spPr>
              <a:solidFill>
                <a:schemeClr val="accent1"/>
              </a:solidFill>
              <a:ln w="9525">
                <a:solidFill>
                  <a:schemeClr val="accent1"/>
                </a:solidFill>
              </a:ln>
              <a:effectLst/>
            </c:spPr>
          </c:marker>
          <c:xVal>
            <c:numRef>
              <c:f>'KPIs Section'!$Q$2:$Q$1063</c:f>
              <c:numCache>
                <c:formatCode>General</c:formatCode>
                <c:ptCount val="1062"/>
                <c:pt idx="0">
                  <c:v>46</c:v>
                </c:pt>
                <c:pt idx="1">
                  <c:v>17</c:v>
                </c:pt>
                <c:pt idx="2">
                  <c:v>13</c:v>
                </c:pt>
                <c:pt idx="3">
                  <c:v>10</c:v>
                </c:pt>
                <c:pt idx="4">
                  <c:v>23</c:v>
                </c:pt>
                <c:pt idx="5">
                  <c:v>0</c:v>
                </c:pt>
                <c:pt idx="6">
                  <c:v>15</c:v>
                </c:pt>
                <c:pt idx="7">
                  <c:v>7</c:v>
                </c:pt>
                <c:pt idx="8">
                  <c:v>9</c:v>
                </c:pt>
                <c:pt idx="9">
                  <c:v>11</c:v>
                </c:pt>
                <c:pt idx="10">
                  <c:v>15</c:v>
                </c:pt>
                <c:pt idx="11">
                  <c:v>14</c:v>
                </c:pt>
                <c:pt idx="12">
                  <c:v>41</c:v>
                </c:pt>
                <c:pt idx="13">
                  <c:v>54</c:v>
                </c:pt>
                <c:pt idx="14">
                  <c:v>12</c:v>
                </c:pt>
                <c:pt idx="15">
                  <c:v>20</c:v>
                </c:pt>
                <c:pt idx="16">
                  <c:v>41</c:v>
                </c:pt>
                <c:pt idx="17">
                  <c:v>13</c:v>
                </c:pt>
                <c:pt idx="18">
                  <c:v>15</c:v>
                </c:pt>
                <c:pt idx="19">
                  <c:v>13</c:v>
                </c:pt>
                <c:pt idx="20">
                  <c:v>11</c:v>
                </c:pt>
                <c:pt idx="21">
                  <c:v>27</c:v>
                </c:pt>
                <c:pt idx="22">
                  <c:v>28</c:v>
                </c:pt>
                <c:pt idx="23">
                  <c:v>13</c:v>
                </c:pt>
                <c:pt idx="24">
                  <c:v>14</c:v>
                </c:pt>
                <c:pt idx="25">
                  <c:v>13</c:v>
                </c:pt>
                <c:pt idx="26">
                  <c:v>47</c:v>
                </c:pt>
                <c:pt idx="27">
                  <c:v>23</c:v>
                </c:pt>
                <c:pt idx="28">
                  <c:v>14</c:v>
                </c:pt>
                <c:pt idx="29">
                  <c:v>20</c:v>
                </c:pt>
                <c:pt idx="30">
                  <c:v>14</c:v>
                </c:pt>
                <c:pt idx="31">
                  <c:v>17</c:v>
                </c:pt>
                <c:pt idx="32">
                  <c:v>10</c:v>
                </c:pt>
                <c:pt idx="33">
                  <c:v>9</c:v>
                </c:pt>
                <c:pt idx="34">
                  <c:v>8</c:v>
                </c:pt>
                <c:pt idx="35">
                  <c:v>10</c:v>
                </c:pt>
                <c:pt idx="36">
                  <c:v>15</c:v>
                </c:pt>
                <c:pt idx="37">
                  <c:v>20</c:v>
                </c:pt>
                <c:pt idx="38">
                  <c:v>14</c:v>
                </c:pt>
                <c:pt idx="39">
                  <c:v>14</c:v>
                </c:pt>
                <c:pt idx="40">
                  <c:v>40</c:v>
                </c:pt>
                <c:pt idx="41">
                  <c:v>16</c:v>
                </c:pt>
                <c:pt idx="42">
                  <c:v>20</c:v>
                </c:pt>
                <c:pt idx="43">
                  <c:v>20</c:v>
                </c:pt>
                <c:pt idx="44">
                  <c:v>14</c:v>
                </c:pt>
                <c:pt idx="45">
                  <c:v>14</c:v>
                </c:pt>
                <c:pt idx="46">
                  <c:v>13</c:v>
                </c:pt>
                <c:pt idx="47">
                  <c:v>10</c:v>
                </c:pt>
                <c:pt idx="48">
                  <c:v>55</c:v>
                </c:pt>
                <c:pt idx="49">
                  <c:v>14</c:v>
                </c:pt>
                <c:pt idx="50">
                  <c:v>15</c:v>
                </c:pt>
                <c:pt idx="51">
                  <c:v>42</c:v>
                </c:pt>
                <c:pt idx="52">
                  <c:v>17</c:v>
                </c:pt>
                <c:pt idx="53">
                  <c:v>24</c:v>
                </c:pt>
                <c:pt idx="54">
                  <c:v>24</c:v>
                </c:pt>
                <c:pt idx="55">
                  <c:v>17</c:v>
                </c:pt>
                <c:pt idx="56">
                  <c:v>13</c:v>
                </c:pt>
                <c:pt idx="57">
                  <c:v>15</c:v>
                </c:pt>
                <c:pt idx="58">
                  <c:v>8</c:v>
                </c:pt>
                <c:pt idx="59">
                  <c:v>9</c:v>
                </c:pt>
                <c:pt idx="60">
                  <c:v>9</c:v>
                </c:pt>
                <c:pt idx="61">
                  <c:v>15</c:v>
                </c:pt>
                <c:pt idx="62">
                  <c:v>49</c:v>
                </c:pt>
                <c:pt idx="63">
                  <c:v>44</c:v>
                </c:pt>
                <c:pt idx="64">
                  <c:v>14</c:v>
                </c:pt>
                <c:pt idx="65">
                  <c:v>44</c:v>
                </c:pt>
                <c:pt idx="66">
                  <c:v>12</c:v>
                </c:pt>
                <c:pt idx="67">
                  <c:v>28</c:v>
                </c:pt>
                <c:pt idx="68">
                  <c:v>25</c:v>
                </c:pt>
                <c:pt idx="69">
                  <c:v>19</c:v>
                </c:pt>
                <c:pt idx="70">
                  <c:v>28</c:v>
                </c:pt>
                <c:pt idx="71">
                  <c:v>49</c:v>
                </c:pt>
                <c:pt idx="72">
                  <c:v>46</c:v>
                </c:pt>
                <c:pt idx="73">
                  <c:v>17</c:v>
                </c:pt>
                <c:pt idx="74">
                  <c:v>13</c:v>
                </c:pt>
                <c:pt idx="75">
                  <c:v>10</c:v>
                </c:pt>
                <c:pt idx="76">
                  <c:v>23</c:v>
                </c:pt>
                <c:pt idx="77">
                  <c:v>0</c:v>
                </c:pt>
                <c:pt idx="78">
                  <c:v>15</c:v>
                </c:pt>
                <c:pt idx="79">
                  <c:v>7</c:v>
                </c:pt>
                <c:pt idx="80">
                  <c:v>9</c:v>
                </c:pt>
                <c:pt idx="81">
                  <c:v>11</c:v>
                </c:pt>
                <c:pt idx="82">
                  <c:v>15</c:v>
                </c:pt>
                <c:pt idx="83">
                  <c:v>14</c:v>
                </c:pt>
                <c:pt idx="84">
                  <c:v>41</c:v>
                </c:pt>
                <c:pt idx="85">
                  <c:v>54</c:v>
                </c:pt>
                <c:pt idx="86">
                  <c:v>12</c:v>
                </c:pt>
                <c:pt idx="87">
                  <c:v>20</c:v>
                </c:pt>
                <c:pt idx="88">
                  <c:v>41</c:v>
                </c:pt>
                <c:pt idx="89">
                  <c:v>13</c:v>
                </c:pt>
                <c:pt idx="90">
                  <c:v>15</c:v>
                </c:pt>
                <c:pt idx="91">
                  <c:v>13</c:v>
                </c:pt>
                <c:pt idx="92">
                  <c:v>11</c:v>
                </c:pt>
                <c:pt idx="93">
                  <c:v>27</c:v>
                </c:pt>
                <c:pt idx="94">
                  <c:v>28</c:v>
                </c:pt>
                <c:pt idx="95">
                  <c:v>13</c:v>
                </c:pt>
                <c:pt idx="96">
                  <c:v>14</c:v>
                </c:pt>
                <c:pt idx="97">
                  <c:v>13</c:v>
                </c:pt>
                <c:pt idx="98">
                  <c:v>47</c:v>
                </c:pt>
                <c:pt idx="99">
                  <c:v>23</c:v>
                </c:pt>
                <c:pt idx="100">
                  <c:v>14</c:v>
                </c:pt>
                <c:pt idx="101">
                  <c:v>20</c:v>
                </c:pt>
                <c:pt idx="102">
                  <c:v>14</c:v>
                </c:pt>
                <c:pt idx="103">
                  <c:v>17</c:v>
                </c:pt>
                <c:pt idx="104">
                  <c:v>10</c:v>
                </c:pt>
                <c:pt idx="105">
                  <c:v>9</c:v>
                </c:pt>
                <c:pt idx="106">
                  <c:v>8</c:v>
                </c:pt>
                <c:pt idx="107">
                  <c:v>10</c:v>
                </c:pt>
                <c:pt idx="108">
                  <c:v>15</c:v>
                </c:pt>
                <c:pt idx="109">
                  <c:v>20</c:v>
                </c:pt>
                <c:pt idx="110">
                  <c:v>14</c:v>
                </c:pt>
                <c:pt idx="111">
                  <c:v>14</c:v>
                </c:pt>
                <c:pt idx="112">
                  <c:v>40</c:v>
                </c:pt>
                <c:pt idx="113">
                  <c:v>16</c:v>
                </c:pt>
                <c:pt idx="114">
                  <c:v>20</c:v>
                </c:pt>
                <c:pt idx="115">
                  <c:v>20</c:v>
                </c:pt>
                <c:pt idx="116">
                  <c:v>14</c:v>
                </c:pt>
                <c:pt idx="117">
                  <c:v>14</c:v>
                </c:pt>
                <c:pt idx="118">
                  <c:v>13</c:v>
                </c:pt>
                <c:pt idx="119">
                  <c:v>10</c:v>
                </c:pt>
                <c:pt idx="120">
                  <c:v>55</c:v>
                </c:pt>
                <c:pt idx="121">
                  <c:v>14</c:v>
                </c:pt>
                <c:pt idx="122">
                  <c:v>15</c:v>
                </c:pt>
                <c:pt idx="123">
                  <c:v>42</c:v>
                </c:pt>
                <c:pt idx="124">
                  <c:v>17</c:v>
                </c:pt>
                <c:pt idx="125">
                  <c:v>24</c:v>
                </c:pt>
                <c:pt idx="126">
                  <c:v>24</c:v>
                </c:pt>
                <c:pt idx="127">
                  <c:v>17</c:v>
                </c:pt>
                <c:pt idx="128">
                  <c:v>13</c:v>
                </c:pt>
                <c:pt idx="129">
                  <c:v>15</c:v>
                </c:pt>
                <c:pt idx="130">
                  <c:v>8</c:v>
                </c:pt>
                <c:pt idx="131">
                  <c:v>9</c:v>
                </c:pt>
                <c:pt idx="132">
                  <c:v>9</c:v>
                </c:pt>
                <c:pt idx="133">
                  <c:v>15</c:v>
                </c:pt>
                <c:pt idx="134">
                  <c:v>49</c:v>
                </c:pt>
                <c:pt idx="135">
                  <c:v>44</c:v>
                </c:pt>
                <c:pt idx="136">
                  <c:v>14</c:v>
                </c:pt>
                <c:pt idx="137">
                  <c:v>44</c:v>
                </c:pt>
                <c:pt idx="138">
                  <c:v>12</c:v>
                </c:pt>
                <c:pt idx="139">
                  <c:v>28</c:v>
                </c:pt>
                <c:pt idx="140">
                  <c:v>25</c:v>
                </c:pt>
                <c:pt idx="141">
                  <c:v>19</c:v>
                </c:pt>
                <c:pt idx="142">
                  <c:v>28</c:v>
                </c:pt>
                <c:pt idx="143">
                  <c:v>49</c:v>
                </c:pt>
                <c:pt idx="144">
                  <c:v>12</c:v>
                </c:pt>
                <c:pt idx="145">
                  <c:v>24</c:v>
                </c:pt>
                <c:pt idx="146">
                  <c:v>20</c:v>
                </c:pt>
                <c:pt idx="147">
                  <c:v>16</c:v>
                </c:pt>
                <c:pt idx="148">
                  <c:v>7</c:v>
                </c:pt>
                <c:pt idx="149">
                  <c:v>21</c:v>
                </c:pt>
                <c:pt idx="150">
                  <c:v>7</c:v>
                </c:pt>
                <c:pt idx="151">
                  <c:v>6</c:v>
                </c:pt>
                <c:pt idx="152">
                  <c:v>30</c:v>
                </c:pt>
                <c:pt idx="153">
                  <c:v>20</c:v>
                </c:pt>
                <c:pt idx="154">
                  <c:v>14</c:v>
                </c:pt>
                <c:pt idx="155">
                  <c:v>54</c:v>
                </c:pt>
                <c:pt idx="156">
                  <c:v>18</c:v>
                </c:pt>
                <c:pt idx="157">
                  <c:v>13</c:v>
                </c:pt>
                <c:pt idx="158">
                  <c:v>10</c:v>
                </c:pt>
                <c:pt idx="159">
                  <c:v>20</c:v>
                </c:pt>
                <c:pt idx="160">
                  <c:v>13</c:v>
                </c:pt>
                <c:pt idx="161">
                  <c:v>7</c:v>
                </c:pt>
                <c:pt idx="162">
                  <c:v>8</c:v>
                </c:pt>
                <c:pt idx="163">
                  <c:v>8</c:v>
                </c:pt>
                <c:pt idx="164">
                  <c:v>14</c:v>
                </c:pt>
                <c:pt idx="165">
                  <c:v>0</c:v>
                </c:pt>
                <c:pt idx="166">
                  <c:v>25</c:v>
                </c:pt>
                <c:pt idx="167">
                  <c:v>6</c:v>
                </c:pt>
                <c:pt idx="168">
                  <c:v>40</c:v>
                </c:pt>
                <c:pt idx="169">
                  <c:v>12</c:v>
                </c:pt>
                <c:pt idx="170">
                  <c:v>40</c:v>
                </c:pt>
                <c:pt idx="171">
                  <c:v>8</c:v>
                </c:pt>
                <c:pt idx="172">
                  <c:v>21</c:v>
                </c:pt>
                <c:pt idx="173">
                  <c:v>15</c:v>
                </c:pt>
                <c:pt idx="174">
                  <c:v>15</c:v>
                </c:pt>
                <c:pt idx="175">
                  <c:v>14</c:v>
                </c:pt>
                <c:pt idx="176">
                  <c:v>13</c:v>
                </c:pt>
                <c:pt idx="177">
                  <c:v>42</c:v>
                </c:pt>
                <c:pt idx="178">
                  <c:v>14</c:v>
                </c:pt>
                <c:pt idx="179">
                  <c:v>14</c:v>
                </c:pt>
                <c:pt idx="180">
                  <c:v>17</c:v>
                </c:pt>
                <c:pt idx="181">
                  <c:v>16</c:v>
                </c:pt>
                <c:pt idx="182">
                  <c:v>9</c:v>
                </c:pt>
                <c:pt idx="183">
                  <c:v>9</c:v>
                </c:pt>
                <c:pt idx="184">
                  <c:v>0</c:v>
                </c:pt>
                <c:pt idx="185">
                  <c:v>13</c:v>
                </c:pt>
                <c:pt idx="186">
                  <c:v>9</c:v>
                </c:pt>
                <c:pt idx="187">
                  <c:v>6</c:v>
                </c:pt>
                <c:pt idx="188">
                  <c:v>12</c:v>
                </c:pt>
                <c:pt idx="189">
                  <c:v>17</c:v>
                </c:pt>
                <c:pt idx="190">
                  <c:v>13</c:v>
                </c:pt>
                <c:pt idx="191">
                  <c:v>9</c:v>
                </c:pt>
                <c:pt idx="192">
                  <c:v>44</c:v>
                </c:pt>
                <c:pt idx="193">
                  <c:v>49</c:v>
                </c:pt>
                <c:pt idx="194">
                  <c:v>12</c:v>
                </c:pt>
                <c:pt idx="195">
                  <c:v>24</c:v>
                </c:pt>
                <c:pt idx="196">
                  <c:v>20</c:v>
                </c:pt>
                <c:pt idx="197">
                  <c:v>16</c:v>
                </c:pt>
                <c:pt idx="198">
                  <c:v>7</c:v>
                </c:pt>
                <c:pt idx="199">
                  <c:v>21</c:v>
                </c:pt>
                <c:pt idx="200">
                  <c:v>7</c:v>
                </c:pt>
                <c:pt idx="201">
                  <c:v>6</c:v>
                </c:pt>
                <c:pt idx="202">
                  <c:v>30</c:v>
                </c:pt>
                <c:pt idx="203">
                  <c:v>20</c:v>
                </c:pt>
                <c:pt idx="204">
                  <c:v>14</c:v>
                </c:pt>
                <c:pt idx="205">
                  <c:v>54</c:v>
                </c:pt>
                <c:pt idx="206">
                  <c:v>18</c:v>
                </c:pt>
                <c:pt idx="207">
                  <c:v>13</c:v>
                </c:pt>
                <c:pt idx="208">
                  <c:v>10</c:v>
                </c:pt>
                <c:pt idx="209">
                  <c:v>20</c:v>
                </c:pt>
                <c:pt idx="210">
                  <c:v>13</c:v>
                </c:pt>
                <c:pt idx="211">
                  <c:v>7</c:v>
                </c:pt>
                <c:pt idx="212">
                  <c:v>8</c:v>
                </c:pt>
                <c:pt idx="213">
                  <c:v>8</c:v>
                </c:pt>
                <c:pt idx="214">
                  <c:v>14</c:v>
                </c:pt>
                <c:pt idx="215">
                  <c:v>0</c:v>
                </c:pt>
                <c:pt idx="216">
                  <c:v>25</c:v>
                </c:pt>
                <c:pt idx="217">
                  <c:v>6</c:v>
                </c:pt>
                <c:pt idx="218">
                  <c:v>40</c:v>
                </c:pt>
                <c:pt idx="219">
                  <c:v>12</c:v>
                </c:pt>
                <c:pt idx="220">
                  <c:v>40</c:v>
                </c:pt>
                <c:pt idx="221">
                  <c:v>8</c:v>
                </c:pt>
                <c:pt idx="222">
                  <c:v>21</c:v>
                </c:pt>
                <c:pt idx="223">
                  <c:v>15</c:v>
                </c:pt>
                <c:pt idx="224">
                  <c:v>15</c:v>
                </c:pt>
                <c:pt idx="225">
                  <c:v>14</c:v>
                </c:pt>
                <c:pt idx="226">
                  <c:v>13</c:v>
                </c:pt>
                <c:pt idx="227">
                  <c:v>42</c:v>
                </c:pt>
                <c:pt idx="228">
                  <c:v>14</c:v>
                </c:pt>
                <c:pt idx="229">
                  <c:v>14</c:v>
                </c:pt>
                <c:pt idx="230">
                  <c:v>17</c:v>
                </c:pt>
                <c:pt idx="231">
                  <c:v>16</c:v>
                </c:pt>
                <c:pt idx="232">
                  <c:v>9</c:v>
                </c:pt>
                <c:pt idx="233">
                  <c:v>9</c:v>
                </c:pt>
                <c:pt idx="234">
                  <c:v>0</c:v>
                </c:pt>
                <c:pt idx="235">
                  <c:v>13</c:v>
                </c:pt>
                <c:pt idx="236">
                  <c:v>9</c:v>
                </c:pt>
                <c:pt idx="237">
                  <c:v>6</c:v>
                </c:pt>
                <c:pt idx="238">
                  <c:v>12</c:v>
                </c:pt>
                <c:pt idx="239">
                  <c:v>17</c:v>
                </c:pt>
                <c:pt idx="240">
                  <c:v>13</c:v>
                </c:pt>
                <c:pt idx="241">
                  <c:v>9</c:v>
                </c:pt>
                <c:pt idx="242">
                  <c:v>44</c:v>
                </c:pt>
                <c:pt idx="243">
                  <c:v>49</c:v>
                </c:pt>
                <c:pt idx="244">
                  <c:v>12</c:v>
                </c:pt>
                <c:pt idx="245">
                  <c:v>12</c:v>
                </c:pt>
                <c:pt idx="246">
                  <c:v>26</c:v>
                </c:pt>
                <c:pt idx="247">
                  <c:v>14</c:v>
                </c:pt>
                <c:pt idx="248">
                  <c:v>9</c:v>
                </c:pt>
                <c:pt idx="249">
                  <c:v>41</c:v>
                </c:pt>
                <c:pt idx="250">
                  <c:v>8</c:v>
                </c:pt>
                <c:pt idx="251">
                  <c:v>9</c:v>
                </c:pt>
                <c:pt idx="252">
                  <c:v>12</c:v>
                </c:pt>
                <c:pt idx="253">
                  <c:v>6</c:v>
                </c:pt>
                <c:pt idx="254">
                  <c:v>0</c:v>
                </c:pt>
                <c:pt idx="255">
                  <c:v>41</c:v>
                </c:pt>
                <c:pt idx="256">
                  <c:v>54</c:v>
                </c:pt>
                <c:pt idx="257">
                  <c:v>8</c:v>
                </c:pt>
                <c:pt idx="258">
                  <c:v>20</c:v>
                </c:pt>
                <c:pt idx="259">
                  <c:v>7</c:v>
                </c:pt>
                <c:pt idx="260">
                  <c:v>11</c:v>
                </c:pt>
                <c:pt idx="261">
                  <c:v>8</c:v>
                </c:pt>
                <c:pt idx="262">
                  <c:v>8</c:v>
                </c:pt>
                <c:pt idx="263">
                  <c:v>12</c:v>
                </c:pt>
                <c:pt idx="264">
                  <c:v>8</c:v>
                </c:pt>
                <c:pt idx="265">
                  <c:v>0</c:v>
                </c:pt>
                <c:pt idx="266">
                  <c:v>9</c:v>
                </c:pt>
                <c:pt idx="267">
                  <c:v>25</c:v>
                </c:pt>
                <c:pt idx="268">
                  <c:v>25</c:v>
                </c:pt>
                <c:pt idx="269">
                  <c:v>11</c:v>
                </c:pt>
                <c:pt idx="270">
                  <c:v>12</c:v>
                </c:pt>
                <c:pt idx="271">
                  <c:v>12</c:v>
                </c:pt>
                <c:pt idx="272">
                  <c:v>0</c:v>
                </c:pt>
                <c:pt idx="273">
                  <c:v>40</c:v>
                </c:pt>
                <c:pt idx="274">
                  <c:v>8</c:v>
                </c:pt>
                <c:pt idx="275">
                  <c:v>9</c:v>
                </c:pt>
                <c:pt idx="276">
                  <c:v>17</c:v>
                </c:pt>
                <c:pt idx="277">
                  <c:v>8</c:v>
                </c:pt>
                <c:pt idx="278">
                  <c:v>8</c:v>
                </c:pt>
                <c:pt idx="279">
                  <c:v>7</c:v>
                </c:pt>
                <c:pt idx="280">
                  <c:v>0</c:v>
                </c:pt>
                <c:pt idx="281">
                  <c:v>8</c:v>
                </c:pt>
                <c:pt idx="282">
                  <c:v>9</c:v>
                </c:pt>
                <c:pt idx="283">
                  <c:v>14</c:v>
                </c:pt>
                <c:pt idx="284">
                  <c:v>9</c:v>
                </c:pt>
                <c:pt idx="285">
                  <c:v>12</c:v>
                </c:pt>
                <c:pt idx="286">
                  <c:v>14</c:v>
                </c:pt>
                <c:pt idx="287">
                  <c:v>0</c:v>
                </c:pt>
                <c:pt idx="288">
                  <c:v>12</c:v>
                </c:pt>
                <c:pt idx="289">
                  <c:v>12</c:v>
                </c:pt>
                <c:pt idx="290">
                  <c:v>13</c:v>
                </c:pt>
                <c:pt idx="291">
                  <c:v>12</c:v>
                </c:pt>
                <c:pt idx="292">
                  <c:v>12</c:v>
                </c:pt>
                <c:pt idx="293">
                  <c:v>26</c:v>
                </c:pt>
                <c:pt idx="294">
                  <c:v>14</c:v>
                </c:pt>
                <c:pt idx="295">
                  <c:v>9</c:v>
                </c:pt>
                <c:pt idx="296">
                  <c:v>41</c:v>
                </c:pt>
                <c:pt idx="297">
                  <c:v>8</c:v>
                </c:pt>
                <c:pt idx="298">
                  <c:v>9</c:v>
                </c:pt>
                <c:pt idx="299">
                  <c:v>12</c:v>
                </c:pt>
                <c:pt idx="300">
                  <c:v>6</c:v>
                </c:pt>
                <c:pt idx="301">
                  <c:v>0</c:v>
                </c:pt>
                <c:pt idx="302">
                  <c:v>41</c:v>
                </c:pt>
                <c:pt idx="303">
                  <c:v>54</c:v>
                </c:pt>
                <c:pt idx="304">
                  <c:v>8</c:v>
                </c:pt>
                <c:pt idx="305">
                  <c:v>20</c:v>
                </c:pt>
                <c:pt idx="306">
                  <c:v>7</c:v>
                </c:pt>
                <c:pt idx="307">
                  <c:v>11</c:v>
                </c:pt>
                <c:pt idx="308">
                  <c:v>8</c:v>
                </c:pt>
                <c:pt idx="309">
                  <c:v>8</c:v>
                </c:pt>
                <c:pt idx="310">
                  <c:v>12</c:v>
                </c:pt>
                <c:pt idx="311">
                  <c:v>8</c:v>
                </c:pt>
                <c:pt idx="312">
                  <c:v>0</c:v>
                </c:pt>
                <c:pt idx="313">
                  <c:v>9</c:v>
                </c:pt>
                <c:pt idx="314">
                  <c:v>25</c:v>
                </c:pt>
                <c:pt idx="315">
                  <c:v>25</c:v>
                </c:pt>
                <c:pt idx="316">
                  <c:v>11</c:v>
                </c:pt>
                <c:pt idx="317">
                  <c:v>12</c:v>
                </c:pt>
                <c:pt idx="318">
                  <c:v>12</c:v>
                </c:pt>
                <c:pt idx="319">
                  <c:v>0</c:v>
                </c:pt>
                <c:pt idx="320">
                  <c:v>40</c:v>
                </c:pt>
                <c:pt idx="321">
                  <c:v>8</c:v>
                </c:pt>
                <c:pt idx="322">
                  <c:v>9</c:v>
                </c:pt>
                <c:pt idx="323">
                  <c:v>17</c:v>
                </c:pt>
                <c:pt idx="324">
                  <c:v>8</c:v>
                </c:pt>
                <c:pt idx="325">
                  <c:v>8</c:v>
                </c:pt>
                <c:pt idx="326">
                  <c:v>7</c:v>
                </c:pt>
                <c:pt idx="327">
                  <c:v>0</c:v>
                </c:pt>
                <c:pt idx="328">
                  <c:v>8</c:v>
                </c:pt>
                <c:pt idx="329">
                  <c:v>9</c:v>
                </c:pt>
                <c:pt idx="330">
                  <c:v>14</c:v>
                </c:pt>
                <c:pt idx="331">
                  <c:v>9</c:v>
                </c:pt>
                <c:pt idx="332">
                  <c:v>12</c:v>
                </c:pt>
                <c:pt idx="333">
                  <c:v>14</c:v>
                </c:pt>
                <c:pt idx="334">
                  <c:v>0</c:v>
                </c:pt>
                <c:pt idx="335">
                  <c:v>12</c:v>
                </c:pt>
                <c:pt idx="336">
                  <c:v>12</c:v>
                </c:pt>
                <c:pt idx="337">
                  <c:v>13</c:v>
                </c:pt>
                <c:pt idx="338">
                  <c:v>46</c:v>
                </c:pt>
                <c:pt idx="339">
                  <c:v>17</c:v>
                </c:pt>
                <c:pt idx="340">
                  <c:v>13</c:v>
                </c:pt>
                <c:pt idx="341">
                  <c:v>46</c:v>
                </c:pt>
                <c:pt idx="342">
                  <c:v>23</c:v>
                </c:pt>
                <c:pt idx="343">
                  <c:v>13</c:v>
                </c:pt>
                <c:pt idx="344">
                  <c:v>18</c:v>
                </c:pt>
                <c:pt idx="345">
                  <c:v>17</c:v>
                </c:pt>
                <c:pt idx="346">
                  <c:v>21</c:v>
                </c:pt>
                <c:pt idx="347">
                  <c:v>21</c:v>
                </c:pt>
                <c:pt idx="348">
                  <c:v>14</c:v>
                </c:pt>
                <c:pt idx="349">
                  <c:v>47</c:v>
                </c:pt>
                <c:pt idx="350">
                  <c:v>14</c:v>
                </c:pt>
                <c:pt idx="351">
                  <c:v>47</c:v>
                </c:pt>
                <c:pt idx="352">
                  <c:v>19</c:v>
                </c:pt>
                <c:pt idx="353">
                  <c:v>19</c:v>
                </c:pt>
                <c:pt idx="354">
                  <c:v>14</c:v>
                </c:pt>
                <c:pt idx="355">
                  <c:v>17</c:v>
                </c:pt>
                <c:pt idx="356">
                  <c:v>15</c:v>
                </c:pt>
                <c:pt idx="357">
                  <c:v>14</c:v>
                </c:pt>
                <c:pt idx="358">
                  <c:v>55</c:v>
                </c:pt>
                <c:pt idx="359">
                  <c:v>20</c:v>
                </c:pt>
                <c:pt idx="360">
                  <c:v>31</c:v>
                </c:pt>
                <c:pt idx="361">
                  <c:v>55</c:v>
                </c:pt>
                <c:pt idx="362">
                  <c:v>16</c:v>
                </c:pt>
                <c:pt idx="363">
                  <c:v>42</c:v>
                </c:pt>
                <c:pt idx="364">
                  <c:v>17</c:v>
                </c:pt>
                <c:pt idx="365">
                  <c:v>22</c:v>
                </c:pt>
                <c:pt idx="366">
                  <c:v>15</c:v>
                </c:pt>
                <c:pt idx="367">
                  <c:v>19</c:v>
                </c:pt>
                <c:pt idx="368">
                  <c:v>16</c:v>
                </c:pt>
                <c:pt idx="369">
                  <c:v>14</c:v>
                </c:pt>
                <c:pt idx="370">
                  <c:v>16</c:v>
                </c:pt>
                <c:pt idx="371">
                  <c:v>49</c:v>
                </c:pt>
                <c:pt idx="372">
                  <c:v>44</c:v>
                </c:pt>
                <c:pt idx="373">
                  <c:v>13</c:v>
                </c:pt>
                <c:pt idx="374">
                  <c:v>17</c:v>
                </c:pt>
                <c:pt idx="375">
                  <c:v>24</c:v>
                </c:pt>
                <c:pt idx="376">
                  <c:v>16</c:v>
                </c:pt>
                <c:pt idx="377">
                  <c:v>15</c:v>
                </c:pt>
                <c:pt idx="378">
                  <c:v>13</c:v>
                </c:pt>
                <c:pt idx="379">
                  <c:v>14</c:v>
                </c:pt>
                <c:pt idx="380">
                  <c:v>46</c:v>
                </c:pt>
                <c:pt idx="381">
                  <c:v>17</c:v>
                </c:pt>
                <c:pt idx="382">
                  <c:v>13</c:v>
                </c:pt>
                <c:pt idx="383">
                  <c:v>46</c:v>
                </c:pt>
                <c:pt idx="384">
                  <c:v>23</c:v>
                </c:pt>
                <c:pt idx="385">
                  <c:v>13</c:v>
                </c:pt>
                <c:pt idx="386">
                  <c:v>18</c:v>
                </c:pt>
                <c:pt idx="387">
                  <c:v>17</c:v>
                </c:pt>
                <c:pt idx="388">
                  <c:v>21</c:v>
                </c:pt>
                <c:pt idx="389">
                  <c:v>21</c:v>
                </c:pt>
                <c:pt idx="390">
                  <c:v>14</c:v>
                </c:pt>
                <c:pt idx="391">
                  <c:v>47</c:v>
                </c:pt>
                <c:pt idx="392">
                  <c:v>14</c:v>
                </c:pt>
                <c:pt idx="393">
                  <c:v>47</c:v>
                </c:pt>
                <c:pt idx="394">
                  <c:v>19</c:v>
                </c:pt>
                <c:pt idx="395">
                  <c:v>19</c:v>
                </c:pt>
                <c:pt idx="396">
                  <c:v>14</c:v>
                </c:pt>
                <c:pt idx="397">
                  <c:v>17</c:v>
                </c:pt>
                <c:pt idx="398">
                  <c:v>15</c:v>
                </c:pt>
                <c:pt idx="399">
                  <c:v>14</c:v>
                </c:pt>
                <c:pt idx="400">
                  <c:v>55</c:v>
                </c:pt>
                <c:pt idx="401">
                  <c:v>20</c:v>
                </c:pt>
                <c:pt idx="402">
                  <c:v>31</c:v>
                </c:pt>
                <c:pt idx="403">
                  <c:v>55</c:v>
                </c:pt>
                <c:pt idx="404">
                  <c:v>16</c:v>
                </c:pt>
                <c:pt idx="405">
                  <c:v>42</c:v>
                </c:pt>
                <c:pt idx="406">
                  <c:v>17</c:v>
                </c:pt>
                <c:pt idx="407">
                  <c:v>22</c:v>
                </c:pt>
                <c:pt idx="408">
                  <c:v>15</c:v>
                </c:pt>
                <c:pt idx="409">
                  <c:v>19</c:v>
                </c:pt>
                <c:pt idx="410">
                  <c:v>16</c:v>
                </c:pt>
                <c:pt idx="411">
                  <c:v>14</c:v>
                </c:pt>
                <c:pt idx="412">
                  <c:v>16</c:v>
                </c:pt>
                <c:pt idx="413">
                  <c:v>49</c:v>
                </c:pt>
                <c:pt idx="414">
                  <c:v>44</c:v>
                </c:pt>
                <c:pt idx="415">
                  <c:v>13</c:v>
                </c:pt>
                <c:pt idx="416">
                  <c:v>17</c:v>
                </c:pt>
                <c:pt idx="417">
                  <c:v>24</c:v>
                </c:pt>
                <c:pt idx="418">
                  <c:v>16</c:v>
                </c:pt>
                <c:pt idx="419">
                  <c:v>15</c:v>
                </c:pt>
                <c:pt idx="420">
                  <c:v>13</c:v>
                </c:pt>
                <c:pt idx="421">
                  <c:v>14</c:v>
                </c:pt>
                <c:pt idx="422">
                  <c:v>5</c:v>
                </c:pt>
                <c:pt idx="423">
                  <c:v>7</c:v>
                </c:pt>
                <c:pt idx="424">
                  <c:v>21</c:v>
                </c:pt>
                <c:pt idx="425">
                  <c:v>20</c:v>
                </c:pt>
                <c:pt idx="426">
                  <c:v>5</c:v>
                </c:pt>
                <c:pt idx="427">
                  <c:v>12</c:v>
                </c:pt>
                <c:pt idx="428">
                  <c:v>6</c:v>
                </c:pt>
                <c:pt idx="429">
                  <c:v>5</c:v>
                </c:pt>
                <c:pt idx="430">
                  <c:v>9</c:v>
                </c:pt>
                <c:pt idx="431">
                  <c:v>5</c:v>
                </c:pt>
                <c:pt idx="432">
                  <c:v>0</c:v>
                </c:pt>
                <c:pt idx="433">
                  <c:v>12</c:v>
                </c:pt>
                <c:pt idx="434">
                  <c:v>5</c:v>
                </c:pt>
                <c:pt idx="435">
                  <c:v>7</c:v>
                </c:pt>
                <c:pt idx="436">
                  <c:v>12</c:v>
                </c:pt>
                <c:pt idx="437">
                  <c:v>5</c:v>
                </c:pt>
                <c:pt idx="438">
                  <c:v>12</c:v>
                </c:pt>
                <c:pt idx="439">
                  <c:v>14</c:v>
                </c:pt>
                <c:pt idx="440">
                  <c:v>6</c:v>
                </c:pt>
                <c:pt idx="441">
                  <c:v>12</c:v>
                </c:pt>
                <c:pt idx="442">
                  <c:v>7</c:v>
                </c:pt>
                <c:pt idx="443">
                  <c:v>12</c:v>
                </c:pt>
                <c:pt idx="444">
                  <c:v>8</c:v>
                </c:pt>
                <c:pt idx="445">
                  <c:v>7</c:v>
                </c:pt>
                <c:pt idx="446">
                  <c:v>4</c:v>
                </c:pt>
                <c:pt idx="447">
                  <c:v>8</c:v>
                </c:pt>
                <c:pt idx="448">
                  <c:v>11</c:v>
                </c:pt>
                <c:pt idx="449">
                  <c:v>12</c:v>
                </c:pt>
                <c:pt idx="450">
                  <c:v>7</c:v>
                </c:pt>
                <c:pt idx="451">
                  <c:v>12</c:v>
                </c:pt>
                <c:pt idx="452">
                  <c:v>6</c:v>
                </c:pt>
                <c:pt idx="453">
                  <c:v>4</c:v>
                </c:pt>
                <c:pt idx="454">
                  <c:v>9</c:v>
                </c:pt>
                <c:pt idx="455">
                  <c:v>7</c:v>
                </c:pt>
                <c:pt idx="456">
                  <c:v>8</c:v>
                </c:pt>
                <c:pt idx="457">
                  <c:v>7</c:v>
                </c:pt>
                <c:pt idx="458">
                  <c:v>6</c:v>
                </c:pt>
                <c:pt idx="459">
                  <c:v>4</c:v>
                </c:pt>
                <c:pt idx="460">
                  <c:v>8</c:v>
                </c:pt>
                <c:pt idx="461">
                  <c:v>5</c:v>
                </c:pt>
                <c:pt idx="462">
                  <c:v>7</c:v>
                </c:pt>
                <c:pt idx="463">
                  <c:v>21</c:v>
                </c:pt>
                <c:pt idx="464">
                  <c:v>20</c:v>
                </c:pt>
                <c:pt idx="465">
                  <c:v>5</c:v>
                </c:pt>
                <c:pt idx="466">
                  <c:v>12</c:v>
                </c:pt>
                <c:pt idx="467">
                  <c:v>6</c:v>
                </c:pt>
                <c:pt idx="468">
                  <c:v>5</c:v>
                </c:pt>
                <c:pt idx="469">
                  <c:v>9</c:v>
                </c:pt>
                <c:pt idx="470">
                  <c:v>5</c:v>
                </c:pt>
                <c:pt idx="471">
                  <c:v>0</c:v>
                </c:pt>
                <c:pt idx="472">
                  <c:v>12</c:v>
                </c:pt>
                <c:pt idx="473">
                  <c:v>5</c:v>
                </c:pt>
                <c:pt idx="474">
                  <c:v>7</c:v>
                </c:pt>
                <c:pt idx="475">
                  <c:v>12</c:v>
                </c:pt>
                <c:pt idx="476">
                  <c:v>5</c:v>
                </c:pt>
                <c:pt idx="477">
                  <c:v>12</c:v>
                </c:pt>
                <c:pt idx="478">
                  <c:v>14</c:v>
                </c:pt>
                <c:pt idx="479">
                  <c:v>6</c:v>
                </c:pt>
                <c:pt idx="480">
                  <c:v>12</c:v>
                </c:pt>
                <c:pt idx="481">
                  <c:v>7</c:v>
                </c:pt>
                <c:pt idx="482">
                  <c:v>12</c:v>
                </c:pt>
                <c:pt idx="483">
                  <c:v>8</c:v>
                </c:pt>
                <c:pt idx="484">
                  <c:v>7</c:v>
                </c:pt>
                <c:pt idx="485">
                  <c:v>4</c:v>
                </c:pt>
                <c:pt idx="486">
                  <c:v>8</c:v>
                </c:pt>
                <c:pt idx="487">
                  <c:v>11</c:v>
                </c:pt>
                <c:pt idx="488">
                  <c:v>12</c:v>
                </c:pt>
                <c:pt idx="489">
                  <c:v>7</c:v>
                </c:pt>
                <c:pt idx="490">
                  <c:v>12</c:v>
                </c:pt>
                <c:pt idx="491">
                  <c:v>6</c:v>
                </c:pt>
                <c:pt idx="492">
                  <c:v>4</c:v>
                </c:pt>
                <c:pt idx="493">
                  <c:v>9</c:v>
                </c:pt>
                <c:pt idx="494">
                  <c:v>7</c:v>
                </c:pt>
                <c:pt idx="495">
                  <c:v>8</c:v>
                </c:pt>
                <c:pt idx="496">
                  <c:v>7</c:v>
                </c:pt>
                <c:pt idx="497">
                  <c:v>6</c:v>
                </c:pt>
                <c:pt idx="498">
                  <c:v>4</c:v>
                </c:pt>
                <c:pt idx="499">
                  <c:v>8</c:v>
                </c:pt>
                <c:pt idx="500">
                  <c:v>21</c:v>
                </c:pt>
                <c:pt idx="501">
                  <c:v>17</c:v>
                </c:pt>
                <c:pt idx="502">
                  <c:v>21</c:v>
                </c:pt>
                <c:pt idx="503">
                  <c:v>23</c:v>
                </c:pt>
                <c:pt idx="504">
                  <c:v>20</c:v>
                </c:pt>
                <c:pt idx="505">
                  <c:v>8</c:v>
                </c:pt>
                <c:pt idx="506">
                  <c:v>27</c:v>
                </c:pt>
                <c:pt idx="507">
                  <c:v>21</c:v>
                </c:pt>
                <c:pt idx="508">
                  <c:v>28</c:v>
                </c:pt>
                <c:pt idx="509">
                  <c:v>18</c:v>
                </c:pt>
                <c:pt idx="510">
                  <c:v>20</c:v>
                </c:pt>
                <c:pt idx="511">
                  <c:v>19</c:v>
                </c:pt>
                <c:pt idx="512">
                  <c:v>24</c:v>
                </c:pt>
                <c:pt idx="513">
                  <c:v>21</c:v>
                </c:pt>
                <c:pt idx="514">
                  <c:v>14</c:v>
                </c:pt>
                <c:pt idx="515">
                  <c:v>23</c:v>
                </c:pt>
                <c:pt idx="516">
                  <c:v>55</c:v>
                </c:pt>
                <c:pt idx="517">
                  <c:v>13</c:v>
                </c:pt>
                <c:pt idx="518">
                  <c:v>47</c:v>
                </c:pt>
                <c:pt idx="519">
                  <c:v>17</c:v>
                </c:pt>
                <c:pt idx="520">
                  <c:v>19</c:v>
                </c:pt>
                <c:pt idx="521">
                  <c:v>16</c:v>
                </c:pt>
                <c:pt idx="522">
                  <c:v>15</c:v>
                </c:pt>
                <c:pt idx="523">
                  <c:v>17</c:v>
                </c:pt>
                <c:pt idx="524">
                  <c:v>22</c:v>
                </c:pt>
                <c:pt idx="525">
                  <c:v>15</c:v>
                </c:pt>
                <c:pt idx="526">
                  <c:v>22</c:v>
                </c:pt>
                <c:pt idx="527">
                  <c:v>13</c:v>
                </c:pt>
                <c:pt idx="528">
                  <c:v>24</c:v>
                </c:pt>
                <c:pt idx="529">
                  <c:v>42</c:v>
                </c:pt>
                <c:pt idx="530">
                  <c:v>16</c:v>
                </c:pt>
                <c:pt idx="531">
                  <c:v>24</c:v>
                </c:pt>
                <c:pt idx="532">
                  <c:v>25</c:v>
                </c:pt>
                <c:pt idx="533">
                  <c:v>21</c:v>
                </c:pt>
                <c:pt idx="534">
                  <c:v>17</c:v>
                </c:pt>
                <c:pt idx="535">
                  <c:v>21</c:v>
                </c:pt>
                <c:pt idx="536">
                  <c:v>23</c:v>
                </c:pt>
                <c:pt idx="537">
                  <c:v>20</c:v>
                </c:pt>
                <c:pt idx="538">
                  <c:v>8</c:v>
                </c:pt>
                <c:pt idx="539">
                  <c:v>27</c:v>
                </c:pt>
                <c:pt idx="540">
                  <c:v>21</c:v>
                </c:pt>
                <c:pt idx="541">
                  <c:v>28</c:v>
                </c:pt>
                <c:pt idx="542">
                  <c:v>18</c:v>
                </c:pt>
                <c:pt idx="543">
                  <c:v>20</c:v>
                </c:pt>
                <c:pt idx="544">
                  <c:v>19</c:v>
                </c:pt>
                <c:pt idx="545">
                  <c:v>24</c:v>
                </c:pt>
                <c:pt idx="546">
                  <c:v>21</c:v>
                </c:pt>
                <c:pt idx="547">
                  <c:v>14</c:v>
                </c:pt>
                <c:pt idx="548">
                  <c:v>23</c:v>
                </c:pt>
                <c:pt idx="549">
                  <c:v>55</c:v>
                </c:pt>
                <c:pt idx="550">
                  <c:v>13</c:v>
                </c:pt>
                <c:pt idx="551">
                  <c:v>47</c:v>
                </c:pt>
                <c:pt idx="552">
                  <c:v>17</c:v>
                </c:pt>
                <c:pt idx="553">
                  <c:v>19</c:v>
                </c:pt>
                <c:pt idx="554">
                  <c:v>16</c:v>
                </c:pt>
                <c:pt idx="555">
                  <c:v>15</c:v>
                </c:pt>
                <c:pt idx="556">
                  <c:v>17</c:v>
                </c:pt>
                <c:pt idx="557">
                  <c:v>22</c:v>
                </c:pt>
                <c:pt idx="558">
                  <c:v>15</c:v>
                </c:pt>
                <c:pt idx="559">
                  <c:v>22</c:v>
                </c:pt>
                <c:pt idx="560">
                  <c:v>13</c:v>
                </c:pt>
                <c:pt idx="561">
                  <c:v>24</c:v>
                </c:pt>
                <c:pt idx="562">
                  <c:v>42</c:v>
                </c:pt>
                <c:pt idx="563">
                  <c:v>16</c:v>
                </c:pt>
                <c:pt idx="564">
                  <c:v>24</c:v>
                </c:pt>
                <c:pt idx="565">
                  <c:v>25</c:v>
                </c:pt>
                <c:pt idx="566">
                  <c:v>12</c:v>
                </c:pt>
                <c:pt idx="567">
                  <c:v>74</c:v>
                </c:pt>
                <c:pt idx="568">
                  <c:v>34</c:v>
                </c:pt>
                <c:pt idx="569">
                  <c:v>13</c:v>
                </c:pt>
                <c:pt idx="570">
                  <c:v>13</c:v>
                </c:pt>
                <c:pt idx="571">
                  <c:v>14</c:v>
                </c:pt>
                <c:pt idx="572">
                  <c:v>29</c:v>
                </c:pt>
                <c:pt idx="573">
                  <c:v>9</c:v>
                </c:pt>
                <c:pt idx="574">
                  <c:v>33</c:v>
                </c:pt>
                <c:pt idx="575">
                  <c:v>30</c:v>
                </c:pt>
                <c:pt idx="576">
                  <c:v>87</c:v>
                </c:pt>
                <c:pt idx="577">
                  <c:v>69</c:v>
                </c:pt>
                <c:pt idx="578">
                  <c:v>24</c:v>
                </c:pt>
                <c:pt idx="579">
                  <c:v>33</c:v>
                </c:pt>
                <c:pt idx="580">
                  <c:v>25</c:v>
                </c:pt>
                <c:pt idx="581">
                  <c:v>29</c:v>
                </c:pt>
                <c:pt idx="582">
                  <c:v>31</c:v>
                </c:pt>
                <c:pt idx="583">
                  <c:v>33</c:v>
                </c:pt>
                <c:pt idx="584">
                  <c:v>4</c:v>
                </c:pt>
                <c:pt idx="585">
                  <c:v>31</c:v>
                </c:pt>
                <c:pt idx="586">
                  <c:v>85</c:v>
                </c:pt>
                <c:pt idx="587">
                  <c:v>74</c:v>
                </c:pt>
                <c:pt idx="588">
                  <c:v>34</c:v>
                </c:pt>
                <c:pt idx="589">
                  <c:v>28</c:v>
                </c:pt>
                <c:pt idx="590">
                  <c:v>29</c:v>
                </c:pt>
                <c:pt idx="591">
                  <c:v>13</c:v>
                </c:pt>
                <c:pt idx="592">
                  <c:v>15</c:v>
                </c:pt>
                <c:pt idx="593">
                  <c:v>26</c:v>
                </c:pt>
                <c:pt idx="594">
                  <c:v>7</c:v>
                </c:pt>
                <c:pt idx="595">
                  <c:v>41</c:v>
                </c:pt>
                <c:pt idx="596">
                  <c:v>31</c:v>
                </c:pt>
                <c:pt idx="597">
                  <c:v>4</c:v>
                </c:pt>
                <c:pt idx="598">
                  <c:v>95</c:v>
                </c:pt>
                <c:pt idx="599">
                  <c:v>12</c:v>
                </c:pt>
                <c:pt idx="600">
                  <c:v>74</c:v>
                </c:pt>
                <c:pt idx="601">
                  <c:v>34</c:v>
                </c:pt>
                <c:pt idx="602">
                  <c:v>13</c:v>
                </c:pt>
                <c:pt idx="603">
                  <c:v>13</c:v>
                </c:pt>
                <c:pt idx="604">
                  <c:v>14</c:v>
                </c:pt>
                <c:pt idx="605">
                  <c:v>29</c:v>
                </c:pt>
                <c:pt idx="606">
                  <c:v>9</c:v>
                </c:pt>
                <c:pt idx="607">
                  <c:v>33</c:v>
                </c:pt>
                <c:pt idx="608">
                  <c:v>30</c:v>
                </c:pt>
                <c:pt idx="609">
                  <c:v>87</c:v>
                </c:pt>
                <c:pt idx="610">
                  <c:v>69</c:v>
                </c:pt>
                <c:pt idx="611">
                  <c:v>24</c:v>
                </c:pt>
                <c:pt idx="612">
                  <c:v>33</c:v>
                </c:pt>
                <c:pt idx="613">
                  <c:v>25</c:v>
                </c:pt>
                <c:pt idx="614">
                  <c:v>29</c:v>
                </c:pt>
                <c:pt idx="615">
                  <c:v>31</c:v>
                </c:pt>
                <c:pt idx="616">
                  <c:v>33</c:v>
                </c:pt>
                <c:pt idx="617">
                  <c:v>4</c:v>
                </c:pt>
                <c:pt idx="618">
                  <c:v>31</c:v>
                </c:pt>
                <c:pt idx="619">
                  <c:v>85</c:v>
                </c:pt>
                <c:pt idx="620">
                  <c:v>74</c:v>
                </c:pt>
                <c:pt idx="621">
                  <c:v>34</c:v>
                </c:pt>
                <c:pt idx="622">
                  <c:v>28</c:v>
                </c:pt>
                <c:pt idx="623">
                  <c:v>29</c:v>
                </c:pt>
                <c:pt idx="624">
                  <c:v>13</c:v>
                </c:pt>
                <c:pt idx="625">
                  <c:v>15</c:v>
                </c:pt>
                <c:pt idx="626">
                  <c:v>26</c:v>
                </c:pt>
                <c:pt idx="627">
                  <c:v>7</c:v>
                </c:pt>
                <c:pt idx="628">
                  <c:v>41</c:v>
                </c:pt>
                <c:pt idx="629">
                  <c:v>31</c:v>
                </c:pt>
                <c:pt idx="630">
                  <c:v>4</c:v>
                </c:pt>
                <c:pt idx="631">
                  <c:v>95</c:v>
                </c:pt>
                <c:pt idx="632">
                  <c:v>41</c:v>
                </c:pt>
                <c:pt idx="633">
                  <c:v>54</c:v>
                </c:pt>
                <c:pt idx="634">
                  <c:v>42</c:v>
                </c:pt>
                <c:pt idx="635">
                  <c:v>37</c:v>
                </c:pt>
                <c:pt idx="636">
                  <c:v>41</c:v>
                </c:pt>
                <c:pt idx="637">
                  <c:v>54</c:v>
                </c:pt>
                <c:pt idx="638">
                  <c:v>42</c:v>
                </c:pt>
                <c:pt idx="639">
                  <c:v>37</c:v>
                </c:pt>
                <c:pt idx="640">
                  <c:v>28</c:v>
                </c:pt>
                <c:pt idx="641">
                  <c:v>28</c:v>
                </c:pt>
                <c:pt idx="642">
                  <c:v>27</c:v>
                </c:pt>
                <c:pt idx="643">
                  <c:v>23</c:v>
                </c:pt>
                <c:pt idx="644">
                  <c:v>91</c:v>
                </c:pt>
                <c:pt idx="645">
                  <c:v>87</c:v>
                </c:pt>
                <c:pt idx="646">
                  <c:v>113</c:v>
                </c:pt>
                <c:pt idx="647">
                  <c:v>45</c:v>
                </c:pt>
                <c:pt idx="648">
                  <c:v>66</c:v>
                </c:pt>
                <c:pt idx="649">
                  <c:v>7</c:v>
                </c:pt>
                <c:pt idx="650">
                  <c:v>96</c:v>
                </c:pt>
                <c:pt idx="651">
                  <c:v>74</c:v>
                </c:pt>
                <c:pt idx="652">
                  <c:v>30</c:v>
                </c:pt>
                <c:pt idx="653">
                  <c:v>34</c:v>
                </c:pt>
                <c:pt idx="654">
                  <c:v>21</c:v>
                </c:pt>
                <c:pt idx="655">
                  <c:v>31</c:v>
                </c:pt>
                <c:pt idx="656">
                  <c:v>25</c:v>
                </c:pt>
                <c:pt idx="657">
                  <c:v>25</c:v>
                </c:pt>
                <c:pt idx="658">
                  <c:v>24</c:v>
                </c:pt>
                <c:pt idx="659">
                  <c:v>87</c:v>
                </c:pt>
                <c:pt idx="660">
                  <c:v>85</c:v>
                </c:pt>
                <c:pt idx="661">
                  <c:v>109</c:v>
                </c:pt>
                <c:pt idx="662">
                  <c:v>50</c:v>
                </c:pt>
                <c:pt idx="663">
                  <c:v>59</c:v>
                </c:pt>
                <c:pt idx="664">
                  <c:v>7</c:v>
                </c:pt>
                <c:pt idx="665">
                  <c:v>93</c:v>
                </c:pt>
                <c:pt idx="666">
                  <c:v>69</c:v>
                </c:pt>
                <c:pt idx="667">
                  <c:v>22</c:v>
                </c:pt>
                <c:pt idx="668">
                  <c:v>33</c:v>
                </c:pt>
                <c:pt idx="669">
                  <c:v>41</c:v>
                </c:pt>
                <c:pt idx="670">
                  <c:v>27</c:v>
                </c:pt>
                <c:pt idx="671">
                  <c:v>29</c:v>
                </c:pt>
                <c:pt idx="672">
                  <c:v>22</c:v>
                </c:pt>
                <c:pt idx="673">
                  <c:v>97</c:v>
                </c:pt>
                <c:pt idx="674">
                  <c:v>95</c:v>
                </c:pt>
                <c:pt idx="675">
                  <c:v>122</c:v>
                </c:pt>
                <c:pt idx="676">
                  <c:v>42</c:v>
                </c:pt>
                <c:pt idx="677">
                  <c:v>70</c:v>
                </c:pt>
                <c:pt idx="678">
                  <c:v>111</c:v>
                </c:pt>
                <c:pt idx="679">
                  <c:v>74</c:v>
                </c:pt>
                <c:pt idx="680">
                  <c:v>24</c:v>
                </c:pt>
                <c:pt idx="681">
                  <c:v>34</c:v>
                </c:pt>
                <c:pt idx="682">
                  <c:v>28</c:v>
                </c:pt>
                <c:pt idx="683">
                  <c:v>28</c:v>
                </c:pt>
                <c:pt idx="684">
                  <c:v>27</c:v>
                </c:pt>
                <c:pt idx="685">
                  <c:v>23</c:v>
                </c:pt>
                <c:pt idx="686">
                  <c:v>91</c:v>
                </c:pt>
                <c:pt idx="687">
                  <c:v>87</c:v>
                </c:pt>
                <c:pt idx="688">
                  <c:v>113</c:v>
                </c:pt>
                <c:pt idx="689">
                  <c:v>45</c:v>
                </c:pt>
                <c:pt idx="690">
                  <c:v>66</c:v>
                </c:pt>
                <c:pt idx="691">
                  <c:v>7</c:v>
                </c:pt>
                <c:pt idx="692">
                  <c:v>96</c:v>
                </c:pt>
                <c:pt idx="693">
                  <c:v>74</c:v>
                </c:pt>
                <c:pt idx="694">
                  <c:v>30</c:v>
                </c:pt>
                <c:pt idx="695">
                  <c:v>34</c:v>
                </c:pt>
                <c:pt idx="696">
                  <c:v>21</c:v>
                </c:pt>
                <c:pt idx="697">
                  <c:v>31</c:v>
                </c:pt>
                <c:pt idx="698">
                  <c:v>25</c:v>
                </c:pt>
                <c:pt idx="699">
                  <c:v>25</c:v>
                </c:pt>
                <c:pt idx="700">
                  <c:v>24</c:v>
                </c:pt>
                <c:pt idx="701">
                  <c:v>87</c:v>
                </c:pt>
                <c:pt idx="702">
                  <c:v>85</c:v>
                </c:pt>
                <c:pt idx="703">
                  <c:v>109</c:v>
                </c:pt>
                <c:pt idx="704">
                  <c:v>50</c:v>
                </c:pt>
                <c:pt idx="705">
                  <c:v>59</c:v>
                </c:pt>
                <c:pt idx="706">
                  <c:v>7</c:v>
                </c:pt>
                <c:pt idx="707">
                  <c:v>93</c:v>
                </c:pt>
                <c:pt idx="708">
                  <c:v>69</c:v>
                </c:pt>
                <c:pt idx="709">
                  <c:v>22</c:v>
                </c:pt>
                <c:pt idx="710">
                  <c:v>33</c:v>
                </c:pt>
                <c:pt idx="711">
                  <c:v>41</c:v>
                </c:pt>
                <c:pt idx="712">
                  <c:v>27</c:v>
                </c:pt>
                <c:pt idx="713">
                  <c:v>29</c:v>
                </c:pt>
                <c:pt idx="714">
                  <c:v>22</c:v>
                </c:pt>
                <c:pt idx="715">
                  <c:v>97</c:v>
                </c:pt>
                <c:pt idx="716">
                  <c:v>95</c:v>
                </c:pt>
                <c:pt idx="717">
                  <c:v>122</c:v>
                </c:pt>
                <c:pt idx="718">
                  <c:v>42</c:v>
                </c:pt>
                <c:pt idx="719">
                  <c:v>70</c:v>
                </c:pt>
                <c:pt idx="720">
                  <c:v>111</c:v>
                </c:pt>
                <c:pt idx="721">
                  <c:v>74</c:v>
                </c:pt>
                <c:pt idx="722">
                  <c:v>24</c:v>
                </c:pt>
                <c:pt idx="723">
                  <c:v>34</c:v>
                </c:pt>
                <c:pt idx="724">
                  <c:v>30</c:v>
                </c:pt>
                <c:pt idx="725">
                  <c:v>39</c:v>
                </c:pt>
                <c:pt idx="726">
                  <c:v>23</c:v>
                </c:pt>
                <c:pt idx="727">
                  <c:v>66</c:v>
                </c:pt>
                <c:pt idx="728">
                  <c:v>20</c:v>
                </c:pt>
                <c:pt idx="729">
                  <c:v>34</c:v>
                </c:pt>
                <c:pt idx="730">
                  <c:v>50</c:v>
                </c:pt>
                <c:pt idx="731">
                  <c:v>21</c:v>
                </c:pt>
                <c:pt idx="732">
                  <c:v>84</c:v>
                </c:pt>
                <c:pt idx="733">
                  <c:v>45</c:v>
                </c:pt>
                <c:pt idx="734">
                  <c:v>45</c:v>
                </c:pt>
                <c:pt idx="735">
                  <c:v>34</c:v>
                </c:pt>
                <c:pt idx="736">
                  <c:v>30</c:v>
                </c:pt>
                <c:pt idx="737">
                  <c:v>27</c:v>
                </c:pt>
                <c:pt idx="738">
                  <c:v>28</c:v>
                </c:pt>
                <c:pt idx="739">
                  <c:v>29</c:v>
                </c:pt>
                <c:pt idx="740">
                  <c:v>3</c:v>
                </c:pt>
                <c:pt idx="741">
                  <c:v>28</c:v>
                </c:pt>
                <c:pt idx="742">
                  <c:v>30</c:v>
                </c:pt>
                <c:pt idx="743">
                  <c:v>87</c:v>
                </c:pt>
                <c:pt idx="744">
                  <c:v>11</c:v>
                </c:pt>
                <c:pt idx="745">
                  <c:v>24</c:v>
                </c:pt>
                <c:pt idx="746">
                  <c:v>84</c:v>
                </c:pt>
                <c:pt idx="747">
                  <c:v>39</c:v>
                </c:pt>
                <c:pt idx="748">
                  <c:v>26</c:v>
                </c:pt>
                <c:pt idx="749">
                  <c:v>66</c:v>
                </c:pt>
                <c:pt idx="750">
                  <c:v>96</c:v>
                </c:pt>
                <c:pt idx="751">
                  <c:v>9</c:v>
                </c:pt>
                <c:pt idx="752">
                  <c:v>22</c:v>
                </c:pt>
                <c:pt idx="753">
                  <c:v>36</c:v>
                </c:pt>
                <c:pt idx="754">
                  <c:v>24</c:v>
                </c:pt>
                <c:pt idx="755">
                  <c:v>59</c:v>
                </c:pt>
                <c:pt idx="756">
                  <c:v>33</c:v>
                </c:pt>
                <c:pt idx="757">
                  <c:v>57</c:v>
                </c:pt>
                <c:pt idx="758">
                  <c:v>14</c:v>
                </c:pt>
                <c:pt idx="759">
                  <c:v>75</c:v>
                </c:pt>
                <c:pt idx="760">
                  <c:v>50</c:v>
                </c:pt>
                <c:pt idx="761">
                  <c:v>50</c:v>
                </c:pt>
                <c:pt idx="762">
                  <c:v>33</c:v>
                </c:pt>
                <c:pt idx="763">
                  <c:v>22</c:v>
                </c:pt>
                <c:pt idx="764">
                  <c:v>25</c:v>
                </c:pt>
                <c:pt idx="765">
                  <c:v>24</c:v>
                </c:pt>
                <c:pt idx="766">
                  <c:v>31</c:v>
                </c:pt>
                <c:pt idx="767">
                  <c:v>29</c:v>
                </c:pt>
                <c:pt idx="768">
                  <c:v>3</c:v>
                </c:pt>
                <c:pt idx="769">
                  <c:v>25</c:v>
                </c:pt>
                <c:pt idx="770">
                  <c:v>4</c:v>
                </c:pt>
                <c:pt idx="771">
                  <c:v>31</c:v>
                </c:pt>
                <c:pt idx="772">
                  <c:v>85</c:v>
                </c:pt>
                <c:pt idx="773">
                  <c:v>15</c:v>
                </c:pt>
                <c:pt idx="774">
                  <c:v>23</c:v>
                </c:pt>
                <c:pt idx="775">
                  <c:v>75</c:v>
                </c:pt>
                <c:pt idx="776">
                  <c:v>36</c:v>
                </c:pt>
                <c:pt idx="777">
                  <c:v>59</c:v>
                </c:pt>
                <c:pt idx="778">
                  <c:v>93</c:v>
                </c:pt>
                <c:pt idx="779">
                  <c:v>24</c:v>
                </c:pt>
                <c:pt idx="780">
                  <c:v>40</c:v>
                </c:pt>
                <c:pt idx="781">
                  <c:v>22</c:v>
                </c:pt>
                <c:pt idx="782">
                  <c:v>70</c:v>
                </c:pt>
                <c:pt idx="783">
                  <c:v>34</c:v>
                </c:pt>
                <c:pt idx="784">
                  <c:v>73</c:v>
                </c:pt>
                <c:pt idx="785">
                  <c:v>15</c:v>
                </c:pt>
                <c:pt idx="786">
                  <c:v>81</c:v>
                </c:pt>
                <c:pt idx="787">
                  <c:v>42</c:v>
                </c:pt>
                <c:pt idx="788">
                  <c:v>42</c:v>
                </c:pt>
                <c:pt idx="789">
                  <c:v>34</c:v>
                </c:pt>
                <c:pt idx="790">
                  <c:v>24</c:v>
                </c:pt>
                <c:pt idx="791">
                  <c:v>29</c:v>
                </c:pt>
                <c:pt idx="792">
                  <c:v>41</c:v>
                </c:pt>
                <c:pt idx="793">
                  <c:v>26</c:v>
                </c:pt>
                <c:pt idx="794">
                  <c:v>3</c:v>
                </c:pt>
                <c:pt idx="795">
                  <c:v>27</c:v>
                </c:pt>
                <c:pt idx="796">
                  <c:v>25</c:v>
                </c:pt>
                <c:pt idx="797">
                  <c:v>95</c:v>
                </c:pt>
                <c:pt idx="798">
                  <c:v>14</c:v>
                </c:pt>
                <c:pt idx="799">
                  <c:v>24</c:v>
                </c:pt>
                <c:pt idx="800">
                  <c:v>81</c:v>
                </c:pt>
                <c:pt idx="801">
                  <c:v>40</c:v>
                </c:pt>
                <c:pt idx="802">
                  <c:v>70</c:v>
                </c:pt>
                <c:pt idx="803">
                  <c:v>111</c:v>
                </c:pt>
                <c:pt idx="804">
                  <c:v>7</c:v>
                </c:pt>
                <c:pt idx="805">
                  <c:v>30</c:v>
                </c:pt>
                <c:pt idx="806">
                  <c:v>39</c:v>
                </c:pt>
                <c:pt idx="807">
                  <c:v>23</c:v>
                </c:pt>
                <c:pt idx="808">
                  <c:v>66</c:v>
                </c:pt>
                <c:pt idx="809">
                  <c:v>20</c:v>
                </c:pt>
                <c:pt idx="810">
                  <c:v>34</c:v>
                </c:pt>
                <c:pt idx="811">
                  <c:v>50</c:v>
                </c:pt>
                <c:pt idx="812">
                  <c:v>21</c:v>
                </c:pt>
                <c:pt idx="813">
                  <c:v>84</c:v>
                </c:pt>
                <c:pt idx="814">
                  <c:v>45</c:v>
                </c:pt>
                <c:pt idx="815">
                  <c:v>45</c:v>
                </c:pt>
                <c:pt idx="816">
                  <c:v>34</c:v>
                </c:pt>
                <c:pt idx="817">
                  <c:v>30</c:v>
                </c:pt>
                <c:pt idx="818">
                  <c:v>27</c:v>
                </c:pt>
                <c:pt idx="819">
                  <c:v>28</c:v>
                </c:pt>
                <c:pt idx="820">
                  <c:v>29</c:v>
                </c:pt>
                <c:pt idx="821">
                  <c:v>3</c:v>
                </c:pt>
                <c:pt idx="822">
                  <c:v>28</c:v>
                </c:pt>
                <c:pt idx="823">
                  <c:v>30</c:v>
                </c:pt>
                <c:pt idx="824">
                  <c:v>87</c:v>
                </c:pt>
                <c:pt idx="825">
                  <c:v>11</c:v>
                </c:pt>
                <c:pt idx="826">
                  <c:v>24</c:v>
                </c:pt>
                <c:pt idx="827">
                  <c:v>84</c:v>
                </c:pt>
                <c:pt idx="828">
                  <c:v>39</c:v>
                </c:pt>
                <c:pt idx="829">
                  <c:v>26</c:v>
                </c:pt>
                <c:pt idx="830">
                  <c:v>66</c:v>
                </c:pt>
                <c:pt idx="831">
                  <c:v>96</c:v>
                </c:pt>
                <c:pt idx="832">
                  <c:v>9</c:v>
                </c:pt>
                <c:pt idx="833">
                  <c:v>22</c:v>
                </c:pt>
                <c:pt idx="834">
                  <c:v>36</c:v>
                </c:pt>
                <c:pt idx="835">
                  <c:v>24</c:v>
                </c:pt>
                <c:pt idx="836">
                  <c:v>59</c:v>
                </c:pt>
                <c:pt idx="837">
                  <c:v>33</c:v>
                </c:pt>
                <c:pt idx="838">
                  <c:v>57</c:v>
                </c:pt>
                <c:pt idx="839">
                  <c:v>14</c:v>
                </c:pt>
                <c:pt idx="840">
                  <c:v>75</c:v>
                </c:pt>
                <c:pt idx="841">
                  <c:v>50</c:v>
                </c:pt>
                <c:pt idx="842">
                  <c:v>50</c:v>
                </c:pt>
                <c:pt idx="843">
                  <c:v>33</c:v>
                </c:pt>
                <c:pt idx="844">
                  <c:v>22</c:v>
                </c:pt>
                <c:pt idx="845">
                  <c:v>25</c:v>
                </c:pt>
                <c:pt idx="846">
                  <c:v>24</c:v>
                </c:pt>
                <c:pt idx="847">
                  <c:v>31</c:v>
                </c:pt>
                <c:pt idx="848">
                  <c:v>29</c:v>
                </c:pt>
                <c:pt idx="849">
                  <c:v>3</c:v>
                </c:pt>
                <c:pt idx="850">
                  <c:v>25</c:v>
                </c:pt>
                <c:pt idx="851">
                  <c:v>4</c:v>
                </c:pt>
                <c:pt idx="852">
                  <c:v>31</c:v>
                </c:pt>
                <c:pt idx="853">
                  <c:v>85</c:v>
                </c:pt>
                <c:pt idx="854">
                  <c:v>15</c:v>
                </c:pt>
                <c:pt idx="855">
                  <c:v>23</c:v>
                </c:pt>
                <c:pt idx="856">
                  <c:v>75</c:v>
                </c:pt>
                <c:pt idx="857">
                  <c:v>36</c:v>
                </c:pt>
                <c:pt idx="858">
                  <c:v>59</c:v>
                </c:pt>
                <c:pt idx="859">
                  <c:v>93</c:v>
                </c:pt>
                <c:pt idx="860">
                  <c:v>24</c:v>
                </c:pt>
                <c:pt idx="861">
                  <c:v>40</c:v>
                </c:pt>
                <c:pt idx="862">
                  <c:v>22</c:v>
                </c:pt>
                <c:pt idx="863">
                  <c:v>70</c:v>
                </c:pt>
                <c:pt idx="864">
                  <c:v>34</c:v>
                </c:pt>
                <c:pt idx="865">
                  <c:v>73</c:v>
                </c:pt>
                <c:pt idx="866">
                  <c:v>15</c:v>
                </c:pt>
                <c:pt idx="867">
                  <c:v>81</c:v>
                </c:pt>
                <c:pt idx="868">
                  <c:v>42</c:v>
                </c:pt>
                <c:pt idx="869">
                  <c:v>42</c:v>
                </c:pt>
                <c:pt idx="870">
                  <c:v>34</c:v>
                </c:pt>
                <c:pt idx="871">
                  <c:v>24</c:v>
                </c:pt>
                <c:pt idx="872">
                  <c:v>29</c:v>
                </c:pt>
                <c:pt idx="873">
                  <c:v>41</c:v>
                </c:pt>
                <c:pt idx="874">
                  <c:v>26</c:v>
                </c:pt>
                <c:pt idx="875">
                  <c:v>3</c:v>
                </c:pt>
                <c:pt idx="876">
                  <c:v>27</c:v>
                </c:pt>
                <c:pt idx="877">
                  <c:v>25</c:v>
                </c:pt>
                <c:pt idx="878">
                  <c:v>95</c:v>
                </c:pt>
                <c:pt idx="879">
                  <c:v>14</c:v>
                </c:pt>
                <c:pt idx="880">
                  <c:v>24</c:v>
                </c:pt>
                <c:pt idx="881">
                  <c:v>81</c:v>
                </c:pt>
                <c:pt idx="882">
                  <c:v>40</c:v>
                </c:pt>
                <c:pt idx="883">
                  <c:v>70</c:v>
                </c:pt>
                <c:pt idx="884">
                  <c:v>111</c:v>
                </c:pt>
                <c:pt idx="885">
                  <c:v>7</c:v>
                </c:pt>
                <c:pt idx="886">
                  <c:v>50</c:v>
                </c:pt>
                <c:pt idx="887">
                  <c:v>84</c:v>
                </c:pt>
                <c:pt idx="888">
                  <c:v>39</c:v>
                </c:pt>
                <c:pt idx="889">
                  <c:v>91</c:v>
                </c:pt>
                <c:pt idx="890">
                  <c:v>66</c:v>
                </c:pt>
                <c:pt idx="891">
                  <c:v>113</c:v>
                </c:pt>
                <c:pt idx="892">
                  <c:v>30</c:v>
                </c:pt>
                <c:pt idx="893">
                  <c:v>74</c:v>
                </c:pt>
                <c:pt idx="894">
                  <c:v>34</c:v>
                </c:pt>
                <c:pt idx="895">
                  <c:v>13</c:v>
                </c:pt>
                <c:pt idx="896">
                  <c:v>30</c:v>
                </c:pt>
                <c:pt idx="897">
                  <c:v>87</c:v>
                </c:pt>
                <c:pt idx="898">
                  <c:v>45</c:v>
                </c:pt>
                <c:pt idx="899">
                  <c:v>24</c:v>
                </c:pt>
                <c:pt idx="900">
                  <c:v>46</c:v>
                </c:pt>
                <c:pt idx="901">
                  <c:v>20</c:v>
                </c:pt>
                <c:pt idx="902">
                  <c:v>19</c:v>
                </c:pt>
                <c:pt idx="903">
                  <c:v>15</c:v>
                </c:pt>
                <c:pt idx="904">
                  <c:v>21</c:v>
                </c:pt>
                <c:pt idx="905">
                  <c:v>7</c:v>
                </c:pt>
                <c:pt idx="906">
                  <c:v>5</c:v>
                </c:pt>
                <c:pt idx="907">
                  <c:v>33</c:v>
                </c:pt>
                <c:pt idx="908">
                  <c:v>113</c:v>
                </c:pt>
                <c:pt idx="909">
                  <c:v>41</c:v>
                </c:pt>
                <c:pt idx="910">
                  <c:v>50</c:v>
                </c:pt>
                <c:pt idx="911">
                  <c:v>29</c:v>
                </c:pt>
                <c:pt idx="912">
                  <c:v>39</c:v>
                </c:pt>
                <c:pt idx="913">
                  <c:v>26</c:v>
                </c:pt>
                <c:pt idx="914">
                  <c:v>84</c:v>
                </c:pt>
                <c:pt idx="915">
                  <c:v>5</c:v>
                </c:pt>
                <c:pt idx="916">
                  <c:v>66</c:v>
                </c:pt>
                <c:pt idx="917">
                  <c:v>96</c:v>
                </c:pt>
                <c:pt idx="918">
                  <c:v>9</c:v>
                </c:pt>
                <c:pt idx="919">
                  <c:v>57</c:v>
                </c:pt>
                <c:pt idx="920">
                  <c:v>75</c:v>
                </c:pt>
                <c:pt idx="921">
                  <c:v>36</c:v>
                </c:pt>
                <c:pt idx="922">
                  <c:v>87</c:v>
                </c:pt>
                <c:pt idx="923">
                  <c:v>59</c:v>
                </c:pt>
                <c:pt idx="924">
                  <c:v>109</c:v>
                </c:pt>
                <c:pt idx="925">
                  <c:v>22</c:v>
                </c:pt>
                <c:pt idx="926">
                  <c:v>69</c:v>
                </c:pt>
                <c:pt idx="927">
                  <c:v>33</c:v>
                </c:pt>
                <c:pt idx="928">
                  <c:v>31</c:v>
                </c:pt>
                <c:pt idx="929">
                  <c:v>85</c:v>
                </c:pt>
                <c:pt idx="930">
                  <c:v>50</c:v>
                </c:pt>
                <c:pt idx="931">
                  <c:v>21</c:v>
                </c:pt>
                <c:pt idx="932">
                  <c:v>17</c:v>
                </c:pt>
                <c:pt idx="933">
                  <c:v>20</c:v>
                </c:pt>
                <c:pt idx="934">
                  <c:v>4</c:v>
                </c:pt>
                <c:pt idx="935">
                  <c:v>33</c:v>
                </c:pt>
                <c:pt idx="936">
                  <c:v>109</c:v>
                </c:pt>
                <c:pt idx="937">
                  <c:v>42</c:v>
                </c:pt>
                <c:pt idx="938">
                  <c:v>57</c:v>
                </c:pt>
                <c:pt idx="939">
                  <c:v>29</c:v>
                </c:pt>
                <c:pt idx="940">
                  <c:v>36</c:v>
                </c:pt>
                <c:pt idx="941">
                  <c:v>75</c:v>
                </c:pt>
                <c:pt idx="942">
                  <c:v>59</c:v>
                </c:pt>
                <c:pt idx="943">
                  <c:v>25</c:v>
                </c:pt>
                <c:pt idx="944">
                  <c:v>93</c:v>
                </c:pt>
                <c:pt idx="945">
                  <c:v>31</c:v>
                </c:pt>
                <c:pt idx="946">
                  <c:v>73</c:v>
                </c:pt>
                <c:pt idx="947">
                  <c:v>81</c:v>
                </c:pt>
                <c:pt idx="948">
                  <c:v>40</c:v>
                </c:pt>
                <c:pt idx="949">
                  <c:v>97</c:v>
                </c:pt>
                <c:pt idx="950">
                  <c:v>70</c:v>
                </c:pt>
                <c:pt idx="951">
                  <c:v>122</c:v>
                </c:pt>
                <c:pt idx="952">
                  <c:v>24</c:v>
                </c:pt>
                <c:pt idx="953">
                  <c:v>74</c:v>
                </c:pt>
                <c:pt idx="954">
                  <c:v>34</c:v>
                </c:pt>
                <c:pt idx="955">
                  <c:v>25</c:v>
                </c:pt>
                <c:pt idx="956">
                  <c:v>95</c:v>
                </c:pt>
                <c:pt idx="957">
                  <c:v>42</c:v>
                </c:pt>
                <c:pt idx="958">
                  <c:v>24</c:v>
                </c:pt>
                <c:pt idx="959">
                  <c:v>19</c:v>
                </c:pt>
                <c:pt idx="960">
                  <c:v>23</c:v>
                </c:pt>
                <c:pt idx="961">
                  <c:v>4</c:v>
                </c:pt>
                <c:pt idx="962">
                  <c:v>31</c:v>
                </c:pt>
                <c:pt idx="963">
                  <c:v>122</c:v>
                </c:pt>
                <c:pt idx="964">
                  <c:v>37</c:v>
                </c:pt>
                <c:pt idx="965">
                  <c:v>73</c:v>
                </c:pt>
                <c:pt idx="966">
                  <c:v>26</c:v>
                </c:pt>
                <c:pt idx="967">
                  <c:v>40</c:v>
                </c:pt>
                <c:pt idx="968">
                  <c:v>81</c:v>
                </c:pt>
                <c:pt idx="969">
                  <c:v>70</c:v>
                </c:pt>
                <c:pt idx="970">
                  <c:v>29</c:v>
                </c:pt>
                <c:pt idx="971">
                  <c:v>111</c:v>
                </c:pt>
                <c:pt idx="972">
                  <c:v>41</c:v>
                </c:pt>
                <c:pt idx="973">
                  <c:v>7</c:v>
                </c:pt>
                <c:pt idx="974">
                  <c:v>50</c:v>
                </c:pt>
                <c:pt idx="975">
                  <c:v>84</c:v>
                </c:pt>
                <c:pt idx="976">
                  <c:v>39</c:v>
                </c:pt>
                <c:pt idx="977">
                  <c:v>91</c:v>
                </c:pt>
                <c:pt idx="978">
                  <c:v>66</c:v>
                </c:pt>
                <c:pt idx="979">
                  <c:v>113</c:v>
                </c:pt>
                <c:pt idx="980">
                  <c:v>30</c:v>
                </c:pt>
                <c:pt idx="981">
                  <c:v>74</c:v>
                </c:pt>
                <c:pt idx="982">
                  <c:v>34</c:v>
                </c:pt>
                <c:pt idx="983">
                  <c:v>13</c:v>
                </c:pt>
                <c:pt idx="984">
                  <c:v>30</c:v>
                </c:pt>
                <c:pt idx="985">
                  <c:v>87</c:v>
                </c:pt>
                <c:pt idx="986">
                  <c:v>45</c:v>
                </c:pt>
                <c:pt idx="987">
                  <c:v>24</c:v>
                </c:pt>
                <c:pt idx="988">
                  <c:v>46</c:v>
                </c:pt>
                <c:pt idx="989">
                  <c:v>20</c:v>
                </c:pt>
                <c:pt idx="990">
                  <c:v>19</c:v>
                </c:pt>
                <c:pt idx="991">
                  <c:v>15</c:v>
                </c:pt>
                <c:pt idx="992">
                  <c:v>21</c:v>
                </c:pt>
                <c:pt idx="993">
                  <c:v>7</c:v>
                </c:pt>
                <c:pt idx="994">
                  <c:v>5</c:v>
                </c:pt>
                <c:pt idx="995">
                  <c:v>33</c:v>
                </c:pt>
                <c:pt idx="996">
                  <c:v>113</c:v>
                </c:pt>
                <c:pt idx="997">
                  <c:v>41</c:v>
                </c:pt>
                <c:pt idx="998">
                  <c:v>50</c:v>
                </c:pt>
                <c:pt idx="999">
                  <c:v>29</c:v>
                </c:pt>
                <c:pt idx="1000">
                  <c:v>39</c:v>
                </c:pt>
                <c:pt idx="1001">
                  <c:v>26</c:v>
                </c:pt>
                <c:pt idx="1002">
                  <c:v>84</c:v>
                </c:pt>
                <c:pt idx="1003">
                  <c:v>5</c:v>
                </c:pt>
                <c:pt idx="1004">
                  <c:v>66</c:v>
                </c:pt>
                <c:pt idx="1005">
                  <c:v>96</c:v>
                </c:pt>
                <c:pt idx="1006">
                  <c:v>9</c:v>
                </c:pt>
                <c:pt idx="1007">
                  <c:v>57</c:v>
                </c:pt>
                <c:pt idx="1008">
                  <c:v>75</c:v>
                </c:pt>
                <c:pt idx="1009">
                  <c:v>36</c:v>
                </c:pt>
                <c:pt idx="1010">
                  <c:v>87</c:v>
                </c:pt>
                <c:pt idx="1011">
                  <c:v>59</c:v>
                </c:pt>
                <c:pt idx="1012">
                  <c:v>109</c:v>
                </c:pt>
                <c:pt idx="1013">
                  <c:v>22</c:v>
                </c:pt>
                <c:pt idx="1014">
                  <c:v>69</c:v>
                </c:pt>
                <c:pt idx="1015">
                  <c:v>33</c:v>
                </c:pt>
                <c:pt idx="1016">
                  <c:v>31</c:v>
                </c:pt>
                <c:pt idx="1017">
                  <c:v>85</c:v>
                </c:pt>
                <c:pt idx="1018">
                  <c:v>50</c:v>
                </c:pt>
                <c:pt idx="1019">
                  <c:v>21</c:v>
                </c:pt>
                <c:pt idx="1020">
                  <c:v>17</c:v>
                </c:pt>
                <c:pt idx="1021">
                  <c:v>20</c:v>
                </c:pt>
                <c:pt idx="1022">
                  <c:v>4</c:v>
                </c:pt>
                <c:pt idx="1023">
                  <c:v>33</c:v>
                </c:pt>
                <c:pt idx="1024">
                  <c:v>109</c:v>
                </c:pt>
                <c:pt idx="1025">
                  <c:v>42</c:v>
                </c:pt>
                <c:pt idx="1026">
                  <c:v>57</c:v>
                </c:pt>
                <c:pt idx="1027">
                  <c:v>29</c:v>
                </c:pt>
                <c:pt idx="1028">
                  <c:v>36</c:v>
                </c:pt>
                <c:pt idx="1029">
                  <c:v>75</c:v>
                </c:pt>
                <c:pt idx="1030">
                  <c:v>59</c:v>
                </c:pt>
                <c:pt idx="1031">
                  <c:v>25</c:v>
                </c:pt>
                <c:pt idx="1032">
                  <c:v>93</c:v>
                </c:pt>
                <c:pt idx="1033">
                  <c:v>31</c:v>
                </c:pt>
                <c:pt idx="1034">
                  <c:v>73</c:v>
                </c:pt>
                <c:pt idx="1035">
                  <c:v>81</c:v>
                </c:pt>
                <c:pt idx="1036">
                  <c:v>40</c:v>
                </c:pt>
                <c:pt idx="1037">
                  <c:v>97</c:v>
                </c:pt>
                <c:pt idx="1038">
                  <c:v>70</c:v>
                </c:pt>
                <c:pt idx="1039">
                  <c:v>122</c:v>
                </c:pt>
                <c:pt idx="1040">
                  <c:v>24</c:v>
                </c:pt>
                <c:pt idx="1041">
                  <c:v>74</c:v>
                </c:pt>
                <c:pt idx="1042">
                  <c:v>34</c:v>
                </c:pt>
                <c:pt idx="1043">
                  <c:v>25</c:v>
                </c:pt>
                <c:pt idx="1044">
                  <c:v>95</c:v>
                </c:pt>
                <c:pt idx="1045">
                  <c:v>42</c:v>
                </c:pt>
                <c:pt idx="1046">
                  <c:v>24</c:v>
                </c:pt>
                <c:pt idx="1047">
                  <c:v>19</c:v>
                </c:pt>
                <c:pt idx="1048">
                  <c:v>23</c:v>
                </c:pt>
                <c:pt idx="1049">
                  <c:v>4</c:v>
                </c:pt>
                <c:pt idx="1050">
                  <c:v>31</c:v>
                </c:pt>
                <c:pt idx="1051">
                  <c:v>122</c:v>
                </c:pt>
                <c:pt idx="1052">
                  <c:v>37</c:v>
                </c:pt>
                <c:pt idx="1053">
                  <c:v>73</c:v>
                </c:pt>
                <c:pt idx="1054">
                  <c:v>26</c:v>
                </c:pt>
                <c:pt idx="1055">
                  <c:v>40</c:v>
                </c:pt>
                <c:pt idx="1056">
                  <c:v>81</c:v>
                </c:pt>
                <c:pt idx="1057">
                  <c:v>70</c:v>
                </c:pt>
                <c:pt idx="1058">
                  <c:v>29</c:v>
                </c:pt>
                <c:pt idx="1059">
                  <c:v>111</c:v>
                </c:pt>
                <c:pt idx="1060">
                  <c:v>41</c:v>
                </c:pt>
                <c:pt idx="1061">
                  <c:v>7</c:v>
                </c:pt>
              </c:numCache>
            </c:numRef>
          </c:xVal>
          <c:yVal>
            <c:numRef>
              <c:f>'KPIs Section'!$R$2:$R$1063</c:f>
              <c:numCache>
                <c:formatCode>General</c:formatCode>
                <c:ptCount val="1062"/>
                <c:pt idx="0">
                  <c:v>122</c:v>
                </c:pt>
                <c:pt idx="1">
                  <c:v>123</c:v>
                </c:pt>
                <c:pt idx="2">
                  <c:v>107</c:v>
                </c:pt>
                <c:pt idx="3">
                  <c:v>94</c:v>
                </c:pt>
                <c:pt idx="4">
                  <c:v>182</c:v>
                </c:pt>
                <c:pt idx="5">
                  <c:v>43</c:v>
                </c:pt>
                <c:pt idx="6">
                  <c:v>111</c:v>
                </c:pt>
                <c:pt idx="7">
                  <c:v>66</c:v>
                </c:pt>
                <c:pt idx="8">
                  <c:v>68</c:v>
                </c:pt>
                <c:pt idx="9">
                  <c:v>99</c:v>
                </c:pt>
                <c:pt idx="10">
                  <c:v>120</c:v>
                </c:pt>
                <c:pt idx="11">
                  <c:v>114</c:v>
                </c:pt>
                <c:pt idx="12">
                  <c:v>109</c:v>
                </c:pt>
                <c:pt idx="13">
                  <c:v>144</c:v>
                </c:pt>
                <c:pt idx="14">
                  <c:v>77</c:v>
                </c:pt>
                <c:pt idx="15">
                  <c:v>120</c:v>
                </c:pt>
                <c:pt idx="16">
                  <c:v>109</c:v>
                </c:pt>
                <c:pt idx="17">
                  <c:v>118</c:v>
                </c:pt>
                <c:pt idx="18">
                  <c:v>120</c:v>
                </c:pt>
                <c:pt idx="19">
                  <c:v>119</c:v>
                </c:pt>
                <c:pt idx="20">
                  <c:v>99</c:v>
                </c:pt>
                <c:pt idx="21">
                  <c:v>205</c:v>
                </c:pt>
                <c:pt idx="22">
                  <c:v>218</c:v>
                </c:pt>
                <c:pt idx="23">
                  <c:v>92</c:v>
                </c:pt>
                <c:pt idx="24">
                  <c:v>123</c:v>
                </c:pt>
                <c:pt idx="25">
                  <c:v>92</c:v>
                </c:pt>
                <c:pt idx="26">
                  <c:v>120</c:v>
                </c:pt>
                <c:pt idx="27">
                  <c:v>164</c:v>
                </c:pt>
                <c:pt idx="28">
                  <c:v>114</c:v>
                </c:pt>
                <c:pt idx="29">
                  <c:v>124</c:v>
                </c:pt>
                <c:pt idx="30">
                  <c:v>123</c:v>
                </c:pt>
                <c:pt idx="31">
                  <c:v>125</c:v>
                </c:pt>
                <c:pt idx="32">
                  <c:v>88</c:v>
                </c:pt>
                <c:pt idx="33">
                  <c:v>81</c:v>
                </c:pt>
                <c:pt idx="34">
                  <c:v>78</c:v>
                </c:pt>
                <c:pt idx="35">
                  <c:v>88</c:v>
                </c:pt>
                <c:pt idx="36">
                  <c:v>120</c:v>
                </c:pt>
                <c:pt idx="37">
                  <c:v>121</c:v>
                </c:pt>
                <c:pt idx="38">
                  <c:v>113</c:v>
                </c:pt>
                <c:pt idx="39">
                  <c:v>109</c:v>
                </c:pt>
                <c:pt idx="40">
                  <c:v>106</c:v>
                </c:pt>
                <c:pt idx="41">
                  <c:v>141</c:v>
                </c:pt>
                <c:pt idx="42">
                  <c:v>121</c:v>
                </c:pt>
                <c:pt idx="43">
                  <c:v>121</c:v>
                </c:pt>
                <c:pt idx="44">
                  <c:v>113</c:v>
                </c:pt>
                <c:pt idx="45">
                  <c:v>109</c:v>
                </c:pt>
                <c:pt idx="46">
                  <c:v>115</c:v>
                </c:pt>
                <c:pt idx="47">
                  <c:v>90</c:v>
                </c:pt>
                <c:pt idx="48">
                  <c:v>147</c:v>
                </c:pt>
                <c:pt idx="49">
                  <c:v>99</c:v>
                </c:pt>
                <c:pt idx="50">
                  <c:v>133</c:v>
                </c:pt>
                <c:pt idx="51">
                  <c:v>112</c:v>
                </c:pt>
                <c:pt idx="52">
                  <c:v>127</c:v>
                </c:pt>
                <c:pt idx="53">
                  <c:v>145</c:v>
                </c:pt>
                <c:pt idx="54">
                  <c:v>176</c:v>
                </c:pt>
                <c:pt idx="55">
                  <c:v>127</c:v>
                </c:pt>
                <c:pt idx="56">
                  <c:v>101</c:v>
                </c:pt>
                <c:pt idx="57">
                  <c:v>133</c:v>
                </c:pt>
                <c:pt idx="58">
                  <c:v>77</c:v>
                </c:pt>
                <c:pt idx="59">
                  <c:v>85</c:v>
                </c:pt>
                <c:pt idx="60">
                  <c:v>82</c:v>
                </c:pt>
                <c:pt idx="61">
                  <c:v>122</c:v>
                </c:pt>
                <c:pt idx="62">
                  <c:v>131</c:v>
                </c:pt>
                <c:pt idx="63">
                  <c:v>118</c:v>
                </c:pt>
                <c:pt idx="64">
                  <c:v>88</c:v>
                </c:pt>
                <c:pt idx="65">
                  <c:v>118</c:v>
                </c:pt>
                <c:pt idx="66">
                  <c:v>107</c:v>
                </c:pt>
                <c:pt idx="67">
                  <c:v>160</c:v>
                </c:pt>
                <c:pt idx="68">
                  <c:v>153</c:v>
                </c:pt>
                <c:pt idx="69">
                  <c:v>139</c:v>
                </c:pt>
                <c:pt idx="70">
                  <c:v>160</c:v>
                </c:pt>
                <c:pt idx="71">
                  <c:v>131</c:v>
                </c:pt>
                <c:pt idx="72">
                  <c:v>130</c:v>
                </c:pt>
                <c:pt idx="73">
                  <c:v>131</c:v>
                </c:pt>
                <c:pt idx="74">
                  <c:v>114</c:v>
                </c:pt>
                <c:pt idx="75">
                  <c:v>100</c:v>
                </c:pt>
                <c:pt idx="76">
                  <c:v>194</c:v>
                </c:pt>
                <c:pt idx="77">
                  <c:v>46</c:v>
                </c:pt>
                <c:pt idx="78">
                  <c:v>118</c:v>
                </c:pt>
                <c:pt idx="79">
                  <c:v>70</c:v>
                </c:pt>
                <c:pt idx="80">
                  <c:v>72</c:v>
                </c:pt>
                <c:pt idx="81">
                  <c:v>106</c:v>
                </c:pt>
                <c:pt idx="82">
                  <c:v>128</c:v>
                </c:pt>
                <c:pt idx="83">
                  <c:v>121</c:v>
                </c:pt>
                <c:pt idx="84">
                  <c:v>116</c:v>
                </c:pt>
                <c:pt idx="85">
                  <c:v>153</c:v>
                </c:pt>
                <c:pt idx="86">
                  <c:v>82</c:v>
                </c:pt>
                <c:pt idx="87">
                  <c:v>128</c:v>
                </c:pt>
                <c:pt idx="88">
                  <c:v>116</c:v>
                </c:pt>
                <c:pt idx="89">
                  <c:v>126</c:v>
                </c:pt>
                <c:pt idx="90">
                  <c:v>128</c:v>
                </c:pt>
                <c:pt idx="91">
                  <c:v>127</c:v>
                </c:pt>
                <c:pt idx="92">
                  <c:v>106</c:v>
                </c:pt>
                <c:pt idx="93">
                  <c:v>218</c:v>
                </c:pt>
                <c:pt idx="94">
                  <c:v>232</c:v>
                </c:pt>
                <c:pt idx="95">
                  <c:v>98</c:v>
                </c:pt>
                <c:pt idx="96">
                  <c:v>131</c:v>
                </c:pt>
                <c:pt idx="97">
                  <c:v>98</c:v>
                </c:pt>
                <c:pt idx="98">
                  <c:v>128</c:v>
                </c:pt>
                <c:pt idx="99">
                  <c:v>175</c:v>
                </c:pt>
                <c:pt idx="100">
                  <c:v>121</c:v>
                </c:pt>
                <c:pt idx="101">
                  <c:v>132</c:v>
                </c:pt>
                <c:pt idx="102">
                  <c:v>131</c:v>
                </c:pt>
                <c:pt idx="103">
                  <c:v>133</c:v>
                </c:pt>
                <c:pt idx="104">
                  <c:v>94</c:v>
                </c:pt>
                <c:pt idx="105">
                  <c:v>86</c:v>
                </c:pt>
                <c:pt idx="106">
                  <c:v>83</c:v>
                </c:pt>
                <c:pt idx="107">
                  <c:v>94</c:v>
                </c:pt>
                <c:pt idx="108">
                  <c:v>128</c:v>
                </c:pt>
                <c:pt idx="109">
                  <c:v>129</c:v>
                </c:pt>
                <c:pt idx="110">
                  <c:v>120</c:v>
                </c:pt>
                <c:pt idx="111">
                  <c:v>116</c:v>
                </c:pt>
                <c:pt idx="112">
                  <c:v>113</c:v>
                </c:pt>
                <c:pt idx="113">
                  <c:v>150</c:v>
                </c:pt>
                <c:pt idx="114">
                  <c:v>129</c:v>
                </c:pt>
                <c:pt idx="115">
                  <c:v>129</c:v>
                </c:pt>
                <c:pt idx="116">
                  <c:v>120</c:v>
                </c:pt>
                <c:pt idx="117">
                  <c:v>116</c:v>
                </c:pt>
                <c:pt idx="118">
                  <c:v>123</c:v>
                </c:pt>
                <c:pt idx="119">
                  <c:v>96</c:v>
                </c:pt>
                <c:pt idx="120">
                  <c:v>157</c:v>
                </c:pt>
                <c:pt idx="121">
                  <c:v>106</c:v>
                </c:pt>
                <c:pt idx="122">
                  <c:v>142</c:v>
                </c:pt>
                <c:pt idx="123">
                  <c:v>119</c:v>
                </c:pt>
                <c:pt idx="124">
                  <c:v>135</c:v>
                </c:pt>
                <c:pt idx="125">
                  <c:v>155</c:v>
                </c:pt>
                <c:pt idx="126">
                  <c:v>188</c:v>
                </c:pt>
                <c:pt idx="127">
                  <c:v>135</c:v>
                </c:pt>
                <c:pt idx="128">
                  <c:v>108</c:v>
                </c:pt>
                <c:pt idx="129">
                  <c:v>142</c:v>
                </c:pt>
                <c:pt idx="130">
                  <c:v>82</c:v>
                </c:pt>
                <c:pt idx="131">
                  <c:v>91</c:v>
                </c:pt>
                <c:pt idx="132">
                  <c:v>87</c:v>
                </c:pt>
                <c:pt idx="133">
                  <c:v>130</c:v>
                </c:pt>
                <c:pt idx="134">
                  <c:v>140</c:v>
                </c:pt>
                <c:pt idx="135">
                  <c:v>126</c:v>
                </c:pt>
                <c:pt idx="136">
                  <c:v>94</c:v>
                </c:pt>
                <c:pt idx="137">
                  <c:v>126</c:v>
                </c:pt>
                <c:pt idx="138">
                  <c:v>114</c:v>
                </c:pt>
                <c:pt idx="139">
                  <c:v>171</c:v>
                </c:pt>
                <c:pt idx="140">
                  <c:v>163</c:v>
                </c:pt>
                <c:pt idx="141">
                  <c:v>148</c:v>
                </c:pt>
                <c:pt idx="142">
                  <c:v>171</c:v>
                </c:pt>
                <c:pt idx="143">
                  <c:v>140</c:v>
                </c:pt>
                <c:pt idx="144">
                  <c:v>90</c:v>
                </c:pt>
                <c:pt idx="145">
                  <c:v>174</c:v>
                </c:pt>
                <c:pt idx="146">
                  <c:v>120</c:v>
                </c:pt>
                <c:pt idx="147">
                  <c:v>118</c:v>
                </c:pt>
                <c:pt idx="148">
                  <c:v>66</c:v>
                </c:pt>
                <c:pt idx="149">
                  <c:v>187</c:v>
                </c:pt>
                <c:pt idx="150">
                  <c:v>51</c:v>
                </c:pt>
                <c:pt idx="151">
                  <c:v>58</c:v>
                </c:pt>
                <c:pt idx="152">
                  <c:v>177</c:v>
                </c:pt>
                <c:pt idx="153">
                  <c:v>142</c:v>
                </c:pt>
                <c:pt idx="154">
                  <c:v>113</c:v>
                </c:pt>
                <c:pt idx="155">
                  <c:v>144</c:v>
                </c:pt>
                <c:pt idx="156">
                  <c:v>159</c:v>
                </c:pt>
                <c:pt idx="157">
                  <c:v>92</c:v>
                </c:pt>
                <c:pt idx="158">
                  <c:v>88</c:v>
                </c:pt>
                <c:pt idx="159">
                  <c:v>124</c:v>
                </c:pt>
                <c:pt idx="160">
                  <c:v>92</c:v>
                </c:pt>
                <c:pt idx="161">
                  <c:v>70</c:v>
                </c:pt>
                <c:pt idx="162">
                  <c:v>78</c:v>
                </c:pt>
                <c:pt idx="163">
                  <c:v>80</c:v>
                </c:pt>
                <c:pt idx="164">
                  <c:v>123</c:v>
                </c:pt>
                <c:pt idx="165">
                  <c:v>43</c:v>
                </c:pt>
                <c:pt idx="166">
                  <c:v>122</c:v>
                </c:pt>
                <c:pt idx="167">
                  <c:v>56</c:v>
                </c:pt>
                <c:pt idx="168">
                  <c:v>106</c:v>
                </c:pt>
                <c:pt idx="169">
                  <c:v>74</c:v>
                </c:pt>
                <c:pt idx="170">
                  <c:v>106</c:v>
                </c:pt>
                <c:pt idx="171">
                  <c:v>78</c:v>
                </c:pt>
                <c:pt idx="172">
                  <c:v>150</c:v>
                </c:pt>
                <c:pt idx="173">
                  <c:v>120</c:v>
                </c:pt>
                <c:pt idx="174">
                  <c:v>120</c:v>
                </c:pt>
                <c:pt idx="175">
                  <c:v>99</c:v>
                </c:pt>
                <c:pt idx="176">
                  <c:v>101</c:v>
                </c:pt>
                <c:pt idx="177">
                  <c:v>99</c:v>
                </c:pt>
                <c:pt idx="178">
                  <c:v>99</c:v>
                </c:pt>
                <c:pt idx="179">
                  <c:v>99</c:v>
                </c:pt>
                <c:pt idx="180">
                  <c:v>103</c:v>
                </c:pt>
                <c:pt idx="181">
                  <c:v>116</c:v>
                </c:pt>
                <c:pt idx="182">
                  <c:v>82</c:v>
                </c:pt>
                <c:pt idx="183">
                  <c:v>85</c:v>
                </c:pt>
                <c:pt idx="184">
                  <c:v>43</c:v>
                </c:pt>
                <c:pt idx="185">
                  <c:v>106</c:v>
                </c:pt>
                <c:pt idx="186">
                  <c:v>69</c:v>
                </c:pt>
                <c:pt idx="187">
                  <c:v>58</c:v>
                </c:pt>
                <c:pt idx="188">
                  <c:v>107</c:v>
                </c:pt>
                <c:pt idx="189">
                  <c:v>103</c:v>
                </c:pt>
                <c:pt idx="190">
                  <c:v>106</c:v>
                </c:pt>
                <c:pt idx="191">
                  <c:v>82</c:v>
                </c:pt>
                <c:pt idx="192">
                  <c:v>118</c:v>
                </c:pt>
                <c:pt idx="193">
                  <c:v>131</c:v>
                </c:pt>
                <c:pt idx="194">
                  <c:v>96</c:v>
                </c:pt>
                <c:pt idx="195">
                  <c:v>185</c:v>
                </c:pt>
                <c:pt idx="196">
                  <c:v>128</c:v>
                </c:pt>
                <c:pt idx="197">
                  <c:v>126</c:v>
                </c:pt>
                <c:pt idx="198">
                  <c:v>70</c:v>
                </c:pt>
                <c:pt idx="199">
                  <c:v>199</c:v>
                </c:pt>
                <c:pt idx="200">
                  <c:v>54</c:v>
                </c:pt>
                <c:pt idx="201">
                  <c:v>62</c:v>
                </c:pt>
                <c:pt idx="202">
                  <c:v>189</c:v>
                </c:pt>
                <c:pt idx="203">
                  <c:v>151</c:v>
                </c:pt>
                <c:pt idx="204">
                  <c:v>120</c:v>
                </c:pt>
                <c:pt idx="205">
                  <c:v>153</c:v>
                </c:pt>
                <c:pt idx="206">
                  <c:v>169</c:v>
                </c:pt>
                <c:pt idx="207">
                  <c:v>98</c:v>
                </c:pt>
                <c:pt idx="208">
                  <c:v>94</c:v>
                </c:pt>
                <c:pt idx="209">
                  <c:v>132</c:v>
                </c:pt>
                <c:pt idx="210">
                  <c:v>98</c:v>
                </c:pt>
                <c:pt idx="211">
                  <c:v>75</c:v>
                </c:pt>
                <c:pt idx="212">
                  <c:v>83</c:v>
                </c:pt>
                <c:pt idx="213">
                  <c:v>85</c:v>
                </c:pt>
                <c:pt idx="214">
                  <c:v>131</c:v>
                </c:pt>
                <c:pt idx="215">
                  <c:v>46</c:v>
                </c:pt>
                <c:pt idx="216">
                  <c:v>130</c:v>
                </c:pt>
                <c:pt idx="217">
                  <c:v>60</c:v>
                </c:pt>
                <c:pt idx="218">
                  <c:v>113</c:v>
                </c:pt>
                <c:pt idx="219">
                  <c:v>79</c:v>
                </c:pt>
                <c:pt idx="220">
                  <c:v>113</c:v>
                </c:pt>
                <c:pt idx="221">
                  <c:v>83</c:v>
                </c:pt>
                <c:pt idx="222">
                  <c:v>160</c:v>
                </c:pt>
                <c:pt idx="223">
                  <c:v>128</c:v>
                </c:pt>
                <c:pt idx="224">
                  <c:v>128</c:v>
                </c:pt>
                <c:pt idx="225">
                  <c:v>106</c:v>
                </c:pt>
                <c:pt idx="226">
                  <c:v>108</c:v>
                </c:pt>
                <c:pt idx="227">
                  <c:v>106</c:v>
                </c:pt>
                <c:pt idx="228">
                  <c:v>106</c:v>
                </c:pt>
                <c:pt idx="229">
                  <c:v>106</c:v>
                </c:pt>
                <c:pt idx="230">
                  <c:v>110</c:v>
                </c:pt>
                <c:pt idx="231">
                  <c:v>124</c:v>
                </c:pt>
                <c:pt idx="232">
                  <c:v>87</c:v>
                </c:pt>
                <c:pt idx="233">
                  <c:v>91</c:v>
                </c:pt>
                <c:pt idx="234">
                  <c:v>46</c:v>
                </c:pt>
                <c:pt idx="235">
                  <c:v>113</c:v>
                </c:pt>
                <c:pt idx="236">
                  <c:v>74</c:v>
                </c:pt>
                <c:pt idx="237">
                  <c:v>62</c:v>
                </c:pt>
                <c:pt idx="238">
                  <c:v>114</c:v>
                </c:pt>
                <c:pt idx="239">
                  <c:v>110</c:v>
                </c:pt>
                <c:pt idx="240">
                  <c:v>113</c:v>
                </c:pt>
                <c:pt idx="241">
                  <c:v>87</c:v>
                </c:pt>
                <c:pt idx="242">
                  <c:v>126</c:v>
                </c:pt>
                <c:pt idx="243">
                  <c:v>140</c:v>
                </c:pt>
                <c:pt idx="244">
                  <c:v>90</c:v>
                </c:pt>
                <c:pt idx="245">
                  <c:v>90</c:v>
                </c:pt>
                <c:pt idx="246">
                  <c:v>109</c:v>
                </c:pt>
                <c:pt idx="247">
                  <c:v>113</c:v>
                </c:pt>
                <c:pt idx="248">
                  <c:v>68</c:v>
                </c:pt>
                <c:pt idx="249">
                  <c:v>109</c:v>
                </c:pt>
                <c:pt idx="250">
                  <c:v>79</c:v>
                </c:pt>
                <c:pt idx="251">
                  <c:v>68</c:v>
                </c:pt>
                <c:pt idx="252">
                  <c:v>92</c:v>
                </c:pt>
                <c:pt idx="253">
                  <c:v>60</c:v>
                </c:pt>
                <c:pt idx="254">
                  <c:v>43</c:v>
                </c:pt>
                <c:pt idx="255">
                  <c:v>109</c:v>
                </c:pt>
                <c:pt idx="256">
                  <c:v>144</c:v>
                </c:pt>
                <c:pt idx="257">
                  <c:v>80</c:v>
                </c:pt>
                <c:pt idx="258">
                  <c:v>121</c:v>
                </c:pt>
                <c:pt idx="259">
                  <c:v>52</c:v>
                </c:pt>
                <c:pt idx="260">
                  <c:v>82</c:v>
                </c:pt>
                <c:pt idx="261">
                  <c:v>64</c:v>
                </c:pt>
                <c:pt idx="262">
                  <c:v>64</c:v>
                </c:pt>
                <c:pt idx="263">
                  <c:v>76</c:v>
                </c:pt>
                <c:pt idx="264">
                  <c:v>80</c:v>
                </c:pt>
                <c:pt idx="265">
                  <c:v>43</c:v>
                </c:pt>
                <c:pt idx="266">
                  <c:v>81</c:v>
                </c:pt>
                <c:pt idx="267">
                  <c:v>122</c:v>
                </c:pt>
                <c:pt idx="268">
                  <c:v>122</c:v>
                </c:pt>
                <c:pt idx="269">
                  <c:v>82</c:v>
                </c:pt>
                <c:pt idx="270">
                  <c:v>76</c:v>
                </c:pt>
                <c:pt idx="271">
                  <c:v>74</c:v>
                </c:pt>
                <c:pt idx="272">
                  <c:v>43</c:v>
                </c:pt>
                <c:pt idx="273">
                  <c:v>106</c:v>
                </c:pt>
                <c:pt idx="274">
                  <c:v>73</c:v>
                </c:pt>
                <c:pt idx="275">
                  <c:v>82</c:v>
                </c:pt>
                <c:pt idx="276">
                  <c:v>103</c:v>
                </c:pt>
                <c:pt idx="277">
                  <c:v>75</c:v>
                </c:pt>
                <c:pt idx="278">
                  <c:v>73</c:v>
                </c:pt>
                <c:pt idx="279">
                  <c:v>56</c:v>
                </c:pt>
                <c:pt idx="280">
                  <c:v>43</c:v>
                </c:pt>
                <c:pt idx="281">
                  <c:v>77</c:v>
                </c:pt>
                <c:pt idx="282">
                  <c:v>85</c:v>
                </c:pt>
                <c:pt idx="283">
                  <c:v>88</c:v>
                </c:pt>
                <c:pt idx="284">
                  <c:v>69</c:v>
                </c:pt>
                <c:pt idx="285">
                  <c:v>89</c:v>
                </c:pt>
                <c:pt idx="286">
                  <c:v>88</c:v>
                </c:pt>
                <c:pt idx="287">
                  <c:v>43</c:v>
                </c:pt>
                <c:pt idx="288">
                  <c:v>107</c:v>
                </c:pt>
                <c:pt idx="289">
                  <c:v>89</c:v>
                </c:pt>
                <c:pt idx="290">
                  <c:v>106</c:v>
                </c:pt>
                <c:pt idx="291">
                  <c:v>96</c:v>
                </c:pt>
                <c:pt idx="292">
                  <c:v>96</c:v>
                </c:pt>
                <c:pt idx="293">
                  <c:v>116</c:v>
                </c:pt>
                <c:pt idx="294">
                  <c:v>120</c:v>
                </c:pt>
                <c:pt idx="295">
                  <c:v>72</c:v>
                </c:pt>
                <c:pt idx="296">
                  <c:v>116</c:v>
                </c:pt>
                <c:pt idx="297">
                  <c:v>84</c:v>
                </c:pt>
                <c:pt idx="298">
                  <c:v>72</c:v>
                </c:pt>
                <c:pt idx="299">
                  <c:v>98</c:v>
                </c:pt>
                <c:pt idx="300">
                  <c:v>64</c:v>
                </c:pt>
                <c:pt idx="301">
                  <c:v>46</c:v>
                </c:pt>
                <c:pt idx="302">
                  <c:v>116</c:v>
                </c:pt>
                <c:pt idx="303">
                  <c:v>153</c:v>
                </c:pt>
                <c:pt idx="304">
                  <c:v>85</c:v>
                </c:pt>
                <c:pt idx="305">
                  <c:v>129</c:v>
                </c:pt>
                <c:pt idx="306">
                  <c:v>55</c:v>
                </c:pt>
                <c:pt idx="307">
                  <c:v>87</c:v>
                </c:pt>
                <c:pt idx="308">
                  <c:v>68</c:v>
                </c:pt>
                <c:pt idx="309">
                  <c:v>68</c:v>
                </c:pt>
                <c:pt idx="310">
                  <c:v>81</c:v>
                </c:pt>
                <c:pt idx="311">
                  <c:v>85</c:v>
                </c:pt>
                <c:pt idx="312">
                  <c:v>46</c:v>
                </c:pt>
                <c:pt idx="313">
                  <c:v>86</c:v>
                </c:pt>
                <c:pt idx="314">
                  <c:v>130</c:v>
                </c:pt>
                <c:pt idx="315">
                  <c:v>130</c:v>
                </c:pt>
                <c:pt idx="316">
                  <c:v>87</c:v>
                </c:pt>
                <c:pt idx="317">
                  <c:v>81</c:v>
                </c:pt>
                <c:pt idx="318">
                  <c:v>79</c:v>
                </c:pt>
                <c:pt idx="319">
                  <c:v>46</c:v>
                </c:pt>
                <c:pt idx="320">
                  <c:v>113</c:v>
                </c:pt>
                <c:pt idx="321">
                  <c:v>78</c:v>
                </c:pt>
                <c:pt idx="322">
                  <c:v>87</c:v>
                </c:pt>
                <c:pt idx="323">
                  <c:v>110</c:v>
                </c:pt>
                <c:pt idx="324">
                  <c:v>80</c:v>
                </c:pt>
                <c:pt idx="325">
                  <c:v>78</c:v>
                </c:pt>
                <c:pt idx="326">
                  <c:v>60</c:v>
                </c:pt>
                <c:pt idx="327">
                  <c:v>46</c:v>
                </c:pt>
                <c:pt idx="328">
                  <c:v>82</c:v>
                </c:pt>
                <c:pt idx="329">
                  <c:v>91</c:v>
                </c:pt>
                <c:pt idx="330">
                  <c:v>94</c:v>
                </c:pt>
                <c:pt idx="331">
                  <c:v>74</c:v>
                </c:pt>
                <c:pt idx="332">
                  <c:v>95</c:v>
                </c:pt>
                <c:pt idx="333">
                  <c:v>94</c:v>
                </c:pt>
                <c:pt idx="334">
                  <c:v>46</c:v>
                </c:pt>
                <c:pt idx="335">
                  <c:v>114</c:v>
                </c:pt>
                <c:pt idx="336">
                  <c:v>95</c:v>
                </c:pt>
                <c:pt idx="337">
                  <c:v>113</c:v>
                </c:pt>
                <c:pt idx="338">
                  <c:v>122</c:v>
                </c:pt>
                <c:pt idx="339">
                  <c:v>123</c:v>
                </c:pt>
                <c:pt idx="340">
                  <c:v>107</c:v>
                </c:pt>
                <c:pt idx="341">
                  <c:v>116</c:v>
                </c:pt>
                <c:pt idx="342">
                  <c:v>182</c:v>
                </c:pt>
                <c:pt idx="343">
                  <c:v>118</c:v>
                </c:pt>
                <c:pt idx="344">
                  <c:v>159</c:v>
                </c:pt>
                <c:pt idx="345">
                  <c:v>123</c:v>
                </c:pt>
                <c:pt idx="346">
                  <c:v>126</c:v>
                </c:pt>
                <c:pt idx="347">
                  <c:v>126</c:v>
                </c:pt>
                <c:pt idx="348">
                  <c:v>114</c:v>
                </c:pt>
                <c:pt idx="349">
                  <c:v>125</c:v>
                </c:pt>
                <c:pt idx="350">
                  <c:v>114</c:v>
                </c:pt>
                <c:pt idx="351">
                  <c:v>125</c:v>
                </c:pt>
                <c:pt idx="352">
                  <c:v>138</c:v>
                </c:pt>
                <c:pt idx="353">
                  <c:v>138</c:v>
                </c:pt>
                <c:pt idx="354">
                  <c:v>123</c:v>
                </c:pt>
                <c:pt idx="355">
                  <c:v>124</c:v>
                </c:pt>
                <c:pt idx="356">
                  <c:v>132</c:v>
                </c:pt>
                <c:pt idx="357">
                  <c:v>109</c:v>
                </c:pt>
                <c:pt idx="358">
                  <c:v>147</c:v>
                </c:pt>
                <c:pt idx="359">
                  <c:v>124</c:v>
                </c:pt>
                <c:pt idx="360">
                  <c:v>184</c:v>
                </c:pt>
                <c:pt idx="361">
                  <c:v>147</c:v>
                </c:pt>
                <c:pt idx="362">
                  <c:v>141</c:v>
                </c:pt>
                <c:pt idx="363">
                  <c:v>112</c:v>
                </c:pt>
                <c:pt idx="364">
                  <c:v>127</c:v>
                </c:pt>
                <c:pt idx="365">
                  <c:v>168</c:v>
                </c:pt>
                <c:pt idx="366">
                  <c:v>133</c:v>
                </c:pt>
                <c:pt idx="367">
                  <c:v>139</c:v>
                </c:pt>
                <c:pt idx="368">
                  <c:v>114</c:v>
                </c:pt>
                <c:pt idx="369">
                  <c:v>123</c:v>
                </c:pt>
                <c:pt idx="370">
                  <c:v>127</c:v>
                </c:pt>
                <c:pt idx="371">
                  <c:v>131</c:v>
                </c:pt>
                <c:pt idx="372">
                  <c:v>118</c:v>
                </c:pt>
                <c:pt idx="373">
                  <c:v>98</c:v>
                </c:pt>
                <c:pt idx="374">
                  <c:v>127</c:v>
                </c:pt>
                <c:pt idx="375">
                  <c:v>145</c:v>
                </c:pt>
                <c:pt idx="376">
                  <c:v>127</c:v>
                </c:pt>
                <c:pt idx="377">
                  <c:v>122</c:v>
                </c:pt>
                <c:pt idx="378">
                  <c:v>120</c:v>
                </c:pt>
                <c:pt idx="379">
                  <c:v>123</c:v>
                </c:pt>
                <c:pt idx="380">
                  <c:v>130</c:v>
                </c:pt>
                <c:pt idx="381">
                  <c:v>131</c:v>
                </c:pt>
                <c:pt idx="382">
                  <c:v>114</c:v>
                </c:pt>
                <c:pt idx="383">
                  <c:v>124</c:v>
                </c:pt>
                <c:pt idx="384">
                  <c:v>194</c:v>
                </c:pt>
                <c:pt idx="385">
                  <c:v>126</c:v>
                </c:pt>
                <c:pt idx="386">
                  <c:v>169</c:v>
                </c:pt>
                <c:pt idx="387">
                  <c:v>131</c:v>
                </c:pt>
                <c:pt idx="388">
                  <c:v>134</c:v>
                </c:pt>
                <c:pt idx="389">
                  <c:v>134</c:v>
                </c:pt>
                <c:pt idx="390">
                  <c:v>121</c:v>
                </c:pt>
                <c:pt idx="391">
                  <c:v>133</c:v>
                </c:pt>
                <c:pt idx="392">
                  <c:v>121</c:v>
                </c:pt>
                <c:pt idx="393">
                  <c:v>133</c:v>
                </c:pt>
                <c:pt idx="394">
                  <c:v>147</c:v>
                </c:pt>
                <c:pt idx="395">
                  <c:v>147</c:v>
                </c:pt>
                <c:pt idx="396">
                  <c:v>131</c:v>
                </c:pt>
                <c:pt idx="397">
                  <c:v>132</c:v>
                </c:pt>
                <c:pt idx="398">
                  <c:v>141</c:v>
                </c:pt>
                <c:pt idx="399">
                  <c:v>116</c:v>
                </c:pt>
                <c:pt idx="400">
                  <c:v>157</c:v>
                </c:pt>
                <c:pt idx="401">
                  <c:v>132</c:v>
                </c:pt>
                <c:pt idx="402">
                  <c:v>196</c:v>
                </c:pt>
                <c:pt idx="403">
                  <c:v>157</c:v>
                </c:pt>
                <c:pt idx="404">
                  <c:v>150</c:v>
                </c:pt>
                <c:pt idx="405">
                  <c:v>119</c:v>
                </c:pt>
                <c:pt idx="406">
                  <c:v>135</c:v>
                </c:pt>
                <c:pt idx="407">
                  <c:v>179</c:v>
                </c:pt>
                <c:pt idx="408">
                  <c:v>142</c:v>
                </c:pt>
                <c:pt idx="409">
                  <c:v>148</c:v>
                </c:pt>
                <c:pt idx="410">
                  <c:v>121</c:v>
                </c:pt>
                <c:pt idx="411">
                  <c:v>131</c:v>
                </c:pt>
                <c:pt idx="412">
                  <c:v>135</c:v>
                </c:pt>
                <c:pt idx="413">
                  <c:v>140</c:v>
                </c:pt>
                <c:pt idx="414">
                  <c:v>126</c:v>
                </c:pt>
                <c:pt idx="415">
                  <c:v>104</c:v>
                </c:pt>
                <c:pt idx="416">
                  <c:v>135</c:v>
                </c:pt>
                <c:pt idx="417">
                  <c:v>155</c:v>
                </c:pt>
                <c:pt idx="418">
                  <c:v>135</c:v>
                </c:pt>
                <c:pt idx="419">
                  <c:v>130</c:v>
                </c:pt>
                <c:pt idx="420">
                  <c:v>128</c:v>
                </c:pt>
                <c:pt idx="421">
                  <c:v>131</c:v>
                </c:pt>
                <c:pt idx="422">
                  <c:v>53</c:v>
                </c:pt>
                <c:pt idx="423">
                  <c:v>66</c:v>
                </c:pt>
                <c:pt idx="424">
                  <c:v>126</c:v>
                </c:pt>
                <c:pt idx="425">
                  <c:v>120</c:v>
                </c:pt>
                <c:pt idx="426">
                  <c:v>53</c:v>
                </c:pt>
                <c:pt idx="427">
                  <c:v>92</c:v>
                </c:pt>
                <c:pt idx="428">
                  <c:v>58</c:v>
                </c:pt>
                <c:pt idx="429">
                  <c:v>52</c:v>
                </c:pt>
                <c:pt idx="430">
                  <c:v>56</c:v>
                </c:pt>
                <c:pt idx="431">
                  <c:v>53</c:v>
                </c:pt>
                <c:pt idx="432">
                  <c:v>43</c:v>
                </c:pt>
                <c:pt idx="433">
                  <c:v>77</c:v>
                </c:pt>
                <c:pt idx="434">
                  <c:v>52</c:v>
                </c:pt>
                <c:pt idx="435">
                  <c:v>61</c:v>
                </c:pt>
                <c:pt idx="436">
                  <c:v>77</c:v>
                </c:pt>
                <c:pt idx="437">
                  <c:v>52</c:v>
                </c:pt>
                <c:pt idx="438">
                  <c:v>92</c:v>
                </c:pt>
                <c:pt idx="439">
                  <c:v>113</c:v>
                </c:pt>
                <c:pt idx="440">
                  <c:v>56</c:v>
                </c:pt>
                <c:pt idx="441">
                  <c:v>76</c:v>
                </c:pt>
                <c:pt idx="442">
                  <c:v>52</c:v>
                </c:pt>
                <c:pt idx="443">
                  <c:v>74</c:v>
                </c:pt>
                <c:pt idx="444">
                  <c:v>64</c:v>
                </c:pt>
                <c:pt idx="445">
                  <c:v>63</c:v>
                </c:pt>
                <c:pt idx="446">
                  <c:v>39</c:v>
                </c:pt>
                <c:pt idx="447">
                  <c:v>80</c:v>
                </c:pt>
                <c:pt idx="448">
                  <c:v>82</c:v>
                </c:pt>
                <c:pt idx="449">
                  <c:v>76</c:v>
                </c:pt>
                <c:pt idx="450">
                  <c:v>56</c:v>
                </c:pt>
                <c:pt idx="451">
                  <c:v>89</c:v>
                </c:pt>
                <c:pt idx="452">
                  <c:v>58</c:v>
                </c:pt>
                <c:pt idx="453">
                  <c:v>41</c:v>
                </c:pt>
                <c:pt idx="454">
                  <c:v>69</c:v>
                </c:pt>
                <c:pt idx="455">
                  <c:v>45</c:v>
                </c:pt>
                <c:pt idx="456">
                  <c:v>73</c:v>
                </c:pt>
                <c:pt idx="457">
                  <c:v>56</c:v>
                </c:pt>
                <c:pt idx="458">
                  <c:v>60</c:v>
                </c:pt>
                <c:pt idx="459">
                  <c:v>41</c:v>
                </c:pt>
                <c:pt idx="460">
                  <c:v>73</c:v>
                </c:pt>
                <c:pt idx="461">
                  <c:v>56</c:v>
                </c:pt>
                <c:pt idx="462">
                  <c:v>70</c:v>
                </c:pt>
                <c:pt idx="463">
                  <c:v>134</c:v>
                </c:pt>
                <c:pt idx="464">
                  <c:v>128</c:v>
                </c:pt>
                <c:pt idx="465">
                  <c:v>56</c:v>
                </c:pt>
                <c:pt idx="466">
                  <c:v>98</c:v>
                </c:pt>
                <c:pt idx="467">
                  <c:v>62</c:v>
                </c:pt>
                <c:pt idx="468">
                  <c:v>55</c:v>
                </c:pt>
                <c:pt idx="469">
                  <c:v>60</c:v>
                </c:pt>
                <c:pt idx="470">
                  <c:v>56</c:v>
                </c:pt>
                <c:pt idx="471">
                  <c:v>46</c:v>
                </c:pt>
                <c:pt idx="472">
                  <c:v>82</c:v>
                </c:pt>
                <c:pt idx="473">
                  <c:v>55</c:v>
                </c:pt>
                <c:pt idx="474">
                  <c:v>65</c:v>
                </c:pt>
                <c:pt idx="475">
                  <c:v>82</c:v>
                </c:pt>
                <c:pt idx="476">
                  <c:v>55</c:v>
                </c:pt>
                <c:pt idx="477">
                  <c:v>98</c:v>
                </c:pt>
                <c:pt idx="478">
                  <c:v>120</c:v>
                </c:pt>
                <c:pt idx="479">
                  <c:v>60</c:v>
                </c:pt>
                <c:pt idx="480">
                  <c:v>81</c:v>
                </c:pt>
                <c:pt idx="481">
                  <c:v>55</c:v>
                </c:pt>
                <c:pt idx="482">
                  <c:v>79</c:v>
                </c:pt>
                <c:pt idx="483">
                  <c:v>68</c:v>
                </c:pt>
                <c:pt idx="484">
                  <c:v>67</c:v>
                </c:pt>
                <c:pt idx="485">
                  <c:v>42</c:v>
                </c:pt>
                <c:pt idx="486">
                  <c:v>85</c:v>
                </c:pt>
                <c:pt idx="487">
                  <c:v>87</c:v>
                </c:pt>
                <c:pt idx="488">
                  <c:v>81</c:v>
                </c:pt>
                <c:pt idx="489">
                  <c:v>60</c:v>
                </c:pt>
                <c:pt idx="490">
                  <c:v>95</c:v>
                </c:pt>
                <c:pt idx="491">
                  <c:v>62</c:v>
                </c:pt>
                <c:pt idx="492">
                  <c:v>44</c:v>
                </c:pt>
                <c:pt idx="493">
                  <c:v>74</c:v>
                </c:pt>
                <c:pt idx="494">
                  <c:v>48</c:v>
                </c:pt>
                <c:pt idx="495">
                  <c:v>78</c:v>
                </c:pt>
                <c:pt idx="496">
                  <c:v>60</c:v>
                </c:pt>
                <c:pt idx="497">
                  <c:v>64</c:v>
                </c:pt>
                <c:pt idx="498">
                  <c:v>44</c:v>
                </c:pt>
                <c:pt idx="499">
                  <c:v>78</c:v>
                </c:pt>
                <c:pt idx="500">
                  <c:v>187</c:v>
                </c:pt>
                <c:pt idx="501">
                  <c:v>123</c:v>
                </c:pt>
                <c:pt idx="502">
                  <c:v>187</c:v>
                </c:pt>
                <c:pt idx="503">
                  <c:v>182</c:v>
                </c:pt>
                <c:pt idx="504">
                  <c:v>142</c:v>
                </c:pt>
                <c:pt idx="505">
                  <c:v>79</c:v>
                </c:pt>
                <c:pt idx="506">
                  <c:v>205</c:v>
                </c:pt>
                <c:pt idx="507">
                  <c:v>126</c:v>
                </c:pt>
                <c:pt idx="508">
                  <c:v>218</c:v>
                </c:pt>
                <c:pt idx="509">
                  <c:v>159</c:v>
                </c:pt>
                <c:pt idx="510">
                  <c:v>124</c:v>
                </c:pt>
                <c:pt idx="511">
                  <c:v>138</c:v>
                </c:pt>
                <c:pt idx="512">
                  <c:v>189</c:v>
                </c:pt>
                <c:pt idx="513">
                  <c:v>150</c:v>
                </c:pt>
                <c:pt idx="514">
                  <c:v>114</c:v>
                </c:pt>
                <c:pt idx="515">
                  <c:v>164</c:v>
                </c:pt>
                <c:pt idx="516">
                  <c:v>147</c:v>
                </c:pt>
                <c:pt idx="517">
                  <c:v>115</c:v>
                </c:pt>
                <c:pt idx="518">
                  <c:v>125</c:v>
                </c:pt>
                <c:pt idx="519">
                  <c:v>124</c:v>
                </c:pt>
                <c:pt idx="520">
                  <c:v>138</c:v>
                </c:pt>
                <c:pt idx="521">
                  <c:v>141</c:v>
                </c:pt>
                <c:pt idx="522">
                  <c:v>132</c:v>
                </c:pt>
                <c:pt idx="523">
                  <c:v>103</c:v>
                </c:pt>
                <c:pt idx="524">
                  <c:v>168</c:v>
                </c:pt>
                <c:pt idx="525">
                  <c:v>133</c:v>
                </c:pt>
                <c:pt idx="526">
                  <c:v>168</c:v>
                </c:pt>
                <c:pt idx="527">
                  <c:v>101</c:v>
                </c:pt>
                <c:pt idx="528">
                  <c:v>145</c:v>
                </c:pt>
                <c:pt idx="529">
                  <c:v>112</c:v>
                </c:pt>
                <c:pt idx="530">
                  <c:v>114</c:v>
                </c:pt>
                <c:pt idx="531">
                  <c:v>145</c:v>
                </c:pt>
                <c:pt idx="532">
                  <c:v>153</c:v>
                </c:pt>
                <c:pt idx="533">
                  <c:v>199</c:v>
                </c:pt>
                <c:pt idx="534">
                  <c:v>131</c:v>
                </c:pt>
                <c:pt idx="535">
                  <c:v>199</c:v>
                </c:pt>
                <c:pt idx="536">
                  <c:v>194</c:v>
                </c:pt>
                <c:pt idx="537">
                  <c:v>151</c:v>
                </c:pt>
                <c:pt idx="538">
                  <c:v>84</c:v>
                </c:pt>
                <c:pt idx="539">
                  <c:v>218</c:v>
                </c:pt>
                <c:pt idx="540">
                  <c:v>134</c:v>
                </c:pt>
                <c:pt idx="541">
                  <c:v>232</c:v>
                </c:pt>
                <c:pt idx="542">
                  <c:v>169</c:v>
                </c:pt>
                <c:pt idx="543">
                  <c:v>132</c:v>
                </c:pt>
                <c:pt idx="544">
                  <c:v>147</c:v>
                </c:pt>
                <c:pt idx="545">
                  <c:v>201</c:v>
                </c:pt>
                <c:pt idx="546">
                  <c:v>160</c:v>
                </c:pt>
                <c:pt idx="547">
                  <c:v>121</c:v>
                </c:pt>
                <c:pt idx="548">
                  <c:v>175</c:v>
                </c:pt>
                <c:pt idx="549">
                  <c:v>157</c:v>
                </c:pt>
                <c:pt idx="550">
                  <c:v>123</c:v>
                </c:pt>
                <c:pt idx="551">
                  <c:v>133</c:v>
                </c:pt>
                <c:pt idx="552">
                  <c:v>132</c:v>
                </c:pt>
                <c:pt idx="553">
                  <c:v>147</c:v>
                </c:pt>
                <c:pt idx="554">
                  <c:v>150</c:v>
                </c:pt>
                <c:pt idx="555">
                  <c:v>141</c:v>
                </c:pt>
                <c:pt idx="556">
                  <c:v>110</c:v>
                </c:pt>
                <c:pt idx="557">
                  <c:v>179</c:v>
                </c:pt>
                <c:pt idx="558">
                  <c:v>142</c:v>
                </c:pt>
                <c:pt idx="559">
                  <c:v>179</c:v>
                </c:pt>
                <c:pt idx="560">
                  <c:v>108</c:v>
                </c:pt>
                <c:pt idx="561">
                  <c:v>155</c:v>
                </c:pt>
                <c:pt idx="562">
                  <c:v>119</c:v>
                </c:pt>
                <c:pt idx="563">
                  <c:v>121</c:v>
                </c:pt>
                <c:pt idx="564">
                  <c:v>155</c:v>
                </c:pt>
                <c:pt idx="565">
                  <c:v>163</c:v>
                </c:pt>
                <c:pt idx="566">
                  <c:v>90</c:v>
                </c:pt>
                <c:pt idx="567">
                  <c:v>520</c:v>
                </c:pt>
                <c:pt idx="568">
                  <c:v>302</c:v>
                </c:pt>
                <c:pt idx="569">
                  <c:v>118</c:v>
                </c:pt>
                <c:pt idx="570">
                  <c:v>119</c:v>
                </c:pt>
                <c:pt idx="571">
                  <c:v>114</c:v>
                </c:pt>
                <c:pt idx="572">
                  <c:v>205</c:v>
                </c:pt>
                <c:pt idx="573">
                  <c:v>56</c:v>
                </c:pt>
                <c:pt idx="574">
                  <c:v>236</c:v>
                </c:pt>
                <c:pt idx="575">
                  <c:v>177</c:v>
                </c:pt>
                <c:pt idx="576">
                  <c:v>230</c:v>
                </c:pt>
                <c:pt idx="577">
                  <c:v>490</c:v>
                </c:pt>
                <c:pt idx="578">
                  <c:v>189</c:v>
                </c:pt>
                <c:pt idx="579">
                  <c:v>290</c:v>
                </c:pt>
                <c:pt idx="580">
                  <c:v>197</c:v>
                </c:pt>
                <c:pt idx="581">
                  <c:v>200</c:v>
                </c:pt>
                <c:pt idx="582">
                  <c:v>245</c:v>
                </c:pt>
                <c:pt idx="583">
                  <c:v>231</c:v>
                </c:pt>
                <c:pt idx="584">
                  <c:v>39</c:v>
                </c:pt>
                <c:pt idx="585">
                  <c:v>184</c:v>
                </c:pt>
                <c:pt idx="586">
                  <c:v>224</c:v>
                </c:pt>
                <c:pt idx="587">
                  <c:v>525</c:v>
                </c:pt>
                <c:pt idx="588">
                  <c:v>302</c:v>
                </c:pt>
                <c:pt idx="589">
                  <c:v>160</c:v>
                </c:pt>
                <c:pt idx="590">
                  <c:v>221</c:v>
                </c:pt>
                <c:pt idx="591">
                  <c:v>120</c:v>
                </c:pt>
                <c:pt idx="592">
                  <c:v>122</c:v>
                </c:pt>
                <c:pt idx="593">
                  <c:v>185</c:v>
                </c:pt>
                <c:pt idx="594">
                  <c:v>45</c:v>
                </c:pt>
                <c:pt idx="595">
                  <c:v>320</c:v>
                </c:pt>
                <c:pt idx="596">
                  <c:v>214</c:v>
                </c:pt>
                <c:pt idx="597">
                  <c:v>41</c:v>
                </c:pt>
                <c:pt idx="598">
                  <c:v>250</c:v>
                </c:pt>
                <c:pt idx="599">
                  <c:v>96</c:v>
                </c:pt>
                <c:pt idx="600">
                  <c:v>554</c:v>
                </c:pt>
                <c:pt idx="601">
                  <c:v>322</c:v>
                </c:pt>
                <c:pt idx="602">
                  <c:v>126</c:v>
                </c:pt>
                <c:pt idx="603">
                  <c:v>127</c:v>
                </c:pt>
                <c:pt idx="604">
                  <c:v>121</c:v>
                </c:pt>
                <c:pt idx="605">
                  <c:v>218</c:v>
                </c:pt>
                <c:pt idx="606">
                  <c:v>60</c:v>
                </c:pt>
                <c:pt idx="607">
                  <c:v>251</c:v>
                </c:pt>
                <c:pt idx="608">
                  <c:v>189</c:v>
                </c:pt>
                <c:pt idx="609">
                  <c:v>245</c:v>
                </c:pt>
                <c:pt idx="610">
                  <c:v>522</c:v>
                </c:pt>
                <c:pt idx="611">
                  <c:v>201</c:v>
                </c:pt>
                <c:pt idx="612">
                  <c:v>309</c:v>
                </c:pt>
                <c:pt idx="613">
                  <c:v>210</c:v>
                </c:pt>
                <c:pt idx="614">
                  <c:v>213</c:v>
                </c:pt>
                <c:pt idx="615">
                  <c:v>261</c:v>
                </c:pt>
                <c:pt idx="616">
                  <c:v>246</c:v>
                </c:pt>
                <c:pt idx="617">
                  <c:v>42</c:v>
                </c:pt>
                <c:pt idx="618">
                  <c:v>196</c:v>
                </c:pt>
                <c:pt idx="619">
                  <c:v>239</c:v>
                </c:pt>
                <c:pt idx="620">
                  <c:v>559</c:v>
                </c:pt>
                <c:pt idx="621">
                  <c:v>322</c:v>
                </c:pt>
                <c:pt idx="622">
                  <c:v>171</c:v>
                </c:pt>
                <c:pt idx="623">
                  <c:v>236</c:v>
                </c:pt>
                <c:pt idx="624">
                  <c:v>128</c:v>
                </c:pt>
                <c:pt idx="625">
                  <c:v>130</c:v>
                </c:pt>
                <c:pt idx="626">
                  <c:v>197</c:v>
                </c:pt>
                <c:pt idx="627">
                  <c:v>48</c:v>
                </c:pt>
                <c:pt idx="628">
                  <c:v>341</c:v>
                </c:pt>
                <c:pt idx="629">
                  <c:v>228</c:v>
                </c:pt>
                <c:pt idx="630">
                  <c:v>44</c:v>
                </c:pt>
                <c:pt idx="631">
                  <c:v>266</c:v>
                </c:pt>
                <c:pt idx="632">
                  <c:v>313</c:v>
                </c:pt>
                <c:pt idx="633">
                  <c:v>144</c:v>
                </c:pt>
                <c:pt idx="634">
                  <c:v>325</c:v>
                </c:pt>
                <c:pt idx="635">
                  <c:v>289</c:v>
                </c:pt>
                <c:pt idx="636">
                  <c:v>334</c:v>
                </c:pt>
                <c:pt idx="637">
                  <c:v>153</c:v>
                </c:pt>
                <c:pt idx="638">
                  <c:v>346</c:v>
                </c:pt>
                <c:pt idx="639">
                  <c:v>308</c:v>
                </c:pt>
                <c:pt idx="640">
                  <c:v>218</c:v>
                </c:pt>
                <c:pt idx="641">
                  <c:v>202</c:v>
                </c:pt>
                <c:pt idx="642">
                  <c:v>205</c:v>
                </c:pt>
                <c:pt idx="643">
                  <c:v>474</c:v>
                </c:pt>
                <c:pt idx="644">
                  <c:v>650</c:v>
                </c:pt>
                <c:pt idx="645">
                  <c:v>230</c:v>
                </c:pt>
                <c:pt idx="646">
                  <c:v>69</c:v>
                </c:pt>
                <c:pt idx="647">
                  <c:v>322</c:v>
                </c:pt>
                <c:pt idx="648">
                  <c:v>765</c:v>
                </c:pt>
                <c:pt idx="649">
                  <c:v>51</c:v>
                </c:pt>
                <c:pt idx="650">
                  <c:v>513</c:v>
                </c:pt>
                <c:pt idx="651">
                  <c:v>164</c:v>
                </c:pt>
                <c:pt idx="652">
                  <c:v>265</c:v>
                </c:pt>
                <c:pt idx="653">
                  <c:v>302</c:v>
                </c:pt>
                <c:pt idx="654">
                  <c:v>187</c:v>
                </c:pt>
                <c:pt idx="655">
                  <c:v>245</c:v>
                </c:pt>
                <c:pt idx="656">
                  <c:v>180</c:v>
                </c:pt>
                <c:pt idx="657">
                  <c:v>197</c:v>
                </c:pt>
                <c:pt idx="658">
                  <c:v>454</c:v>
                </c:pt>
                <c:pt idx="659">
                  <c:v>623</c:v>
                </c:pt>
                <c:pt idx="660">
                  <c:v>224</c:v>
                </c:pt>
                <c:pt idx="661">
                  <c:v>61</c:v>
                </c:pt>
                <c:pt idx="662">
                  <c:v>363</c:v>
                </c:pt>
                <c:pt idx="663">
                  <c:v>675</c:v>
                </c:pt>
                <c:pt idx="664">
                  <c:v>52</c:v>
                </c:pt>
                <c:pt idx="665">
                  <c:v>576</c:v>
                </c:pt>
                <c:pt idx="666">
                  <c:v>160</c:v>
                </c:pt>
                <c:pt idx="667">
                  <c:v>198</c:v>
                </c:pt>
                <c:pt idx="668">
                  <c:v>290</c:v>
                </c:pt>
                <c:pt idx="669">
                  <c:v>320</c:v>
                </c:pt>
                <c:pt idx="670">
                  <c:v>195</c:v>
                </c:pt>
                <c:pt idx="671">
                  <c:v>221</c:v>
                </c:pt>
                <c:pt idx="672">
                  <c:v>510</c:v>
                </c:pt>
                <c:pt idx="673">
                  <c:v>699</c:v>
                </c:pt>
                <c:pt idx="674">
                  <c:v>250</c:v>
                </c:pt>
                <c:pt idx="675">
                  <c:v>66</c:v>
                </c:pt>
                <c:pt idx="676">
                  <c:v>306</c:v>
                </c:pt>
                <c:pt idx="677">
                  <c:v>657</c:v>
                </c:pt>
                <c:pt idx="678">
                  <c:v>747</c:v>
                </c:pt>
                <c:pt idx="679">
                  <c:v>148</c:v>
                </c:pt>
                <c:pt idx="680">
                  <c:v>210</c:v>
                </c:pt>
                <c:pt idx="681">
                  <c:v>302</c:v>
                </c:pt>
                <c:pt idx="682">
                  <c:v>232</c:v>
                </c:pt>
                <c:pt idx="683">
                  <c:v>215</c:v>
                </c:pt>
                <c:pt idx="684">
                  <c:v>218</c:v>
                </c:pt>
                <c:pt idx="685">
                  <c:v>505</c:v>
                </c:pt>
                <c:pt idx="686">
                  <c:v>693</c:v>
                </c:pt>
                <c:pt idx="687">
                  <c:v>245</c:v>
                </c:pt>
                <c:pt idx="688">
                  <c:v>74</c:v>
                </c:pt>
                <c:pt idx="689">
                  <c:v>343</c:v>
                </c:pt>
                <c:pt idx="690">
                  <c:v>815</c:v>
                </c:pt>
                <c:pt idx="691">
                  <c:v>54</c:v>
                </c:pt>
                <c:pt idx="692">
                  <c:v>547</c:v>
                </c:pt>
                <c:pt idx="693">
                  <c:v>175</c:v>
                </c:pt>
                <c:pt idx="694">
                  <c:v>282</c:v>
                </c:pt>
                <c:pt idx="695">
                  <c:v>322</c:v>
                </c:pt>
                <c:pt idx="696">
                  <c:v>199</c:v>
                </c:pt>
                <c:pt idx="697">
                  <c:v>261</c:v>
                </c:pt>
                <c:pt idx="698">
                  <c:v>192</c:v>
                </c:pt>
                <c:pt idx="699">
                  <c:v>210</c:v>
                </c:pt>
                <c:pt idx="700">
                  <c:v>484</c:v>
                </c:pt>
                <c:pt idx="701">
                  <c:v>664</c:v>
                </c:pt>
                <c:pt idx="702">
                  <c:v>239</c:v>
                </c:pt>
                <c:pt idx="703">
                  <c:v>65</c:v>
                </c:pt>
                <c:pt idx="704">
                  <c:v>387</c:v>
                </c:pt>
                <c:pt idx="705">
                  <c:v>719</c:v>
                </c:pt>
                <c:pt idx="706">
                  <c:v>55</c:v>
                </c:pt>
                <c:pt idx="707">
                  <c:v>614</c:v>
                </c:pt>
                <c:pt idx="708">
                  <c:v>171</c:v>
                </c:pt>
                <c:pt idx="709">
                  <c:v>211</c:v>
                </c:pt>
                <c:pt idx="710">
                  <c:v>309</c:v>
                </c:pt>
                <c:pt idx="711">
                  <c:v>341</c:v>
                </c:pt>
                <c:pt idx="712">
                  <c:v>208</c:v>
                </c:pt>
                <c:pt idx="713">
                  <c:v>236</c:v>
                </c:pt>
                <c:pt idx="714">
                  <c:v>543</c:v>
                </c:pt>
                <c:pt idx="715">
                  <c:v>745</c:v>
                </c:pt>
                <c:pt idx="716">
                  <c:v>266</c:v>
                </c:pt>
                <c:pt idx="717">
                  <c:v>70</c:v>
                </c:pt>
                <c:pt idx="718">
                  <c:v>326</c:v>
                </c:pt>
                <c:pt idx="719">
                  <c:v>700</c:v>
                </c:pt>
                <c:pt idx="720">
                  <c:v>796</c:v>
                </c:pt>
                <c:pt idx="721">
                  <c:v>158</c:v>
                </c:pt>
                <c:pt idx="722">
                  <c:v>224</c:v>
                </c:pt>
                <c:pt idx="723">
                  <c:v>322</c:v>
                </c:pt>
                <c:pt idx="724">
                  <c:v>265</c:v>
                </c:pt>
                <c:pt idx="725">
                  <c:v>298</c:v>
                </c:pt>
                <c:pt idx="726">
                  <c:v>182</c:v>
                </c:pt>
                <c:pt idx="727">
                  <c:v>478</c:v>
                </c:pt>
                <c:pt idx="728">
                  <c:v>120</c:v>
                </c:pt>
                <c:pt idx="729">
                  <c:v>302</c:v>
                </c:pt>
                <c:pt idx="730">
                  <c:v>367</c:v>
                </c:pt>
                <c:pt idx="731">
                  <c:v>187</c:v>
                </c:pt>
                <c:pt idx="732">
                  <c:v>598</c:v>
                </c:pt>
                <c:pt idx="733">
                  <c:v>322</c:v>
                </c:pt>
                <c:pt idx="734">
                  <c:v>322</c:v>
                </c:pt>
                <c:pt idx="735">
                  <c:v>302</c:v>
                </c:pt>
                <c:pt idx="736">
                  <c:v>265</c:v>
                </c:pt>
                <c:pt idx="737">
                  <c:v>205</c:v>
                </c:pt>
                <c:pt idx="738">
                  <c:v>218</c:v>
                </c:pt>
                <c:pt idx="739">
                  <c:v>205</c:v>
                </c:pt>
                <c:pt idx="740">
                  <c:v>23</c:v>
                </c:pt>
                <c:pt idx="741">
                  <c:v>202</c:v>
                </c:pt>
                <c:pt idx="742">
                  <c:v>177</c:v>
                </c:pt>
                <c:pt idx="743">
                  <c:v>230</c:v>
                </c:pt>
                <c:pt idx="744">
                  <c:v>99</c:v>
                </c:pt>
                <c:pt idx="745">
                  <c:v>174</c:v>
                </c:pt>
                <c:pt idx="746">
                  <c:v>598</c:v>
                </c:pt>
                <c:pt idx="747">
                  <c:v>298</c:v>
                </c:pt>
                <c:pt idx="748">
                  <c:v>109</c:v>
                </c:pt>
                <c:pt idx="749">
                  <c:v>478</c:v>
                </c:pt>
                <c:pt idx="750">
                  <c:v>567</c:v>
                </c:pt>
                <c:pt idx="751">
                  <c:v>56</c:v>
                </c:pt>
                <c:pt idx="752">
                  <c:v>198</c:v>
                </c:pt>
                <c:pt idx="753">
                  <c:v>278</c:v>
                </c:pt>
                <c:pt idx="754">
                  <c:v>189</c:v>
                </c:pt>
                <c:pt idx="755">
                  <c:v>423</c:v>
                </c:pt>
                <c:pt idx="756">
                  <c:v>290</c:v>
                </c:pt>
                <c:pt idx="757">
                  <c:v>412</c:v>
                </c:pt>
                <c:pt idx="758">
                  <c:v>123</c:v>
                </c:pt>
                <c:pt idx="759">
                  <c:v>532</c:v>
                </c:pt>
                <c:pt idx="760">
                  <c:v>363</c:v>
                </c:pt>
                <c:pt idx="761">
                  <c:v>363</c:v>
                </c:pt>
                <c:pt idx="762">
                  <c:v>290</c:v>
                </c:pt>
                <c:pt idx="763">
                  <c:v>198</c:v>
                </c:pt>
                <c:pt idx="764">
                  <c:v>197</c:v>
                </c:pt>
                <c:pt idx="765">
                  <c:v>189</c:v>
                </c:pt>
                <c:pt idx="766">
                  <c:v>245</c:v>
                </c:pt>
                <c:pt idx="767">
                  <c:v>200</c:v>
                </c:pt>
                <c:pt idx="768">
                  <c:v>23</c:v>
                </c:pt>
                <c:pt idx="769">
                  <c:v>180</c:v>
                </c:pt>
                <c:pt idx="770">
                  <c:v>39</c:v>
                </c:pt>
                <c:pt idx="771">
                  <c:v>184</c:v>
                </c:pt>
                <c:pt idx="772">
                  <c:v>224</c:v>
                </c:pt>
                <c:pt idx="773">
                  <c:v>132</c:v>
                </c:pt>
                <c:pt idx="774">
                  <c:v>164</c:v>
                </c:pt>
                <c:pt idx="775">
                  <c:v>532</c:v>
                </c:pt>
                <c:pt idx="776">
                  <c:v>278</c:v>
                </c:pt>
                <c:pt idx="777">
                  <c:v>423</c:v>
                </c:pt>
                <c:pt idx="778">
                  <c:v>545</c:v>
                </c:pt>
                <c:pt idx="779">
                  <c:v>210</c:v>
                </c:pt>
                <c:pt idx="780">
                  <c:v>312</c:v>
                </c:pt>
                <c:pt idx="781">
                  <c:v>168</c:v>
                </c:pt>
                <c:pt idx="782">
                  <c:v>501</c:v>
                </c:pt>
                <c:pt idx="783">
                  <c:v>302</c:v>
                </c:pt>
                <c:pt idx="784">
                  <c:v>534</c:v>
                </c:pt>
                <c:pt idx="785">
                  <c:v>133</c:v>
                </c:pt>
                <c:pt idx="786">
                  <c:v>576</c:v>
                </c:pt>
                <c:pt idx="787">
                  <c:v>306</c:v>
                </c:pt>
                <c:pt idx="788">
                  <c:v>306</c:v>
                </c:pt>
                <c:pt idx="789">
                  <c:v>302</c:v>
                </c:pt>
                <c:pt idx="790">
                  <c:v>210</c:v>
                </c:pt>
                <c:pt idx="791">
                  <c:v>221</c:v>
                </c:pt>
                <c:pt idx="792">
                  <c:v>320</c:v>
                </c:pt>
                <c:pt idx="793">
                  <c:v>185</c:v>
                </c:pt>
                <c:pt idx="794">
                  <c:v>24</c:v>
                </c:pt>
                <c:pt idx="795">
                  <c:v>195</c:v>
                </c:pt>
                <c:pt idx="796">
                  <c:v>153</c:v>
                </c:pt>
                <c:pt idx="797">
                  <c:v>250</c:v>
                </c:pt>
                <c:pt idx="798">
                  <c:v>123</c:v>
                </c:pt>
                <c:pt idx="799">
                  <c:v>176</c:v>
                </c:pt>
                <c:pt idx="800">
                  <c:v>576</c:v>
                </c:pt>
                <c:pt idx="801">
                  <c:v>312</c:v>
                </c:pt>
                <c:pt idx="802">
                  <c:v>501</c:v>
                </c:pt>
                <c:pt idx="803">
                  <c:v>654</c:v>
                </c:pt>
                <c:pt idx="804">
                  <c:v>45</c:v>
                </c:pt>
                <c:pt idx="805">
                  <c:v>282</c:v>
                </c:pt>
                <c:pt idx="806">
                  <c:v>318</c:v>
                </c:pt>
                <c:pt idx="807">
                  <c:v>194</c:v>
                </c:pt>
                <c:pt idx="808">
                  <c:v>509</c:v>
                </c:pt>
                <c:pt idx="809">
                  <c:v>128</c:v>
                </c:pt>
                <c:pt idx="810">
                  <c:v>322</c:v>
                </c:pt>
                <c:pt idx="811">
                  <c:v>391</c:v>
                </c:pt>
                <c:pt idx="812">
                  <c:v>199</c:v>
                </c:pt>
                <c:pt idx="813">
                  <c:v>637</c:v>
                </c:pt>
                <c:pt idx="814">
                  <c:v>343</c:v>
                </c:pt>
                <c:pt idx="815">
                  <c:v>343</c:v>
                </c:pt>
                <c:pt idx="816">
                  <c:v>322</c:v>
                </c:pt>
                <c:pt idx="817">
                  <c:v>282</c:v>
                </c:pt>
                <c:pt idx="818">
                  <c:v>218</c:v>
                </c:pt>
                <c:pt idx="819">
                  <c:v>232</c:v>
                </c:pt>
                <c:pt idx="820">
                  <c:v>218</c:v>
                </c:pt>
                <c:pt idx="821">
                  <c:v>25</c:v>
                </c:pt>
                <c:pt idx="822">
                  <c:v>215</c:v>
                </c:pt>
                <c:pt idx="823">
                  <c:v>189</c:v>
                </c:pt>
                <c:pt idx="824">
                  <c:v>245</c:v>
                </c:pt>
                <c:pt idx="825">
                  <c:v>106</c:v>
                </c:pt>
                <c:pt idx="826">
                  <c:v>185</c:v>
                </c:pt>
                <c:pt idx="827">
                  <c:v>637</c:v>
                </c:pt>
                <c:pt idx="828">
                  <c:v>318</c:v>
                </c:pt>
                <c:pt idx="829">
                  <c:v>116</c:v>
                </c:pt>
                <c:pt idx="830">
                  <c:v>509</c:v>
                </c:pt>
                <c:pt idx="831">
                  <c:v>604</c:v>
                </c:pt>
                <c:pt idx="832">
                  <c:v>60</c:v>
                </c:pt>
                <c:pt idx="833">
                  <c:v>211</c:v>
                </c:pt>
                <c:pt idx="834">
                  <c:v>296</c:v>
                </c:pt>
                <c:pt idx="835">
                  <c:v>201</c:v>
                </c:pt>
                <c:pt idx="836">
                  <c:v>451</c:v>
                </c:pt>
                <c:pt idx="837">
                  <c:v>309</c:v>
                </c:pt>
                <c:pt idx="838">
                  <c:v>439</c:v>
                </c:pt>
                <c:pt idx="839">
                  <c:v>131</c:v>
                </c:pt>
                <c:pt idx="840">
                  <c:v>567</c:v>
                </c:pt>
                <c:pt idx="841">
                  <c:v>387</c:v>
                </c:pt>
                <c:pt idx="842">
                  <c:v>387</c:v>
                </c:pt>
                <c:pt idx="843">
                  <c:v>309</c:v>
                </c:pt>
                <c:pt idx="844">
                  <c:v>211</c:v>
                </c:pt>
                <c:pt idx="845">
                  <c:v>210</c:v>
                </c:pt>
                <c:pt idx="846">
                  <c:v>201</c:v>
                </c:pt>
                <c:pt idx="847">
                  <c:v>261</c:v>
                </c:pt>
                <c:pt idx="848">
                  <c:v>213</c:v>
                </c:pt>
                <c:pt idx="849">
                  <c:v>25</c:v>
                </c:pt>
                <c:pt idx="850">
                  <c:v>192</c:v>
                </c:pt>
                <c:pt idx="851">
                  <c:v>42</c:v>
                </c:pt>
                <c:pt idx="852">
                  <c:v>196</c:v>
                </c:pt>
                <c:pt idx="853">
                  <c:v>239</c:v>
                </c:pt>
                <c:pt idx="854">
                  <c:v>141</c:v>
                </c:pt>
                <c:pt idx="855">
                  <c:v>175</c:v>
                </c:pt>
                <c:pt idx="856">
                  <c:v>567</c:v>
                </c:pt>
                <c:pt idx="857">
                  <c:v>296</c:v>
                </c:pt>
                <c:pt idx="858">
                  <c:v>451</c:v>
                </c:pt>
                <c:pt idx="859">
                  <c:v>581</c:v>
                </c:pt>
                <c:pt idx="860">
                  <c:v>224</c:v>
                </c:pt>
                <c:pt idx="861">
                  <c:v>332</c:v>
                </c:pt>
                <c:pt idx="862">
                  <c:v>179</c:v>
                </c:pt>
                <c:pt idx="863">
                  <c:v>534</c:v>
                </c:pt>
                <c:pt idx="864">
                  <c:v>322</c:v>
                </c:pt>
                <c:pt idx="865">
                  <c:v>569</c:v>
                </c:pt>
                <c:pt idx="866">
                  <c:v>142</c:v>
                </c:pt>
                <c:pt idx="867">
                  <c:v>614</c:v>
                </c:pt>
                <c:pt idx="868">
                  <c:v>326</c:v>
                </c:pt>
                <c:pt idx="869">
                  <c:v>326</c:v>
                </c:pt>
                <c:pt idx="870">
                  <c:v>322</c:v>
                </c:pt>
                <c:pt idx="871">
                  <c:v>224</c:v>
                </c:pt>
                <c:pt idx="872">
                  <c:v>236</c:v>
                </c:pt>
                <c:pt idx="873">
                  <c:v>341</c:v>
                </c:pt>
                <c:pt idx="874">
                  <c:v>197</c:v>
                </c:pt>
                <c:pt idx="875">
                  <c:v>26</c:v>
                </c:pt>
                <c:pt idx="876">
                  <c:v>208</c:v>
                </c:pt>
                <c:pt idx="877">
                  <c:v>163</c:v>
                </c:pt>
                <c:pt idx="878">
                  <c:v>266</c:v>
                </c:pt>
                <c:pt idx="879">
                  <c:v>131</c:v>
                </c:pt>
                <c:pt idx="880">
                  <c:v>188</c:v>
                </c:pt>
                <c:pt idx="881">
                  <c:v>614</c:v>
                </c:pt>
                <c:pt idx="882">
                  <c:v>332</c:v>
                </c:pt>
                <c:pt idx="883">
                  <c:v>534</c:v>
                </c:pt>
                <c:pt idx="884">
                  <c:v>697</c:v>
                </c:pt>
                <c:pt idx="885">
                  <c:v>48</c:v>
                </c:pt>
                <c:pt idx="886">
                  <c:v>130</c:v>
                </c:pt>
                <c:pt idx="887">
                  <c:v>598</c:v>
                </c:pt>
                <c:pt idx="888">
                  <c:v>109</c:v>
                </c:pt>
                <c:pt idx="889">
                  <c:v>650</c:v>
                </c:pt>
                <c:pt idx="890">
                  <c:v>478</c:v>
                </c:pt>
                <c:pt idx="891">
                  <c:v>298</c:v>
                </c:pt>
                <c:pt idx="892">
                  <c:v>265</c:v>
                </c:pt>
                <c:pt idx="893">
                  <c:v>520</c:v>
                </c:pt>
                <c:pt idx="894">
                  <c:v>302</c:v>
                </c:pt>
                <c:pt idx="895">
                  <c:v>107</c:v>
                </c:pt>
                <c:pt idx="896">
                  <c:v>177</c:v>
                </c:pt>
                <c:pt idx="897">
                  <c:v>230</c:v>
                </c:pt>
                <c:pt idx="898">
                  <c:v>322</c:v>
                </c:pt>
                <c:pt idx="899">
                  <c:v>174</c:v>
                </c:pt>
                <c:pt idx="900">
                  <c:v>122</c:v>
                </c:pt>
                <c:pt idx="901">
                  <c:v>142</c:v>
                </c:pt>
                <c:pt idx="902">
                  <c:v>144</c:v>
                </c:pt>
                <c:pt idx="903">
                  <c:v>111</c:v>
                </c:pt>
                <c:pt idx="904">
                  <c:v>167</c:v>
                </c:pt>
                <c:pt idx="905">
                  <c:v>51</c:v>
                </c:pt>
                <c:pt idx="906">
                  <c:v>52</c:v>
                </c:pt>
                <c:pt idx="907">
                  <c:v>236</c:v>
                </c:pt>
                <c:pt idx="908">
                  <c:v>298</c:v>
                </c:pt>
                <c:pt idx="909">
                  <c:v>313</c:v>
                </c:pt>
                <c:pt idx="910">
                  <c:v>367</c:v>
                </c:pt>
                <c:pt idx="911">
                  <c:v>205</c:v>
                </c:pt>
                <c:pt idx="912">
                  <c:v>298</c:v>
                </c:pt>
                <c:pt idx="913">
                  <c:v>109</c:v>
                </c:pt>
                <c:pt idx="914">
                  <c:v>598</c:v>
                </c:pt>
                <c:pt idx="915">
                  <c:v>53</c:v>
                </c:pt>
                <c:pt idx="916">
                  <c:v>478</c:v>
                </c:pt>
                <c:pt idx="917">
                  <c:v>21</c:v>
                </c:pt>
                <c:pt idx="918">
                  <c:v>56</c:v>
                </c:pt>
                <c:pt idx="919">
                  <c:v>146</c:v>
                </c:pt>
                <c:pt idx="920">
                  <c:v>532</c:v>
                </c:pt>
                <c:pt idx="921">
                  <c:v>116</c:v>
                </c:pt>
                <c:pt idx="922">
                  <c:v>623</c:v>
                </c:pt>
                <c:pt idx="923">
                  <c:v>423</c:v>
                </c:pt>
                <c:pt idx="924">
                  <c:v>289</c:v>
                </c:pt>
                <c:pt idx="925">
                  <c:v>198</c:v>
                </c:pt>
                <c:pt idx="926">
                  <c:v>490</c:v>
                </c:pt>
                <c:pt idx="927">
                  <c:v>290</c:v>
                </c:pt>
                <c:pt idx="928">
                  <c:v>184</c:v>
                </c:pt>
                <c:pt idx="929">
                  <c:v>224</c:v>
                </c:pt>
                <c:pt idx="930">
                  <c:v>363</c:v>
                </c:pt>
                <c:pt idx="931">
                  <c:v>150</c:v>
                </c:pt>
                <c:pt idx="932">
                  <c:v>128</c:v>
                </c:pt>
                <c:pt idx="933">
                  <c:v>156</c:v>
                </c:pt>
                <c:pt idx="934">
                  <c:v>39</c:v>
                </c:pt>
                <c:pt idx="935">
                  <c:v>231</c:v>
                </c:pt>
                <c:pt idx="936">
                  <c:v>289</c:v>
                </c:pt>
                <c:pt idx="937">
                  <c:v>325</c:v>
                </c:pt>
                <c:pt idx="938">
                  <c:v>412</c:v>
                </c:pt>
                <c:pt idx="939">
                  <c:v>200</c:v>
                </c:pt>
                <c:pt idx="940">
                  <c:v>278</c:v>
                </c:pt>
                <c:pt idx="941">
                  <c:v>532</c:v>
                </c:pt>
                <c:pt idx="942">
                  <c:v>423</c:v>
                </c:pt>
                <c:pt idx="943">
                  <c:v>197</c:v>
                </c:pt>
                <c:pt idx="944">
                  <c:v>32</c:v>
                </c:pt>
                <c:pt idx="945">
                  <c:v>245</c:v>
                </c:pt>
                <c:pt idx="946">
                  <c:v>192</c:v>
                </c:pt>
                <c:pt idx="947">
                  <c:v>576</c:v>
                </c:pt>
                <c:pt idx="948">
                  <c:v>102</c:v>
                </c:pt>
                <c:pt idx="949">
                  <c:v>699</c:v>
                </c:pt>
                <c:pt idx="950">
                  <c:v>501</c:v>
                </c:pt>
                <c:pt idx="951">
                  <c:v>322</c:v>
                </c:pt>
                <c:pt idx="952">
                  <c:v>210</c:v>
                </c:pt>
                <c:pt idx="953">
                  <c:v>525</c:v>
                </c:pt>
                <c:pt idx="954">
                  <c:v>302</c:v>
                </c:pt>
                <c:pt idx="955">
                  <c:v>153</c:v>
                </c:pt>
                <c:pt idx="956">
                  <c:v>250</c:v>
                </c:pt>
                <c:pt idx="957">
                  <c:v>306</c:v>
                </c:pt>
                <c:pt idx="958">
                  <c:v>176</c:v>
                </c:pt>
                <c:pt idx="959">
                  <c:v>139</c:v>
                </c:pt>
                <c:pt idx="960">
                  <c:v>176</c:v>
                </c:pt>
                <c:pt idx="961">
                  <c:v>41</c:v>
                </c:pt>
                <c:pt idx="962">
                  <c:v>214</c:v>
                </c:pt>
                <c:pt idx="963">
                  <c:v>322</c:v>
                </c:pt>
                <c:pt idx="964">
                  <c:v>289</c:v>
                </c:pt>
                <c:pt idx="965">
                  <c:v>534</c:v>
                </c:pt>
                <c:pt idx="966">
                  <c:v>185</c:v>
                </c:pt>
                <c:pt idx="967">
                  <c:v>312</c:v>
                </c:pt>
                <c:pt idx="968">
                  <c:v>576</c:v>
                </c:pt>
                <c:pt idx="969">
                  <c:v>501</c:v>
                </c:pt>
                <c:pt idx="970">
                  <c:v>221</c:v>
                </c:pt>
                <c:pt idx="971">
                  <c:v>31</c:v>
                </c:pt>
                <c:pt idx="972">
                  <c:v>320</c:v>
                </c:pt>
                <c:pt idx="973">
                  <c:v>45</c:v>
                </c:pt>
                <c:pt idx="974">
                  <c:v>139</c:v>
                </c:pt>
                <c:pt idx="975">
                  <c:v>637</c:v>
                </c:pt>
                <c:pt idx="976">
                  <c:v>116</c:v>
                </c:pt>
                <c:pt idx="977">
                  <c:v>693</c:v>
                </c:pt>
                <c:pt idx="978">
                  <c:v>509</c:v>
                </c:pt>
                <c:pt idx="979">
                  <c:v>318</c:v>
                </c:pt>
                <c:pt idx="980">
                  <c:v>282</c:v>
                </c:pt>
                <c:pt idx="981">
                  <c:v>554</c:v>
                </c:pt>
                <c:pt idx="982">
                  <c:v>322</c:v>
                </c:pt>
                <c:pt idx="983">
                  <c:v>114</c:v>
                </c:pt>
                <c:pt idx="984">
                  <c:v>189</c:v>
                </c:pt>
                <c:pt idx="985">
                  <c:v>245</c:v>
                </c:pt>
                <c:pt idx="986">
                  <c:v>343</c:v>
                </c:pt>
                <c:pt idx="987">
                  <c:v>185</c:v>
                </c:pt>
                <c:pt idx="988">
                  <c:v>130</c:v>
                </c:pt>
                <c:pt idx="989">
                  <c:v>151</c:v>
                </c:pt>
                <c:pt idx="990">
                  <c:v>153</c:v>
                </c:pt>
                <c:pt idx="991">
                  <c:v>118</c:v>
                </c:pt>
                <c:pt idx="992">
                  <c:v>178</c:v>
                </c:pt>
                <c:pt idx="993">
                  <c:v>54</c:v>
                </c:pt>
                <c:pt idx="994">
                  <c:v>55</c:v>
                </c:pt>
                <c:pt idx="995">
                  <c:v>251</c:v>
                </c:pt>
                <c:pt idx="996">
                  <c:v>318</c:v>
                </c:pt>
                <c:pt idx="997">
                  <c:v>334</c:v>
                </c:pt>
                <c:pt idx="998">
                  <c:v>391</c:v>
                </c:pt>
                <c:pt idx="999">
                  <c:v>218</c:v>
                </c:pt>
                <c:pt idx="1000">
                  <c:v>318</c:v>
                </c:pt>
                <c:pt idx="1001">
                  <c:v>116</c:v>
                </c:pt>
                <c:pt idx="1002">
                  <c:v>637</c:v>
                </c:pt>
                <c:pt idx="1003">
                  <c:v>56</c:v>
                </c:pt>
                <c:pt idx="1004">
                  <c:v>509</c:v>
                </c:pt>
                <c:pt idx="1005">
                  <c:v>22</c:v>
                </c:pt>
                <c:pt idx="1006">
                  <c:v>60</c:v>
                </c:pt>
                <c:pt idx="1007">
                  <c:v>156</c:v>
                </c:pt>
                <c:pt idx="1008">
                  <c:v>567</c:v>
                </c:pt>
                <c:pt idx="1009">
                  <c:v>124</c:v>
                </c:pt>
                <c:pt idx="1010">
                  <c:v>664</c:v>
                </c:pt>
                <c:pt idx="1011">
                  <c:v>451</c:v>
                </c:pt>
                <c:pt idx="1012">
                  <c:v>308</c:v>
                </c:pt>
                <c:pt idx="1013">
                  <c:v>211</c:v>
                </c:pt>
                <c:pt idx="1014">
                  <c:v>522</c:v>
                </c:pt>
                <c:pt idx="1015">
                  <c:v>309</c:v>
                </c:pt>
                <c:pt idx="1016">
                  <c:v>196</c:v>
                </c:pt>
                <c:pt idx="1017">
                  <c:v>239</c:v>
                </c:pt>
                <c:pt idx="1018">
                  <c:v>387</c:v>
                </c:pt>
                <c:pt idx="1019">
                  <c:v>160</c:v>
                </c:pt>
                <c:pt idx="1020">
                  <c:v>136</c:v>
                </c:pt>
                <c:pt idx="1021">
                  <c:v>166</c:v>
                </c:pt>
                <c:pt idx="1022">
                  <c:v>42</c:v>
                </c:pt>
                <c:pt idx="1023">
                  <c:v>246</c:v>
                </c:pt>
                <c:pt idx="1024">
                  <c:v>308</c:v>
                </c:pt>
                <c:pt idx="1025">
                  <c:v>346</c:v>
                </c:pt>
                <c:pt idx="1026">
                  <c:v>439</c:v>
                </c:pt>
                <c:pt idx="1027">
                  <c:v>213</c:v>
                </c:pt>
                <c:pt idx="1028">
                  <c:v>296</c:v>
                </c:pt>
                <c:pt idx="1029">
                  <c:v>567</c:v>
                </c:pt>
                <c:pt idx="1030">
                  <c:v>451</c:v>
                </c:pt>
                <c:pt idx="1031">
                  <c:v>210</c:v>
                </c:pt>
                <c:pt idx="1032">
                  <c:v>34</c:v>
                </c:pt>
                <c:pt idx="1033">
                  <c:v>261</c:v>
                </c:pt>
                <c:pt idx="1034">
                  <c:v>205</c:v>
                </c:pt>
                <c:pt idx="1035">
                  <c:v>614</c:v>
                </c:pt>
                <c:pt idx="1036">
                  <c:v>109</c:v>
                </c:pt>
                <c:pt idx="1037">
                  <c:v>745</c:v>
                </c:pt>
                <c:pt idx="1038">
                  <c:v>534</c:v>
                </c:pt>
                <c:pt idx="1039">
                  <c:v>343</c:v>
                </c:pt>
                <c:pt idx="1040">
                  <c:v>224</c:v>
                </c:pt>
                <c:pt idx="1041">
                  <c:v>559</c:v>
                </c:pt>
                <c:pt idx="1042">
                  <c:v>322</c:v>
                </c:pt>
                <c:pt idx="1043">
                  <c:v>163</c:v>
                </c:pt>
                <c:pt idx="1044">
                  <c:v>266</c:v>
                </c:pt>
                <c:pt idx="1045">
                  <c:v>326</c:v>
                </c:pt>
                <c:pt idx="1046">
                  <c:v>188</c:v>
                </c:pt>
                <c:pt idx="1047">
                  <c:v>148</c:v>
                </c:pt>
                <c:pt idx="1048">
                  <c:v>188</c:v>
                </c:pt>
                <c:pt idx="1049">
                  <c:v>44</c:v>
                </c:pt>
                <c:pt idx="1050">
                  <c:v>228</c:v>
                </c:pt>
                <c:pt idx="1051">
                  <c:v>343</c:v>
                </c:pt>
                <c:pt idx="1052">
                  <c:v>308</c:v>
                </c:pt>
                <c:pt idx="1053">
                  <c:v>569</c:v>
                </c:pt>
                <c:pt idx="1054">
                  <c:v>197</c:v>
                </c:pt>
                <c:pt idx="1055">
                  <c:v>332</c:v>
                </c:pt>
                <c:pt idx="1056">
                  <c:v>614</c:v>
                </c:pt>
                <c:pt idx="1057">
                  <c:v>534</c:v>
                </c:pt>
                <c:pt idx="1058">
                  <c:v>236</c:v>
                </c:pt>
                <c:pt idx="1059">
                  <c:v>33</c:v>
                </c:pt>
                <c:pt idx="1060">
                  <c:v>341</c:v>
                </c:pt>
                <c:pt idx="1061">
                  <c:v>48</c:v>
                </c:pt>
              </c:numCache>
            </c:numRef>
          </c:yVal>
          <c:smooth val="0"/>
          <c:extLst>
            <c:ext xmlns:c16="http://schemas.microsoft.com/office/drawing/2014/chart" uri="{C3380CC4-5D6E-409C-BE32-E72D297353CC}">
              <c16:uniqueId val="{00000000-BDE8-4871-B51F-28F679B60CDB}"/>
            </c:ext>
          </c:extLst>
        </c:ser>
        <c:dLbls>
          <c:showLegendKey val="0"/>
          <c:showVal val="0"/>
          <c:showCatName val="0"/>
          <c:showSerName val="0"/>
          <c:showPercent val="0"/>
          <c:showBubbleSize val="0"/>
        </c:dLbls>
        <c:axId val="2135171152"/>
        <c:axId val="2135184592"/>
      </c:scatterChart>
      <c:valAx>
        <c:axId val="213517115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184592"/>
        <c:crosses val="autoZero"/>
        <c:crossBetween val="midCat"/>
      </c:valAx>
      <c:valAx>
        <c:axId val="213518459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1711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[Coffeechain 1.xlsx]KPIs Section!PivotTable15</c:name>
    <c:fmtId val="0"/>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'KPIs Section'!$H$13</c:f>
              <c:strCache>
                <c:ptCount val="1"/>
                <c:pt idx="0">
                  <c:v>Total</c:v>
                </c:pt>
              </c:strCache>
            </c:strRef>
          </c:tx>
          <c:spPr>
            <a:solidFill>
              <a:schemeClr val="accent6"/>
            </a:solidFill>
            <a:ln>
              <a:noFill/>
            </a:ln>
            <a:effectLst/>
            <a:sp3d/>
          </c:spPr>
          <c:cat>
            <c:strRef>
              <c:f>'KPIs Section'!$G$14:$G$20</c:f>
              <c:strCache>
                <c:ptCount val="6"/>
                <c:pt idx="0">
                  <c:v>01-10-2012</c:v>
                </c:pt>
                <c:pt idx="1">
                  <c:v>01-11-2012</c:v>
                </c:pt>
                <c:pt idx="2">
                  <c:v>01-12-2012</c:v>
                </c:pt>
                <c:pt idx="3">
                  <c:v>01-10-2013</c:v>
                </c:pt>
                <c:pt idx="4">
                  <c:v>01-11-2013</c:v>
                </c:pt>
                <c:pt idx="5">
                  <c:v>01-12-2013</c:v>
                </c:pt>
              </c:strCache>
            </c:strRef>
          </c:cat>
          <c:val>
            <c:numRef>
              <c:f>'KPIs Section'!$H$14:$H$20</c:f>
              <c:numCache>
                <c:formatCode>General</c:formatCode>
                <c:ptCount val="6"/>
                <c:pt idx="0">
                  <c:v>32849</c:v>
                </c:pt>
                <c:pt idx="1">
                  <c:v>32003</c:v>
                </c:pt>
                <c:pt idx="2">
                  <c:v>33373</c:v>
                </c:pt>
                <c:pt idx="3">
                  <c:v>34987</c:v>
                </c:pt>
                <c:pt idx="4">
                  <c:v>34103</c:v>
                </c:pt>
                <c:pt idx="5">
                  <c:v>35580</c:v>
                </c:pt>
              </c:numCache>
            </c:numRef>
          </c:val>
          <c:smooth val="0"/>
          <c:extLst>
            <c:ext xmlns:c16="http://schemas.microsoft.com/office/drawing/2014/chart" uri="{C3380CC4-5D6E-409C-BE32-E72D297353CC}">
              <c16:uniqueId val="{00000000-DC68-4F74-B0B9-6FE34F432CAD}"/>
            </c:ext>
          </c:extLst>
        </c:ser>
        <c:dLbls>
          <c:showLegendKey val="0"/>
          <c:showVal val="0"/>
          <c:showCatName val="0"/>
          <c:showSerName val="0"/>
          <c:showPercent val="0"/>
          <c:showBubbleSize val="0"/>
        </c:dLbls>
        <c:axId val="392320224"/>
        <c:axId val="392327424"/>
        <c:axId val="150869024"/>
      </c:line3DChart>
      <c:catAx>
        <c:axId val="392320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7424"/>
        <c:crosses val="autoZero"/>
        <c:auto val="1"/>
        <c:lblAlgn val="ctr"/>
        <c:lblOffset val="100"/>
        <c:noMultiLvlLbl val="0"/>
      </c:catAx>
      <c:valAx>
        <c:axId val="39232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0224"/>
        <c:crosses val="autoZero"/>
        <c:crossBetween val="between"/>
      </c:valAx>
      <c:serAx>
        <c:axId val="15086902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742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[Coffeechain 1.xlsx]KPIs Section!PivotTable10</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Section'!$B$13</c:f>
              <c:strCache>
                <c:ptCount val="1"/>
                <c:pt idx="0">
                  <c:v>Sum of Sales</c:v>
                </c:pt>
              </c:strCache>
            </c:strRef>
          </c:tx>
          <c:spPr>
            <a:solidFill>
              <a:schemeClr val="accent6"/>
            </a:solidFill>
            <a:ln>
              <a:noFill/>
            </a:ln>
            <a:effectLst/>
          </c:spPr>
          <c:invertIfNegative val="0"/>
          <c:cat>
            <c:strRef>
              <c:f>'KPIs Section'!$B$14</c:f>
              <c:strCache>
                <c:ptCount val="1"/>
                <c:pt idx="0">
                  <c:v>Total</c:v>
                </c:pt>
              </c:strCache>
            </c:strRef>
          </c:cat>
          <c:val>
            <c:numRef>
              <c:f>'KPIs Section'!$B$14</c:f>
              <c:numCache>
                <c:formatCode>General</c:formatCode>
                <c:ptCount val="1"/>
                <c:pt idx="0">
                  <c:v>202895</c:v>
                </c:pt>
              </c:numCache>
            </c:numRef>
          </c:val>
          <c:extLst>
            <c:ext xmlns:c16="http://schemas.microsoft.com/office/drawing/2014/chart" uri="{C3380CC4-5D6E-409C-BE32-E72D297353CC}">
              <c16:uniqueId val="{00000000-797D-4091-A48E-8F826262F059}"/>
            </c:ext>
          </c:extLst>
        </c:ser>
        <c:ser>
          <c:idx val="1"/>
          <c:order val="1"/>
          <c:tx>
            <c:strRef>
              <c:f>'KPIs Section'!$C$13</c:f>
              <c:strCache>
                <c:ptCount val="1"/>
                <c:pt idx="0">
                  <c:v>Sum of Profit</c:v>
                </c:pt>
              </c:strCache>
            </c:strRef>
          </c:tx>
          <c:spPr>
            <a:solidFill>
              <a:srgbClr val="FF0000"/>
            </a:solidFill>
            <a:ln>
              <a:noFill/>
            </a:ln>
            <a:effectLst/>
          </c:spPr>
          <c:invertIfNegative val="0"/>
          <c:cat>
            <c:strRef>
              <c:f>'KPIs Section'!$B$14</c:f>
              <c:strCache>
                <c:ptCount val="1"/>
                <c:pt idx="0">
                  <c:v>Total</c:v>
                </c:pt>
              </c:strCache>
            </c:strRef>
          </c:cat>
          <c:val>
            <c:numRef>
              <c:f>'KPIs Section'!$C$14</c:f>
              <c:numCache>
                <c:formatCode>General</c:formatCode>
                <c:ptCount val="1"/>
                <c:pt idx="0">
                  <c:v>64311</c:v>
                </c:pt>
              </c:numCache>
            </c:numRef>
          </c:val>
          <c:extLst>
            <c:ext xmlns:c16="http://schemas.microsoft.com/office/drawing/2014/chart" uri="{C3380CC4-5D6E-409C-BE32-E72D297353CC}">
              <c16:uniqueId val="{00000001-797D-4091-A48E-8F826262F059}"/>
            </c:ext>
          </c:extLst>
        </c:ser>
        <c:dLbls>
          <c:showLegendKey val="0"/>
          <c:showVal val="0"/>
          <c:showCatName val="0"/>
          <c:showSerName val="0"/>
          <c:showPercent val="0"/>
          <c:showBubbleSize val="0"/>
        </c:dLbls>
        <c:gapWidth val="219"/>
        <c:overlap val="-27"/>
        <c:axId val="976303600"/>
        <c:axId val="976308400"/>
      </c:barChart>
      <c:catAx>
        <c:axId val="97630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308400"/>
        <c:crosses val="autoZero"/>
        <c:auto val="1"/>
        <c:lblAlgn val="ctr"/>
        <c:lblOffset val="100"/>
        <c:noMultiLvlLbl val="0"/>
      </c:catAx>
      <c:valAx>
        <c:axId val="976308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30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[Coffeechain 1.xlsx]KPIs Section!PivotTable12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'KPIs Section'!$N$13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5A-4439-9B5E-C82771463F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5A-4439-9B5E-C82771463F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5A-4439-9B5E-C82771463F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5A-4439-9B5E-C82771463F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Section'!$M$14:$M$18</c:f>
              <c:strCache>
                <c:ptCount val="4"/>
                <c:pt idx="0">
                  <c:v>Central</c:v>
                </c:pt>
                <c:pt idx="1">
                  <c:v>East</c:v>
                </c:pt>
                <c:pt idx="2">
                  <c:v>South</c:v>
                </c:pt>
                <c:pt idx="3">
                  <c:v>West</c:v>
                </c:pt>
              </c:strCache>
            </c:strRef>
          </c:cat>
          <c:val>
            <c:numRef>
              <c:f>'KPIs Section'!$N$14:$N$18</c:f>
              <c:numCache>
                <c:formatCode>General</c:formatCode>
                <c:ptCount val="4"/>
                <c:pt idx="0">
                  <c:v>64981</c:v>
                </c:pt>
                <c:pt idx="1">
                  <c:v>44108</c:v>
                </c:pt>
                <c:pt idx="2">
                  <c:v>26388</c:v>
                </c:pt>
                <c:pt idx="3">
                  <c:v>67418</c:v>
                </c:pt>
              </c:numCache>
            </c:numRef>
          </c:val>
          <c:extLst>
            <c:ext xmlns:c16="http://schemas.microsoft.com/office/drawing/2014/chart" uri="{C3380CC4-5D6E-409C-BE32-E72D297353CC}">
              <c16:uniqueId val="{00000000-28F3-4B7F-BFB6-30DBFB58725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[Coffeechain 1.xlsx]KPIs Section!PivotTable15</c:name>
    <c:fmtId val="11"/>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429845227551545E-2"/>
          <c:y val="0.17214500871954763"/>
          <c:w val="0.81012551277867351"/>
          <c:h val="0.4058649967411791"/>
        </c:manualLayout>
      </c:layout>
      <c:line3DChart>
        <c:grouping val="standard"/>
        <c:varyColors val="0"/>
        <c:ser>
          <c:idx val="0"/>
          <c:order val="0"/>
          <c:tx>
            <c:strRef>
              <c:f>'KPIs Section'!$H$13</c:f>
              <c:strCache>
                <c:ptCount val="1"/>
                <c:pt idx="0">
                  <c:v>Total</c:v>
                </c:pt>
              </c:strCache>
            </c:strRef>
          </c:tx>
          <c:spPr>
            <a:solidFill>
              <a:schemeClr val="accent6"/>
            </a:solidFill>
            <a:ln>
              <a:noFill/>
            </a:ln>
            <a:effectLst/>
            <a:sp3d/>
          </c:spPr>
          <c:cat>
            <c:strRef>
              <c:f>'KPIs Section'!$G$14:$G$20</c:f>
              <c:strCache>
                <c:ptCount val="6"/>
                <c:pt idx="0">
                  <c:v>01-10-2012</c:v>
                </c:pt>
                <c:pt idx="1">
                  <c:v>01-11-2012</c:v>
                </c:pt>
                <c:pt idx="2">
                  <c:v>01-12-2012</c:v>
                </c:pt>
                <c:pt idx="3">
                  <c:v>01-10-2013</c:v>
                </c:pt>
                <c:pt idx="4">
                  <c:v>01-11-2013</c:v>
                </c:pt>
                <c:pt idx="5">
                  <c:v>01-12-2013</c:v>
                </c:pt>
              </c:strCache>
            </c:strRef>
          </c:cat>
          <c:val>
            <c:numRef>
              <c:f>'KPIs Section'!$H$14:$H$20</c:f>
              <c:numCache>
                <c:formatCode>General</c:formatCode>
                <c:ptCount val="6"/>
                <c:pt idx="0">
                  <c:v>32849</c:v>
                </c:pt>
                <c:pt idx="1">
                  <c:v>32003</c:v>
                </c:pt>
                <c:pt idx="2">
                  <c:v>33373</c:v>
                </c:pt>
                <c:pt idx="3">
                  <c:v>34987</c:v>
                </c:pt>
                <c:pt idx="4">
                  <c:v>34103</c:v>
                </c:pt>
                <c:pt idx="5">
                  <c:v>35580</c:v>
                </c:pt>
              </c:numCache>
            </c:numRef>
          </c:val>
          <c:smooth val="0"/>
          <c:extLst>
            <c:ext xmlns:c16="http://schemas.microsoft.com/office/drawing/2014/chart" uri="{C3380CC4-5D6E-409C-BE32-E72D297353CC}">
              <c16:uniqueId val="{00000000-F197-42E3-A8E2-462C250382CF}"/>
            </c:ext>
          </c:extLst>
        </c:ser>
        <c:dLbls>
          <c:showLegendKey val="0"/>
          <c:showVal val="0"/>
          <c:showCatName val="0"/>
          <c:showSerName val="0"/>
          <c:showPercent val="0"/>
          <c:showBubbleSize val="0"/>
        </c:dLbls>
        <c:axId val="392320224"/>
        <c:axId val="392327424"/>
        <c:axId val="150869024"/>
      </c:line3DChart>
      <c:catAx>
        <c:axId val="392320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7424"/>
        <c:crosses val="autoZero"/>
        <c:auto val="1"/>
        <c:lblAlgn val="ctr"/>
        <c:lblOffset val="100"/>
        <c:noMultiLvlLbl val="0"/>
      </c:catAx>
      <c:valAx>
        <c:axId val="39232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0224"/>
        <c:crosses val="autoZero"/>
        <c:crossBetween val="between"/>
      </c:valAx>
      <c:serAx>
        <c:axId val="150869024"/>
        <c:scaling>
          <c:orientation val="minMax"/>
        </c:scaling>
        <c:delete val="1"/>
        <c:axPos val="b"/>
        <c:majorTickMark val="out"/>
        <c:minorTickMark val="none"/>
        <c:tickLblPos val="nextTo"/>
        <c:crossAx val="39232742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[Coffeechain 1.xlsx]KPIs Section!PivotTable10</c:name>
    <c:fmtId val="6"/>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83298147514168"/>
          <c:y val="0.18377583047114082"/>
          <c:w val="0.60678338503141649"/>
          <c:h val="0.71602590869323157"/>
        </c:manualLayout>
      </c:layout>
      <c:barChart>
        <c:barDir val="col"/>
        <c:grouping val="clustered"/>
        <c:varyColors val="0"/>
        <c:ser>
          <c:idx val="0"/>
          <c:order val="0"/>
          <c:tx>
            <c:strRef>
              <c:f>'KPIs Section'!$B$13</c:f>
              <c:strCache>
                <c:ptCount val="1"/>
                <c:pt idx="0">
                  <c:v>Sum of Sales</c:v>
                </c:pt>
              </c:strCache>
            </c:strRef>
          </c:tx>
          <c:spPr>
            <a:solidFill>
              <a:schemeClr val="accent6"/>
            </a:solidFill>
            <a:ln>
              <a:noFill/>
            </a:ln>
            <a:effectLst/>
          </c:spPr>
          <c:invertIfNegative val="0"/>
          <c:cat>
            <c:strRef>
              <c:f>'KPIs Section'!$B$14</c:f>
              <c:strCache>
                <c:ptCount val="1"/>
                <c:pt idx="0">
                  <c:v>Total</c:v>
                </c:pt>
              </c:strCache>
            </c:strRef>
          </c:cat>
          <c:val>
            <c:numRef>
              <c:f>'KPIs Section'!$B$14</c:f>
              <c:numCache>
                <c:formatCode>General</c:formatCode>
                <c:ptCount val="1"/>
                <c:pt idx="0">
                  <c:v>202895</c:v>
                </c:pt>
              </c:numCache>
            </c:numRef>
          </c:val>
          <c:extLst>
            <c:ext xmlns:c16="http://schemas.microsoft.com/office/drawing/2014/chart" uri="{C3380CC4-5D6E-409C-BE32-E72D297353CC}">
              <c16:uniqueId val="{00000000-05CF-42B6-9FAF-ED2B62838DC9}"/>
            </c:ext>
          </c:extLst>
        </c:ser>
        <c:ser>
          <c:idx val="1"/>
          <c:order val="1"/>
          <c:tx>
            <c:strRef>
              <c:f>'KPIs Section'!$C$13</c:f>
              <c:strCache>
                <c:ptCount val="1"/>
                <c:pt idx="0">
                  <c:v>Sum of Profit</c:v>
                </c:pt>
              </c:strCache>
            </c:strRef>
          </c:tx>
          <c:spPr>
            <a:solidFill>
              <a:srgbClr val="FF0000"/>
            </a:solidFill>
            <a:ln>
              <a:noFill/>
            </a:ln>
            <a:effectLst/>
          </c:spPr>
          <c:invertIfNegative val="0"/>
          <c:cat>
            <c:strRef>
              <c:f>'KPIs Section'!$B$14</c:f>
              <c:strCache>
                <c:ptCount val="1"/>
                <c:pt idx="0">
                  <c:v>Total</c:v>
                </c:pt>
              </c:strCache>
            </c:strRef>
          </c:cat>
          <c:val>
            <c:numRef>
              <c:f>'KPIs Section'!$C$14</c:f>
              <c:numCache>
                <c:formatCode>General</c:formatCode>
                <c:ptCount val="1"/>
                <c:pt idx="0">
                  <c:v>64311</c:v>
                </c:pt>
              </c:numCache>
            </c:numRef>
          </c:val>
          <c:extLst>
            <c:ext xmlns:c16="http://schemas.microsoft.com/office/drawing/2014/chart" uri="{C3380CC4-5D6E-409C-BE32-E72D297353CC}">
              <c16:uniqueId val="{00000001-05CF-42B6-9FAF-ED2B62838DC9}"/>
            </c:ext>
          </c:extLst>
        </c:ser>
        <c:dLbls>
          <c:showLegendKey val="0"/>
          <c:showVal val="0"/>
          <c:showCatName val="0"/>
          <c:showSerName val="0"/>
          <c:showPercent val="0"/>
          <c:showBubbleSize val="0"/>
        </c:dLbls>
        <c:gapWidth val="219"/>
        <c:overlap val="-27"/>
        <c:axId val="976303600"/>
        <c:axId val="976308400"/>
      </c:barChart>
      <c:catAx>
        <c:axId val="976303600"/>
        <c:scaling>
          <c:orientation val="minMax"/>
        </c:scaling>
        <c:delete val="1"/>
        <c:axPos val="b"/>
        <c:numFmt formatCode="General" sourceLinked="1"/>
        <c:majorTickMark val="none"/>
        <c:minorTickMark val="none"/>
        <c:tickLblPos val="nextTo"/>
        <c:crossAx val="976308400"/>
        <c:crosses val="autoZero"/>
        <c:auto val="1"/>
        <c:lblAlgn val="ctr"/>
        <c:lblOffset val="100"/>
        <c:noMultiLvlLbl val="0"/>
      </c:catAx>
      <c:valAx>
        <c:axId val="976308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30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[Coffeechain 1.xlsx]KPIs Section!PivotTable12</c:name>
    <c:fmtId val="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pieChart>
        <c:varyColors val="1"/>
        <c:ser>
          <c:idx val="0"/>
          <c:order val="0"/>
          <c:tx>
            <c:strRef>
              <c:f>'KPIs Section'!$N$13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1E0-40A5-898F-2AC3546F3D8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1E0-40A5-898F-2AC3546F3D8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1E0-40A5-898F-2AC3546F3D80}"/>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11E0-40A5-898F-2AC3546F3D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Section'!$M$14:$M$18</c:f>
              <c:strCache>
                <c:ptCount val="4"/>
                <c:pt idx="0">
                  <c:v>Central</c:v>
                </c:pt>
                <c:pt idx="1">
                  <c:v>East</c:v>
                </c:pt>
                <c:pt idx="2">
                  <c:v>South</c:v>
                </c:pt>
                <c:pt idx="3">
                  <c:v>West</c:v>
                </c:pt>
              </c:strCache>
            </c:strRef>
          </c:cat>
          <c:val>
            <c:numRef>
              <c:f>'KPIs Section'!$N$14:$N$18</c:f>
              <c:numCache>
                <c:formatCode>General</c:formatCode>
                <c:ptCount val="4"/>
                <c:pt idx="0">
                  <c:v>64981</c:v>
                </c:pt>
                <c:pt idx="1">
                  <c:v>44108</c:v>
                </c:pt>
                <c:pt idx="2">
                  <c:v>26388</c:v>
                </c:pt>
                <c:pt idx="3">
                  <c:v>67418</c:v>
                </c:pt>
              </c:numCache>
            </c:numRef>
          </c:val>
          <c:extLst>
            <c:ext xmlns:c16="http://schemas.microsoft.com/office/drawing/2014/chart" uri="{C3380CC4-5D6E-409C-BE32-E72D297353CC}">
              <c16:uniqueId val="{00000008-11E0-40A5-898F-2AC3546F3D8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'KPIs Section'!$R$1</c:f>
              <c:strCache>
                <c:ptCount val="1"/>
                <c:pt idx="0">
                  <c:v>Sales</c:v>
                </c:pt>
              </c:strCache>
            </c:strRef>
          </c:tx>
          <c:spPr>
            <a:ln w="25400" cap="rnd">
              <a:noFill/>
              <a:round/>
            </a:ln>
            <a:effectLst/>
          </c:spPr>
          <c:marker>
            <c:symbol val="circle"/>
            <c:size val="5"/>
            <c:spPr>
              <a:solidFill>
                <a:schemeClr val="accent6"/>
              </a:solidFill>
              <a:ln w="9525">
                <a:solidFill>
                  <a:schemeClr val="accent6"/>
                </a:solidFill>
              </a:ln>
              <a:effectLst/>
            </c:spPr>
          </c:marker>
          <c:xVal>
            <c:numRef>
              <c:f>'KPIs Section'!$Q$2:$Q$1063</c:f>
              <c:numCache>
                <c:formatCode>General</c:formatCode>
                <c:ptCount val="1062"/>
                <c:pt idx="0">
                  <c:v>46</c:v>
                </c:pt>
                <c:pt idx="1">
                  <c:v>17</c:v>
                </c:pt>
                <c:pt idx="2">
                  <c:v>13</c:v>
                </c:pt>
                <c:pt idx="3">
                  <c:v>10</c:v>
                </c:pt>
                <c:pt idx="4">
                  <c:v>23</c:v>
                </c:pt>
                <c:pt idx="5">
                  <c:v>0</c:v>
                </c:pt>
                <c:pt idx="6">
                  <c:v>15</c:v>
                </c:pt>
                <c:pt idx="7">
                  <c:v>7</c:v>
                </c:pt>
                <c:pt idx="8">
                  <c:v>9</c:v>
                </c:pt>
                <c:pt idx="9">
                  <c:v>11</c:v>
                </c:pt>
                <c:pt idx="10">
                  <c:v>15</c:v>
                </c:pt>
                <c:pt idx="11">
                  <c:v>14</c:v>
                </c:pt>
                <c:pt idx="12">
                  <c:v>41</c:v>
                </c:pt>
                <c:pt idx="13">
                  <c:v>54</c:v>
                </c:pt>
                <c:pt idx="14">
                  <c:v>12</c:v>
                </c:pt>
                <c:pt idx="15">
                  <c:v>20</c:v>
                </c:pt>
                <c:pt idx="16">
                  <c:v>41</c:v>
                </c:pt>
                <c:pt idx="17">
                  <c:v>13</c:v>
                </c:pt>
                <c:pt idx="18">
                  <c:v>15</c:v>
                </c:pt>
                <c:pt idx="19">
                  <c:v>13</c:v>
                </c:pt>
                <c:pt idx="20">
                  <c:v>11</c:v>
                </c:pt>
                <c:pt idx="21">
                  <c:v>27</c:v>
                </c:pt>
                <c:pt idx="22">
                  <c:v>28</c:v>
                </c:pt>
                <c:pt idx="23">
                  <c:v>13</c:v>
                </c:pt>
                <c:pt idx="24">
                  <c:v>14</c:v>
                </c:pt>
                <c:pt idx="25">
                  <c:v>13</c:v>
                </c:pt>
                <c:pt idx="26">
                  <c:v>47</c:v>
                </c:pt>
                <c:pt idx="27">
                  <c:v>23</c:v>
                </c:pt>
                <c:pt idx="28">
                  <c:v>14</c:v>
                </c:pt>
                <c:pt idx="29">
                  <c:v>20</c:v>
                </c:pt>
                <c:pt idx="30">
                  <c:v>14</c:v>
                </c:pt>
                <c:pt idx="31">
                  <c:v>17</c:v>
                </c:pt>
                <c:pt idx="32">
                  <c:v>10</c:v>
                </c:pt>
                <c:pt idx="33">
                  <c:v>9</c:v>
                </c:pt>
                <c:pt idx="34">
                  <c:v>8</c:v>
                </c:pt>
                <c:pt idx="35">
                  <c:v>10</c:v>
                </c:pt>
                <c:pt idx="36">
                  <c:v>15</c:v>
                </c:pt>
                <c:pt idx="37">
                  <c:v>20</c:v>
                </c:pt>
                <c:pt idx="38">
                  <c:v>14</c:v>
                </c:pt>
                <c:pt idx="39">
                  <c:v>14</c:v>
                </c:pt>
                <c:pt idx="40">
                  <c:v>40</c:v>
                </c:pt>
                <c:pt idx="41">
                  <c:v>16</c:v>
                </c:pt>
                <c:pt idx="42">
                  <c:v>20</c:v>
                </c:pt>
                <c:pt idx="43">
                  <c:v>20</c:v>
                </c:pt>
                <c:pt idx="44">
                  <c:v>14</c:v>
                </c:pt>
                <c:pt idx="45">
                  <c:v>14</c:v>
                </c:pt>
                <c:pt idx="46">
                  <c:v>13</c:v>
                </c:pt>
                <c:pt idx="47">
                  <c:v>10</c:v>
                </c:pt>
                <c:pt idx="48">
                  <c:v>55</c:v>
                </c:pt>
                <c:pt idx="49">
                  <c:v>14</c:v>
                </c:pt>
                <c:pt idx="50">
                  <c:v>15</c:v>
                </c:pt>
                <c:pt idx="51">
                  <c:v>42</c:v>
                </c:pt>
                <c:pt idx="52">
                  <c:v>17</c:v>
                </c:pt>
                <c:pt idx="53">
                  <c:v>24</c:v>
                </c:pt>
                <c:pt idx="54">
                  <c:v>24</c:v>
                </c:pt>
                <c:pt idx="55">
                  <c:v>17</c:v>
                </c:pt>
                <c:pt idx="56">
                  <c:v>13</c:v>
                </c:pt>
                <c:pt idx="57">
                  <c:v>15</c:v>
                </c:pt>
                <c:pt idx="58">
                  <c:v>8</c:v>
                </c:pt>
                <c:pt idx="59">
                  <c:v>9</c:v>
                </c:pt>
                <c:pt idx="60">
                  <c:v>9</c:v>
                </c:pt>
                <c:pt idx="61">
                  <c:v>15</c:v>
                </c:pt>
                <c:pt idx="62">
                  <c:v>49</c:v>
                </c:pt>
                <c:pt idx="63">
                  <c:v>44</c:v>
                </c:pt>
                <c:pt idx="64">
                  <c:v>14</c:v>
                </c:pt>
                <c:pt idx="65">
                  <c:v>44</c:v>
                </c:pt>
                <c:pt idx="66">
                  <c:v>12</c:v>
                </c:pt>
                <c:pt idx="67">
                  <c:v>28</c:v>
                </c:pt>
                <c:pt idx="68">
                  <c:v>25</c:v>
                </c:pt>
                <c:pt idx="69">
                  <c:v>19</c:v>
                </c:pt>
                <c:pt idx="70">
                  <c:v>28</c:v>
                </c:pt>
                <c:pt idx="71">
                  <c:v>49</c:v>
                </c:pt>
                <c:pt idx="72">
                  <c:v>46</c:v>
                </c:pt>
                <c:pt idx="73">
                  <c:v>17</c:v>
                </c:pt>
                <c:pt idx="74">
                  <c:v>13</c:v>
                </c:pt>
                <c:pt idx="75">
                  <c:v>10</c:v>
                </c:pt>
                <c:pt idx="76">
                  <c:v>23</c:v>
                </c:pt>
                <c:pt idx="77">
                  <c:v>0</c:v>
                </c:pt>
                <c:pt idx="78">
                  <c:v>15</c:v>
                </c:pt>
                <c:pt idx="79">
                  <c:v>7</c:v>
                </c:pt>
                <c:pt idx="80">
                  <c:v>9</c:v>
                </c:pt>
                <c:pt idx="81">
                  <c:v>11</c:v>
                </c:pt>
                <c:pt idx="82">
                  <c:v>15</c:v>
                </c:pt>
                <c:pt idx="83">
                  <c:v>14</c:v>
                </c:pt>
                <c:pt idx="84">
                  <c:v>41</c:v>
                </c:pt>
                <c:pt idx="85">
                  <c:v>54</c:v>
                </c:pt>
                <c:pt idx="86">
                  <c:v>12</c:v>
                </c:pt>
                <c:pt idx="87">
                  <c:v>20</c:v>
                </c:pt>
                <c:pt idx="88">
                  <c:v>41</c:v>
                </c:pt>
                <c:pt idx="89">
                  <c:v>13</c:v>
                </c:pt>
                <c:pt idx="90">
                  <c:v>15</c:v>
                </c:pt>
                <c:pt idx="91">
                  <c:v>13</c:v>
                </c:pt>
                <c:pt idx="92">
                  <c:v>11</c:v>
                </c:pt>
                <c:pt idx="93">
                  <c:v>27</c:v>
                </c:pt>
                <c:pt idx="94">
                  <c:v>28</c:v>
                </c:pt>
                <c:pt idx="95">
                  <c:v>13</c:v>
                </c:pt>
                <c:pt idx="96">
                  <c:v>14</c:v>
                </c:pt>
                <c:pt idx="97">
                  <c:v>13</c:v>
                </c:pt>
                <c:pt idx="98">
                  <c:v>47</c:v>
                </c:pt>
                <c:pt idx="99">
                  <c:v>23</c:v>
                </c:pt>
                <c:pt idx="100">
                  <c:v>14</c:v>
                </c:pt>
                <c:pt idx="101">
                  <c:v>20</c:v>
                </c:pt>
                <c:pt idx="102">
                  <c:v>14</c:v>
                </c:pt>
                <c:pt idx="103">
                  <c:v>17</c:v>
                </c:pt>
                <c:pt idx="104">
                  <c:v>10</c:v>
                </c:pt>
                <c:pt idx="105">
                  <c:v>9</c:v>
                </c:pt>
                <c:pt idx="106">
                  <c:v>8</c:v>
                </c:pt>
                <c:pt idx="107">
                  <c:v>10</c:v>
                </c:pt>
                <c:pt idx="108">
                  <c:v>15</c:v>
                </c:pt>
                <c:pt idx="109">
                  <c:v>20</c:v>
                </c:pt>
                <c:pt idx="110">
                  <c:v>14</c:v>
                </c:pt>
                <c:pt idx="111">
                  <c:v>14</c:v>
                </c:pt>
                <c:pt idx="112">
                  <c:v>40</c:v>
                </c:pt>
                <c:pt idx="113">
                  <c:v>16</c:v>
                </c:pt>
                <c:pt idx="114">
                  <c:v>20</c:v>
                </c:pt>
                <c:pt idx="115">
                  <c:v>20</c:v>
                </c:pt>
                <c:pt idx="116">
                  <c:v>14</c:v>
                </c:pt>
                <c:pt idx="117">
                  <c:v>14</c:v>
                </c:pt>
                <c:pt idx="118">
                  <c:v>13</c:v>
                </c:pt>
                <c:pt idx="119">
                  <c:v>10</c:v>
                </c:pt>
                <c:pt idx="120">
                  <c:v>55</c:v>
                </c:pt>
                <c:pt idx="121">
                  <c:v>14</c:v>
                </c:pt>
                <c:pt idx="122">
                  <c:v>15</c:v>
                </c:pt>
                <c:pt idx="123">
                  <c:v>42</c:v>
                </c:pt>
                <c:pt idx="124">
                  <c:v>17</c:v>
                </c:pt>
                <c:pt idx="125">
                  <c:v>24</c:v>
                </c:pt>
                <c:pt idx="126">
                  <c:v>24</c:v>
                </c:pt>
                <c:pt idx="127">
                  <c:v>17</c:v>
                </c:pt>
                <c:pt idx="128">
                  <c:v>13</c:v>
                </c:pt>
                <c:pt idx="129">
                  <c:v>15</c:v>
                </c:pt>
                <c:pt idx="130">
                  <c:v>8</c:v>
                </c:pt>
                <c:pt idx="131">
                  <c:v>9</c:v>
                </c:pt>
                <c:pt idx="132">
                  <c:v>9</c:v>
                </c:pt>
                <c:pt idx="133">
                  <c:v>15</c:v>
                </c:pt>
                <c:pt idx="134">
                  <c:v>49</c:v>
                </c:pt>
                <c:pt idx="135">
                  <c:v>44</c:v>
                </c:pt>
                <c:pt idx="136">
                  <c:v>14</c:v>
                </c:pt>
                <c:pt idx="137">
                  <c:v>44</c:v>
                </c:pt>
                <c:pt idx="138">
                  <c:v>12</c:v>
                </c:pt>
                <c:pt idx="139">
                  <c:v>28</c:v>
                </c:pt>
                <c:pt idx="140">
                  <c:v>25</c:v>
                </c:pt>
                <c:pt idx="141">
                  <c:v>19</c:v>
                </c:pt>
                <c:pt idx="142">
                  <c:v>28</c:v>
                </c:pt>
                <c:pt idx="143">
                  <c:v>49</c:v>
                </c:pt>
                <c:pt idx="144">
                  <c:v>12</c:v>
                </c:pt>
                <c:pt idx="145">
                  <c:v>24</c:v>
                </c:pt>
                <c:pt idx="146">
                  <c:v>20</c:v>
                </c:pt>
                <c:pt idx="147">
                  <c:v>16</c:v>
                </c:pt>
                <c:pt idx="148">
                  <c:v>7</c:v>
                </c:pt>
                <c:pt idx="149">
                  <c:v>21</c:v>
                </c:pt>
                <c:pt idx="150">
                  <c:v>7</c:v>
                </c:pt>
                <c:pt idx="151">
                  <c:v>6</c:v>
                </c:pt>
                <c:pt idx="152">
                  <c:v>30</c:v>
                </c:pt>
                <c:pt idx="153">
                  <c:v>20</c:v>
                </c:pt>
                <c:pt idx="154">
                  <c:v>14</c:v>
                </c:pt>
                <c:pt idx="155">
                  <c:v>54</c:v>
                </c:pt>
                <c:pt idx="156">
                  <c:v>18</c:v>
                </c:pt>
                <c:pt idx="157">
                  <c:v>13</c:v>
                </c:pt>
                <c:pt idx="158">
                  <c:v>10</c:v>
                </c:pt>
                <c:pt idx="159">
                  <c:v>20</c:v>
                </c:pt>
                <c:pt idx="160">
                  <c:v>13</c:v>
                </c:pt>
                <c:pt idx="161">
                  <c:v>7</c:v>
                </c:pt>
                <c:pt idx="162">
                  <c:v>8</c:v>
                </c:pt>
                <c:pt idx="163">
                  <c:v>8</c:v>
                </c:pt>
                <c:pt idx="164">
                  <c:v>14</c:v>
                </c:pt>
                <c:pt idx="165">
                  <c:v>0</c:v>
                </c:pt>
                <c:pt idx="166">
                  <c:v>25</c:v>
                </c:pt>
                <c:pt idx="167">
                  <c:v>6</c:v>
                </c:pt>
                <c:pt idx="168">
                  <c:v>40</c:v>
                </c:pt>
                <c:pt idx="169">
                  <c:v>12</c:v>
                </c:pt>
                <c:pt idx="170">
                  <c:v>40</c:v>
                </c:pt>
                <c:pt idx="171">
                  <c:v>8</c:v>
                </c:pt>
                <c:pt idx="172">
                  <c:v>21</c:v>
                </c:pt>
                <c:pt idx="173">
                  <c:v>15</c:v>
                </c:pt>
                <c:pt idx="174">
                  <c:v>15</c:v>
                </c:pt>
                <c:pt idx="175">
                  <c:v>14</c:v>
                </c:pt>
                <c:pt idx="176">
                  <c:v>13</c:v>
                </c:pt>
                <c:pt idx="177">
                  <c:v>42</c:v>
                </c:pt>
                <c:pt idx="178">
                  <c:v>14</c:v>
                </c:pt>
                <c:pt idx="179">
                  <c:v>14</c:v>
                </c:pt>
                <c:pt idx="180">
                  <c:v>17</c:v>
                </c:pt>
                <c:pt idx="181">
                  <c:v>16</c:v>
                </c:pt>
                <c:pt idx="182">
                  <c:v>9</c:v>
                </c:pt>
                <c:pt idx="183">
                  <c:v>9</c:v>
                </c:pt>
                <c:pt idx="184">
                  <c:v>0</c:v>
                </c:pt>
                <c:pt idx="185">
                  <c:v>13</c:v>
                </c:pt>
                <c:pt idx="186">
                  <c:v>9</c:v>
                </c:pt>
                <c:pt idx="187">
                  <c:v>6</c:v>
                </c:pt>
                <c:pt idx="188">
                  <c:v>12</c:v>
                </c:pt>
                <c:pt idx="189">
                  <c:v>17</c:v>
                </c:pt>
                <c:pt idx="190">
                  <c:v>13</c:v>
                </c:pt>
                <c:pt idx="191">
                  <c:v>9</c:v>
                </c:pt>
                <c:pt idx="192">
                  <c:v>44</c:v>
                </c:pt>
                <c:pt idx="193">
                  <c:v>49</c:v>
                </c:pt>
                <c:pt idx="194">
                  <c:v>12</c:v>
                </c:pt>
                <c:pt idx="195">
                  <c:v>24</c:v>
                </c:pt>
                <c:pt idx="196">
                  <c:v>20</c:v>
                </c:pt>
                <c:pt idx="197">
                  <c:v>16</c:v>
                </c:pt>
                <c:pt idx="198">
                  <c:v>7</c:v>
                </c:pt>
                <c:pt idx="199">
                  <c:v>21</c:v>
                </c:pt>
                <c:pt idx="200">
                  <c:v>7</c:v>
                </c:pt>
                <c:pt idx="201">
                  <c:v>6</c:v>
                </c:pt>
                <c:pt idx="202">
                  <c:v>30</c:v>
                </c:pt>
                <c:pt idx="203">
                  <c:v>20</c:v>
                </c:pt>
                <c:pt idx="204">
                  <c:v>14</c:v>
                </c:pt>
                <c:pt idx="205">
                  <c:v>54</c:v>
                </c:pt>
                <c:pt idx="206">
                  <c:v>18</c:v>
                </c:pt>
                <c:pt idx="207">
                  <c:v>13</c:v>
                </c:pt>
                <c:pt idx="208">
                  <c:v>10</c:v>
                </c:pt>
                <c:pt idx="209">
                  <c:v>20</c:v>
                </c:pt>
                <c:pt idx="210">
                  <c:v>13</c:v>
                </c:pt>
                <c:pt idx="211">
                  <c:v>7</c:v>
                </c:pt>
                <c:pt idx="212">
                  <c:v>8</c:v>
                </c:pt>
                <c:pt idx="213">
                  <c:v>8</c:v>
                </c:pt>
                <c:pt idx="214">
                  <c:v>14</c:v>
                </c:pt>
                <c:pt idx="215">
                  <c:v>0</c:v>
                </c:pt>
                <c:pt idx="216">
                  <c:v>25</c:v>
                </c:pt>
                <c:pt idx="217">
                  <c:v>6</c:v>
                </c:pt>
                <c:pt idx="218">
                  <c:v>40</c:v>
                </c:pt>
                <c:pt idx="219">
                  <c:v>12</c:v>
                </c:pt>
                <c:pt idx="220">
                  <c:v>40</c:v>
                </c:pt>
                <c:pt idx="221">
                  <c:v>8</c:v>
                </c:pt>
                <c:pt idx="222">
                  <c:v>21</c:v>
                </c:pt>
                <c:pt idx="223">
                  <c:v>15</c:v>
                </c:pt>
                <c:pt idx="224">
                  <c:v>15</c:v>
                </c:pt>
                <c:pt idx="225">
                  <c:v>14</c:v>
                </c:pt>
                <c:pt idx="226">
                  <c:v>13</c:v>
                </c:pt>
                <c:pt idx="227">
                  <c:v>42</c:v>
                </c:pt>
                <c:pt idx="228">
                  <c:v>14</c:v>
                </c:pt>
                <c:pt idx="229">
                  <c:v>14</c:v>
                </c:pt>
                <c:pt idx="230">
                  <c:v>17</c:v>
                </c:pt>
                <c:pt idx="231">
                  <c:v>16</c:v>
                </c:pt>
                <c:pt idx="232">
                  <c:v>9</c:v>
                </c:pt>
                <c:pt idx="233">
                  <c:v>9</c:v>
                </c:pt>
                <c:pt idx="234">
                  <c:v>0</c:v>
                </c:pt>
                <c:pt idx="235">
                  <c:v>13</c:v>
                </c:pt>
                <c:pt idx="236">
                  <c:v>9</c:v>
                </c:pt>
                <c:pt idx="237">
                  <c:v>6</c:v>
                </c:pt>
                <c:pt idx="238">
                  <c:v>12</c:v>
                </c:pt>
                <c:pt idx="239">
                  <c:v>17</c:v>
                </c:pt>
                <c:pt idx="240">
                  <c:v>13</c:v>
                </c:pt>
                <c:pt idx="241">
                  <c:v>9</c:v>
                </c:pt>
                <c:pt idx="242">
                  <c:v>44</c:v>
                </c:pt>
                <c:pt idx="243">
                  <c:v>49</c:v>
                </c:pt>
                <c:pt idx="244">
                  <c:v>12</c:v>
                </c:pt>
                <c:pt idx="245">
                  <c:v>12</c:v>
                </c:pt>
                <c:pt idx="246">
                  <c:v>26</c:v>
                </c:pt>
                <c:pt idx="247">
                  <c:v>14</c:v>
                </c:pt>
                <c:pt idx="248">
                  <c:v>9</c:v>
                </c:pt>
                <c:pt idx="249">
                  <c:v>41</c:v>
                </c:pt>
                <c:pt idx="250">
                  <c:v>8</c:v>
                </c:pt>
                <c:pt idx="251">
                  <c:v>9</c:v>
                </c:pt>
                <c:pt idx="252">
                  <c:v>12</c:v>
                </c:pt>
                <c:pt idx="253">
                  <c:v>6</c:v>
                </c:pt>
                <c:pt idx="254">
                  <c:v>0</c:v>
                </c:pt>
                <c:pt idx="255">
                  <c:v>41</c:v>
                </c:pt>
                <c:pt idx="256">
                  <c:v>54</c:v>
                </c:pt>
                <c:pt idx="257">
                  <c:v>8</c:v>
                </c:pt>
                <c:pt idx="258">
                  <c:v>20</c:v>
                </c:pt>
                <c:pt idx="259">
                  <c:v>7</c:v>
                </c:pt>
                <c:pt idx="260">
                  <c:v>11</c:v>
                </c:pt>
                <c:pt idx="261">
                  <c:v>8</c:v>
                </c:pt>
                <c:pt idx="262">
                  <c:v>8</c:v>
                </c:pt>
                <c:pt idx="263">
                  <c:v>12</c:v>
                </c:pt>
                <c:pt idx="264">
                  <c:v>8</c:v>
                </c:pt>
                <c:pt idx="265">
                  <c:v>0</c:v>
                </c:pt>
                <c:pt idx="266">
                  <c:v>9</c:v>
                </c:pt>
                <c:pt idx="267">
                  <c:v>25</c:v>
                </c:pt>
                <c:pt idx="268">
                  <c:v>25</c:v>
                </c:pt>
                <c:pt idx="269">
                  <c:v>11</c:v>
                </c:pt>
                <c:pt idx="270">
                  <c:v>12</c:v>
                </c:pt>
                <c:pt idx="271">
                  <c:v>12</c:v>
                </c:pt>
                <c:pt idx="272">
                  <c:v>0</c:v>
                </c:pt>
                <c:pt idx="273">
                  <c:v>40</c:v>
                </c:pt>
                <c:pt idx="274">
                  <c:v>8</c:v>
                </c:pt>
                <c:pt idx="275">
                  <c:v>9</c:v>
                </c:pt>
                <c:pt idx="276">
                  <c:v>17</c:v>
                </c:pt>
                <c:pt idx="277">
                  <c:v>8</c:v>
                </c:pt>
                <c:pt idx="278">
                  <c:v>8</c:v>
                </c:pt>
                <c:pt idx="279">
                  <c:v>7</c:v>
                </c:pt>
                <c:pt idx="280">
                  <c:v>0</c:v>
                </c:pt>
                <c:pt idx="281">
                  <c:v>8</c:v>
                </c:pt>
                <c:pt idx="282">
                  <c:v>9</c:v>
                </c:pt>
                <c:pt idx="283">
                  <c:v>14</c:v>
                </c:pt>
                <c:pt idx="284">
                  <c:v>9</c:v>
                </c:pt>
                <c:pt idx="285">
                  <c:v>12</c:v>
                </c:pt>
                <c:pt idx="286">
                  <c:v>14</c:v>
                </c:pt>
                <c:pt idx="287">
                  <c:v>0</c:v>
                </c:pt>
                <c:pt idx="288">
                  <c:v>12</c:v>
                </c:pt>
                <c:pt idx="289">
                  <c:v>12</c:v>
                </c:pt>
                <c:pt idx="290">
                  <c:v>13</c:v>
                </c:pt>
                <c:pt idx="291">
                  <c:v>12</c:v>
                </c:pt>
                <c:pt idx="292">
                  <c:v>12</c:v>
                </c:pt>
                <c:pt idx="293">
                  <c:v>26</c:v>
                </c:pt>
                <c:pt idx="294">
                  <c:v>14</c:v>
                </c:pt>
                <c:pt idx="295">
                  <c:v>9</c:v>
                </c:pt>
                <c:pt idx="296">
                  <c:v>41</c:v>
                </c:pt>
                <c:pt idx="297">
                  <c:v>8</c:v>
                </c:pt>
                <c:pt idx="298">
                  <c:v>9</c:v>
                </c:pt>
                <c:pt idx="299">
                  <c:v>12</c:v>
                </c:pt>
                <c:pt idx="300">
                  <c:v>6</c:v>
                </c:pt>
                <c:pt idx="301">
                  <c:v>0</c:v>
                </c:pt>
                <c:pt idx="302">
                  <c:v>41</c:v>
                </c:pt>
                <c:pt idx="303">
                  <c:v>54</c:v>
                </c:pt>
                <c:pt idx="304">
                  <c:v>8</c:v>
                </c:pt>
                <c:pt idx="305">
                  <c:v>20</c:v>
                </c:pt>
                <c:pt idx="306">
                  <c:v>7</c:v>
                </c:pt>
                <c:pt idx="307">
                  <c:v>11</c:v>
                </c:pt>
                <c:pt idx="308">
                  <c:v>8</c:v>
                </c:pt>
                <c:pt idx="309">
                  <c:v>8</c:v>
                </c:pt>
                <c:pt idx="310">
                  <c:v>12</c:v>
                </c:pt>
                <c:pt idx="311">
                  <c:v>8</c:v>
                </c:pt>
                <c:pt idx="312">
                  <c:v>0</c:v>
                </c:pt>
                <c:pt idx="313">
                  <c:v>9</c:v>
                </c:pt>
                <c:pt idx="314">
                  <c:v>25</c:v>
                </c:pt>
                <c:pt idx="315">
                  <c:v>25</c:v>
                </c:pt>
                <c:pt idx="316">
                  <c:v>11</c:v>
                </c:pt>
                <c:pt idx="317">
                  <c:v>12</c:v>
                </c:pt>
                <c:pt idx="318">
                  <c:v>12</c:v>
                </c:pt>
                <c:pt idx="319">
                  <c:v>0</c:v>
                </c:pt>
                <c:pt idx="320">
                  <c:v>40</c:v>
                </c:pt>
                <c:pt idx="321">
                  <c:v>8</c:v>
                </c:pt>
                <c:pt idx="322">
                  <c:v>9</c:v>
                </c:pt>
                <c:pt idx="323">
                  <c:v>17</c:v>
                </c:pt>
                <c:pt idx="324">
                  <c:v>8</c:v>
                </c:pt>
                <c:pt idx="325">
                  <c:v>8</c:v>
                </c:pt>
                <c:pt idx="326">
                  <c:v>7</c:v>
                </c:pt>
                <c:pt idx="327">
                  <c:v>0</c:v>
                </c:pt>
                <c:pt idx="328">
                  <c:v>8</c:v>
                </c:pt>
                <c:pt idx="329">
                  <c:v>9</c:v>
                </c:pt>
                <c:pt idx="330">
                  <c:v>14</c:v>
                </c:pt>
                <c:pt idx="331">
                  <c:v>9</c:v>
                </c:pt>
                <c:pt idx="332">
                  <c:v>12</c:v>
                </c:pt>
                <c:pt idx="333">
                  <c:v>14</c:v>
                </c:pt>
                <c:pt idx="334">
                  <c:v>0</c:v>
                </c:pt>
                <c:pt idx="335">
                  <c:v>12</c:v>
                </c:pt>
                <c:pt idx="336">
                  <c:v>12</c:v>
                </c:pt>
                <c:pt idx="337">
                  <c:v>13</c:v>
                </c:pt>
                <c:pt idx="338">
                  <c:v>46</c:v>
                </c:pt>
                <c:pt idx="339">
                  <c:v>17</c:v>
                </c:pt>
                <c:pt idx="340">
                  <c:v>13</c:v>
                </c:pt>
                <c:pt idx="341">
                  <c:v>46</c:v>
                </c:pt>
                <c:pt idx="342">
                  <c:v>23</c:v>
                </c:pt>
                <c:pt idx="343">
                  <c:v>13</c:v>
                </c:pt>
                <c:pt idx="344">
                  <c:v>18</c:v>
                </c:pt>
                <c:pt idx="345">
                  <c:v>17</c:v>
                </c:pt>
                <c:pt idx="346">
                  <c:v>21</c:v>
                </c:pt>
                <c:pt idx="347">
                  <c:v>21</c:v>
                </c:pt>
                <c:pt idx="348">
                  <c:v>14</c:v>
                </c:pt>
                <c:pt idx="349">
                  <c:v>47</c:v>
                </c:pt>
                <c:pt idx="350">
                  <c:v>14</c:v>
                </c:pt>
                <c:pt idx="351">
                  <c:v>47</c:v>
                </c:pt>
                <c:pt idx="352">
                  <c:v>19</c:v>
                </c:pt>
                <c:pt idx="353">
                  <c:v>19</c:v>
                </c:pt>
                <c:pt idx="354">
                  <c:v>14</c:v>
                </c:pt>
                <c:pt idx="355">
                  <c:v>17</c:v>
                </c:pt>
                <c:pt idx="356">
                  <c:v>15</c:v>
                </c:pt>
                <c:pt idx="357">
                  <c:v>14</c:v>
                </c:pt>
                <c:pt idx="358">
                  <c:v>55</c:v>
                </c:pt>
                <c:pt idx="359">
                  <c:v>20</c:v>
                </c:pt>
                <c:pt idx="360">
                  <c:v>31</c:v>
                </c:pt>
                <c:pt idx="361">
                  <c:v>55</c:v>
                </c:pt>
                <c:pt idx="362">
                  <c:v>16</c:v>
                </c:pt>
                <c:pt idx="363">
                  <c:v>42</c:v>
                </c:pt>
                <c:pt idx="364">
                  <c:v>17</c:v>
                </c:pt>
                <c:pt idx="365">
                  <c:v>22</c:v>
                </c:pt>
                <c:pt idx="366">
                  <c:v>15</c:v>
                </c:pt>
                <c:pt idx="367">
                  <c:v>19</c:v>
                </c:pt>
                <c:pt idx="368">
                  <c:v>16</c:v>
                </c:pt>
                <c:pt idx="369">
                  <c:v>14</c:v>
                </c:pt>
                <c:pt idx="370">
                  <c:v>16</c:v>
                </c:pt>
                <c:pt idx="371">
                  <c:v>49</c:v>
                </c:pt>
                <c:pt idx="372">
                  <c:v>44</c:v>
                </c:pt>
                <c:pt idx="373">
                  <c:v>13</c:v>
                </c:pt>
                <c:pt idx="374">
                  <c:v>17</c:v>
                </c:pt>
                <c:pt idx="375">
                  <c:v>24</c:v>
                </c:pt>
                <c:pt idx="376">
                  <c:v>16</c:v>
                </c:pt>
                <c:pt idx="377">
                  <c:v>15</c:v>
                </c:pt>
                <c:pt idx="378">
                  <c:v>13</c:v>
                </c:pt>
                <c:pt idx="379">
                  <c:v>14</c:v>
                </c:pt>
                <c:pt idx="380">
                  <c:v>46</c:v>
                </c:pt>
                <c:pt idx="381">
                  <c:v>17</c:v>
                </c:pt>
                <c:pt idx="382">
                  <c:v>13</c:v>
                </c:pt>
                <c:pt idx="383">
                  <c:v>46</c:v>
                </c:pt>
                <c:pt idx="384">
                  <c:v>23</c:v>
                </c:pt>
                <c:pt idx="385">
                  <c:v>13</c:v>
                </c:pt>
                <c:pt idx="386">
                  <c:v>18</c:v>
                </c:pt>
                <c:pt idx="387">
                  <c:v>17</c:v>
                </c:pt>
                <c:pt idx="388">
                  <c:v>21</c:v>
                </c:pt>
                <c:pt idx="389">
                  <c:v>21</c:v>
                </c:pt>
                <c:pt idx="390">
                  <c:v>14</c:v>
                </c:pt>
                <c:pt idx="391">
                  <c:v>47</c:v>
                </c:pt>
                <c:pt idx="392">
                  <c:v>14</c:v>
                </c:pt>
                <c:pt idx="393">
                  <c:v>47</c:v>
                </c:pt>
                <c:pt idx="394">
                  <c:v>19</c:v>
                </c:pt>
                <c:pt idx="395">
                  <c:v>19</c:v>
                </c:pt>
                <c:pt idx="396">
                  <c:v>14</c:v>
                </c:pt>
                <c:pt idx="397">
                  <c:v>17</c:v>
                </c:pt>
                <c:pt idx="398">
                  <c:v>15</c:v>
                </c:pt>
                <c:pt idx="399">
                  <c:v>14</c:v>
                </c:pt>
                <c:pt idx="400">
                  <c:v>55</c:v>
                </c:pt>
                <c:pt idx="401">
                  <c:v>20</c:v>
                </c:pt>
                <c:pt idx="402">
                  <c:v>31</c:v>
                </c:pt>
                <c:pt idx="403">
                  <c:v>55</c:v>
                </c:pt>
                <c:pt idx="404">
                  <c:v>16</c:v>
                </c:pt>
                <c:pt idx="405">
                  <c:v>42</c:v>
                </c:pt>
                <c:pt idx="406">
                  <c:v>17</c:v>
                </c:pt>
                <c:pt idx="407">
                  <c:v>22</c:v>
                </c:pt>
                <c:pt idx="408">
                  <c:v>15</c:v>
                </c:pt>
                <c:pt idx="409">
                  <c:v>19</c:v>
                </c:pt>
                <c:pt idx="410">
                  <c:v>16</c:v>
                </c:pt>
                <c:pt idx="411">
                  <c:v>14</c:v>
                </c:pt>
                <c:pt idx="412">
                  <c:v>16</c:v>
                </c:pt>
                <c:pt idx="413">
                  <c:v>49</c:v>
                </c:pt>
                <c:pt idx="414">
                  <c:v>44</c:v>
                </c:pt>
                <c:pt idx="415">
                  <c:v>13</c:v>
                </c:pt>
                <c:pt idx="416">
                  <c:v>17</c:v>
                </c:pt>
                <c:pt idx="417">
                  <c:v>24</c:v>
                </c:pt>
                <c:pt idx="418">
                  <c:v>16</c:v>
                </c:pt>
                <c:pt idx="419">
                  <c:v>15</c:v>
                </c:pt>
                <c:pt idx="420">
                  <c:v>13</c:v>
                </c:pt>
                <c:pt idx="421">
                  <c:v>14</c:v>
                </c:pt>
                <c:pt idx="422">
                  <c:v>5</c:v>
                </c:pt>
                <c:pt idx="423">
                  <c:v>7</c:v>
                </c:pt>
                <c:pt idx="424">
                  <c:v>21</c:v>
                </c:pt>
                <c:pt idx="425">
                  <c:v>20</c:v>
                </c:pt>
                <c:pt idx="426">
                  <c:v>5</c:v>
                </c:pt>
                <c:pt idx="427">
                  <c:v>12</c:v>
                </c:pt>
                <c:pt idx="428">
                  <c:v>6</c:v>
                </c:pt>
                <c:pt idx="429">
                  <c:v>5</c:v>
                </c:pt>
                <c:pt idx="430">
                  <c:v>9</c:v>
                </c:pt>
                <c:pt idx="431">
                  <c:v>5</c:v>
                </c:pt>
                <c:pt idx="432">
                  <c:v>0</c:v>
                </c:pt>
                <c:pt idx="433">
                  <c:v>12</c:v>
                </c:pt>
                <c:pt idx="434">
                  <c:v>5</c:v>
                </c:pt>
                <c:pt idx="435">
                  <c:v>7</c:v>
                </c:pt>
                <c:pt idx="436">
                  <c:v>12</c:v>
                </c:pt>
                <c:pt idx="437">
                  <c:v>5</c:v>
                </c:pt>
                <c:pt idx="438">
                  <c:v>12</c:v>
                </c:pt>
                <c:pt idx="439">
                  <c:v>14</c:v>
                </c:pt>
                <c:pt idx="440">
                  <c:v>6</c:v>
                </c:pt>
                <c:pt idx="441">
                  <c:v>12</c:v>
                </c:pt>
                <c:pt idx="442">
                  <c:v>7</c:v>
                </c:pt>
                <c:pt idx="443">
                  <c:v>12</c:v>
                </c:pt>
                <c:pt idx="444">
                  <c:v>8</c:v>
                </c:pt>
                <c:pt idx="445">
                  <c:v>7</c:v>
                </c:pt>
                <c:pt idx="446">
                  <c:v>4</c:v>
                </c:pt>
                <c:pt idx="447">
                  <c:v>8</c:v>
                </c:pt>
                <c:pt idx="448">
                  <c:v>11</c:v>
                </c:pt>
                <c:pt idx="449">
                  <c:v>12</c:v>
                </c:pt>
                <c:pt idx="450">
                  <c:v>7</c:v>
                </c:pt>
                <c:pt idx="451">
                  <c:v>12</c:v>
                </c:pt>
                <c:pt idx="452">
                  <c:v>6</c:v>
                </c:pt>
                <c:pt idx="453">
                  <c:v>4</c:v>
                </c:pt>
                <c:pt idx="454">
                  <c:v>9</c:v>
                </c:pt>
                <c:pt idx="455">
                  <c:v>7</c:v>
                </c:pt>
                <c:pt idx="456">
                  <c:v>8</c:v>
                </c:pt>
                <c:pt idx="457">
                  <c:v>7</c:v>
                </c:pt>
                <c:pt idx="458">
                  <c:v>6</c:v>
                </c:pt>
                <c:pt idx="459">
                  <c:v>4</c:v>
                </c:pt>
                <c:pt idx="460">
                  <c:v>8</c:v>
                </c:pt>
                <c:pt idx="461">
                  <c:v>5</c:v>
                </c:pt>
                <c:pt idx="462">
                  <c:v>7</c:v>
                </c:pt>
                <c:pt idx="463">
                  <c:v>21</c:v>
                </c:pt>
                <c:pt idx="464">
                  <c:v>20</c:v>
                </c:pt>
                <c:pt idx="465">
                  <c:v>5</c:v>
                </c:pt>
                <c:pt idx="466">
                  <c:v>12</c:v>
                </c:pt>
                <c:pt idx="467">
                  <c:v>6</c:v>
                </c:pt>
                <c:pt idx="468">
                  <c:v>5</c:v>
                </c:pt>
                <c:pt idx="469">
                  <c:v>9</c:v>
                </c:pt>
                <c:pt idx="470">
                  <c:v>5</c:v>
                </c:pt>
                <c:pt idx="471">
                  <c:v>0</c:v>
                </c:pt>
                <c:pt idx="472">
                  <c:v>12</c:v>
                </c:pt>
                <c:pt idx="473">
                  <c:v>5</c:v>
                </c:pt>
                <c:pt idx="474">
                  <c:v>7</c:v>
                </c:pt>
                <c:pt idx="475">
                  <c:v>12</c:v>
                </c:pt>
                <c:pt idx="476">
                  <c:v>5</c:v>
                </c:pt>
                <c:pt idx="477">
                  <c:v>12</c:v>
                </c:pt>
                <c:pt idx="478">
                  <c:v>14</c:v>
                </c:pt>
                <c:pt idx="479">
                  <c:v>6</c:v>
                </c:pt>
                <c:pt idx="480">
                  <c:v>12</c:v>
                </c:pt>
                <c:pt idx="481">
                  <c:v>7</c:v>
                </c:pt>
                <c:pt idx="482">
                  <c:v>12</c:v>
                </c:pt>
                <c:pt idx="483">
                  <c:v>8</c:v>
                </c:pt>
                <c:pt idx="484">
                  <c:v>7</c:v>
                </c:pt>
                <c:pt idx="485">
                  <c:v>4</c:v>
                </c:pt>
                <c:pt idx="486">
                  <c:v>8</c:v>
                </c:pt>
                <c:pt idx="487">
                  <c:v>11</c:v>
                </c:pt>
                <c:pt idx="488">
                  <c:v>12</c:v>
                </c:pt>
                <c:pt idx="489">
                  <c:v>7</c:v>
                </c:pt>
                <c:pt idx="490">
                  <c:v>12</c:v>
                </c:pt>
                <c:pt idx="491">
                  <c:v>6</c:v>
                </c:pt>
                <c:pt idx="492">
                  <c:v>4</c:v>
                </c:pt>
                <c:pt idx="493">
                  <c:v>9</c:v>
                </c:pt>
                <c:pt idx="494">
                  <c:v>7</c:v>
                </c:pt>
                <c:pt idx="495">
                  <c:v>8</c:v>
                </c:pt>
                <c:pt idx="496">
                  <c:v>7</c:v>
                </c:pt>
                <c:pt idx="497">
                  <c:v>6</c:v>
                </c:pt>
                <c:pt idx="498">
                  <c:v>4</c:v>
                </c:pt>
                <c:pt idx="499">
                  <c:v>8</c:v>
                </c:pt>
                <c:pt idx="500">
                  <c:v>21</c:v>
                </c:pt>
                <c:pt idx="501">
                  <c:v>17</c:v>
                </c:pt>
                <c:pt idx="502">
                  <c:v>21</c:v>
                </c:pt>
                <c:pt idx="503">
                  <c:v>23</c:v>
                </c:pt>
                <c:pt idx="504">
                  <c:v>20</c:v>
                </c:pt>
                <c:pt idx="505">
                  <c:v>8</c:v>
                </c:pt>
                <c:pt idx="506">
                  <c:v>27</c:v>
                </c:pt>
                <c:pt idx="507">
                  <c:v>21</c:v>
                </c:pt>
                <c:pt idx="508">
                  <c:v>28</c:v>
                </c:pt>
                <c:pt idx="509">
                  <c:v>18</c:v>
                </c:pt>
                <c:pt idx="510">
                  <c:v>20</c:v>
                </c:pt>
                <c:pt idx="511">
                  <c:v>19</c:v>
                </c:pt>
                <c:pt idx="512">
                  <c:v>24</c:v>
                </c:pt>
                <c:pt idx="513">
                  <c:v>21</c:v>
                </c:pt>
                <c:pt idx="514">
                  <c:v>14</c:v>
                </c:pt>
                <c:pt idx="515">
                  <c:v>23</c:v>
                </c:pt>
                <c:pt idx="516">
                  <c:v>55</c:v>
                </c:pt>
                <c:pt idx="517">
                  <c:v>13</c:v>
                </c:pt>
                <c:pt idx="518">
                  <c:v>47</c:v>
                </c:pt>
                <c:pt idx="519">
                  <c:v>17</c:v>
                </c:pt>
                <c:pt idx="520">
                  <c:v>19</c:v>
                </c:pt>
                <c:pt idx="521">
                  <c:v>16</c:v>
                </c:pt>
                <c:pt idx="522">
                  <c:v>15</c:v>
                </c:pt>
                <c:pt idx="523">
                  <c:v>17</c:v>
                </c:pt>
                <c:pt idx="524">
                  <c:v>22</c:v>
                </c:pt>
                <c:pt idx="525">
                  <c:v>15</c:v>
                </c:pt>
                <c:pt idx="526">
                  <c:v>22</c:v>
                </c:pt>
                <c:pt idx="527">
                  <c:v>13</c:v>
                </c:pt>
                <c:pt idx="528">
                  <c:v>24</c:v>
                </c:pt>
                <c:pt idx="529">
                  <c:v>42</c:v>
                </c:pt>
                <c:pt idx="530">
                  <c:v>16</c:v>
                </c:pt>
                <c:pt idx="531">
                  <c:v>24</c:v>
                </c:pt>
                <c:pt idx="532">
                  <c:v>25</c:v>
                </c:pt>
                <c:pt idx="533">
                  <c:v>21</c:v>
                </c:pt>
                <c:pt idx="534">
                  <c:v>17</c:v>
                </c:pt>
                <c:pt idx="535">
                  <c:v>21</c:v>
                </c:pt>
                <c:pt idx="536">
                  <c:v>23</c:v>
                </c:pt>
                <c:pt idx="537">
                  <c:v>20</c:v>
                </c:pt>
                <c:pt idx="538">
                  <c:v>8</c:v>
                </c:pt>
                <c:pt idx="539">
                  <c:v>27</c:v>
                </c:pt>
                <c:pt idx="540">
                  <c:v>21</c:v>
                </c:pt>
                <c:pt idx="541">
                  <c:v>28</c:v>
                </c:pt>
                <c:pt idx="542">
                  <c:v>18</c:v>
                </c:pt>
                <c:pt idx="543">
                  <c:v>20</c:v>
                </c:pt>
                <c:pt idx="544">
                  <c:v>19</c:v>
                </c:pt>
                <c:pt idx="545">
                  <c:v>24</c:v>
                </c:pt>
                <c:pt idx="546">
                  <c:v>21</c:v>
                </c:pt>
                <c:pt idx="547">
                  <c:v>14</c:v>
                </c:pt>
                <c:pt idx="548">
                  <c:v>23</c:v>
                </c:pt>
                <c:pt idx="549">
                  <c:v>55</c:v>
                </c:pt>
                <c:pt idx="550">
                  <c:v>13</c:v>
                </c:pt>
                <c:pt idx="551">
                  <c:v>47</c:v>
                </c:pt>
                <c:pt idx="552">
                  <c:v>17</c:v>
                </c:pt>
                <c:pt idx="553">
                  <c:v>19</c:v>
                </c:pt>
                <c:pt idx="554">
                  <c:v>16</c:v>
                </c:pt>
                <c:pt idx="555">
                  <c:v>15</c:v>
                </c:pt>
                <c:pt idx="556">
                  <c:v>17</c:v>
                </c:pt>
                <c:pt idx="557">
                  <c:v>22</c:v>
                </c:pt>
                <c:pt idx="558">
                  <c:v>15</c:v>
                </c:pt>
                <c:pt idx="559">
                  <c:v>22</c:v>
                </c:pt>
                <c:pt idx="560">
                  <c:v>13</c:v>
                </c:pt>
                <c:pt idx="561">
                  <c:v>24</c:v>
                </c:pt>
                <c:pt idx="562">
                  <c:v>42</c:v>
                </c:pt>
                <c:pt idx="563">
                  <c:v>16</c:v>
                </c:pt>
                <c:pt idx="564">
                  <c:v>24</c:v>
                </c:pt>
                <c:pt idx="565">
                  <c:v>25</c:v>
                </c:pt>
                <c:pt idx="566">
                  <c:v>12</c:v>
                </c:pt>
                <c:pt idx="567">
                  <c:v>74</c:v>
                </c:pt>
                <c:pt idx="568">
                  <c:v>34</c:v>
                </c:pt>
                <c:pt idx="569">
                  <c:v>13</c:v>
                </c:pt>
                <c:pt idx="570">
                  <c:v>13</c:v>
                </c:pt>
                <c:pt idx="571">
                  <c:v>14</c:v>
                </c:pt>
                <c:pt idx="572">
                  <c:v>29</c:v>
                </c:pt>
                <c:pt idx="573">
                  <c:v>9</c:v>
                </c:pt>
                <c:pt idx="574">
                  <c:v>33</c:v>
                </c:pt>
                <c:pt idx="575">
                  <c:v>30</c:v>
                </c:pt>
                <c:pt idx="576">
                  <c:v>87</c:v>
                </c:pt>
                <c:pt idx="577">
                  <c:v>69</c:v>
                </c:pt>
                <c:pt idx="578">
                  <c:v>24</c:v>
                </c:pt>
                <c:pt idx="579">
                  <c:v>33</c:v>
                </c:pt>
                <c:pt idx="580">
                  <c:v>25</c:v>
                </c:pt>
                <c:pt idx="581">
                  <c:v>29</c:v>
                </c:pt>
                <c:pt idx="582">
                  <c:v>31</c:v>
                </c:pt>
                <c:pt idx="583">
                  <c:v>33</c:v>
                </c:pt>
                <c:pt idx="584">
                  <c:v>4</c:v>
                </c:pt>
                <c:pt idx="585">
                  <c:v>31</c:v>
                </c:pt>
                <c:pt idx="586">
                  <c:v>85</c:v>
                </c:pt>
                <c:pt idx="587">
                  <c:v>74</c:v>
                </c:pt>
                <c:pt idx="588">
                  <c:v>34</c:v>
                </c:pt>
                <c:pt idx="589">
                  <c:v>28</c:v>
                </c:pt>
                <c:pt idx="590">
                  <c:v>29</c:v>
                </c:pt>
                <c:pt idx="591">
                  <c:v>13</c:v>
                </c:pt>
                <c:pt idx="592">
                  <c:v>15</c:v>
                </c:pt>
                <c:pt idx="593">
                  <c:v>26</c:v>
                </c:pt>
                <c:pt idx="594">
                  <c:v>7</c:v>
                </c:pt>
                <c:pt idx="595">
                  <c:v>41</c:v>
                </c:pt>
                <c:pt idx="596">
                  <c:v>31</c:v>
                </c:pt>
                <c:pt idx="597">
                  <c:v>4</c:v>
                </c:pt>
                <c:pt idx="598">
                  <c:v>95</c:v>
                </c:pt>
                <c:pt idx="599">
                  <c:v>12</c:v>
                </c:pt>
                <c:pt idx="600">
                  <c:v>74</c:v>
                </c:pt>
                <c:pt idx="601">
                  <c:v>34</c:v>
                </c:pt>
                <c:pt idx="602">
                  <c:v>13</c:v>
                </c:pt>
                <c:pt idx="603">
                  <c:v>13</c:v>
                </c:pt>
                <c:pt idx="604">
                  <c:v>14</c:v>
                </c:pt>
                <c:pt idx="605">
                  <c:v>29</c:v>
                </c:pt>
                <c:pt idx="606">
                  <c:v>9</c:v>
                </c:pt>
                <c:pt idx="607">
                  <c:v>33</c:v>
                </c:pt>
                <c:pt idx="608">
                  <c:v>30</c:v>
                </c:pt>
                <c:pt idx="609">
                  <c:v>87</c:v>
                </c:pt>
                <c:pt idx="610">
                  <c:v>69</c:v>
                </c:pt>
                <c:pt idx="611">
                  <c:v>24</c:v>
                </c:pt>
                <c:pt idx="612">
                  <c:v>33</c:v>
                </c:pt>
                <c:pt idx="613">
                  <c:v>25</c:v>
                </c:pt>
                <c:pt idx="614">
                  <c:v>29</c:v>
                </c:pt>
                <c:pt idx="615">
                  <c:v>31</c:v>
                </c:pt>
                <c:pt idx="616">
                  <c:v>33</c:v>
                </c:pt>
                <c:pt idx="617">
                  <c:v>4</c:v>
                </c:pt>
                <c:pt idx="618">
                  <c:v>31</c:v>
                </c:pt>
                <c:pt idx="619">
                  <c:v>85</c:v>
                </c:pt>
                <c:pt idx="620">
                  <c:v>74</c:v>
                </c:pt>
                <c:pt idx="621">
                  <c:v>34</c:v>
                </c:pt>
                <c:pt idx="622">
                  <c:v>28</c:v>
                </c:pt>
                <c:pt idx="623">
                  <c:v>29</c:v>
                </c:pt>
                <c:pt idx="624">
                  <c:v>13</c:v>
                </c:pt>
                <c:pt idx="625">
                  <c:v>15</c:v>
                </c:pt>
                <c:pt idx="626">
                  <c:v>26</c:v>
                </c:pt>
                <c:pt idx="627">
                  <c:v>7</c:v>
                </c:pt>
                <c:pt idx="628">
                  <c:v>41</c:v>
                </c:pt>
                <c:pt idx="629">
                  <c:v>31</c:v>
                </c:pt>
                <c:pt idx="630">
                  <c:v>4</c:v>
                </c:pt>
                <c:pt idx="631">
                  <c:v>95</c:v>
                </c:pt>
                <c:pt idx="632">
                  <c:v>41</c:v>
                </c:pt>
                <c:pt idx="633">
                  <c:v>54</c:v>
                </c:pt>
                <c:pt idx="634">
                  <c:v>42</c:v>
                </c:pt>
                <c:pt idx="635">
                  <c:v>37</c:v>
                </c:pt>
                <c:pt idx="636">
                  <c:v>41</c:v>
                </c:pt>
                <c:pt idx="637">
                  <c:v>54</c:v>
                </c:pt>
                <c:pt idx="638">
                  <c:v>42</c:v>
                </c:pt>
                <c:pt idx="639">
                  <c:v>37</c:v>
                </c:pt>
                <c:pt idx="640">
                  <c:v>28</c:v>
                </c:pt>
                <c:pt idx="641">
                  <c:v>28</c:v>
                </c:pt>
                <c:pt idx="642">
                  <c:v>27</c:v>
                </c:pt>
                <c:pt idx="643">
                  <c:v>23</c:v>
                </c:pt>
                <c:pt idx="644">
                  <c:v>91</c:v>
                </c:pt>
                <c:pt idx="645">
                  <c:v>87</c:v>
                </c:pt>
                <c:pt idx="646">
                  <c:v>113</c:v>
                </c:pt>
                <c:pt idx="647">
                  <c:v>45</c:v>
                </c:pt>
                <c:pt idx="648">
                  <c:v>66</c:v>
                </c:pt>
                <c:pt idx="649">
                  <c:v>7</c:v>
                </c:pt>
                <c:pt idx="650">
                  <c:v>96</c:v>
                </c:pt>
                <c:pt idx="651">
                  <c:v>74</c:v>
                </c:pt>
                <c:pt idx="652">
                  <c:v>30</c:v>
                </c:pt>
                <c:pt idx="653">
                  <c:v>34</c:v>
                </c:pt>
                <c:pt idx="654">
                  <c:v>21</c:v>
                </c:pt>
                <c:pt idx="655">
                  <c:v>31</c:v>
                </c:pt>
                <c:pt idx="656">
                  <c:v>25</c:v>
                </c:pt>
                <c:pt idx="657">
                  <c:v>25</c:v>
                </c:pt>
                <c:pt idx="658">
                  <c:v>24</c:v>
                </c:pt>
                <c:pt idx="659">
                  <c:v>87</c:v>
                </c:pt>
                <c:pt idx="660">
                  <c:v>85</c:v>
                </c:pt>
                <c:pt idx="661">
                  <c:v>109</c:v>
                </c:pt>
                <c:pt idx="662">
                  <c:v>50</c:v>
                </c:pt>
                <c:pt idx="663">
                  <c:v>59</c:v>
                </c:pt>
                <c:pt idx="664">
                  <c:v>7</c:v>
                </c:pt>
                <c:pt idx="665">
                  <c:v>93</c:v>
                </c:pt>
                <c:pt idx="666">
                  <c:v>69</c:v>
                </c:pt>
                <c:pt idx="667">
                  <c:v>22</c:v>
                </c:pt>
                <c:pt idx="668">
                  <c:v>33</c:v>
                </c:pt>
                <c:pt idx="669">
                  <c:v>41</c:v>
                </c:pt>
                <c:pt idx="670">
                  <c:v>27</c:v>
                </c:pt>
                <c:pt idx="671">
                  <c:v>29</c:v>
                </c:pt>
                <c:pt idx="672">
                  <c:v>22</c:v>
                </c:pt>
                <c:pt idx="673">
                  <c:v>97</c:v>
                </c:pt>
                <c:pt idx="674">
                  <c:v>95</c:v>
                </c:pt>
                <c:pt idx="675">
                  <c:v>122</c:v>
                </c:pt>
                <c:pt idx="676">
                  <c:v>42</c:v>
                </c:pt>
                <c:pt idx="677">
                  <c:v>70</c:v>
                </c:pt>
                <c:pt idx="678">
                  <c:v>111</c:v>
                </c:pt>
                <c:pt idx="679">
                  <c:v>74</c:v>
                </c:pt>
                <c:pt idx="680">
                  <c:v>24</c:v>
                </c:pt>
                <c:pt idx="681">
                  <c:v>34</c:v>
                </c:pt>
                <c:pt idx="682">
                  <c:v>28</c:v>
                </c:pt>
                <c:pt idx="683">
                  <c:v>28</c:v>
                </c:pt>
                <c:pt idx="684">
                  <c:v>27</c:v>
                </c:pt>
                <c:pt idx="685">
                  <c:v>23</c:v>
                </c:pt>
                <c:pt idx="686">
                  <c:v>91</c:v>
                </c:pt>
                <c:pt idx="687">
                  <c:v>87</c:v>
                </c:pt>
                <c:pt idx="688">
                  <c:v>113</c:v>
                </c:pt>
                <c:pt idx="689">
                  <c:v>45</c:v>
                </c:pt>
                <c:pt idx="690">
                  <c:v>66</c:v>
                </c:pt>
                <c:pt idx="691">
                  <c:v>7</c:v>
                </c:pt>
                <c:pt idx="692">
                  <c:v>96</c:v>
                </c:pt>
                <c:pt idx="693">
                  <c:v>74</c:v>
                </c:pt>
                <c:pt idx="694">
                  <c:v>30</c:v>
                </c:pt>
                <c:pt idx="695">
                  <c:v>34</c:v>
                </c:pt>
                <c:pt idx="696">
                  <c:v>21</c:v>
                </c:pt>
                <c:pt idx="697">
                  <c:v>31</c:v>
                </c:pt>
                <c:pt idx="698">
                  <c:v>25</c:v>
                </c:pt>
                <c:pt idx="699">
                  <c:v>25</c:v>
                </c:pt>
                <c:pt idx="700">
                  <c:v>24</c:v>
                </c:pt>
                <c:pt idx="701">
                  <c:v>87</c:v>
                </c:pt>
                <c:pt idx="702">
                  <c:v>85</c:v>
                </c:pt>
                <c:pt idx="703">
                  <c:v>109</c:v>
                </c:pt>
                <c:pt idx="704">
                  <c:v>50</c:v>
                </c:pt>
                <c:pt idx="705">
                  <c:v>59</c:v>
                </c:pt>
                <c:pt idx="706">
                  <c:v>7</c:v>
                </c:pt>
                <c:pt idx="707">
                  <c:v>93</c:v>
                </c:pt>
                <c:pt idx="708">
                  <c:v>69</c:v>
                </c:pt>
                <c:pt idx="709">
                  <c:v>22</c:v>
                </c:pt>
                <c:pt idx="710">
                  <c:v>33</c:v>
                </c:pt>
                <c:pt idx="711">
                  <c:v>41</c:v>
                </c:pt>
                <c:pt idx="712">
                  <c:v>27</c:v>
                </c:pt>
                <c:pt idx="713">
                  <c:v>29</c:v>
                </c:pt>
                <c:pt idx="714">
                  <c:v>22</c:v>
                </c:pt>
                <c:pt idx="715">
                  <c:v>97</c:v>
                </c:pt>
                <c:pt idx="716">
                  <c:v>95</c:v>
                </c:pt>
                <c:pt idx="717">
                  <c:v>122</c:v>
                </c:pt>
                <c:pt idx="718">
                  <c:v>42</c:v>
                </c:pt>
                <c:pt idx="719">
                  <c:v>70</c:v>
                </c:pt>
                <c:pt idx="720">
                  <c:v>111</c:v>
                </c:pt>
                <c:pt idx="721">
                  <c:v>74</c:v>
                </c:pt>
                <c:pt idx="722">
                  <c:v>24</c:v>
                </c:pt>
                <c:pt idx="723">
                  <c:v>34</c:v>
                </c:pt>
                <c:pt idx="724">
                  <c:v>30</c:v>
                </c:pt>
                <c:pt idx="725">
                  <c:v>39</c:v>
                </c:pt>
                <c:pt idx="726">
                  <c:v>23</c:v>
                </c:pt>
                <c:pt idx="727">
                  <c:v>66</c:v>
                </c:pt>
                <c:pt idx="728">
                  <c:v>20</c:v>
                </c:pt>
                <c:pt idx="729">
                  <c:v>34</c:v>
                </c:pt>
                <c:pt idx="730">
                  <c:v>50</c:v>
                </c:pt>
                <c:pt idx="731">
                  <c:v>21</c:v>
                </c:pt>
                <c:pt idx="732">
                  <c:v>84</c:v>
                </c:pt>
                <c:pt idx="733">
                  <c:v>45</c:v>
                </c:pt>
                <c:pt idx="734">
                  <c:v>45</c:v>
                </c:pt>
                <c:pt idx="735">
                  <c:v>34</c:v>
                </c:pt>
                <c:pt idx="736">
                  <c:v>30</c:v>
                </c:pt>
                <c:pt idx="737">
                  <c:v>27</c:v>
                </c:pt>
                <c:pt idx="738">
                  <c:v>28</c:v>
                </c:pt>
                <c:pt idx="739">
                  <c:v>29</c:v>
                </c:pt>
                <c:pt idx="740">
                  <c:v>3</c:v>
                </c:pt>
                <c:pt idx="741">
                  <c:v>28</c:v>
                </c:pt>
                <c:pt idx="742">
                  <c:v>30</c:v>
                </c:pt>
                <c:pt idx="743">
                  <c:v>87</c:v>
                </c:pt>
                <c:pt idx="744">
                  <c:v>11</c:v>
                </c:pt>
                <c:pt idx="745">
                  <c:v>24</c:v>
                </c:pt>
                <c:pt idx="746">
                  <c:v>84</c:v>
                </c:pt>
                <c:pt idx="747">
                  <c:v>39</c:v>
                </c:pt>
                <c:pt idx="748">
                  <c:v>26</c:v>
                </c:pt>
                <c:pt idx="749">
                  <c:v>66</c:v>
                </c:pt>
                <c:pt idx="750">
                  <c:v>96</c:v>
                </c:pt>
                <c:pt idx="751">
                  <c:v>9</c:v>
                </c:pt>
                <c:pt idx="752">
                  <c:v>22</c:v>
                </c:pt>
                <c:pt idx="753">
                  <c:v>36</c:v>
                </c:pt>
                <c:pt idx="754">
                  <c:v>24</c:v>
                </c:pt>
                <c:pt idx="755">
                  <c:v>59</c:v>
                </c:pt>
                <c:pt idx="756">
                  <c:v>33</c:v>
                </c:pt>
                <c:pt idx="757">
                  <c:v>57</c:v>
                </c:pt>
                <c:pt idx="758">
                  <c:v>14</c:v>
                </c:pt>
                <c:pt idx="759">
                  <c:v>75</c:v>
                </c:pt>
                <c:pt idx="760">
                  <c:v>50</c:v>
                </c:pt>
                <c:pt idx="761">
                  <c:v>50</c:v>
                </c:pt>
                <c:pt idx="762">
                  <c:v>33</c:v>
                </c:pt>
                <c:pt idx="763">
                  <c:v>22</c:v>
                </c:pt>
                <c:pt idx="764">
                  <c:v>25</c:v>
                </c:pt>
                <c:pt idx="765">
                  <c:v>24</c:v>
                </c:pt>
                <c:pt idx="766">
                  <c:v>31</c:v>
                </c:pt>
                <c:pt idx="767">
                  <c:v>29</c:v>
                </c:pt>
                <c:pt idx="768">
                  <c:v>3</c:v>
                </c:pt>
                <c:pt idx="769">
                  <c:v>25</c:v>
                </c:pt>
                <c:pt idx="770">
                  <c:v>4</c:v>
                </c:pt>
                <c:pt idx="771">
                  <c:v>31</c:v>
                </c:pt>
                <c:pt idx="772">
                  <c:v>85</c:v>
                </c:pt>
                <c:pt idx="773">
                  <c:v>15</c:v>
                </c:pt>
                <c:pt idx="774">
                  <c:v>23</c:v>
                </c:pt>
                <c:pt idx="775">
                  <c:v>75</c:v>
                </c:pt>
                <c:pt idx="776">
                  <c:v>36</c:v>
                </c:pt>
                <c:pt idx="777">
                  <c:v>59</c:v>
                </c:pt>
                <c:pt idx="778">
                  <c:v>93</c:v>
                </c:pt>
                <c:pt idx="779">
                  <c:v>24</c:v>
                </c:pt>
                <c:pt idx="780">
                  <c:v>40</c:v>
                </c:pt>
                <c:pt idx="781">
                  <c:v>22</c:v>
                </c:pt>
                <c:pt idx="782">
                  <c:v>70</c:v>
                </c:pt>
                <c:pt idx="783">
                  <c:v>34</c:v>
                </c:pt>
                <c:pt idx="784">
                  <c:v>73</c:v>
                </c:pt>
                <c:pt idx="785">
                  <c:v>15</c:v>
                </c:pt>
                <c:pt idx="786">
                  <c:v>81</c:v>
                </c:pt>
                <c:pt idx="787">
                  <c:v>42</c:v>
                </c:pt>
                <c:pt idx="788">
                  <c:v>42</c:v>
                </c:pt>
                <c:pt idx="789">
                  <c:v>34</c:v>
                </c:pt>
                <c:pt idx="790">
                  <c:v>24</c:v>
                </c:pt>
                <c:pt idx="791">
                  <c:v>29</c:v>
                </c:pt>
                <c:pt idx="792">
                  <c:v>41</c:v>
                </c:pt>
                <c:pt idx="793">
                  <c:v>26</c:v>
                </c:pt>
                <c:pt idx="794">
                  <c:v>3</c:v>
                </c:pt>
                <c:pt idx="795">
                  <c:v>27</c:v>
                </c:pt>
                <c:pt idx="796">
                  <c:v>25</c:v>
                </c:pt>
                <c:pt idx="797">
                  <c:v>95</c:v>
                </c:pt>
                <c:pt idx="798">
                  <c:v>14</c:v>
                </c:pt>
                <c:pt idx="799">
                  <c:v>24</c:v>
                </c:pt>
                <c:pt idx="800">
                  <c:v>81</c:v>
                </c:pt>
                <c:pt idx="801">
                  <c:v>40</c:v>
                </c:pt>
                <c:pt idx="802">
                  <c:v>70</c:v>
                </c:pt>
                <c:pt idx="803">
                  <c:v>111</c:v>
                </c:pt>
                <c:pt idx="804">
                  <c:v>7</c:v>
                </c:pt>
                <c:pt idx="805">
                  <c:v>30</c:v>
                </c:pt>
                <c:pt idx="806">
                  <c:v>39</c:v>
                </c:pt>
                <c:pt idx="807">
                  <c:v>23</c:v>
                </c:pt>
                <c:pt idx="808">
                  <c:v>66</c:v>
                </c:pt>
                <c:pt idx="809">
                  <c:v>20</c:v>
                </c:pt>
                <c:pt idx="810">
                  <c:v>34</c:v>
                </c:pt>
                <c:pt idx="811">
                  <c:v>50</c:v>
                </c:pt>
                <c:pt idx="812">
                  <c:v>21</c:v>
                </c:pt>
                <c:pt idx="813">
                  <c:v>84</c:v>
                </c:pt>
                <c:pt idx="814">
                  <c:v>45</c:v>
                </c:pt>
                <c:pt idx="815">
                  <c:v>45</c:v>
                </c:pt>
                <c:pt idx="816">
                  <c:v>34</c:v>
                </c:pt>
                <c:pt idx="817">
                  <c:v>30</c:v>
                </c:pt>
                <c:pt idx="818">
                  <c:v>27</c:v>
                </c:pt>
                <c:pt idx="819">
                  <c:v>28</c:v>
                </c:pt>
                <c:pt idx="820">
                  <c:v>29</c:v>
                </c:pt>
                <c:pt idx="821">
                  <c:v>3</c:v>
                </c:pt>
                <c:pt idx="822">
                  <c:v>28</c:v>
                </c:pt>
                <c:pt idx="823">
                  <c:v>30</c:v>
                </c:pt>
                <c:pt idx="824">
                  <c:v>87</c:v>
                </c:pt>
                <c:pt idx="825">
                  <c:v>11</c:v>
                </c:pt>
                <c:pt idx="826">
                  <c:v>24</c:v>
                </c:pt>
                <c:pt idx="827">
                  <c:v>84</c:v>
                </c:pt>
                <c:pt idx="828">
                  <c:v>39</c:v>
                </c:pt>
                <c:pt idx="829">
                  <c:v>26</c:v>
                </c:pt>
                <c:pt idx="830">
                  <c:v>66</c:v>
                </c:pt>
                <c:pt idx="831">
                  <c:v>96</c:v>
                </c:pt>
                <c:pt idx="832">
                  <c:v>9</c:v>
                </c:pt>
                <c:pt idx="833">
                  <c:v>22</c:v>
                </c:pt>
                <c:pt idx="834">
                  <c:v>36</c:v>
                </c:pt>
                <c:pt idx="835">
                  <c:v>24</c:v>
                </c:pt>
                <c:pt idx="836">
                  <c:v>59</c:v>
                </c:pt>
                <c:pt idx="837">
                  <c:v>33</c:v>
                </c:pt>
                <c:pt idx="838">
                  <c:v>57</c:v>
                </c:pt>
                <c:pt idx="839">
                  <c:v>14</c:v>
                </c:pt>
                <c:pt idx="840">
                  <c:v>75</c:v>
                </c:pt>
                <c:pt idx="841">
                  <c:v>50</c:v>
                </c:pt>
                <c:pt idx="842">
                  <c:v>50</c:v>
                </c:pt>
                <c:pt idx="843">
                  <c:v>33</c:v>
                </c:pt>
                <c:pt idx="844">
                  <c:v>22</c:v>
                </c:pt>
                <c:pt idx="845">
                  <c:v>25</c:v>
                </c:pt>
                <c:pt idx="846">
                  <c:v>24</c:v>
                </c:pt>
                <c:pt idx="847">
                  <c:v>31</c:v>
                </c:pt>
                <c:pt idx="848">
                  <c:v>29</c:v>
                </c:pt>
                <c:pt idx="849">
                  <c:v>3</c:v>
                </c:pt>
                <c:pt idx="850">
                  <c:v>25</c:v>
                </c:pt>
                <c:pt idx="851">
                  <c:v>4</c:v>
                </c:pt>
                <c:pt idx="852">
                  <c:v>31</c:v>
                </c:pt>
                <c:pt idx="853">
                  <c:v>85</c:v>
                </c:pt>
                <c:pt idx="854">
                  <c:v>15</c:v>
                </c:pt>
                <c:pt idx="855">
                  <c:v>23</c:v>
                </c:pt>
                <c:pt idx="856">
                  <c:v>75</c:v>
                </c:pt>
                <c:pt idx="857">
                  <c:v>36</c:v>
                </c:pt>
                <c:pt idx="858">
                  <c:v>59</c:v>
                </c:pt>
                <c:pt idx="859">
                  <c:v>93</c:v>
                </c:pt>
                <c:pt idx="860">
                  <c:v>24</c:v>
                </c:pt>
                <c:pt idx="861">
                  <c:v>40</c:v>
                </c:pt>
                <c:pt idx="862">
                  <c:v>22</c:v>
                </c:pt>
                <c:pt idx="863">
                  <c:v>70</c:v>
                </c:pt>
                <c:pt idx="864">
                  <c:v>34</c:v>
                </c:pt>
                <c:pt idx="865">
                  <c:v>73</c:v>
                </c:pt>
                <c:pt idx="866">
                  <c:v>15</c:v>
                </c:pt>
                <c:pt idx="867">
                  <c:v>81</c:v>
                </c:pt>
                <c:pt idx="868">
                  <c:v>42</c:v>
                </c:pt>
                <c:pt idx="869">
                  <c:v>42</c:v>
                </c:pt>
                <c:pt idx="870">
                  <c:v>34</c:v>
                </c:pt>
                <c:pt idx="871">
                  <c:v>24</c:v>
                </c:pt>
                <c:pt idx="872">
                  <c:v>29</c:v>
                </c:pt>
                <c:pt idx="873">
                  <c:v>41</c:v>
                </c:pt>
                <c:pt idx="874">
                  <c:v>26</c:v>
                </c:pt>
                <c:pt idx="875">
                  <c:v>3</c:v>
                </c:pt>
                <c:pt idx="876">
                  <c:v>27</c:v>
                </c:pt>
                <c:pt idx="877">
                  <c:v>25</c:v>
                </c:pt>
                <c:pt idx="878">
                  <c:v>95</c:v>
                </c:pt>
                <c:pt idx="879">
                  <c:v>14</c:v>
                </c:pt>
                <c:pt idx="880">
                  <c:v>24</c:v>
                </c:pt>
                <c:pt idx="881">
                  <c:v>81</c:v>
                </c:pt>
                <c:pt idx="882">
                  <c:v>40</c:v>
                </c:pt>
                <c:pt idx="883">
                  <c:v>70</c:v>
                </c:pt>
                <c:pt idx="884">
                  <c:v>111</c:v>
                </c:pt>
                <c:pt idx="885">
                  <c:v>7</c:v>
                </c:pt>
                <c:pt idx="886">
                  <c:v>50</c:v>
                </c:pt>
                <c:pt idx="887">
                  <c:v>84</c:v>
                </c:pt>
                <c:pt idx="888">
                  <c:v>39</c:v>
                </c:pt>
                <c:pt idx="889">
                  <c:v>91</c:v>
                </c:pt>
                <c:pt idx="890">
                  <c:v>66</c:v>
                </c:pt>
                <c:pt idx="891">
                  <c:v>113</c:v>
                </c:pt>
                <c:pt idx="892">
                  <c:v>30</c:v>
                </c:pt>
                <c:pt idx="893">
                  <c:v>74</c:v>
                </c:pt>
                <c:pt idx="894">
                  <c:v>34</c:v>
                </c:pt>
                <c:pt idx="895">
                  <c:v>13</c:v>
                </c:pt>
                <c:pt idx="896">
                  <c:v>30</c:v>
                </c:pt>
                <c:pt idx="897">
                  <c:v>87</c:v>
                </c:pt>
                <c:pt idx="898">
                  <c:v>45</c:v>
                </c:pt>
                <c:pt idx="899">
                  <c:v>24</c:v>
                </c:pt>
                <c:pt idx="900">
                  <c:v>46</c:v>
                </c:pt>
                <c:pt idx="901">
                  <c:v>20</c:v>
                </c:pt>
                <c:pt idx="902">
                  <c:v>19</c:v>
                </c:pt>
                <c:pt idx="903">
                  <c:v>15</c:v>
                </c:pt>
                <c:pt idx="904">
                  <c:v>21</c:v>
                </c:pt>
                <c:pt idx="905">
                  <c:v>7</c:v>
                </c:pt>
                <c:pt idx="906">
                  <c:v>5</c:v>
                </c:pt>
                <c:pt idx="907">
                  <c:v>33</c:v>
                </c:pt>
                <c:pt idx="908">
                  <c:v>113</c:v>
                </c:pt>
                <c:pt idx="909">
                  <c:v>41</c:v>
                </c:pt>
                <c:pt idx="910">
                  <c:v>50</c:v>
                </c:pt>
                <c:pt idx="911">
                  <c:v>29</c:v>
                </c:pt>
                <c:pt idx="912">
                  <c:v>39</c:v>
                </c:pt>
                <c:pt idx="913">
                  <c:v>26</c:v>
                </c:pt>
                <c:pt idx="914">
                  <c:v>84</c:v>
                </c:pt>
                <c:pt idx="915">
                  <c:v>5</c:v>
                </c:pt>
                <c:pt idx="916">
                  <c:v>66</c:v>
                </c:pt>
                <c:pt idx="917">
                  <c:v>96</c:v>
                </c:pt>
                <c:pt idx="918">
                  <c:v>9</c:v>
                </c:pt>
                <c:pt idx="919">
                  <c:v>57</c:v>
                </c:pt>
                <c:pt idx="920">
                  <c:v>75</c:v>
                </c:pt>
                <c:pt idx="921">
                  <c:v>36</c:v>
                </c:pt>
                <c:pt idx="922">
                  <c:v>87</c:v>
                </c:pt>
                <c:pt idx="923">
                  <c:v>59</c:v>
                </c:pt>
                <c:pt idx="924">
                  <c:v>109</c:v>
                </c:pt>
                <c:pt idx="925">
                  <c:v>22</c:v>
                </c:pt>
                <c:pt idx="926">
                  <c:v>69</c:v>
                </c:pt>
                <c:pt idx="927">
                  <c:v>33</c:v>
                </c:pt>
                <c:pt idx="928">
                  <c:v>31</c:v>
                </c:pt>
                <c:pt idx="929">
                  <c:v>85</c:v>
                </c:pt>
                <c:pt idx="930">
                  <c:v>50</c:v>
                </c:pt>
                <c:pt idx="931">
                  <c:v>21</c:v>
                </c:pt>
                <c:pt idx="932">
                  <c:v>17</c:v>
                </c:pt>
                <c:pt idx="933">
                  <c:v>20</c:v>
                </c:pt>
                <c:pt idx="934">
                  <c:v>4</c:v>
                </c:pt>
                <c:pt idx="935">
                  <c:v>33</c:v>
                </c:pt>
                <c:pt idx="936">
                  <c:v>109</c:v>
                </c:pt>
                <c:pt idx="937">
                  <c:v>42</c:v>
                </c:pt>
                <c:pt idx="938">
                  <c:v>57</c:v>
                </c:pt>
                <c:pt idx="939">
                  <c:v>29</c:v>
                </c:pt>
                <c:pt idx="940">
                  <c:v>36</c:v>
                </c:pt>
                <c:pt idx="941">
                  <c:v>75</c:v>
                </c:pt>
                <c:pt idx="942">
                  <c:v>59</c:v>
                </c:pt>
                <c:pt idx="943">
                  <c:v>25</c:v>
                </c:pt>
                <c:pt idx="944">
                  <c:v>93</c:v>
                </c:pt>
                <c:pt idx="945">
                  <c:v>31</c:v>
                </c:pt>
                <c:pt idx="946">
                  <c:v>73</c:v>
                </c:pt>
                <c:pt idx="947">
                  <c:v>81</c:v>
                </c:pt>
                <c:pt idx="948">
                  <c:v>40</c:v>
                </c:pt>
                <c:pt idx="949">
                  <c:v>97</c:v>
                </c:pt>
                <c:pt idx="950">
                  <c:v>70</c:v>
                </c:pt>
                <c:pt idx="951">
                  <c:v>122</c:v>
                </c:pt>
                <c:pt idx="952">
                  <c:v>24</c:v>
                </c:pt>
                <c:pt idx="953">
                  <c:v>74</c:v>
                </c:pt>
                <c:pt idx="954">
                  <c:v>34</c:v>
                </c:pt>
                <c:pt idx="955">
                  <c:v>25</c:v>
                </c:pt>
                <c:pt idx="956">
                  <c:v>95</c:v>
                </c:pt>
                <c:pt idx="957">
                  <c:v>42</c:v>
                </c:pt>
                <c:pt idx="958">
                  <c:v>24</c:v>
                </c:pt>
                <c:pt idx="959">
                  <c:v>19</c:v>
                </c:pt>
                <c:pt idx="960">
                  <c:v>23</c:v>
                </c:pt>
                <c:pt idx="961">
                  <c:v>4</c:v>
                </c:pt>
                <c:pt idx="962">
                  <c:v>31</c:v>
                </c:pt>
                <c:pt idx="963">
                  <c:v>122</c:v>
                </c:pt>
                <c:pt idx="964">
                  <c:v>37</c:v>
                </c:pt>
                <c:pt idx="965">
                  <c:v>73</c:v>
                </c:pt>
                <c:pt idx="966">
                  <c:v>26</c:v>
                </c:pt>
                <c:pt idx="967">
                  <c:v>40</c:v>
                </c:pt>
                <c:pt idx="968">
                  <c:v>81</c:v>
                </c:pt>
                <c:pt idx="969">
                  <c:v>70</c:v>
                </c:pt>
                <c:pt idx="970">
                  <c:v>29</c:v>
                </c:pt>
                <c:pt idx="971">
                  <c:v>111</c:v>
                </c:pt>
                <c:pt idx="972">
                  <c:v>41</c:v>
                </c:pt>
                <c:pt idx="973">
                  <c:v>7</c:v>
                </c:pt>
                <c:pt idx="974">
                  <c:v>50</c:v>
                </c:pt>
                <c:pt idx="975">
                  <c:v>84</c:v>
                </c:pt>
                <c:pt idx="976">
                  <c:v>39</c:v>
                </c:pt>
                <c:pt idx="977">
                  <c:v>91</c:v>
                </c:pt>
                <c:pt idx="978">
                  <c:v>66</c:v>
                </c:pt>
                <c:pt idx="979">
                  <c:v>113</c:v>
                </c:pt>
                <c:pt idx="980">
                  <c:v>30</c:v>
                </c:pt>
                <c:pt idx="981">
                  <c:v>74</c:v>
                </c:pt>
                <c:pt idx="982">
                  <c:v>34</c:v>
                </c:pt>
                <c:pt idx="983">
                  <c:v>13</c:v>
                </c:pt>
                <c:pt idx="984">
                  <c:v>30</c:v>
                </c:pt>
                <c:pt idx="985">
                  <c:v>87</c:v>
                </c:pt>
                <c:pt idx="986">
                  <c:v>45</c:v>
                </c:pt>
                <c:pt idx="987">
                  <c:v>24</c:v>
                </c:pt>
                <c:pt idx="988">
                  <c:v>46</c:v>
                </c:pt>
                <c:pt idx="989">
                  <c:v>20</c:v>
                </c:pt>
                <c:pt idx="990">
                  <c:v>19</c:v>
                </c:pt>
                <c:pt idx="991">
                  <c:v>15</c:v>
                </c:pt>
                <c:pt idx="992">
                  <c:v>21</c:v>
                </c:pt>
                <c:pt idx="993">
                  <c:v>7</c:v>
                </c:pt>
                <c:pt idx="994">
                  <c:v>5</c:v>
                </c:pt>
                <c:pt idx="995">
                  <c:v>33</c:v>
                </c:pt>
                <c:pt idx="996">
                  <c:v>113</c:v>
                </c:pt>
                <c:pt idx="997">
                  <c:v>41</c:v>
                </c:pt>
                <c:pt idx="998">
                  <c:v>50</c:v>
                </c:pt>
                <c:pt idx="999">
                  <c:v>29</c:v>
                </c:pt>
                <c:pt idx="1000">
                  <c:v>39</c:v>
                </c:pt>
                <c:pt idx="1001">
                  <c:v>26</c:v>
                </c:pt>
                <c:pt idx="1002">
                  <c:v>84</c:v>
                </c:pt>
                <c:pt idx="1003">
                  <c:v>5</c:v>
                </c:pt>
                <c:pt idx="1004">
                  <c:v>66</c:v>
                </c:pt>
                <c:pt idx="1005">
                  <c:v>96</c:v>
                </c:pt>
                <c:pt idx="1006">
                  <c:v>9</c:v>
                </c:pt>
                <c:pt idx="1007">
                  <c:v>57</c:v>
                </c:pt>
                <c:pt idx="1008">
                  <c:v>75</c:v>
                </c:pt>
                <c:pt idx="1009">
                  <c:v>36</c:v>
                </c:pt>
                <c:pt idx="1010">
                  <c:v>87</c:v>
                </c:pt>
                <c:pt idx="1011">
                  <c:v>59</c:v>
                </c:pt>
                <c:pt idx="1012">
                  <c:v>109</c:v>
                </c:pt>
                <c:pt idx="1013">
                  <c:v>22</c:v>
                </c:pt>
                <c:pt idx="1014">
                  <c:v>69</c:v>
                </c:pt>
                <c:pt idx="1015">
                  <c:v>33</c:v>
                </c:pt>
                <c:pt idx="1016">
                  <c:v>31</c:v>
                </c:pt>
                <c:pt idx="1017">
                  <c:v>85</c:v>
                </c:pt>
                <c:pt idx="1018">
                  <c:v>50</c:v>
                </c:pt>
                <c:pt idx="1019">
                  <c:v>21</c:v>
                </c:pt>
                <c:pt idx="1020">
                  <c:v>17</c:v>
                </c:pt>
                <c:pt idx="1021">
                  <c:v>20</c:v>
                </c:pt>
                <c:pt idx="1022">
                  <c:v>4</c:v>
                </c:pt>
                <c:pt idx="1023">
                  <c:v>33</c:v>
                </c:pt>
                <c:pt idx="1024">
                  <c:v>109</c:v>
                </c:pt>
                <c:pt idx="1025">
                  <c:v>42</c:v>
                </c:pt>
                <c:pt idx="1026">
                  <c:v>57</c:v>
                </c:pt>
                <c:pt idx="1027">
                  <c:v>29</c:v>
                </c:pt>
                <c:pt idx="1028">
                  <c:v>36</c:v>
                </c:pt>
                <c:pt idx="1029">
                  <c:v>75</c:v>
                </c:pt>
                <c:pt idx="1030">
                  <c:v>59</c:v>
                </c:pt>
                <c:pt idx="1031">
                  <c:v>25</c:v>
                </c:pt>
                <c:pt idx="1032">
                  <c:v>93</c:v>
                </c:pt>
                <c:pt idx="1033">
                  <c:v>31</c:v>
                </c:pt>
                <c:pt idx="1034">
                  <c:v>73</c:v>
                </c:pt>
                <c:pt idx="1035">
                  <c:v>81</c:v>
                </c:pt>
                <c:pt idx="1036">
                  <c:v>40</c:v>
                </c:pt>
                <c:pt idx="1037">
                  <c:v>97</c:v>
                </c:pt>
                <c:pt idx="1038">
                  <c:v>70</c:v>
                </c:pt>
                <c:pt idx="1039">
                  <c:v>122</c:v>
                </c:pt>
                <c:pt idx="1040">
                  <c:v>24</c:v>
                </c:pt>
                <c:pt idx="1041">
                  <c:v>74</c:v>
                </c:pt>
                <c:pt idx="1042">
                  <c:v>34</c:v>
                </c:pt>
                <c:pt idx="1043">
                  <c:v>25</c:v>
                </c:pt>
                <c:pt idx="1044">
                  <c:v>95</c:v>
                </c:pt>
                <c:pt idx="1045">
                  <c:v>42</c:v>
                </c:pt>
                <c:pt idx="1046">
                  <c:v>24</c:v>
                </c:pt>
                <c:pt idx="1047">
                  <c:v>19</c:v>
                </c:pt>
                <c:pt idx="1048">
                  <c:v>23</c:v>
                </c:pt>
                <c:pt idx="1049">
                  <c:v>4</c:v>
                </c:pt>
                <c:pt idx="1050">
                  <c:v>31</c:v>
                </c:pt>
                <c:pt idx="1051">
                  <c:v>122</c:v>
                </c:pt>
                <c:pt idx="1052">
                  <c:v>37</c:v>
                </c:pt>
                <c:pt idx="1053">
                  <c:v>73</c:v>
                </c:pt>
                <c:pt idx="1054">
                  <c:v>26</c:v>
                </c:pt>
                <c:pt idx="1055">
                  <c:v>40</c:v>
                </c:pt>
                <c:pt idx="1056">
                  <c:v>81</c:v>
                </c:pt>
                <c:pt idx="1057">
                  <c:v>70</c:v>
                </c:pt>
                <c:pt idx="1058">
                  <c:v>29</c:v>
                </c:pt>
                <c:pt idx="1059">
                  <c:v>111</c:v>
                </c:pt>
                <c:pt idx="1060">
                  <c:v>41</c:v>
                </c:pt>
                <c:pt idx="1061">
                  <c:v>7</c:v>
                </c:pt>
              </c:numCache>
            </c:numRef>
          </c:xVal>
          <c:yVal>
            <c:numRef>
              <c:f>'KPIs Section'!$R$2:$R$1063</c:f>
              <c:numCache>
                <c:formatCode>General</c:formatCode>
                <c:ptCount val="1062"/>
                <c:pt idx="0">
                  <c:v>122</c:v>
                </c:pt>
                <c:pt idx="1">
                  <c:v>123</c:v>
                </c:pt>
                <c:pt idx="2">
                  <c:v>107</c:v>
                </c:pt>
                <c:pt idx="3">
                  <c:v>94</c:v>
                </c:pt>
                <c:pt idx="4">
                  <c:v>182</c:v>
                </c:pt>
                <c:pt idx="5">
                  <c:v>43</c:v>
                </c:pt>
                <c:pt idx="6">
                  <c:v>111</c:v>
                </c:pt>
                <c:pt idx="7">
                  <c:v>66</c:v>
                </c:pt>
                <c:pt idx="8">
                  <c:v>68</c:v>
                </c:pt>
                <c:pt idx="9">
                  <c:v>99</c:v>
                </c:pt>
                <c:pt idx="10">
                  <c:v>120</c:v>
                </c:pt>
                <c:pt idx="11">
                  <c:v>114</c:v>
                </c:pt>
                <c:pt idx="12">
                  <c:v>109</c:v>
                </c:pt>
                <c:pt idx="13">
                  <c:v>144</c:v>
                </c:pt>
                <c:pt idx="14">
                  <c:v>77</c:v>
                </c:pt>
                <c:pt idx="15">
                  <c:v>120</c:v>
                </c:pt>
                <c:pt idx="16">
                  <c:v>109</c:v>
                </c:pt>
                <c:pt idx="17">
                  <c:v>118</c:v>
                </c:pt>
                <c:pt idx="18">
                  <c:v>120</c:v>
                </c:pt>
                <c:pt idx="19">
                  <c:v>119</c:v>
                </c:pt>
                <c:pt idx="20">
                  <c:v>99</c:v>
                </c:pt>
                <c:pt idx="21">
                  <c:v>205</c:v>
                </c:pt>
                <c:pt idx="22">
                  <c:v>218</c:v>
                </c:pt>
                <c:pt idx="23">
                  <c:v>92</c:v>
                </c:pt>
                <c:pt idx="24">
                  <c:v>123</c:v>
                </c:pt>
                <c:pt idx="25">
                  <c:v>92</c:v>
                </c:pt>
                <c:pt idx="26">
                  <c:v>120</c:v>
                </c:pt>
                <c:pt idx="27">
                  <c:v>164</c:v>
                </c:pt>
                <c:pt idx="28">
                  <c:v>114</c:v>
                </c:pt>
                <c:pt idx="29">
                  <c:v>124</c:v>
                </c:pt>
                <c:pt idx="30">
                  <c:v>123</c:v>
                </c:pt>
                <c:pt idx="31">
                  <c:v>125</c:v>
                </c:pt>
                <c:pt idx="32">
                  <c:v>88</c:v>
                </c:pt>
                <c:pt idx="33">
                  <c:v>81</c:v>
                </c:pt>
                <c:pt idx="34">
                  <c:v>78</c:v>
                </c:pt>
                <c:pt idx="35">
                  <c:v>88</c:v>
                </c:pt>
                <c:pt idx="36">
                  <c:v>120</c:v>
                </c:pt>
                <c:pt idx="37">
                  <c:v>121</c:v>
                </c:pt>
                <c:pt idx="38">
                  <c:v>113</c:v>
                </c:pt>
                <c:pt idx="39">
                  <c:v>109</c:v>
                </c:pt>
                <c:pt idx="40">
                  <c:v>106</c:v>
                </c:pt>
                <c:pt idx="41">
                  <c:v>141</c:v>
                </c:pt>
                <c:pt idx="42">
                  <c:v>121</c:v>
                </c:pt>
                <c:pt idx="43">
                  <c:v>121</c:v>
                </c:pt>
                <c:pt idx="44">
                  <c:v>113</c:v>
                </c:pt>
                <c:pt idx="45">
                  <c:v>109</c:v>
                </c:pt>
                <c:pt idx="46">
                  <c:v>115</c:v>
                </c:pt>
                <c:pt idx="47">
                  <c:v>90</c:v>
                </c:pt>
                <c:pt idx="48">
                  <c:v>147</c:v>
                </c:pt>
                <c:pt idx="49">
                  <c:v>99</c:v>
                </c:pt>
                <c:pt idx="50">
                  <c:v>133</c:v>
                </c:pt>
                <c:pt idx="51">
                  <c:v>112</c:v>
                </c:pt>
                <c:pt idx="52">
                  <c:v>127</c:v>
                </c:pt>
                <c:pt idx="53">
                  <c:v>145</c:v>
                </c:pt>
                <c:pt idx="54">
                  <c:v>176</c:v>
                </c:pt>
                <c:pt idx="55">
                  <c:v>127</c:v>
                </c:pt>
                <c:pt idx="56">
                  <c:v>101</c:v>
                </c:pt>
                <c:pt idx="57">
                  <c:v>133</c:v>
                </c:pt>
                <c:pt idx="58">
                  <c:v>77</c:v>
                </c:pt>
                <c:pt idx="59">
                  <c:v>85</c:v>
                </c:pt>
                <c:pt idx="60">
                  <c:v>82</c:v>
                </c:pt>
                <c:pt idx="61">
                  <c:v>122</c:v>
                </c:pt>
                <c:pt idx="62">
                  <c:v>131</c:v>
                </c:pt>
                <c:pt idx="63">
                  <c:v>118</c:v>
                </c:pt>
                <c:pt idx="64">
                  <c:v>88</c:v>
                </c:pt>
                <c:pt idx="65">
                  <c:v>118</c:v>
                </c:pt>
                <c:pt idx="66">
                  <c:v>107</c:v>
                </c:pt>
                <c:pt idx="67">
                  <c:v>160</c:v>
                </c:pt>
                <c:pt idx="68">
                  <c:v>153</c:v>
                </c:pt>
                <c:pt idx="69">
                  <c:v>139</c:v>
                </c:pt>
                <c:pt idx="70">
                  <c:v>160</c:v>
                </c:pt>
                <c:pt idx="71">
                  <c:v>131</c:v>
                </c:pt>
                <c:pt idx="72">
                  <c:v>130</c:v>
                </c:pt>
                <c:pt idx="73">
                  <c:v>131</c:v>
                </c:pt>
                <c:pt idx="74">
                  <c:v>114</c:v>
                </c:pt>
                <c:pt idx="75">
                  <c:v>100</c:v>
                </c:pt>
                <c:pt idx="76">
                  <c:v>194</c:v>
                </c:pt>
                <c:pt idx="77">
                  <c:v>46</c:v>
                </c:pt>
                <c:pt idx="78">
                  <c:v>118</c:v>
                </c:pt>
                <c:pt idx="79">
                  <c:v>70</c:v>
                </c:pt>
                <c:pt idx="80">
                  <c:v>72</c:v>
                </c:pt>
                <c:pt idx="81">
                  <c:v>106</c:v>
                </c:pt>
                <c:pt idx="82">
                  <c:v>128</c:v>
                </c:pt>
                <c:pt idx="83">
                  <c:v>121</c:v>
                </c:pt>
                <c:pt idx="84">
                  <c:v>116</c:v>
                </c:pt>
                <c:pt idx="85">
                  <c:v>153</c:v>
                </c:pt>
                <c:pt idx="86">
                  <c:v>82</c:v>
                </c:pt>
                <c:pt idx="87">
                  <c:v>128</c:v>
                </c:pt>
                <c:pt idx="88">
                  <c:v>116</c:v>
                </c:pt>
                <c:pt idx="89">
                  <c:v>126</c:v>
                </c:pt>
                <c:pt idx="90">
                  <c:v>128</c:v>
                </c:pt>
                <c:pt idx="91">
                  <c:v>127</c:v>
                </c:pt>
                <c:pt idx="92">
                  <c:v>106</c:v>
                </c:pt>
                <c:pt idx="93">
                  <c:v>218</c:v>
                </c:pt>
                <c:pt idx="94">
                  <c:v>232</c:v>
                </c:pt>
                <c:pt idx="95">
                  <c:v>98</c:v>
                </c:pt>
                <c:pt idx="96">
                  <c:v>131</c:v>
                </c:pt>
                <c:pt idx="97">
                  <c:v>98</c:v>
                </c:pt>
                <c:pt idx="98">
                  <c:v>128</c:v>
                </c:pt>
                <c:pt idx="99">
                  <c:v>175</c:v>
                </c:pt>
                <c:pt idx="100">
                  <c:v>121</c:v>
                </c:pt>
                <c:pt idx="101">
                  <c:v>132</c:v>
                </c:pt>
                <c:pt idx="102">
                  <c:v>131</c:v>
                </c:pt>
                <c:pt idx="103">
                  <c:v>133</c:v>
                </c:pt>
                <c:pt idx="104">
                  <c:v>94</c:v>
                </c:pt>
                <c:pt idx="105">
                  <c:v>86</c:v>
                </c:pt>
                <c:pt idx="106">
                  <c:v>83</c:v>
                </c:pt>
                <c:pt idx="107">
                  <c:v>94</c:v>
                </c:pt>
                <c:pt idx="108">
                  <c:v>128</c:v>
                </c:pt>
                <c:pt idx="109">
                  <c:v>129</c:v>
                </c:pt>
                <c:pt idx="110">
                  <c:v>120</c:v>
                </c:pt>
                <c:pt idx="111">
                  <c:v>116</c:v>
                </c:pt>
                <c:pt idx="112">
                  <c:v>113</c:v>
                </c:pt>
                <c:pt idx="113">
                  <c:v>150</c:v>
                </c:pt>
                <c:pt idx="114">
                  <c:v>129</c:v>
                </c:pt>
                <c:pt idx="115">
                  <c:v>129</c:v>
                </c:pt>
                <c:pt idx="116">
                  <c:v>120</c:v>
                </c:pt>
                <c:pt idx="117">
                  <c:v>116</c:v>
                </c:pt>
                <c:pt idx="118">
                  <c:v>123</c:v>
                </c:pt>
                <c:pt idx="119">
                  <c:v>96</c:v>
                </c:pt>
                <c:pt idx="120">
                  <c:v>157</c:v>
                </c:pt>
                <c:pt idx="121">
                  <c:v>106</c:v>
                </c:pt>
                <c:pt idx="122">
                  <c:v>142</c:v>
                </c:pt>
                <c:pt idx="123">
                  <c:v>119</c:v>
                </c:pt>
                <c:pt idx="124">
                  <c:v>135</c:v>
                </c:pt>
                <c:pt idx="125">
                  <c:v>155</c:v>
                </c:pt>
                <c:pt idx="126">
                  <c:v>188</c:v>
                </c:pt>
                <c:pt idx="127">
                  <c:v>135</c:v>
                </c:pt>
                <c:pt idx="128">
                  <c:v>108</c:v>
                </c:pt>
                <c:pt idx="129">
                  <c:v>142</c:v>
                </c:pt>
                <c:pt idx="130">
                  <c:v>82</c:v>
                </c:pt>
                <c:pt idx="131">
                  <c:v>91</c:v>
                </c:pt>
                <c:pt idx="132">
                  <c:v>87</c:v>
                </c:pt>
                <c:pt idx="133">
                  <c:v>130</c:v>
                </c:pt>
                <c:pt idx="134">
                  <c:v>140</c:v>
                </c:pt>
                <c:pt idx="135">
                  <c:v>126</c:v>
                </c:pt>
                <c:pt idx="136">
                  <c:v>94</c:v>
                </c:pt>
                <c:pt idx="137">
                  <c:v>126</c:v>
                </c:pt>
                <c:pt idx="138">
                  <c:v>114</c:v>
                </c:pt>
                <c:pt idx="139">
                  <c:v>171</c:v>
                </c:pt>
                <c:pt idx="140">
                  <c:v>163</c:v>
                </c:pt>
                <c:pt idx="141">
                  <c:v>148</c:v>
                </c:pt>
                <c:pt idx="142">
                  <c:v>171</c:v>
                </c:pt>
                <c:pt idx="143">
                  <c:v>140</c:v>
                </c:pt>
                <c:pt idx="144">
                  <c:v>90</c:v>
                </c:pt>
                <c:pt idx="145">
                  <c:v>174</c:v>
                </c:pt>
                <c:pt idx="146">
                  <c:v>120</c:v>
                </c:pt>
                <c:pt idx="147">
                  <c:v>118</c:v>
                </c:pt>
                <c:pt idx="148">
                  <c:v>66</c:v>
                </c:pt>
                <c:pt idx="149">
                  <c:v>187</c:v>
                </c:pt>
                <c:pt idx="150">
                  <c:v>51</c:v>
                </c:pt>
                <c:pt idx="151">
                  <c:v>58</c:v>
                </c:pt>
                <c:pt idx="152">
                  <c:v>177</c:v>
                </c:pt>
                <c:pt idx="153">
                  <c:v>142</c:v>
                </c:pt>
                <c:pt idx="154">
                  <c:v>113</c:v>
                </c:pt>
                <c:pt idx="155">
                  <c:v>144</c:v>
                </c:pt>
                <c:pt idx="156">
                  <c:v>159</c:v>
                </c:pt>
                <c:pt idx="157">
                  <c:v>92</c:v>
                </c:pt>
                <c:pt idx="158">
                  <c:v>88</c:v>
                </c:pt>
                <c:pt idx="159">
                  <c:v>124</c:v>
                </c:pt>
                <c:pt idx="160">
                  <c:v>92</c:v>
                </c:pt>
                <c:pt idx="161">
                  <c:v>70</c:v>
                </c:pt>
                <c:pt idx="162">
                  <c:v>78</c:v>
                </c:pt>
                <c:pt idx="163">
                  <c:v>80</c:v>
                </c:pt>
                <c:pt idx="164">
                  <c:v>123</c:v>
                </c:pt>
                <c:pt idx="165">
                  <c:v>43</c:v>
                </c:pt>
                <c:pt idx="166">
                  <c:v>122</c:v>
                </c:pt>
                <c:pt idx="167">
                  <c:v>56</c:v>
                </c:pt>
                <c:pt idx="168">
                  <c:v>106</c:v>
                </c:pt>
                <c:pt idx="169">
                  <c:v>74</c:v>
                </c:pt>
                <c:pt idx="170">
                  <c:v>106</c:v>
                </c:pt>
                <c:pt idx="171">
                  <c:v>78</c:v>
                </c:pt>
                <c:pt idx="172">
                  <c:v>150</c:v>
                </c:pt>
                <c:pt idx="173">
                  <c:v>120</c:v>
                </c:pt>
                <c:pt idx="174">
                  <c:v>120</c:v>
                </c:pt>
                <c:pt idx="175">
                  <c:v>99</c:v>
                </c:pt>
                <c:pt idx="176">
                  <c:v>101</c:v>
                </c:pt>
                <c:pt idx="177">
                  <c:v>99</c:v>
                </c:pt>
                <c:pt idx="178">
                  <c:v>99</c:v>
                </c:pt>
                <c:pt idx="179">
                  <c:v>99</c:v>
                </c:pt>
                <c:pt idx="180">
                  <c:v>103</c:v>
                </c:pt>
                <c:pt idx="181">
                  <c:v>116</c:v>
                </c:pt>
                <c:pt idx="182">
                  <c:v>82</c:v>
                </c:pt>
                <c:pt idx="183">
                  <c:v>85</c:v>
                </c:pt>
                <c:pt idx="184">
                  <c:v>43</c:v>
                </c:pt>
                <c:pt idx="185">
                  <c:v>106</c:v>
                </c:pt>
                <c:pt idx="186">
                  <c:v>69</c:v>
                </c:pt>
                <c:pt idx="187">
                  <c:v>58</c:v>
                </c:pt>
                <c:pt idx="188">
                  <c:v>107</c:v>
                </c:pt>
                <c:pt idx="189">
                  <c:v>103</c:v>
                </c:pt>
                <c:pt idx="190">
                  <c:v>106</c:v>
                </c:pt>
                <c:pt idx="191">
                  <c:v>82</c:v>
                </c:pt>
                <c:pt idx="192">
                  <c:v>118</c:v>
                </c:pt>
                <c:pt idx="193">
                  <c:v>131</c:v>
                </c:pt>
                <c:pt idx="194">
                  <c:v>96</c:v>
                </c:pt>
                <c:pt idx="195">
                  <c:v>185</c:v>
                </c:pt>
                <c:pt idx="196">
                  <c:v>128</c:v>
                </c:pt>
                <c:pt idx="197">
                  <c:v>126</c:v>
                </c:pt>
                <c:pt idx="198">
                  <c:v>70</c:v>
                </c:pt>
                <c:pt idx="199">
                  <c:v>199</c:v>
                </c:pt>
                <c:pt idx="200">
                  <c:v>54</c:v>
                </c:pt>
                <c:pt idx="201">
                  <c:v>62</c:v>
                </c:pt>
                <c:pt idx="202">
                  <c:v>189</c:v>
                </c:pt>
                <c:pt idx="203">
                  <c:v>151</c:v>
                </c:pt>
                <c:pt idx="204">
                  <c:v>120</c:v>
                </c:pt>
                <c:pt idx="205">
                  <c:v>153</c:v>
                </c:pt>
                <c:pt idx="206">
                  <c:v>169</c:v>
                </c:pt>
                <c:pt idx="207">
                  <c:v>98</c:v>
                </c:pt>
                <c:pt idx="208">
                  <c:v>94</c:v>
                </c:pt>
                <c:pt idx="209">
                  <c:v>132</c:v>
                </c:pt>
                <c:pt idx="210">
                  <c:v>98</c:v>
                </c:pt>
                <c:pt idx="211">
                  <c:v>75</c:v>
                </c:pt>
                <c:pt idx="212">
                  <c:v>83</c:v>
                </c:pt>
                <c:pt idx="213">
                  <c:v>85</c:v>
                </c:pt>
                <c:pt idx="214">
                  <c:v>131</c:v>
                </c:pt>
                <c:pt idx="215">
                  <c:v>46</c:v>
                </c:pt>
                <c:pt idx="216">
                  <c:v>130</c:v>
                </c:pt>
                <c:pt idx="217">
                  <c:v>60</c:v>
                </c:pt>
                <c:pt idx="218">
                  <c:v>113</c:v>
                </c:pt>
                <c:pt idx="219">
                  <c:v>79</c:v>
                </c:pt>
                <c:pt idx="220">
                  <c:v>113</c:v>
                </c:pt>
                <c:pt idx="221">
                  <c:v>83</c:v>
                </c:pt>
                <c:pt idx="222">
                  <c:v>160</c:v>
                </c:pt>
                <c:pt idx="223">
                  <c:v>128</c:v>
                </c:pt>
                <c:pt idx="224">
                  <c:v>128</c:v>
                </c:pt>
                <c:pt idx="225">
                  <c:v>106</c:v>
                </c:pt>
                <c:pt idx="226">
                  <c:v>108</c:v>
                </c:pt>
                <c:pt idx="227">
                  <c:v>106</c:v>
                </c:pt>
                <c:pt idx="228">
                  <c:v>106</c:v>
                </c:pt>
                <c:pt idx="229">
                  <c:v>106</c:v>
                </c:pt>
                <c:pt idx="230">
                  <c:v>110</c:v>
                </c:pt>
                <c:pt idx="231">
                  <c:v>124</c:v>
                </c:pt>
                <c:pt idx="232">
                  <c:v>87</c:v>
                </c:pt>
                <c:pt idx="233">
                  <c:v>91</c:v>
                </c:pt>
                <c:pt idx="234">
                  <c:v>46</c:v>
                </c:pt>
                <c:pt idx="235">
                  <c:v>113</c:v>
                </c:pt>
                <c:pt idx="236">
                  <c:v>74</c:v>
                </c:pt>
                <c:pt idx="237">
                  <c:v>62</c:v>
                </c:pt>
                <c:pt idx="238">
                  <c:v>114</c:v>
                </c:pt>
                <c:pt idx="239">
                  <c:v>110</c:v>
                </c:pt>
                <c:pt idx="240">
                  <c:v>113</c:v>
                </c:pt>
                <c:pt idx="241">
                  <c:v>87</c:v>
                </c:pt>
                <c:pt idx="242">
                  <c:v>126</c:v>
                </c:pt>
                <c:pt idx="243">
                  <c:v>140</c:v>
                </c:pt>
                <c:pt idx="244">
                  <c:v>90</c:v>
                </c:pt>
                <c:pt idx="245">
                  <c:v>90</c:v>
                </c:pt>
                <c:pt idx="246">
                  <c:v>109</c:v>
                </c:pt>
                <c:pt idx="247">
                  <c:v>113</c:v>
                </c:pt>
                <c:pt idx="248">
                  <c:v>68</c:v>
                </c:pt>
                <c:pt idx="249">
                  <c:v>109</c:v>
                </c:pt>
                <c:pt idx="250">
                  <c:v>79</c:v>
                </c:pt>
                <c:pt idx="251">
                  <c:v>68</c:v>
                </c:pt>
                <c:pt idx="252">
                  <c:v>92</c:v>
                </c:pt>
                <c:pt idx="253">
                  <c:v>60</c:v>
                </c:pt>
                <c:pt idx="254">
                  <c:v>43</c:v>
                </c:pt>
                <c:pt idx="255">
                  <c:v>109</c:v>
                </c:pt>
                <c:pt idx="256">
                  <c:v>144</c:v>
                </c:pt>
                <c:pt idx="257">
                  <c:v>80</c:v>
                </c:pt>
                <c:pt idx="258">
                  <c:v>121</c:v>
                </c:pt>
                <c:pt idx="259">
                  <c:v>52</c:v>
                </c:pt>
                <c:pt idx="260">
                  <c:v>82</c:v>
                </c:pt>
                <c:pt idx="261">
                  <c:v>64</c:v>
                </c:pt>
                <c:pt idx="262">
                  <c:v>64</c:v>
                </c:pt>
                <c:pt idx="263">
                  <c:v>76</c:v>
                </c:pt>
                <c:pt idx="264">
                  <c:v>80</c:v>
                </c:pt>
                <c:pt idx="265">
                  <c:v>43</c:v>
                </c:pt>
                <c:pt idx="266">
                  <c:v>81</c:v>
                </c:pt>
                <c:pt idx="267">
                  <c:v>122</c:v>
                </c:pt>
                <c:pt idx="268">
                  <c:v>122</c:v>
                </c:pt>
                <c:pt idx="269">
                  <c:v>82</c:v>
                </c:pt>
                <c:pt idx="270">
                  <c:v>76</c:v>
                </c:pt>
                <c:pt idx="271">
                  <c:v>74</c:v>
                </c:pt>
                <c:pt idx="272">
                  <c:v>43</c:v>
                </c:pt>
                <c:pt idx="273">
                  <c:v>106</c:v>
                </c:pt>
                <c:pt idx="274">
                  <c:v>73</c:v>
                </c:pt>
                <c:pt idx="275">
                  <c:v>82</c:v>
                </c:pt>
                <c:pt idx="276">
                  <c:v>103</c:v>
                </c:pt>
                <c:pt idx="277">
                  <c:v>75</c:v>
                </c:pt>
                <c:pt idx="278">
                  <c:v>73</c:v>
                </c:pt>
                <c:pt idx="279">
                  <c:v>56</c:v>
                </c:pt>
                <c:pt idx="280">
                  <c:v>43</c:v>
                </c:pt>
                <c:pt idx="281">
                  <c:v>77</c:v>
                </c:pt>
                <c:pt idx="282">
                  <c:v>85</c:v>
                </c:pt>
                <c:pt idx="283">
                  <c:v>88</c:v>
                </c:pt>
                <c:pt idx="284">
                  <c:v>69</c:v>
                </c:pt>
                <c:pt idx="285">
                  <c:v>89</c:v>
                </c:pt>
                <c:pt idx="286">
                  <c:v>88</c:v>
                </c:pt>
                <c:pt idx="287">
                  <c:v>43</c:v>
                </c:pt>
                <c:pt idx="288">
                  <c:v>107</c:v>
                </c:pt>
                <c:pt idx="289">
                  <c:v>89</c:v>
                </c:pt>
                <c:pt idx="290">
                  <c:v>106</c:v>
                </c:pt>
                <c:pt idx="291">
                  <c:v>96</c:v>
                </c:pt>
                <c:pt idx="292">
                  <c:v>96</c:v>
                </c:pt>
                <c:pt idx="293">
                  <c:v>116</c:v>
                </c:pt>
                <c:pt idx="294">
                  <c:v>120</c:v>
                </c:pt>
                <c:pt idx="295">
                  <c:v>72</c:v>
                </c:pt>
                <c:pt idx="296">
                  <c:v>116</c:v>
                </c:pt>
                <c:pt idx="297">
                  <c:v>84</c:v>
                </c:pt>
                <c:pt idx="298">
                  <c:v>72</c:v>
                </c:pt>
                <c:pt idx="299">
                  <c:v>98</c:v>
                </c:pt>
                <c:pt idx="300">
                  <c:v>64</c:v>
                </c:pt>
                <c:pt idx="301">
                  <c:v>46</c:v>
                </c:pt>
                <c:pt idx="302">
                  <c:v>116</c:v>
                </c:pt>
                <c:pt idx="303">
                  <c:v>153</c:v>
                </c:pt>
                <c:pt idx="304">
                  <c:v>85</c:v>
                </c:pt>
                <c:pt idx="305">
                  <c:v>129</c:v>
                </c:pt>
                <c:pt idx="306">
                  <c:v>55</c:v>
                </c:pt>
                <c:pt idx="307">
                  <c:v>87</c:v>
                </c:pt>
                <c:pt idx="308">
                  <c:v>68</c:v>
                </c:pt>
                <c:pt idx="309">
                  <c:v>68</c:v>
                </c:pt>
                <c:pt idx="310">
                  <c:v>81</c:v>
                </c:pt>
                <c:pt idx="311">
                  <c:v>85</c:v>
                </c:pt>
                <c:pt idx="312">
                  <c:v>46</c:v>
                </c:pt>
                <c:pt idx="313">
                  <c:v>86</c:v>
                </c:pt>
                <c:pt idx="314">
                  <c:v>130</c:v>
                </c:pt>
                <c:pt idx="315">
                  <c:v>130</c:v>
                </c:pt>
                <c:pt idx="316">
                  <c:v>87</c:v>
                </c:pt>
                <c:pt idx="317">
                  <c:v>81</c:v>
                </c:pt>
                <c:pt idx="318">
                  <c:v>79</c:v>
                </c:pt>
                <c:pt idx="319">
                  <c:v>46</c:v>
                </c:pt>
                <c:pt idx="320">
                  <c:v>113</c:v>
                </c:pt>
                <c:pt idx="321">
                  <c:v>78</c:v>
                </c:pt>
                <c:pt idx="322">
                  <c:v>87</c:v>
                </c:pt>
                <c:pt idx="323">
                  <c:v>110</c:v>
                </c:pt>
                <c:pt idx="324">
                  <c:v>80</c:v>
                </c:pt>
                <c:pt idx="325">
                  <c:v>78</c:v>
                </c:pt>
                <c:pt idx="326">
                  <c:v>60</c:v>
                </c:pt>
                <c:pt idx="327">
                  <c:v>46</c:v>
                </c:pt>
                <c:pt idx="328">
                  <c:v>82</c:v>
                </c:pt>
                <c:pt idx="329">
                  <c:v>91</c:v>
                </c:pt>
                <c:pt idx="330">
                  <c:v>94</c:v>
                </c:pt>
                <c:pt idx="331">
                  <c:v>74</c:v>
                </c:pt>
                <c:pt idx="332">
                  <c:v>95</c:v>
                </c:pt>
                <c:pt idx="333">
                  <c:v>94</c:v>
                </c:pt>
                <c:pt idx="334">
                  <c:v>46</c:v>
                </c:pt>
                <c:pt idx="335">
                  <c:v>114</c:v>
                </c:pt>
                <c:pt idx="336">
                  <c:v>95</c:v>
                </c:pt>
                <c:pt idx="337">
                  <c:v>113</c:v>
                </c:pt>
                <c:pt idx="338">
                  <c:v>122</c:v>
                </c:pt>
                <c:pt idx="339">
                  <c:v>123</c:v>
                </c:pt>
                <c:pt idx="340">
                  <c:v>107</c:v>
                </c:pt>
                <c:pt idx="341">
                  <c:v>116</c:v>
                </c:pt>
                <c:pt idx="342">
                  <c:v>182</c:v>
                </c:pt>
                <c:pt idx="343">
                  <c:v>118</c:v>
                </c:pt>
                <c:pt idx="344">
                  <c:v>159</c:v>
                </c:pt>
                <c:pt idx="345">
                  <c:v>123</c:v>
                </c:pt>
                <c:pt idx="346">
                  <c:v>126</c:v>
                </c:pt>
                <c:pt idx="347">
                  <c:v>126</c:v>
                </c:pt>
                <c:pt idx="348">
                  <c:v>114</c:v>
                </c:pt>
                <c:pt idx="349">
                  <c:v>125</c:v>
                </c:pt>
                <c:pt idx="350">
                  <c:v>114</c:v>
                </c:pt>
                <c:pt idx="351">
                  <c:v>125</c:v>
                </c:pt>
                <c:pt idx="352">
                  <c:v>138</c:v>
                </c:pt>
                <c:pt idx="353">
                  <c:v>138</c:v>
                </c:pt>
                <c:pt idx="354">
                  <c:v>123</c:v>
                </c:pt>
                <c:pt idx="355">
                  <c:v>124</c:v>
                </c:pt>
                <c:pt idx="356">
                  <c:v>132</c:v>
                </c:pt>
                <c:pt idx="357">
                  <c:v>109</c:v>
                </c:pt>
                <c:pt idx="358">
                  <c:v>147</c:v>
                </c:pt>
                <c:pt idx="359">
                  <c:v>124</c:v>
                </c:pt>
                <c:pt idx="360">
                  <c:v>184</c:v>
                </c:pt>
                <c:pt idx="361">
                  <c:v>147</c:v>
                </c:pt>
                <c:pt idx="362">
                  <c:v>141</c:v>
                </c:pt>
                <c:pt idx="363">
                  <c:v>112</c:v>
                </c:pt>
                <c:pt idx="364">
                  <c:v>127</c:v>
                </c:pt>
                <c:pt idx="365">
                  <c:v>168</c:v>
                </c:pt>
                <c:pt idx="366">
                  <c:v>133</c:v>
                </c:pt>
                <c:pt idx="367">
                  <c:v>139</c:v>
                </c:pt>
                <c:pt idx="368">
                  <c:v>114</c:v>
                </c:pt>
                <c:pt idx="369">
                  <c:v>123</c:v>
                </c:pt>
                <c:pt idx="370">
                  <c:v>127</c:v>
                </c:pt>
                <c:pt idx="371">
                  <c:v>131</c:v>
                </c:pt>
                <c:pt idx="372">
                  <c:v>118</c:v>
                </c:pt>
                <c:pt idx="373">
                  <c:v>98</c:v>
                </c:pt>
                <c:pt idx="374">
                  <c:v>127</c:v>
                </c:pt>
                <c:pt idx="375">
                  <c:v>145</c:v>
                </c:pt>
                <c:pt idx="376">
                  <c:v>127</c:v>
                </c:pt>
                <c:pt idx="377">
                  <c:v>122</c:v>
                </c:pt>
                <c:pt idx="378">
                  <c:v>120</c:v>
                </c:pt>
                <c:pt idx="379">
                  <c:v>123</c:v>
                </c:pt>
                <c:pt idx="380">
                  <c:v>130</c:v>
                </c:pt>
                <c:pt idx="381">
                  <c:v>131</c:v>
                </c:pt>
                <c:pt idx="382">
                  <c:v>114</c:v>
                </c:pt>
                <c:pt idx="383">
                  <c:v>124</c:v>
                </c:pt>
                <c:pt idx="384">
                  <c:v>194</c:v>
                </c:pt>
                <c:pt idx="385">
                  <c:v>126</c:v>
                </c:pt>
                <c:pt idx="386">
                  <c:v>169</c:v>
                </c:pt>
                <c:pt idx="387">
                  <c:v>131</c:v>
                </c:pt>
                <c:pt idx="388">
                  <c:v>134</c:v>
                </c:pt>
                <c:pt idx="389">
                  <c:v>134</c:v>
                </c:pt>
                <c:pt idx="390">
                  <c:v>121</c:v>
                </c:pt>
                <c:pt idx="391">
                  <c:v>133</c:v>
                </c:pt>
                <c:pt idx="392">
                  <c:v>121</c:v>
                </c:pt>
                <c:pt idx="393">
                  <c:v>133</c:v>
                </c:pt>
                <c:pt idx="394">
                  <c:v>147</c:v>
                </c:pt>
                <c:pt idx="395">
                  <c:v>147</c:v>
                </c:pt>
                <c:pt idx="396">
                  <c:v>131</c:v>
                </c:pt>
                <c:pt idx="397">
                  <c:v>132</c:v>
                </c:pt>
                <c:pt idx="398">
                  <c:v>141</c:v>
                </c:pt>
                <c:pt idx="399">
                  <c:v>116</c:v>
                </c:pt>
                <c:pt idx="400">
                  <c:v>157</c:v>
                </c:pt>
                <c:pt idx="401">
                  <c:v>132</c:v>
                </c:pt>
                <c:pt idx="402">
                  <c:v>196</c:v>
                </c:pt>
                <c:pt idx="403">
                  <c:v>157</c:v>
                </c:pt>
                <c:pt idx="404">
                  <c:v>150</c:v>
                </c:pt>
                <c:pt idx="405">
                  <c:v>119</c:v>
                </c:pt>
                <c:pt idx="406">
                  <c:v>135</c:v>
                </c:pt>
                <c:pt idx="407">
                  <c:v>179</c:v>
                </c:pt>
                <c:pt idx="408">
                  <c:v>142</c:v>
                </c:pt>
                <c:pt idx="409">
                  <c:v>148</c:v>
                </c:pt>
                <c:pt idx="410">
                  <c:v>121</c:v>
                </c:pt>
                <c:pt idx="411">
                  <c:v>131</c:v>
                </c:pt>
                <c:pt idx="412">
                  <c:v>135</c:v>
                </c:pt>
                <c:pt idx="413">
                  <c:v>140</c:v>
                </c:pt>
                <c:pt idx="414">
                  <c:v>126</c:v>
                </c:pt>
                <c:pt idx="415">
                  <c:v>104</c:v>
                </c:pt>
                <c:pt idx="416">
                  <c:v>135</c:v>
                </c:pt>
                <c:pt idx="417">
                  <c:v>155</c:v>
                </c:pt>
                <c:pt idx="418">
                  <c:v>135</c:v>
                </c:pt>
                <c:pt idx="419">
                  <c:v>130</c:v>
                </c:pt>
                <c:pt idx="420">
                  <c:v>128</c:v>
                </c:pt>
                <c:pt idx="421">
                  <c:v>131</c:v>
                </c:pt>
                <c:pt idx="422">
                  <c:v>53</c:v>
                </c:pt>
                <c:pt idx="423">
                  <c:v>66</c:v>
                </c:pt>
                <c:pt idx="424">
                  <c:v>126</c:v>
                </c:pt>
                <c:pt idx="425">
                  <c:v>120</c:v>
                </c:pt>
                <c:pt idx="426">
                  <c:v>53</c:v>
                </c:pt>
                <c:pt idx="427">
                  <c:v>92</c:v>
                </c:pt>
                <c:pt idx="428">
                  <c:v>58</c:v>
                </c:pt>
                <c:pt idx="429">
                  <c:v>52</c:v>
                </c:pt>
                <c:pt idx="430">
                  <c:v>56</c:v>
                </c:pt>
                <c:pt idx="431">
                  <c:v>53</c:v>
                </c:pt>
                <c:pt idx="432">
                  <c:v>43</c:v>
                </c:pt>
                <c:pt idx="433">
                  <c:v>77</c:v>
                </c:pt>
                <c:pt idx="434">
                  <c:v>52</c:v>
                </c:pt>
                <c:pt idx="435">
                  <c:v>61</c:v>
                </c:pt>
                <c:pt idx="436">
                  <c:v>77</c:v>
                </c:pt>
                <c:pt idx="437">
                  <c:v>52</c:v>
                </c:pt>
                <c:pt idx="438">
                  <c:v>92</c:v>
                </c:pt>
                <c:pt idx="439">
                  <c:v>113</c:v>
                </c:pt>
                <c:pt idx="440">
                  <c:v>56</c:v>
                </c:pt>
                <c:pt idx="441">
                  <c:v>76</c:v>
                </c:pt>
                <c:pt idx="442">
                  <c:v>52</c:v>
                </c:pt>
                <c:pt idx="443">
                  <c:v>74</c:v>
                </c:pt>
                <c:pt idx="444">
                  <c:v>64</c:v>
                </c:pt>
                <c:pt idx="445">
                  <c:v>63</c:v>
                </c:pt>
                <c:pt idx="446">
                  <c:v>39</c:v>
                </c:pt>
                <c:pt idx="447">
                  <c:v>80</c:v>
                </c:pt>
                <c:pt idx="448">
                  <c:v>82</c:v>
                </c:pt>
                <c:pt idx="449">
                  <c:v>76</c:v>
                </c:pt>
                <c:pt idx="450">
                  <c:v>56</c:v>
                </c:pt>
                <c:pt idx="451">
                  <c:v>89</c:v>
                </c:pt>
                <c:pt idx="452">
                  <c:v>58</c:v>
                </c:pt>
                <c:pt idx="453">
                  <c:v>41</c:v>
                </c:pt>
                <c:pt idx="454">
                  <c:v>69</c:v>
                </c:pt>
                <c:pt idx="455">
                  <c:v>45</c:v>
                </c:pt>
                <c:pt idx="456">
                  <c:v>73</c:v>
                </c:pt>
                <c:pt idx="457">
                  <c:v>56</c:v>
                </c:pt>
                <c:pt idx="458">
                  <c:v>60</c:v>
                </c:pt>
                <c:pt idx="459">
                  <c:v>41</c:v>
                </c:pt>
                <c:pt idx="460">
                  <c:v>73</c:v>
                </c:pt>
                <c:pt idx="461">
                  <c:v>56</c:v>
                </c:pt>
                <c:pt idx="462">
                  <c:v>70</c:v>
                </c:pt>
                <c:pt idx="463">
                  <c:v>134</c:v>
                </c:pt>
                <c:pt idx="464">
                  <c:v>128</c:v>
                </c:pt>
                <c:pt idx="465">
                  <c:v>56</c:v>
                </c:pt>
                <c:pt idx="466">
                  <c:v>98</c:v>
                </c:pt>
                <c:pt idx="467">
                  <c:v>62</c:v>
                </c:pt>
                <c:pt idx="468">
                  <c:v>55</c:v>
                </c:pt>
                <c:pt idx="469">
                  <c:v>60</c:v>
                </c:pt>
                <c:pt idx="470">
                  <c:v>56</c:v>
                </c:pt>
                <c:pt idx="471">
                  <c:v>46</c:v>
                </c:pt>
                <c:pt idx="472">
                  <c:v>82</c:v>
                </c:pt>
                <c:pt idx="473">
                  <c:v>55</c:v>
                </c:pt>
                <c:pt idx="474">
                  <c:v>65</c:v>
                </c:pt>
                <c:pt idx="475">
                  <c:v>82</c:v>
                </c:pt>
                <c:pt idx="476">
                  <c:v>55</c:v>
                </c:pt>
                <c:pt idx="477">
                  <c:v>98</c:v>
                </c:pt>
                <c:pt idx="478">
                  <c:v>120</c:v>
                </c:pt>
                <c:pt idx="479">
                  <c:v>60</c:v>
                </c:pt>
                <c:pt idx="480">
                  <c:v>81</c:v>
                </c:pt>
                <c:pt idx="481">
                  <c:v>55</c:v>
                </c:pt>
                <c:pt idx="482">
                  <c:v>79</c:v>
                </c:pt>
                <c:pt idx="483">
                  <c:v>68</c:v>
                </c:pt>
                <c:pt idx="484">
                  <c:v>67</c:v>
                </c:pt>
                <c:pt idx="485">
                  <c:v>42</c:v>
                </c:pt>
                <c:pt idx="486">
                  <c:v>85</c:v>
                </c:pt>
                <c:pt idx="487">
                  <c:v>87</c:v>
                </c:pt>
                <c:pt idx="488">
                  <c:v>81</c:v>
                </c:pt>
                <c:pt idx="489">
                  <c:v>60</c:v>
                </c:pt>
                <c:pt idx="490">
                  <c:v>95</c:v>
                </c:pt>
                <c:pt idx="491">
                  <c:v>62</c:v>
                </c:pt>
                <c:pt idx="492">
                  <c:v>44</c:v>
                </c:pt>
                <c:pt idx="493">
                  <c:v>74</c:v>
                </c:pt>
                <c:pt idx="494">
                  <c:v>48</c:v>
                </c:pt>
                <c:pt idx="495">
                  <c:v>78</c:v>
                </c:pt>
                <c:pt idx="496">
                  <c:v>60</c:v>
                </c:pt>
                <c:pt idx="497">
                  <c:v>64</c:v>
                </c:pt>
                <c:pt idx="498">
                  <c:v>44</c:v>
                </c:pt>
                <c:pt idx="499">
                  <c:v>78</c:v>
                </c:pt>
                <c:pt idx="500">
                  <c:v>187</c:v>
                </c:pt>
                <c:pt idx="501">
                  <c:v>123</c:v>
                </c:pt>
                <c:pt idx="502">
                  <c:v>187</c:v>
                </c:pt>
                <c:pt idx="503">
                  <c:v>182</c:v>
                </c:pt>
                <c:pt idx="504">
                  <c:v>142</c:v>
                </c:pt>
                <c:pt idx="505">
                  <c:v>79</c:v>
                </c:pt>
                <c:pt idx="506">
                  <c:v>205</c:v>
                </c:pt>
                <c:pt idx="507">
                  <c:v>126</c:v>
                </c:pt>
                <c:pt idx="508">
                  <c:v>218</c:v>
                </c:pt>
                <c:pt idx="509">
                  <c:v>159</c:v>
                </c:pt>
                <c:pt idx="510">
                  <c:v>124</c:v>
                </c:pt>
                <c:pt idx="511">
                  <c:v>138</c:v>
                </c:pt>
                <c:pt idx="512">
                  <c:v>189</c:v>
                </c:pt>
                <c:pt idx="513">
                  <c:v>150</c:v>
                </c:pt>
                <c:pt idx="514">
                  <c:v>114</c:v>
                </c:pt>
                <c:pt idx="515">
                  <c:v>164</c:v>
                </c:pt>
                <c:pt idx="516">
                  <c:v>147</c:v>
                </c:pt>
                <c:pt idx="517">
                  <c:v>115</c:v>
                </c:pt>
                <c:pt idx="518">
                  <c:v>125</c:v>
                </c:pt>
                <c:pt idx="519">
                  <c:v>124</c:v>
                </c:pt>
                <c:pt idx="520">
                  <c:v>138</c:v>
                </c:pt>
                <c:pt idx="521">
                  <c:v>141</c:v>
                </c:pt>
                <c:pt idx="522">
                  <c:v>132</c:v>
                </c:pt>
                <c:pt idx="523">
                  <c:v>103</c:v>
                </c:pt>
                <c:pt idx="524">
                  <c:v>168</c:v>
                </c:pt>
                <c:pt idx="525">
                  <c:v>133</c:v>
                </c:pt>
                <c:pt idx="526">
                  <c:v>168</c:v>
                </c:pt>
                <c:pt idx="527">
                  <c:v>101</c:v>
                </c:pt>
                <c:pt idx="528">
                  <c:v>145</c:v>
                </c:pt>
                <c:pt idx="529">
                  <c:v>112</c:v>
                </c:pt>
                <c:pt idx="530">
                  <c:v>114</c:v>
                </c:pt>
                <c:pt idx="531">
                  <c:v>145</c:v>
                </c:pt>
                <c:pt idx="532">
                  <c:v>153</c:v>
                </c:pt>
                <c:pt idx="533">
                  <c:v>199</c:v>
                </c:pt>
                <c:pt idx="534">
                  <c:v>131</c:v>
                </c:pt>
                <c:pt idx="535">
                  <c:v>199</c:v>
                </c:pt>
                <c:pt idx="536">
                  <c:v>194</c:v>
                </c:pt>
                <c:pt idx="537">
                  <c:v>151</c:v>
                </c:pt>
                <c:pt idx="538">
                  <c:v>84</c:v>
                </c:pt>
                <c:pt idx="539">
                  <c:v>218</c:v>
                </c:pt>
                <c:pt idx="540">
                  <c:v>134</c:v>
                </c:pt>
                <c:pt idx="541">
                  <c:v>232</c:v>
                </c:pt>
                <c:pt idx="542">
                  <c:v>169</c:v>
                </c:pt>
                <c:pt idx="543">
                  <c:v>132</c:v>
                </c:pt>
                <c:pt idx="544">
                  <c:v>147</c:v>
                </c:pt>
                <c:pt idx="545">
                  <c:v>201</c:v>
                </c:pt>
                <c:pt idx="546">
                  <c:v>160</c:v>
                </c:pt>
                <c:pt idx="547">
                  <c:v>121</c:v>
                </c:pt>
                <c:pt idx="548">
                  <c:v>175</c:v>
                </c:pt>
                <c:pt idx="549">
                  <c:v>157</c:v>
                </c:pt>
                <c:pt idx="550">
                  <c:v>123</c:v>
                </c:pt>
                <c:pt idx="551">
                  <c:v>133</c:v>
                </c:pt>
                <c:pt idx="552">
                  <c:v>132</c:v>
                </c:pt>
                <c:pt idx="553">
                  <c:v>147</c:v>
                </c:pt>
                <c:pt idx="554">
                  <c:v>150</c:v>
                </c:pt>
                <c:pt idx="555">
                  <c:v>141</c:v>
                </c:pt>
                <c:pt idx="556">
                  <c:v>110</c:v>
                </c:pt>
                <c:pt idx="557">
                  <c:v>179</c:v>
                </c:pt>
                <c:pt idx="558">
                  <c:v>142</c:v>
                </c:pt>
                <c:pt idx="559">
                  <c:v>179</c:v>
                </c:pt>
                <c:pt idx="560">
                  <c:v>108</c:v>
                </c:pt>
                <c:pt idx="561">
                  <c:v>155</c:v>
                </c:pt>
                <c:pt idx="562">
                  <c:v>119</c:v>
                </c:pt>
                <c:pt idx="563">
                  <c:v>121</c:v>
                </c:pt>
                <c:pt idx="564">
                  <c:v>155</c:v>
                </c:pt>
                <c:pt idx="565">
                  <c:v>163</c:v>
                </c:pt>
                <c:pt idx="566">
                  <c:v>90</c:v>
                </c:pt>
                <c:pt idx="567">
                  <c:v>520</c:v>
                </c:pt>
                <c:pt idx="568">
                  <c:v>302</c:v>
                </c:pt>
                <c:pt idx="569">
                  <c:v>118</c:v>
                </c:pt>
                <c:pt idx="570">
                  <c:v>119</c:v>
                </c:pt>
                <c:pt idx="571">
                  <c:v>114</c:v>
                </c:pt>
                <c:pt idx="572">
                  <c:v>205</c:v>
                </c:pt>
                <c:pt idx="573">
                  <c:v>56</c:v>
                </c:pt>
                <c:pt idx="574">
                  <c:v>236</c:v>
                </c:pt>
                <c:pt idx="575">
                  <c:v>177</c:v>
                </c:pt>
                <c:pt idx="576">
                  <c:v>230</c:v>
                </c:pt>
                <c:pt idx="577">
                  <c:v>490</c:v>
                </c:pt>
                <c:pt idx="578">
                  <c:v>189</c:v>
                </c:pt>
                <c:pt idx="579">
                  <c:v>290</c:v>
                </c:pt>
                <c:pt idx="580">
                  <c:v>197</c:v>
                </c:pt>
                <c:pt idx="581">
                  <c:v>200</c:v>
                </c:pt>
                <c:pt idx="582">
                  <c:v>245</c:v>
                </c:pt>
                <c:pt idx="583">
                  <c:v>231</c:v>
                </c:pt>
                <c:pt idx="584">
                  <c:v>39</c:v>
                </c:pt>
                <c:pt idx="585">
                  <c:v>184</c:v>
                </c:pt>
                <c:pt idx="586">
                  <c:v>224</c:v>
                </c:pt>
                <c:pt idx="587">
                  <c:v>525</c:v>
                </c:pt>
                <c:pt idx="588">
                  <c:v>302</c:v>
                </c:pt>
                <c:pt idx="589">
                  <c:v>160</c:v>
                </c:pt>
                <c:pt idx="590">
                  <c:v>221</c:v>
                </c:pt>
                <c:pt idx="591">
                  <c:v>120</c:v>
                </c:pt>
                <c:pt idx="592">
                  <c:v>122</c:v>
                </c:pt>
                <c:pt idx="593">
                  <c:v>185</c:v>
                </c:pt>
                <c:pt idx="594">
                  <c:v>45</c:v>
                </c:pt>
                <c:pt idx="595">
                  <c:v>320</c:v>
                </c:pt>
                <c:pt idx="596">
                  <c:v>214</c:v>
                </c:pt>
                <c:pt idx="597">
                  <c:v>41</c:v>
                </c:pt>
                <c:pt idx="598">
                  <c:v>250</c:v>
                </c:pt>
                <c:pt idx="599">
                  <c:v>96</c:v>
                </c:pt>
                <c:pt idx="600">
                  <c:v>554</c:v>
                </c:pt>
                <c:pt idx="601">
                  <c:v>322</c:v>
                </c:pt>
                <c:pt idx="602">
                  <c:v>126</c:v>
                </c:pt>
                <c:pt idx="603">
                  <c:v>127</c:v>
                </c:pt>
                <c:pt idx="604">
                  <c:v>121</c:v>
                </c:pt>
                <c:pt idx="605">
                  <c:v>218</c:v>
                </c:pt>
                <c:pt idx="606">
                  <c:v>60</c:v>
                </c:pt>
                <c:pt idx="607">
                  <c:v>251</c:v>
                </c:pt>
                <c:pt idx="608">
                  <c:v>189</c:v>
                </c:pt>
                <c:pt idx="609">
                  <c:v>245</c:v>
                </c:pt>
                <c:pt idx="610">
                  <c:v>522</c:v>
                </c:pt>
                <c:pt idx="611">
                  <c:v>201</c:v>
                </c:pt>
                <c:pt idx="612">
                  <c:v>309</c:v>
                </c:pt>
                <c:pt idx="613">
                  <c:v>210</c:v>
                </c:pt>
                <c:pt idx="614">
                  <c:v>213</c:v>
                </c:pt>
                <c:pt idx="615">
                  <c:v>261</c:v>
                </c:pt>
                <c:pt idx="616">
                  <c:v>246</c:v>
                </c:pt>
                <c:pt idx="617">
                  <c:v>42</c:v>
                </c:pt>
                <c:pt idx="618">
                  <c:v>196</c:v>
                </c:pt>
                <c:pt idx="619">
                  <c:v>239</c:v>
                </c:pt>
                <c:pt idx="620">
                  <c:v>559</c:v>
                </c:pt>
                <c:pt idx="621">
                  <c:v>322</c:v>
                </c:pt>
                <c:pt idx="622">
                  <c:v>171</c:v>
                </c:pt>
                <c:pt idx="623">
                  <c:v>236</c:v>
                </c:pt>
                <c:pt idx="624">
                  <c:v>128</c:v>
                </c:pt>
                <c:pt idx="625">
                  <c:v>130</c:v>
                </c:pt>
                <c:pt idx="626">
                  <c:v>197</c:v>
                </c:pt>
                <c:pt idx="627">
                  <c:v>48</c:v>
                </c:pt>
                <c:pt idx="628">
                  <c:v>341</c:v>
                </c:pt>
                <c:pt idx="629">
                  <c:v>228</c:v>
                </c:pt>
                <c:pt idx="630">
                  <c:v>44</c:v>
                </c:pt>
                <c:pt idx="631">
                  <c:v>266</c:v>
                </c:pt>
                <c:pt idx="632">
                  <c:v>313</c:v>
                </c:pt>
                <c:pt idx="633">
                  <c:v>144</c:v>
                </c:pt>
                <c:pt idx="634">
                  <c:v>325</c:v>
                </c:pt>
                <c:pt idx="635">
                  <c:v>289</c:v>
                </c:pt>
                <c:pt idx="636">
                  <c:v>334</c:v>
                </c:pt>
                <c:pt idx="637">
                  <c:v>153</c:v>
                </c:pt>
                <c:pt idx="638">
                  <c:v>346</c:v>
                </c:pt>
                <c:pt idx="639">
                  <c:v>308</c:v>
                </c:pt>
                <c:pt idx="640">
                  <c:v>218</c:v>
                </c:pt>
                <c:pt idx="641">
                  <c:v>202</c:v>
                </c:pt>
                <c:pt idx="642">
                  <c:v>205</c:v>
                </c:pt>
                <c:pt idx="643">
                  <c:v>474</c:v>
                </c:pt>
                <c:pt idx="644">
                  <c:v>650</c:v>
                </c:pt>
                <c:pt idx="645">
                  <c:v>230</c:v>
                </c:pt>
                <c:pt idx="646">
                  <c:v>69</c:v>
                </c:pt>
                <c:pt idx="647">
                  <c:v>322</c:v>
                </c:pt>
                <c:pt idx="648">
                  <c:v>765</c:v>
                </c:pt>
                <c:pt idx="649">
                  <c:v>51</c:v>
                </c:pt>
                <c:pt idx="650">
                  <c:v>513</c:v>
                </c:pt>
                <c:pt idx="651">
                  <c:v>164</c:v>
                </c:pt>
                <c:pt idx="652">
                  <c:v>265</c:v>
                </c:pt>
                <c:pt idx="653">
                  <c:v>302</c:v>
                </c:pt>
                <c:pt idx="654">
                  <c:v>187</c:v>
                </c:pt>
                <c:pt idx="655">
                  <c:v>245</c:v>
                </c:pt>
                <c:pt idx="656">
                  <c:v>180</c:v>
                </c:pt>
                <c:pt idx="657">
                  <c:v>197</c:v>
                </c:pt>
                <c:pt idx="658">
                  <c:v>454</c:v>
                </c:pt>
                <c:pt idx="659">
                  <c:v>623</c:v>
                </c:pt>
                <c:pt idx="660">
                  <c:v>224</c:v>
                </c:pt>
                <c:pt idx="661">
                  <c:v>61</c:v>
                </c:pt>
                <c:pt idx="662">
                  <c:v>363</c:v>
                </c:pt>
                <c:pt idx="663">
                  <c:v>675</c:v>
                </c:pt>
                <c:pt idx="664">
                  <c:v>52</c:v>
                </c:pt>
                <c:pt idx="665">
                  <c:v>576</c:v>
                </c:pt>
                <c:pt idx="666">
                  <c:v>160</c:v>
                </c:pt>
                <c:pt idx="667">
                  <c:v>198</c:v>
                </c:pt>
                <c:pt idx="668">
                  <c:v>290</c:v>
                </c:pt>
                <c:pt idx="669">
                  <c:v>320</c:v>
                </c:pt>
                <c:pt idx="670">
                  <c:v>195</c:v>
                </c:pt>
                <c:pt idx="671">
                  <c:v>221</c:v>
                </c:pt>
                <c:pt idx="672">
                  <c:v>510</c:v>
                </c:pt>
                <c:pt idx="673">
                  <c:v>699</c:v>
                </c:pt>
                <c:pt idx="674">
                  <c:v>250</c:v>
                </c:pt>
                <c:pt idx="675">
                  <c:v>66</c:v>
                </c:pt>
                <c:pt idx="676">
                  <c:v>306</c:v>
                </c:pt>
                <c:pt idx="677">
                  <c:v>657</c:v>
                </c:pt>
                <c:pt idx="678">
                  <c:v>747</c:v>
                </c:pt>
                <c:pt idx="679">
                  <c:v>148</c:v>
                </c:pt>
                <c:pt idx="680">
                  <c:v>210</c:v>
                </c:pt>
                <c:pt idx="681">
                  <c:v>302</c:v>
                </c:pt>
                <c:pt idx="682">
                  <c:v>232</c:v>
                </c:pt>
                <c:pt idx="683">
                  <c:v>215</c:v>
                </c:pt>
                <c:pt idx="684">
                  <c:v>218</c:v>
                </c:pt>
                <c:pt idx="685">
                  <c:v>505</c:v>
                </c:pt>
                <c:pt idx="686">
                  <c:v>693</c:v>
                </c:pt>
                <c:pt idx="687">
                  <c:v>245</c:v>
                </c:pt>
                <c:pt idx="688">
                  <c:v>74</c:v>
                </c:pt>
                <c:pt idx="689">
                  <c:v>343</c:v>
                </c:pt>
                <c:pt idx="690">
                  <c:v>815</c:v>
                </c:pt>
                <c:pt idx="691">
                  <c:v>54</c:v>
                </c:pt>
                <c:pt idx="692">
                  <c:v>547</c:v>
                </c:pt>
                <c:pt idx="693">
                  <c:v>175</c:v>
                </c:pt>
                <c:pt idx="694">
                  <c:v>282</c:v>
                </c:pt>
                <c:pt idx="695">
                  <c:v>322</c:v>
                </c:pt>
                <c:pt idx="696">
                  <c:v>199</c:v>
                </c:pt>
                <c:pt idx="697">
                  <c:v>261</c:v>
                </c:pt>
                <c:pt idx="698">
                  <c:v>192</c:v>
                </c:pt>
                <c:pt idx="699">
                  <c:v>210</c:v>
                </c:pt>
                <c:pt idx="700">
                  <c:v>484</c:v>
                </c:pt>
                <c:pt idx="701">
                  <c:v>664</c:v>
                </c:pt>
                <c:pt idx="702">
                  <c:v>239</c:v>
                </c:pt>
                <c:pt idx="703">
                  <c:v>65</c:v>
                </c:pt>
                <c:pt idx="704">
                  <c:v>387</c:v>
                </c:pt>
                <c:pt idx="705">
                  <c:v>719</c:v>
                </c:pt>
                <c:pt idx="706">
                  <c:v>55</c:v>
                </c:pt>
                <c:pt idx="707">
                  <c:v>614</c:v>
                </c:pt>
                <c:pt idx="708">
                  <c:v>171</c:v>
                </c:pt>
                <c:pt idx="709">
                  <c:v>211</c:v>
                </c:pt>
                <c:pt idx="710">
                  <c:v>309</c:v>
                </c:pt>
                <c:pt idx="711">
                  <c:v>341</c:v>
                </c:pt>
                <c:pt idx="712">
                  <c:v>208</c:v>
                </c:pt>
                <c:pt idx="713">
                  <c:v>236</c:v>
                </c:pt>
                <c:pt idx="714">
                  <c:v>543</c:v>
                </c:pt>
                <c:pt idx="715">
                  <c:v>745</c:v>
                </c:pt>
                <c:pt idx="716">
                  <c:v>266</c:v>
                </c:pt>
                <c:pt idx="717">
                  <c:v>70</c:v>
                </c:pt>
                <c:pt idx="718">
                  <c:v>326</c:v>
                </c:pt>
                <c:pt idx="719">
                  <c:v>700</c:v>
                </c:pt>
                <c:pt idx="720">
                  <c:v>796</c:v>
                </c:pt>
                <c:pt idx="721">
                  <c:v>158</c:v>
                </c:pt>
                <c:pt idx="722">
                  <c:v>224</c:v>
                </c:pt>
                <c:pt idx="723">
                  <c:v>322</c:v>
                </c:pt>
                <c:pt idx="724">
                  <c:v>265</c:v>
                </c:pt>
                <c:pt idx="725">
                  <c:v>298</c:v>
                </c:pt>
                <c:pt idx="726">
                  <c:v>182</c:v>
                </c:pt>
                <c:pt idx="727">
                  <c:v>478</c:v>
                </c:pt>
                <c:pt idx="728">
                  <c:v>120</c:v>
                </c:pt>
                <c:pt idx="729">
                  <c:v>302</c:v>
                </c:pt>
                <c:pt idx="730">
                  <c:v>367</c:v>
                </c:pt>
                <c:pt idx="731">
                  <c:v>187</c:v>
                </c:pt>
                <c:pt idx="732">
                  <c:v>598</c:v>
                </c:pt>
                <c:pt idx="733">
                  <c:v>322</c:v>
                </c:pt>
                <c:pt idx="734">
                  <c:v>322</c:v>
                </c:pt>
                <c:pt idx="735">
                  <c:v>302</c:v>
                </c:pt>
                <c:pt idx="736">
                  <c:v>265</c:v>
                </c:pt>
                <c:pt idx="737">
                  <c:v>205</c:v>
                </c:pt>
                <c:pt idx="738">
                  <c:v>218</c:v>
                </c:pt>
                <c:pt idx="739">
                  <c:v>205</c:v>
                </c:pt>
                <c:pt idx="740">
                  <c:v>23</c:v>
                </c:pt>
                <c:pt idx="741">
                  <c:v>202</c:v>
                </c:pt>
                <c:pt idx="742">
                  <c:v>177</c:v>
                </c:pt>
                <c:pt idx="743">
                  <c:v>230</c:v>
                </c:pt>
                <c:pt idx="744">
                  <c:v>99</c:v>
                </c:pt>
                <c:pt idx="745">
                  <c:v>174</c:v>
                </c:pt>
                <c:pt idx="746">
                  <c:v>598</c:v>
                </c:pt>
                <c:pt idx="747">
                  <c:v>298</c:v>
                </c:pt>
                <c:pt idx="748">
                  <c:v>109</c:v>
                </c:pt>
                <c:pt idx="749">
                  <c:v>478</c:v>
                </c:pt>
                <c:pt idx="750">
                  <c:v>567</c:v>
                </c:pt>
                <c:pt idx="751">
                  <c:v>56</c:v>
                </c:pt>
                <c:pt idx="752">
                  <c:v>198</c:v>
                </c:pt>
                <c:pt idx="753">
                  <c:v>278</c:v>
                </c:pt>
                <c:pt idx="754">
                  <c:v>189</c:v>
                </c:pt>
                <c:pt idx="755">
                  <c:v>423</c:v>
                </c:pt>
                <c:pt idx="756">
                  <c:v>290</c:v>
                </c:pt>
                <c:pt idx="757">
                  <c:v>412</c:v>
                </c:pt>
                <c:pt idx="758">
                  <c:v>123</c:v>
                </c:pt>
                <c:pt idx="759">
                  <c:v>532</c:v>
                </c:pt>
                <c:pt idx="760">
                  <c:v>363</c:v>
                </c:pt>
                <c:pt idx="761">
                  <c:v>363</c:v>
                </c:pt>
                <c:pt idx="762">
                  <c:v>290</c:v>
                </c:pt>
                <c:pt idx="763">
                  <c:v>198</c:v>
                </c:pt>
                <c:pt idx="764">
                  <c:v>197</c:v>
                </c:pt>
                <c:pt idx="765">
                  <c:v>189</c:v>
                </c:pt>
                <c:pt idx="766">
                  <c:v>245</c:v>
                </c:pt>
                <c:pt idx="767">
                  <c:v>200</c:v>
                </c:pt>
                <c:pt idx="768">
                  <c:v>23</c:v>
                </c:pt>
                <c:pt idx="769">
                  <c:v>180</c:v>
                </c:pt>
                <c:pt idx="770">
                  <c:v>39</c:v>
                </c:pt>
                <c:pt idx="771">
                  <c:v>184</c:v>
                </c:pt>
                <c:pt idx="772">
                  <c:v>224</c:v>
                </c:pt>
                <c:pt idx="773">
                  <c:v>132</c:v>
                </c:pt>
                <c:pt idx="774">
                  <c:v>164</c:v>
                </c:pt>
                <c:pt idx="775">
                  <c:v>532</c:v>
                </c:pt>
                <c:pt idx="776">
                  <c:v>278</c:v>
                </c:pt>
                <c:pt idx="777">
                  <c:v>423</c:v>
                </c:pt>
                <c:pt idx="778">
                  <c:v>545</c:v>
                </c:pt>
                <c:pt idx="779">
                  <c:v>210</c:v>
                </c:pt>
                <c:pt idx="780">
                  <c:v>312</c:v>
                </c:pt>
                <c:pt idx="781">
                  <c:v>168</c:v>
                </c:pt>
                <c:pt idx="782">
                  <c:v>501</c:v>
                </c:pt>
                <c:pt idx="783">
                  <c:v>302</c:v>
                </c:pt>
                <c:pt idx="784">
                  <c:v>534</c:v>
                </c:pt>
                <c:pt idx="785">
                  <c:v>133</c:v>
                </c:pt>
                <c:pt idx="786">
                  <c:v>576</c:v>
                </c:pt>
                <c:pt idx="787">
                  <c:v>306</c:v>
                </c:pt>
                <c:pt idx="788">
                  <c:v>306</c:v>
                </c:pt>
                <c:pt idx="789">
                  <c:v>302</c:v>
                </c:pt>
                <c:pt idx="790">
                  <c:v>210</c:v>
                </c:pt>
                <c:pt idx="791">
                  <c:v>221</c:v>
                </c:pt>
                <c:pt idx="792">
                  <c:v>320</c:v>
                </c:pt>
                <c:pt idx="793">
                  <c:v>185</c:v>
                </c:pt>
                <c:pt idx="794">
                  <c:v>24</c:v>
                </c:pt>
                <c:pt idx="795">
                  <c:v>195</c:v>
                </c:pt>
                <c:pt idx="796">
                  <c:v>153</c:v>
                </c:pt>
                <c:pt idx="797">
                  <c:v>250</c:v>
                </c:pt>
                <c:pt idx="798">
                  <c:v>123</c:v>
                </c:pt>
                <c:pt idx="799">
                  <c:v>176</c:v>
                </c:pt>
                <c:pt idx="800">
                  <c:v>576</c:v>
                </c:pt>
                <c:pt idx="801">
                  <c:v>312</c:v>
                </c:pt>
                <c:pt idx="802">
                  <c:v>501</c:v>
                </c:pt>
                <c:pt idx="803">
                  <c:v>654</c:v>
                </c:pt>
                <c:pt idx="804">
                  <c:v>45</c:v>
                </c:pt>
                <c:pt idx="805">
                  <c:v>282</c:v>
                </c:pt>
                <c:pt idx="806">
                  <c:v>318</c:v>
                </c:pt>
                <c:pt idx="807">
                  <c:v>194</c:v>
                </c:pt>
                <c:pt idx="808">
                  <c:v>509</c:v>
                </c:pt>
                <c:pt idx="809">
                  <c:v>128</c:v>
                </c:pt>
                <c:pt idx="810">
                  <c:v>322</c:v>
                </c:pt>
                <c:pt idx="811">
                  <c:v>391</c:v>
                </c:pt>
                <c:pt idx="812">
                  <c:v>199</c:v>
                </c:pt>
                <c:pt idx="813">
                  <c:v>637</c:v>
                </c:pt>
                <c:pt idx="814">
                  <c:v>343</c:v>
                </c:pt>
                <c:pt idx="815">
                  <c:v>343</c:v>
                </c:pt>
                <c:pt idx="816">
                  <c:v>322</c:v>
                </c:pt>
                <c:pt idx="817">
                  <c:v>282</c:v>
                </c:pt>
                <c:pt idx="818">
                  <c:v>218</c:v>
                </c:pt>
                <c:pt idx="819">
                  <c:v>232</c:v>
                </c:pt>
                <c:pt idx="820">
                  <c:v>218</c:v>
                </c:pt>
                <c:pt idx="821">
                  <c:v>25</c:v>
                </c:pt>
                <c:pt idx="822">
                  <c:v>215</c:v>
                </c:pt>
                <c:pt idx="823">
                  <c:v>189</c:v>
                </c:pt>
                <c:pt idx="824">
                  <c:v>245</c:v>
                </c:pt>
                <c:pt idx="825">
                  <c:v>106</c:v>
                </c:pt>
                <c:pt idx="826">
                  <c:v>185</c:v>
                </c:pt>
                <c:pt idx="827">
                  <c:v>637</c:v>
                </c:pt>
                <c:pt idx="828">
                  <c:v>318</c:v>
                </c:pt>
                <c:pt idx="829">
                  <c:v>116</c:v>
                </c:pt>
                <c:pt idx="830">
                  <c:v>509</c:v>
                </c:pt>
                <c:pt idx="831">
                  <c:v>604</c:v>
                </c:pt>
                <c:pt idx="832">
                  <c:v>60</c:v>
                </c:pt>
                <c:pt idx="833">
                  <c:v>211</c:v>
                </c:pt>
                <c:pt idx="834">
                  <c:v>296</c:v>
                </c:pt>
                <c:pt idx="835">
                  <c:v>201</c:v>
                </c:pt>
                <c:pt idx="836">
                  <c:v>451</c:v>
                </c:pt>
                <c:pt idx="837">
                  <c:v>309</c:v>
                </c:pt>
                <c:pt idx="838">
                  <c:v>439</c:v>
                </c:pt>
                <c:pt idx="839">
                  <c:v>131</c:v>
                </c:pt>
                <c:pt idx="840">
                  <c:v>567</c:v>
                </c:pt>
                <c:pt idx="841">
                  <c:v>387</c:v>
                </c:pt>
                <c:pt idx="842">
                  <c:v>387</c:v>
                </c:pt>
                <c:pt idx="843">
                  <c:v>309</c:v>
                </c:pt>
                <c:pt idx="844">
                  <c:v>211</c:v>
                </c:pt>
                <c:pt idx="845">
                  <c:v>210</c:v>
                </c:pt>
                <c:pt idx="846">
                  <c:v>201</c:v>
                </c:pt>
                <c:pt idx="847">
                  <c:v>261</c:v>
                </c:pt>
                <c:pt idx="848">
                  <c:v>213</c:v>
                </c:pt>
                <c:pt idx="849">
                  <c:v>25</c:v>
                </c:pt>
                <c:pt idx="850">
                  <c:v>192</c:v>
                </c:pt>
                <c:pt idx="851">
                  <c:v>42</c:v>
                </c:pt>
                <c:pt idx="852">
                  <c:v>196</c:v>
                </c:pt>
                <c:pt idx="853">
                  <c:v>239</c:v>
                </c:pt>
                <c:pt idx="854">
                  <c:v>141</c:v>
                </c:pt>
                <c:pt idx="855">
                  <c:v>175</c:v>
                </c:pt>
                <c:pt idx="856">
                  <c:v>567</c:v>
                </c:pt>
                <c:pt idx="857">
                  <c:v>296</c:v>
                </c:pt>
                <c:pt idx="858">
                  <c:v>451</c:v>
                </c:pt>
                <c:pt idx="859">
                  <c:v>581</c:v>
                </c:pt>
                <c:pt idx="860">
                  <c:v>224</c:v>
                </c:pt>
                <c:pt idx="861">
                  <c:v>332</c:v>
                </c:pt>
                <c:pt idx="862">
                  <c:v>179</c:v>
                </c:pt>
                <c:pt idx="863">
                  <c:v>534</c:v>
                </c:pt>
                <c:pt idx="864">
                  <c:v>322</c:v>
                </c:pt>
                <c:pt idx="865">
                  <c:v>569</c:v>
                </c:pt>
                <c:pt idx="866">
                  <c:v>142</c:v>
                </c:pt>
                <c:pt idx="867">
                  <c:v>614</c:v>
                </c:pt>
                <c:pt idx="868">
                  <c:v>326</c:v>
                </c:pt>
                <c:pt idx="869">
                  <c:v>326</c:v>
                </c:pt>
                <c:pt idx="870">
                  <c:v>322</c:v>
                </c:pt>
                <c:pt idx="871">
                  <c:v>224</c:v>
                </c:pt>
                <c:pt idx="872">
                  <c:v>236</c:v>
                </c:pt>
                <c:pt idx="873">
                  <c:v>341</c:v>
                </c:pt>
                <c:pt idx="874">
                  <c:v>197</c:v>
                </c:pt>
                <c:pt idx="875">
                  <c:v>26</c:v>
                </c:pt>
                <c:pt idx="876">
                  <c:v>208</c:v>
                </c:pt>
                <c:pt idx="877">
                  <c:v>163</c:v>
                </c:pt>
                <c:pt idx="878">
                  <c:v>266</c:v>
                </c:pt>
                <c:pt idx="879">
                  <c:v>131</c:v>
                </c:pt>
                <c:pt idx="880">
                  <c:v>188</c:v>
                </c:pt>
                <c:pt idx="881">
                  <c:v>614</c:v>
                </c:pt>
                <c:pt idx="882">
                  <c:v>332</c:v>
                </c:pt>
                <c:pt idx="883">
                  <c:v>534</c:v>
                </c:pt>
                <c:pt idx="884">
                  <c:v>697</c:v>
                </c:pt>
                <c:pt idx="885">
                  <c:v>48</c:v>
                </c:pt>
                <c:pt idx="886">
                  <c:v>130</c:v>
                </c:pt>
                <c:pt idx="887">
                  <c:v>598</c:v>
                </c:pt>
                <c:pt idx="888">
                  <c:v>109</c:v>
                </c:pt>
                <c:pt idx="889">
                  <c:v>650</c:v>
                </c:pt>
                <c:pt idx="890">
                  <c:v>478</c:v>
                </c:pt>
                <c:pt idx="891">
                  <c:v>298</c:v>
                </c:pt>
                <c:pt idx="892">
                  <c:v>265</c:v>
                </c:pt>
                <c:pt idx="893">
                  <c:v>520</c:v>
                </c:pt>
                <c:pt idx="894">
                  <c:v>302</c:v>
                </c:pt>
                <c:pt idx="895">
                  <c:v>107</c:v>
                </c:pt>
                <c:pt idx="896">
                  <c:v>177</c:v>
                </c:pt>
                <c:pt idx="897">
                  <c:v>230</c:v>
                </c:pt>
                <c:pt idx="898">
                  <c:v>322</c:v>
                </c:pt>
                <c:pt idx="899">
                  <c:v>174</c:v>
                </c:pt>
                <c:pt idx="900">
                  <c:v>122</c:v>
                </c:pt>
                <c:pt idx="901">
                  <c:v>142</c:v>
                </c:pt>
                <c:pt idx="902">
                  <c:v>144</c:v>
                </c:pt>
                <c:pt idx="903">
                  <c:v>111</c:v>
                </c:pt>
                <c:pt idx="904">
                  <c:v>167</c:v>
                </c:pt>
                <c:pt idx="905">
                  <c:v>51</c:v>
                </c:pt>
                <c:pt idx="906">
                  <c:v>52</c:v>
                </c:pt>
                <c:pt idx="907">
                  <c:v>236</c:v>
                </c:pt>
                <c:pt idx="908">
                  <c:v>298</c:v>
                </c:pt>
                <c:pt idx="909">
                  <c:v>313</c:v>
                </c:pt>
                <c:pt idx="910">
                  <c:v>367</c:v>
                </c:pt>
                <c:pt idx="911">
                  <c:v>205</c:v>
                </c:pt>
                <c:pt idx="912">
                  <c:v>298</c:v>
                </c:pt>
                <c:pt idx="913">
                  <c:v>109</c:v>
                </c:pt>
                <c:pt idx="914">
                  <c:v>598</c:v>
                </c:pt>
                <c:pt idx="915">
                  <c:v>53</c:v>
                </c:pt>
                <c:pt idx="916">
                  <c:v>478</c:v>
                </c:pt>
                <c:pt idx="917">
                  <c:v>21</c:v>
                </c:pt>
                <c:pt idx="918">
                  <c:v>56</c:v>
                </c:pt>
                <c:pt idx="919">
                  <c:v>146</c:v>
                </c:pt>
                <c:pt idx="920">
                  <c:v>532</c:v>
                </c:pt>
                <c:pt idx="921">
                  <c:v>116</c:v>
                </c:pt>
                <c:pt idx="922">
                  <c:v>623</c:v>
                </c:pt>
                <c:pt idx="923">
                  <c:v>423</c:v>
                </c:pt>
                <c:pt idx="924">
                  <c:v>289</c:v>
                </c:pt>
                <c:pt idx="925">
                  <c:v>198</c:v>
                </c:pt>
                <c:pt idx="926">
                  <c:v>490</c:v>
                </c:pt>
                <c:pt idx="927">
                  <c:v>290</c:v>
                </c:pt>
                <c:pt idx="928">
                  <c:v>184</c:v>
                </c:pt>
                <c:pt idx="929">
                  <c:v>224</c:v>
                </c:pt>
                <c:pt idx="930">
                  <c:v>363</c:v>
                </c:pt>
                <c:pt idx="931">
                  <c:v>150</c:v>
                </c:pt>
                <c:pt idx="932">
                  <c:v>128</c:v>
                </c:pt>
                <c:pt idx="933">
                  <c:v>156</c:v>
                </c:pt>
                <c:pt idx="934">
                  <c:v>39</c:v>
                </c:pt>
                <c:pt idx="935">
                  <c:v>231</c:v>
                </c:pt>
                <c:pt idx="936">
                  <c:v>289</c:v>
                </c:pt>
                <c:pt idx="937">
                  <c:v>325</c:v>
                </c:pt>
                <c:pt idx="938">
                  <c:v>412</c:v>
                </c:pt>
                <c:pt idx="939">
                  <c:v>200</c:v>
                </c:pt>
                <c:pt idx="940">
                  <c:v>278</c:v>
                </c:pt>
                <c:pt idx="941">
                  <c:v>532</c:v>
                </c:pt>
                <c:pt idx="942">
                  <c:v>423</c:v>
                </c:pt>
                <c:pt idx="943">
                  <c:v>197</c:v>
                </c:pt>
                <c:pt idx="944">
                  <c:v>32</c:v>
                </c:pt>
                <c:pt idx="945">
                  <c:v>245</c:v>
                </c:pt>
                <c:pt idx="946">
                  <c:v>192</c:v>
                </c:pt>
                <c:pt idx="947">
                  <c:v>576</c:v>
                </c:pt>
                <c:pt idx="948">
                  <c:v>102</c:v>
                </c:pt>
                <c:pt idx="949">
                  <c:v>699</c:v>
                </c:pt>
                <c:pt idx="950">
                  <c:v>501</c:v>
                </c:pt>
                <c:pt idx="951">
                  <c:v>322</c:v>
                </c:pt>
                <c:pt idx="952">
                  <c:v>210</c:v>
                </c:pt>
                <c:pt idx="953">
                  <c:v>525</c:v>
                </c:pt>
                <c:pt idx="954">
                  <c:v>302</c:v>
                </c:pt>
                <c:pt idx="955">
                  <c:v>153</c:v>
                </c:pt>
                <c:pt idx="956">
                  <c:v>250</c:v>
                </c:pt>
                <c:pt idx="957">
                  <c:v>306</c:v>
                </c:pt>
                <c:pt idx="958">
                  <c:v>176</c:v>
                </c:pt>
                <c:pt idx="959">
                  <c:v>139</c:v>
                </c:pt>
                <c:pt idx="960">
                  <c:v>176</c:v>
                </c:pt>
                <c:pt idx="961">
                  <c:v>41</c:v>
                </c:pt>
                <c:pt idx="962">
                  <c:v>214</c:v>
                </c:pt>
                <c:pt idx="963">
                  <c:v>322</c:v>
                </c:pt>
                <c:pt idx="964">
                  <c:v>289</c:v>
                </c:pt>
                <c:pt idx="965">
                  <c:v>534</c:v>
                </c:pt>
                <c:pt idx="966">
                  <c:v>185</c:v>
                </c:pt>
                <c:pt idx="967">
                  <c:v>312</c:v>
                </c:pt>
                <c:pt idx="968">
                  <c:v>576</c:v>
                </c:pt>
                <c:pt idx="969">
                  <c:v>501</c:v>
                </c:pt>
                <c:pt idx="970">
                  <c:v>221</c:v>
                </c:pt>
                <c:pt idx="971">
                  <c:v>31</c:v>
                </c:pt>
                <c:pt idx="972">
                  <c:v>320</c:v>
                </c:pt>
                <c:pt idx="973">
                  <c:v>45</c:v>
                </c:pt>
                <c:pt idx="974">
                  <c:v>139</c:v>
                </c:pt>
                <c:pt idx="975">
                  <c:v>637</c:v>
                </c:pt>
                <c:pt idx="976">
                  <c:v>116</c:v>
                </c:pt>
                <c:pt idx="977">
                  <c:v>693</c:v>
                </c:pt>
                <c:pt idx="978">
                  <c:v>509</c:v>
                </c:pt>
                <c:pt idx="979">
                  <c:v>318</c:v>
                </c:pt>
                <c:pt idx="980">
                  <c:v>282</c:v>
                </c:pt>
                <c:pt idx="981">
                  <c:v>554</c:v>
                </c:pt>
                <c:pt idx="982">
                  <c:v>322</c:v>
                </c:pt>
                <c:pt idx="983">
                  <c:v>114</c:v>
                </c:pt>
                <c:pt idx="984">
                  <c:v>189</c:v>
                </c:pt>
                <c:pt idx="985">
                  <c:v>245</c:v>
                </c:pt>
                <c:pt idx="986">
                  <c:v>343</c:v>
                </c:pt>
                <c:pt idx="987">
                  <c:v>185</c:v>
                </c:pt>
                <c:pt idx="988">
                  <c:v>130</c:v>
                </c:pt>
                <c:pt idx="989">
                  <c:v>151</c:v>
                </c:pt>
                <c:pt idx="990">
                  <c:v>153</c:v>
                </c:pt>
                <c:pt idx="991">
                  <c:v>118</c:v>
                </c:pt>
                <c:pt idx="992">
                  <c:v>178</c:v>
                </c:pt>
                <c:pt idx="993">
                  <c:v>54</c:v>
                </c:pt>
                <c:pt idx="994">
                  <c:v>55</c:v>
                </c:pt>
                <c:pt idx="995">
                  <c:v>251</c:v>
                </c:pt>
                <c:pt idx="996">
                  <c:v>318</c:v>
                </c:pt>
                <c:pt idx="997">
                  <c:v>334</c:v>
                </c:pt>
                <c:pt idx="998">
                  <c:v>391</c:v>
                </c:pt>
                <c:pt idx="999">
                  <c:v>218</c:v>
                </c:pt>
                <c:pt idx="1000">
                  <c:v>318</c:v>
                </c:pt>
                <c:pt idx="1001">
                  <c:v>116</c:v>
                </c:pt>
                <c:pt idx="1002">
                  <c:v>637</c:v>
                </c:pt>
                <c:pt idx="1003">
                  <c:v>56</c:v>
                </c:pt>
                <c:pt idx="1004">
                  <c:v>509</c:v>
                </c:pt>
                <c:pt idx="1005">
                  <c:v>22</c:v>
                </c:pt>
                <c:pt idx="1006">
                  <c:v>60</c:v>
                </c:pt>
                <c:pt idx="1007">
                  <c:v>156</c:v>
                </c:pt>
                <c:pt idx="1008">
                  <c:v>567</c:v>
                </c:pt>
                <c:pt idx="1009">
                  <c:v>124</c:v>
                </c:pt>
                <c:pt idx="1010">
                  <c:v>664</c:v>
                </c:pt>
                <c:pt idx="1011">
                  <c:v>451</c:v>
                </c:pt>
                <c:pt idx="1012">
                  <c:v>308</c:v>
                </c:pt>
                <c:pt idx="1013">
                  <c:v>211</c:v>
                </c:pt>
                <c:pt idx="1014">
                  <c:v>522</c:v>
                </c:pt>
                <c:pt idx="1015">
                  <c:v>309</c:v>
                </c:pt>
                <c:pt idx="1016">
                  <c:v>196</c:v>
                </c:pt>
                <c:pt idx="1017">
                  <c:v>239</c:v>
                </c:pt>
                <c:pt idx="1018">
                  <c:v>387</c:v>
                </c:pt>
                <c:pt idx="1019">
                  <c:v>160</c:v>
                </c:pt>
                <c:pt idx="1020">
                  <c:v>136</c:v>
                </c:pt>
                <c:pt idx="1021">
                  <c:v>166</c:v>
                </c:pt>
                <c:pt idx="1022">
                  <c:v>42</c:v>
                </c:pt>
                <c:pt idx="1023">
                  <c:v>246</c:v>
                </c:pt>
                <c:pt idx="1024">
                  <c:v>308</c:v>
                </c:pt>
                <c:pt idx="1025">
                  <c:v>346</c:v>
                </c:pt>
                <c:pt idx="1026">
                  <c:v>439</c:v>
                </c:pt>
                <c:pt idx="1027">
                  <c:v>213</c:v>
                </c:pt>
                <c:pt idx="1028">
                  <c:v>296</c:v>
                </c:pt>
                <c:pt idx="1029">
                  <c:v>567</c:v>
                </c:pt>
                <c:pt idx="1030">
                  <c:v>451</c:v>
                </c:pt>
                <c:pt idx="1031">
                  <c:v>210</c:v>
                </c:pt>
                <c:pt idx="1032">
                  <c:v>34</c:v>
                </c:pt>
                <c:pt idx="1033">
                  <c:v>261</c:v>
                </c:pt>
                <c:pt idx="1034">
                  <c:v>205</c:v>
                </c:pt>
                <c:pt idx="1035">
                  <c:v>614</c:v>
                </c:pt>
                <c:pt idx="1036">
                  <c:v>109</c:v>
                </c:pt>
                <c:pt idx="1037">
                  <c:v>745</c:v>
                </c:pt>
                <c:pt idx="1038">
                  <c:v>534</c:v>
                </c:pt>
                <c:pt idx="1039">
                  <c:v>343</c:v>
                </c:pt>
                <c:pt idx="1040">
                  <c:v>224</c:v>
                </c:pt>
                <c:pt idx="1041">
                  <c:v>559</c:v>
                </c:pt>
                <c:pt idx="1042">
                  <c:v>322</c:v>
                </c:pt>
                <c:pt idx="1043">
                  <c:v>163</c:v>
                </c:pt>
                <c:pt idx="1044">
                  <c:v>266</c:v>
                </c:pt>
                <c:pt idx="1045">
                  <c:v>326</c:v>
                </c:pt>
                <c:pt idx="1046">
                  <c:v>188</c:v>
                </c:pt>
                <c:pt idx="1047">
                  <c:v>148</c:v>
                </c:pt>
                <c:pt idx="1048">
                  <c:v>188</c:v>
                </c:pt>
                <c:pt idx="1049">
                  <c:v>44</c:v>
                </c:pt>
                <c:pt idx="1050">
                  <c:v>228</c:v>
                </c:pt>
                <c:pt idx="1051">
                  <c:v>343</c:v>
                </c:pt>
                <c:pt idx="1052">
                  <c:v>308</c:v>
                </c:pt>
                <c:pt idx="1053">
                  <c:v>569</c:v>
                </c:pt>
                <c:pt idx="1054">
                  <c:v>197</c:v>
                </c:pt>
                <c:pt idx="1055">
                  <c:v>332</c:v>
                </c:pt>
                <c:pt idx="1056">
                  <c:v>614</c:v>
                </c:pt>
                <c:pt idx="1057">
                  <c:v>534</c:v>
                </c:pt>
                <c:pt idx="1058">
                  <c:v>236</c:v>
                </c:pt>
                <c:pt idx="1059">
                  <c:v>33</c:v>
                </c:pt>
                <c:pt idx="1060">
                  <c:v>341</c:v>
                </c:pt>
                <c:pt idx="1061">
                  <c:v>48</c:v>
                </c:pt>
              </c:numCache>
            </c:numRef>
          </c:yVal>
          <c:smooth val="0"/>
          <c:extLst>
            <c:ext xmlns:c16="http://schemas.microsoft.com/office/drawing/2014/chart" uri="{C3380CC4-5D6E-409C-BE32-E72D297353CC}">
              <c16:uniqueId val="{00000000-C789-4866-8CC5-E77544B952E9}"/>
            </c:ext>
          </c:extLst>
        </c:ser>
        <c:dLbls>
          <c:showLegendKey val="0"/>
          <c:showVal val="0"/>
          <c:showCatName val="0"/>
          <c:showSerName val="0"/>
          <c:showPercent val="0"/>
          <c:showBubbleSize val="0"/>
        </c:dLbls>
        <c:axId val="2135171152"/>
        <c:axId val="2135184592"/>
      </c:scatterChart>
      <c:valAx>
        <c:axId val="213517115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184592"/>
        <c:crosses val="autoZero"/>
        <c:crossBetween val="midCat"/>
      </c:valAx>
      <c:valAx>
        <c:axId val="213518459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1711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8.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5</xdr:col>
      <xdr:colOff>312420</xdr:colOff>
      <xdr:row>4</xdr:row>
      <xdr:rowOff>152400</xdr:rowOff>
    </xdr:from>
    <xdr:to>
      <xdr:col>8</xdr:col>
      <xdr:colOff>312420</xdr:colOff>
      <xdr:row>17</xdr:row>
      <xdr:rowOff>158115</xdr:rowOff>
    </xdr:to>
    <mc:AlternateContent xmlns:mc="http://schemas.openxmlformats.org/markup-compatibility/2006" xmlns:a14="http://schemas.microsoft.com/office/drawing/2010/main">
      <mc:Choice Requires="a14">
        <xdr:graphicFrame macro="">
          <xdr:nvGraphicFramePr>
            <xdr:cNvPr id="2" name="Regional Performance 2">
              <a:extLst>
                <a:ext uri="{FF2B5EF4-FFF2-40B4-BE49-F238E27FC236}">
                  <a16:creationId xmlns:a16="http://schemas.microsoft.com/office/drawing/2014/main" id="{3E44C639-EACF-45B7-B6FC-5D05EA719D8D}"/>
                </a:ext>
              </a:extLst>
            </xdr:cNvPr>
            <xdr:cNvGraphicFramePr/>
          </xdr:nvGraphicFramePr>
          <xdr:xfrm>
            <a:off x="0" y="0"/>
            <a:ext cx="0" cy="0"/>
          </xdr:xfrm>
          <a:graphic>
            <a:graphicData uri="http://schemas.microsoft.com/office/drawing/2010/slicer">
              <sle:slicer xmlns:sle="http://schemas.microsoft.com/office/drawing/2010/slicer" name="Regional Performance 2"/>
            </a:graphicData>
          </a:graphic>
        </xdr:graphicFrame>
      </mc:Choice>
      <mc:Fallback xmlns="">
        <xdr:sp macro="" textlink="">
          <xdr:nvSpPr>
            <xdr:cNvPr id="0" name=""/>
            <xdr:cNvSpPr>
              <a:spLocks noTextEdit="1"/>
            </xdr:cNvSpPr>
          </xdr:nvSpPr>
          <xdr:spPr>
            <a:xfrm>
              <a:off x="6118860" y="1013460"/>
              <a:ext cx="1828800" cy="2383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182880</xdr:colOff>
      <xdr:row>7</xdr:row>
      <xdr:rowOff>83820</xdr:rowOff>
    </xdr:from>
    <xdr:to>
      <xdr:col>9</xdr:col>
      <xdr:colOff>182880</xdr:colOff>
      <xdr:row>19</xdr:row>
      <xdr:rowOff>142875</xdr:rowOff>
    </xdr:to>
    <mc:AlternateContent xmlns:mc="http://schemas.openxmlformats.org/markup-compatibility/2006" xmlns:a14="http://schemas.microsoft.com/office/drawing/2010/main">
      <mc:Choice Requires="a14">
        <xdr:graphicFrame macro="">
          <xdr:nvGraphicFramePr>
            <xdr:cNvPr id="3" name="Sales_Revenue">
              <a:extLst>
                <a:ext uri="{FF2B5EF4-FFF2-40B4-BE49-F238E27FC236}">
                  <a16:creationId xmlns:a16="http://schemas.microsoft.com/office/drawing/2014/main" id="{954C7632-3AEA-4FFC-A46F-37892FBFA04F}"/>
                </a:ext>
              </a:extLst>
            </xdr:cNvPr>
            <xdr:cNvGraphicFramePr/>
          </xdr:nvGraphicFramePr>
          <xdr:xfrm>
            <a:off x="0" y="0"/>
            <a:ext cx="0" cy="0"/>
          </xdr:xfrm>
          <a:graphic>
            <a:graphicData uri="http://schemas.microsoft.com/office/drawing/2010/slicer">
              <sle:slicer xmlns:sle="http://schemas.microsoft.com/office/drawing/2010/slicer" name="Sales_Revenue"/>
            </a:graphicData>
          </a:graphic>
        </xdr:graphicFrame>
      </mc:Choice>
      <mc:Fallback xmlns="">
        <xdr:sp macro="" textlink="">
          <xdr:nvSpPr>
            <xdr:cNvPr id="0" name=""/>
            <xdr:cNvSpPr>
              <a:spLocks noTextEdit="1"/>
            </xdr:cNvSpPr>
          </xdr:nvSpPr>
          <xdr:spPr>
            <a:xfrm>
              <a:off x="6598920" y="1493520"/>
              <a:ext cx="1828800" cy="2253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266700</xdr:colOff>
      <xdr:row>11</xdr:row>
      <xdr:rowOff>7620</xdr:rowOff>
    </xdr:from>
    <xdr:to>
      <xdr:col>3</xdr:col>
      <xdr:colOff>1318260</xdr:colOff>
      <xdr:row>18</xdr:row>
      <xdr:rowOff>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26848FA4-2498-4BD9-8522-2CF040D8E448}"/>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876300" y="2148840"/>
              <a:ext cx="3337560" cy="12725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815340</xdr:colOff>
      <xdr:row>3</xdr:row>
      <xdr:rowOff>144780</xdr:rowOff>
    </xdr:from>
    <xdr:to>
      <xdr:col>14</xdr:col>
      <xdr:colOff>571500</xdr:colOff>
      <xdr:row>17</xdr:row>
      <xdr:rowOff>51435</xdr:rowOff>
    </xdr:to>
    <mc:AlternateContent xmlns:mc="http://schemas.openxmlformats.org/markup-compatibility/2006" xmlns:a14="http://schemas.microsoft.com/office/drawing/2010/main">
      <mc:Choice Requires="a14">
        <xdr:graphicFrame macro="">
          <xdr:nvGraphicFramePr>
            <xdr:cNvPr id="5" name="Product Type">
              <a:extLst>
                <a:ext uri="{FF2B5EF4-FFF2-40B4-BE49-F238E27FC236}">
                  <a16:creationId xmlns:a16="http://schemas.microsoft.com/office/drawing/2014/main" id="{38554BE1-B615-4AFE-90A9-5F7EDD343909}"/>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2161520" y="822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1912620</xdr:colOff>
      <xdr:row>4</xdr:row>
      <xdr:rowOff>100965</xdr:rowOff>
    </xdr:from>
    <xdr:to>
      <xdr:col>15</xdr:col>
      <xdr:colOff>0</xdr:colOff>
      <xdr:row>17</xdr:row>
      <xdr:rowOff>22860</xdr:rowOff>
    </xdr:to>
    <mc:AlternateContent xmlns:mc="http://schemas.openxmlformats.org/markup-compatibility/2006" xmlns:a14="http://schemas.microsoft.com/office/drawing/2010/main">
      <mc:Choice Requires="a14">
        <xdr:graphicFrame macro="">
          <xdr:nvGraphicFramePr>
            <xdr:cNvPr id="6" name="Profit">
              <a:extLst>
                <a:ext uri="{FF2B5EF4-FFF2-40B4-BE49-F238E27FC236}">
                  <a16:creationId xmlns:a16="http://schemas.microsoft.com/office/drawing/2014/main" id="{F4ADF4E0-C636-42F3-9D49-31DA73D33109}"/>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3258800" y="962025"/>
              <a:ext cx="1828800" cy="2299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441960</xdr:colOff>
      <xdr:row>24</xdr:row>
      <xdr:rowOff>7620</xdr:rowOff>
    </xdr:from>
    <xdr:to>
      <xdr:col>15</xdr:col>
      <xdr:colOff>601980</xdr:colOff>
      <xdr:row>36</xdr:row>
      <xdr:rowOff>20955</xdr:rowOff>
    </xdr:to>
    <mc:AlternateContent xmlns:mc="http://schemas.openxmlformats.org/markup-compatibility/2006" xmlns:a14="http://schemas.microsoft.com/office/drawing/2010/main">
      <mc:Choice Requires="a14">
        <xdr:graphicFrame macro="">
          <xdr:nvGraphicFramePr>
            <xdr:cNvPr id="7" name="Marketing">
              <a:extLst>
                <a:ext uri="{FF2B5EF4-FFF2-40B4-BE49-F238E27FC236}">
                  <a16:creationId xmlns:a16="http://schemas.microsoft.com/office/drawing/2014/main" id="{482EEE9F-6BA4-4DA6-8CAF-CB25FFDB08FF}"/>
                </a:ext>
              </a:extLst>
            </xdr:cNvPr>
            <xdr:cNvGraphicFramePr/>
          </xdr:nvGraphicFramePr>
          <xdr:xfrm>
            <a:off x="0" y="0"/>
            <a:ext cx="0" cy="0"/>
          </xdr:xfrm>
          <a:graphic>
            <a:graphicData uri="http://schemas.microsoft.com/office/drawing/2010/slicer">
              <sle:slicer xmlns:sle="http://schemas.microsoft.com/office/drawing/2010/slicer" name="Marketing"/>
            </a:graphicData>
          </a:graphic>
        </xdr:graphicFrame>
      </mc:Choice>
      <mc:Fallback xmlns="">
        <xdr:sp macro="" textlink="">
          <xdr:nvSpPr>
            <xdr:cNvPr id="0" name=""/>
            <xdr:cNvSpPr>
              <a:spLocks noTextEdit="1"/>
            </xdr:cNvSpPr>
          </xdr:nvSpPr>
          <xdr:spPr>
            <a:xfrm>
              <a:off x="13860780" y="4655820"/>
              <a:ext cx="1828800" cy="2207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312420</xdr:colOff>
      <xdr:row>25</xdr:row>
      <xdr:rowOff>121920</xdr:rowOff>
    </xdr:from>
    <xdr:to>
      <xdr:col>18</xdr:col>
      <xdr:colOff>312420</xdr:colOff>
      <xdr:row>37</xdr:row>
      <xdr:rowOff>51435</xdr:rowOff>
    </xdr:to>
    <mc:AlternateContent xmlns:mc="http://schemas.openxmlformats.org/markup-compatibility/2006" xmlns:a14="http://schemas.microsoft.com/office/drawing/2010/main">
      <mc:Choice Requires="a14">
        <xdr:graphicFrame macro="">
          <xdr:nvGraphicFramePr>
            <xdr:cNvPr id="8" name="Product Type 2">
              <a:extLst>
                <a:ext uri="{FF2B5EF4-FFF2-40B4-BE49-F238E27FC236}">
                  <a16:creationId xmlns:a16="http://schemas.microsoft.com/office/drawing/2014/main" id="{E01E05B3-6361-4EA3-AEF4-6D68C275629B}"/>
                </a:ext>
              </a:extLst>
            </xdr:cNvPr>
            <xdr:cNvGraphicFramePr/>
          </xdr:nvGraphicFramePr>
          <xdr:xfrm>
            <a:off x="0" y="0"/>
            <a:ext cx="0" cy="0"/>
          </xdr:xfrm>
          <a:graphic>
            <a:graphicData uri="http://schemas.microsoft.com/office/drawing/2010/slicer">
              <sle:slicer xmlns:sle="http://schemas.microsoft.com/office/drawing/2010/slicer" name="Product Type 2"/>
            </a:graphicData>
          </a:graphic>
        </xdr:graphicFrame>
      </mc:Choice>
      <mc:Fallback xmlns="">
        <xdr:sp macro="" textlink="">
          <xdr:nvSpPr>
            <xdr:cNvPr id="0" name=""/>
            <xdr:cNvSpPr>
              <a:spLocks noTextEdit="1"/>
            </xdr:cNvSpPr>
          </xdr:nvSpPr>
          <xdr:spPr>
            <a:xfrm>
              <a:off x="15400020" y="4953000"/>
              <a:ext cx="1828800" cy="2124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502920</xdr:colOff>
      <xdr:row>23</xdr:row>
      <xdr:rowOff>0</xdr:rowOff>
    </xdr:from>
    <xdr:to>
      <xdr:col>8</xdr:col>
      <xdr:colOff>502920</xdr:colOff>
      <xdr:row>35</xdr:row>
      <xdr:rowOff>13335</xdr:rowOff>
    </xdr:to>
    <mc:AlternateContent xmlns:mc="http://schemas.openxmlformats.org/markup-compatibility/2006" xmlns:a14="http://schemas.microsoft.com/office/drawing/2010/main">
      <mc:Choice Requires="a14">
        <xdr:graphicFrame macro="">
          <xdr:nvGraphicFramePr>
            <xdr:cNvPr id="9" name="Product Type 1">
              <a:extLst>
                <a:ext uri="{FF2B5EF4-FFF2-40B4-BE49-F238E27FC236}">
                  <a16:creationId xmlns:a16="http://schemas.microsoft.com/office/drawing/2014/main" id="{86290438-F9FB-499A-AAC9-2ADB5DED1BB1}"/>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6309360" y="4465320"/>
              <a:ext cx="1828800" cy="2207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144780</xdr:colOff>
      <xdr:row>24</xdr:row>
      <xdr:rowOff>160020</xdr:rowOff>
    </xdr:from>
    <xdr:to>
      <xdr:col>10</xdr:col>
      <xdr:colOff>144780</xdr:colOff>
      <xdr:row>36</xdr:row>
      <xdr:rowOff>173355</xdr:rowOff>
    </xdr:to>
    <mc:AlternateContent xmlns:mc="http://schemas.openxmlformats.org/markup-compatibility/2006" xmlns:a14="http://schemas.microsoft.com/office/drawing/2010/main">
      <mc:Choice Requires="a14">
        <xdr:graphicFrame macro="">
          <xdr:nvGraphicFramePr>
            <xdr:cNvPr id="10" name="Sales">
              <a:extLst>
                <a:ext uri="{FF2B5EF4-FFF2-40B4-BE49-F238E27FC236}">
                  <a16:creationId xmlns:a16="http://schemas.microsoft.com/office/drawing/2014/main" id="{BEB6CC66-A2CA-4DD1-BC8C-403136155316}"/>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7170420" y="4808220"/>
              <a:ext cx="1828800" cy="2207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251460</xdr:colOff>
      <xdr:row>46</xdr:row>
      <xdr:rowOff>114300</xdr:rowOff>
    </xdr:from>
    <xdr:to>
      <xdr:col>18</xdr:col>
      <xdr:colOff>251460</xdr:colOff>
      <xdr:row>60</xdr:row>
      <xdr:rowOff>20955</xdr:rowOff>
    </xdr:to>
    <mc:AlternateContent xmlns:mc="http://schemas.openxmlformats.org/markup-compatibility/2006" xmlns:a14="http://schemas.microsoft.com/office/drawing/2010/main">
      <mc:Choice Requires="a14">
        <xdr:graphicFrame macro="">
          <xdr:nvGraphicFramePr>
            <xdr:cNvPr id="12" name="Varience">
              <a:extLst>
                <a:ext uri="{FF2B5EF4-FFF2-40B4-BE49-F238E27FC236}">
                  <a16:creationId xmlns:a16="http://schemas.microsoft.com/office/drawing/2014/main" id="{F954F851-0964-43A8-9931-F0D6468AFDE2}"/>
                </a:ext>
              </a:extLst>
            </xdr:cNvPr>
            <xdr:cNvGraphicFramePr/>
          </xdr:nvGraphicFramePr>
          <xdr:xfrm>
            <a:off x="0" y="0"/>
            <a:ext cx="0" cy="0"/>
          </xdr:xfrm>
          <a:graphic>
            <a:graphicData uri="http://schemas.microsoft.com/office/drawing/2010/slicer">
              <sle:slicer xmlns:sle="http://schemas.microsoft.com/office/drawing/2010/slicer" name="Varience"/>
            </a:graphicData>
          </a:graphic>
        </xdr:graphicFrame>
      </mc:Choice>
      <mc:Fallback xmlns="">
        <xdr:sp macro="" textlink="">
          <xdr:nvSpPr>
            <xdr:cNvPr id="0" name=""/>
            <xdr:cNvSpPr>
              <a:spLocks noTextEdit="1"/>
            </xdr:cNvSpPr>
          </xdr:nvSpPr>
          <xdr:spPr>
            <a:xfrm>
              <a:off x="15339060" y="8915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243840</xdr:colOff>
      <xdr:row>44</xdr:row>
      <xdr:rowOff>93345</xdr:rowOff>
    </xdr:from>
    <xdr:to>
      <xdr:col>6</xdr:col>
      <xdr:colOff>60960</xdr:colOff>
      <xdr:row>58</xdr:row>
      <xdr:rowOff>0</xdr:rowOff>
    </xdr:to>
    <mc:AlternateContent xmlns:mc="http://schemas.openxmlformats.org/markup-compatibility/2006" xmlns:a14="http://schemas.microsoft.com/office/drawing/2010/main">
      <mc:Choice Requires="a14">
        <xdr:graphicFrame macro="">
          <xdr:nvGraphicFramePr>
            <xdr:cNvPr id="13" name="Product Type 4">
              <a:extLst>
                <a:ext uri="{FF2B5EF4-FFF2-40B4-BE49-F238E27FC236}">
                  <a16:creationId xmlns:a16="http://schemas.microsoft.com/office/drawing/2014/main" id="{F1170B3E-CCE4-4F0C-8EA2-A64DA406A91F}"/>
                </a:ext>
              </a:extLst>
            </xdr:cNvPr>
            <xdr:cNvGraphicFramePr/>
          </xdr:nvGraphicFramePr>
          <xdr:xfrm>
            <a:off x="0" y="0"/>
            <a:ext cx="0" cy="0"/>
          </xdr:xfrm>
          <a:graphic>
            <a:graphicData uri="http://schemas.microsoft.com/office/drawing/2010/slicer">
              <sle:slicer xmlns:sle="http://schemas.microsoft.com/office/drawing/2010/slicer" name="Product Type 4"/>
            </a:graphicData>
          </a:graphic>
        </xdr:graphicFrame>
      </mc:Choice>
      <mc:Fallback xmlns="">
        <xdr:sp macro="" textlink="">
          <xdr:nvSpPr>
            <xdr:cNvPr id="0" name=""/>
            <xdr:cNvSpPr>
              <a:spLocks noTextEdit="1"/>
            </xdr:cNvSpPr>
          </xdr:nvSpPr>
          <xdr:spPr>
            <a:xfrm>
              <a:off x="4648200" y="85286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792480</xdr:colOff>
      <xdr:row>51</xdr:row>
      <xdr:rowOff>0</xdr:rowOff>
    </xdr:from>
    <xdr:to>
      <xdr:col>7</xdr:col>
      <xdr:colOff>0</xdr:colOff>
      <xdr:row>64</xdr:row>
      <xdr:rowOff>89535</xdr:rowOff>
    </xdr:to>
    <mc:AlternateContent xmlns:mc="http://schemas.openxmlformats.org/markup-compatibility/2006" xmlns:a14="http://schemas.microsoft.com/office/drawing/2010/main">
      <mc:Choice Requires="a14">
        <xdr:graphicFrame macro="">
          <xdr:nvGraphicFramePr>
            <xdr:cNvPr id="14" name="Sales_Revenue 1">
              <a:extLst>
                <a:ext uri="{FF2B5EF4-FFF2-40B4-BE49-F238E27FC236}">
                  <a16:creationId xmlns:a16="http://schemas.microsoft.com/office/drawing/2014/main" id="{3E1A3ED3-B6E7-4FD7-8643-AFC34BE8185E}"/>
                </a:ext>
              </a:extLst>
            </xdr:cNvPr>
            <xdr:cNvGraphicFramePr/>
          </xdr:nvGraphicFramePr>
          <xdr:xfrm>
            <a:off x="0" y="0"/>
            <a:ext cx="0" cy="0"/>
          </xdr:xfrm>
          <a:graphic>
            <a:graphicData uri="http://schemas.microsoft.com/office/drawing/2010/slicer">
              <sle:slicer xmlns:sle="http://schemas.microsoft.com/office/drawing/2010/slicer" name="Sales_Revenue 1"/>
            </a:graphicData>
          </a:graphic>
        </xdr:graphicFrame>
      </mc:Choice>
      <mc:Fallback xmlns="">
        <xdr:sp macro="" textlink="">
          <xdr:nvSpPr>
            <xdr:cNvPr id="0" name=""/>
            <xdr:cNvSpPr>
              <a:spLocks noTextEdit="1"/>
            </xdr:cNvSpPr>
          </xdr:nvSpPr>
          <xdr:spPr>
            <a:xfrm>
              <a:off x="5196840" y="9715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304800</xdr:colOff>
      <xdr:row>17</xdr:row>
      <xdr:rowOff>0</xdr:rowOff>
    </xdr:to>
    <xdr:graphicFrame macro="">
      <xdr:nvGraphicFramePr>
        <xdr:cNvPr id="2" name="Chart 1">
          <a:extLst>
            <a:ext uri="{FF2B5EF4-FFF2-40B4-BE49-F238E27FC236}">
              <a16:creationId xmlns:a16="http://schemas.microsoft.com/office/drawing/2014/main" id="{DC19E9FD-C9EC-47D4-9A40-1E3C59D7B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365760</xdr:colOff>
      <xdr:row>2</xdr:row>
      <xdr:rowOff>15240</xdr:rowOff>
    </xdr:from>
    <xdr:to>
      <xdr:col>18</xdr:col>
      <xdr:colOff>60960</xdr:colOff>
      <xdr:row>17</xdr:row>
      <xdr:rowOff>15240</xdr:rowOff>
    </xdr:to>
    <xdr:graphicFrame macro="">
      <xdr:nvGraphicFramePr>
        <xdr:cNvPr id="3" name="Chart 2">
          <a:extLst>
            <a:ext uri="{FF2B5EF4-FFF2-40B4-BE49-F238E27FC236}">
              <a16:creationId xmlns:a16="http://schemas.microsoft.com/office/drawing/2014/main" id="{0B952A36-E7F6-43F1-94C1-2F4F50C3E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175260</xdr:rowOff>
    </xdr:from>
    <xdr:to>
      <xdr:col>7</xdr:col>
      <xdr:colOff>304800</xdr:colOff>
      <xdr:row>35</xdr:row>
      <xdr:rowOff>175260</xdr:rowOff>
    </xdr:to>
    <xdr:graphicFrame macro="">
      <xdr:nvGraphicFramePr>
        <xdr:cNvPr id="4" name="Chart 3">
          <a:extLst>
            <a:ext uri="{FF2B5EF4-FFF2-40B4-BE49-F238E27FC236}">
              <a16:creationId xmlns:a16="http://schemas.microsoft.com/office/drawing/2014/main" id="{2373AB0A-D7B5-4CC4-BA4F-DC34B9648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21</xdr:row>
      <xdr:rowOff>0</xdr:rowOff>
    </xdr:from>
    <xdr:to>
      <xdr:col>17</xdr:col>
      <xdr:colOff>304800</xdr:colOff>
      <xdr:row>36</xdr:row>
      <xdr:rowOff>0</xdr:rowOff>
    </xdr:to>
    <xdr:graphicFrame macro="">
      <xdr:nvGraphicFramePr>
        <xdr:cNvPr id="5" name="Chart 4">
          <a:extLst>
            <a:ext uri="{FF2B5EF4-FFF2-40B4-BE49-F238E27FC236}">
              <a16:creationId xmlns:a16="http://schemas.microsoft.com/office/drawing/2014/main" id="{838FA25D-A2F2-4258-A57F-F3065FFAB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40</xdr:row>
      <xdr:rowOff>0</xdr:rowOff>
    </xdr:from>
    <xdr:to>
      <xdr:col>7</xdr:col>
      <xdr:colOff>304800</xdr:colOff>
      <xdr:row>55</xdr:row>
      <xdr:rowOff>0</xdr:rowOff>
    </xdr:to>
    <xdr:graphicFrame macro="">
      <xdr:nvGraphicFramePr>
        <xdr:cNvPr id="6" name="Chart 5">
          <a:extLst>
            <a:ext uri="{FF2B5EF4-FFF2-40B4-BE49-F238E27FC236}">
              <a16:creationId xmlns:a16="http://schemas.microsoft.com/office/drawing/2014/main" id="{DA33D433-4153-46AD-9062-971813414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40</xdr:row>
      <xdr:rowOff>0</xdr:rowOff>
    </xdr:from>
    <xdr:to>
      <xdr:col>17</xdr:col>
      <xdr:colOff>304800</xdr:colOff>
      <xdr:row>55</xdr:row>
      <xdr:rowOff>0</xdr:rowOff>
    </xdr:to>
    <xdr:graphicFrame macro="">
      <xdr:nvGraphicFramePr>
        <xdr:cNvPr id="7" name="Chart 6">
          <a:extLst>
            <a:ext uri="{FF2B5EF4-FFF2-40B4-BE49-F238E27FC236}">
              <a16:creationId xmlns:a16="http://schemas.microsoft.com/office/drawing/2014/main" id="{6FDDDA49-9F41-4BCA-9F8A-88C751AE0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228600</xdr:colOff>
      <xdr:row>0</xdr:row>
      <xdr:rowOff>190500</xdr:rowOff>
    </xdr:from>
    <xdr:to>
      <xdr:col>17</xdr:col>
      <xdr:colOff>365760</xdr:colOff>
      <xdr:row>16</xdr:row>
      <xdr:rowOff>105308</xdr:rowOff>
    </xdr:to>
    <xdr:graphicFrame macro="">
      <xdr:nvGraphicFramePr>
        <xdr:cNvPr id="2" name="Chart 1">
          <a:extLst>
            <a:ext uri="{FF2B5EF4-FFF2-40B4-BE49-F238E27FC236}">
              <a16:creationId xmlns:a16="http://schemas.microsoft.com/office/drawing/2014/main" id="{801B9D30-852F-4A93-8073-E1D9AD3BA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182880</xdr:colOff>
      <xdr:row>18</xdr:row>
      <xdr:rowOff>22860</xdr:rowOff>
    </xdr:from>
    <xdr:to>
      <xdr:col>16</xdr:col>
      <xdr:colOff>434340</xdr:colOff>
      <xdr:row>33</xdr:row>
      <xdr:rowOff>22860</xdr:rowOff>
    </xdr:to>
    <xdr:graphicFrame macro="">
      <xdr:nvGraphicFramePr>
        <xdr:cNvPr id="3" name="Chart 2">
          <a:extLst>
            <a:ext uri="{FF2B5EF4-FFF2-40B4-BE49-F238E27FC236}">
              <a16:creationId xmlns:a16="http://schemas.microsoft.com/office/drawing/2014/main" id="{11FF8D3B-80B8-4EB1-A211-EC5CFEB33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68580</xdr:colOff>
      <xdr:row>41</xdr:row>
      <xdr:rowOff>53340</xdr:rowOff>
    </xdr:from>
    <xdr:to>
      <xdr:col>16</xdr:col>
      <xdr:colOff>129540</xdr:colOff>
      <xdr:row>56</xdr:row>
      <xdr:rowOff>53340</xdr:rowOff>
    </xdr:to>
    <xdr:graphicFrame macro="">
      <xdr:nvGraphicFramePr>
        <xdr:cNvPr id="4" name="Chart 3">
          <a:extLst>
            <a:ext uri="{FF2B5EF4-FFF2-40B4-BE49-F238E27FC236}">
              <a16:creationId xmlns:a16="http://schemas.microsoft.com/office/drawing/2014/main" id="{763C166E-D9B4-4F6D-A770-344069540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60960</xdr:colOff>
      <xdr:row>21</xdr:row>
      <xdr:rowOff>11430</xdr:rowOff>
    </xdr:from>
    <xdr:to>
      <xdr:col>18</xdr:col>
      <xdr:colOff>556260</xdr:colOff>
      <xdr:row>36</xdr:row>
      <xdr:rowOff>11430</xdr:rowOff>
    </xdr:to>
    <xdr:graphicFrame macro="">
      <xdr:nvGraphicFramePr>
        <xdr:cNvPr id="2" name="Chart 1">
          <a:extLst>
            <a:ext uri="{FF2B5EF4-FFF2-40B4-BE49-F238E27FC236}">
              <a16:creationId xmlns:a16="http://schemas.microsoft.com/office/drawing/2014/main" id="{40FD9002-94C6-49DF-9C83-4DB1A12AB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251460</xdr:colOff>
      <xdr:row>52</xdr:row>
      <xdr:rowOff>34290</xdr:rowOff>
    </xdr:from>
    <xdr:to>
      <xdr:col>12</xdr:col>
      <xdr:colOff>1165860</xdr:colOff>
      <xdr:row>67</xdr:row>
      <xdr:rowOff>34290</xdr:rowOff>
    </xdr:to>
    <xdr:graphicFrame macro="">
      <xdr:nvGraphicFramePr>
        <xdr:cNvPr id="2" name="Chart 1">
          <a:extLst>
            <a:ext uri="{FF2B5EF4-FFF2-40B4-BE49-F238E27FC236}">
              <a16:creationId xmlns:a16="http://schemas.microsoft.com/office/drawing/2014/main" id="{9EA5B4E5-5762-092C-CADE-B2EA5AD90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487680</xdr:colOff>
      <xdr:row>9</xdr:row>
      <xdr:rowOff>152400</xdr:rowOff>
    </xdr:from>
    <xdr:to>
      <xdr:col>17</xdr:col>
      <xdr:colOff>129540</xdr:colOff>
      <xdr:row>24</xdr:row>
      <xdr:rowOff>152400</xdr:rowOff>
    </xdr:to>
    <xdr:graphicFrame macro="">
      <xdr:nvGraphicFramePr>
        <xdr:cNvPr id="2" name="Chart 1">
          <a:extLst>
            <a:ext uri="{FF2B5EF4-FFF2-40B4-BE49-F238E27FC236}">
              <a16:creationId xmlns:a16="http://schemas.microsoft.com/office/drawing/2014/main" id="{504E8829-94C7-4005-A52D-07D36BDB8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502920</xdr:colOff>
      <xdr:row>0</xdr:row>
      <xdr:rowOff>213360</xdr:rowOff>
    </xdr:from>
    <xdr:to>
      <xdr:col>20</xdr:col>
      <xdr:colOff>502920</xdr:colOff>
      <xdr:row>14</xdr:row>
      <xdr:rowOff>89535</xdr:rowOff>
    </xdr:to>
    <mc:AlternateContent xmlns:mc="http://schemas.openxmlformats.org/markup-compatibility/2006" xmlns:a14="http://schemas.microsoft.com/office/drawing/2010/main">
      <mc:Choice Requires="a14">
        <xdr:graphicFrame macro="">
          <xdr:nvGraphicFramePr>
            <xdr:cNvPr id="3" name="Profit 1">
              <a:extLst>
                <a:ext uri="{FF2B5EF4-FFF2-40B4-BE49-F238E27FC236}">
                  <a16:creationId xmlns:a16="http://schemas.microsoft.com/office/drawing/2014/main" id="{AD0D9A42-CFF6-4504-8DAB-DA6242B04212}"/>
                </a:ext>
              </a:extLst>
            </xdr:cNvPr>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mlns="">
        <xdr:sp macro="" textlink="">
          <xdr:nvSpPr>
            <xdr:cNvPr id="0" name=""/>
            <xdr:cNvSpPr>
              <a:spLocks noTextEdit="1"/>
            </xdr:cNvSpPr>
          </xdr:nvSpPr>
          <xdr:spPr>
            <a:xfrm>
              <a:off x="10866120" y="213360"/>
              <a:ext cx="1828800" cy="2527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502920</xdr:colOff>
      <xdr:row>2</xdr:row>
      <xdr:rowOff>68580</xdr:rowOff>
    </xdr:from>
    <xdr:to>
      <xdr:col>21</xdr:col>
      <xdr:colOff>502920</xdr:colOff>
      <xdr:row>15</xdr:row>
      <xdr:rowOff>158115</xdr:rowOff>
    </xdr:to>
    <mc:AlternateContent xmlns:mc="http://schemas.openxmlformats.org/markup-compatibility/2006" xmlns:a14="http://schemas.microsoft.com/office/drawing/2010/main">
      <mc:Choice Requires="a14">
        <xdr:graphicFrame macro="">
          <xdr:nvGraphicFramePr>
            <xdr:cNvPr id="4" name="Sales 1">
              <a:extLst>
                <a:ext uri="{FF2B5EF4-FFF2-40B4-BE49-F238E27FC236}">
                  <a16:creationId xmlns:a16="http://schemas.microsoft.com/office/drawing/2014/main" id="{2AEC5BBE-F4DB-41D2-9426-2D6E3C44B1F6}"/>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1475720" y="480060"/>
              <a:ext cx="1828800" cy="2512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426720</xdr:colOff>
      <xdr:row>4</xdr:row>
      <xdr:rowOff>99060</xdr:rowOff>
    </xdr:from>
    <xdr:to>
      <xdr:col>22</xdr:col>
      <xdr:colOff>426720</xdr:colOff>
      <xdr:row>18</xdr:row>
      <xdr:rowOff>5715</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93538757-013E-4D74-B978-7049FCEF581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009120" y="876300"/>
              <a:ext cx="1828800" cy="2512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213360</xdr:colOff>
      <xdr:row>43</xdr:row>
      <xdr:rowOff>152400</xdr:rowOff>
    </xdr:from>
    <xdr:to>
      <xdr:col>18</xdr:col>
      <xdr:colOff>556260</xdr:colOff>
      <xdr:row>58</xdr:row>
      <xdr:rowOff>152400</xdr:rowOff>
    </xdr:to>
    <xdr:graphicFrame macro="">
      <xdr:nvGraphicFramePr>
        <xdr:cNvPr id="6" name="Chart 5">
          <a:extLst>
            <a:ext uri="{FF2B5EF4-FFF2-40B4-BE49-F238E27FC236}">
              <a16:creationId xmlns:a16="http://schemas.microsoft.com/office/drawing/2014/main" id="{54553F58-6ECB-4CA7-8448-02A8BA69C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979170</xdr:colOff>
      <xdr:row>1043</xdr:row>
      <xdr:rowOff>115062</xdr:rowOff>
    </xdr:from>
    <xdr:to>
      <xdr:col>10</xdr:col>
      <xdr:colOff>119380</xdr:colOff>
      <xdr:row>1056</xdr:row>
      <xdr:rowOff>15240</xdr:rowOff>
    </xdr:to>
    <xdr:graphicFrame macro="">
      <xdr:nvGraphicFramePr>
        <xdr:cNvPr id="2" name="Chart 1">
          <a:extLst>
            <a:ext uri="{FF2B5EF4-FFF2-40B4-BE49-F238E27FC236}">
              <a16:creationId xmlns:a16="http://schemas.microsoft.com/office/drawing/2014/main" id="{3A34E008-2D2C-7CF1-3C47-748E5DC2A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19</xdr:row>
      <xdr:rowOff>22860</xdr:rowOff>
    </xdr:from>
    <xdr:to>
      <xdr:col>5</xdr:col>
      <xdr:colOff>701040</xdr:colOff>
      <xdr:row>24</xdr:row>
      <xdr:rowOff>160020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1DF6584F-9230-B7FF-29E7-6E1BAA261A4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3710940"/>
              <a:ext cx="4488180" cy="10972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15240</xdr:colOff>
      <xdr:row>38</xdr:row>
      <xdr:rowOff>83821</xdr:rowOff>
    </xdr:from>
    <xdr:to>
      <xdr:col>3</xdr:col>
      <xdr:colOff>304800</xdr:colOff>
      <xdr:row>43</xdr:row>
      <xdr:rowOff>91440</xdr:rowOff>
    </xdr:to>
    <mc:AlternateContent xmlns:mc="http://schemas.openxmlformats.org/markup-compatibility/2006" xmlns:a14="http://schemas.microsoft.com/office/drawing/2010/main">
      <mc:Choice Requires="a14">
        <xdr:graphicFrame macro="">
          <xdr:nvGraphicFramePr>
            <xdr:cNvPr id="5" name="Regional Performance">
              <a:extLst>
                <a:ext uri="{FF2B5EF4-FFF2-40B4-BE49-F238E27FC236}">
                  <a16:creationId xmlns:a16="http://schemas.microsoft.com/office/drawing/2014/main" id="{D6B0DA5C-9AEC-B75B-23CA-B3E499E1B3DD}"/>
                </a:ext>
              </a:extLst>
            </xdr:cNvPr>
            <xdr:cNvGraphicFramePr/>
          </xdr:nvGraphicFramePr>
          <xdr:xfrm>
            <a:off x="0" y="0"/>
            <a:ext cx="0" cy="0"/>
          </xdr:xfrm>
          <a:graphic>
            <a:graphicData uri="http://schemas.microsoft.com/office/drawing/2010/slicer">
              <sle:slicer xmlns:sle="http://schemas.microsoft.com/office/drawing/2010/slicer" name="Regional Performance"/>
            </a:graphicData>
          </a:graphic>
        </xdr:graphicFrame>
      </mc:Choice>
      <mc:Fallback xmlns="">
        <xdr:sp macro="" textlink="">
          <xdr:nvSpPr>
            <xdr:cNvPr id="0" name=""/>
            <xdr:cNvSpPr>
              <a:spLocks noTextEdit="1"/>
            </xdr:cNvSpPr>
          </xdr:nvSpPr>
          <xdr:spPr>
            <a:xfrm>
              <a:off x="15240" y="7467601"/>
              <a:ext cx="285750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510540</xdr:colOff>
      <xdr:row>17</xdr:row>
      <xdr:rowOff>53340</xdr:rowOff>
    </xdr:from>
    <xdr:to>
      <xdr:col>9</xdr:col>
      <xdr:colOff>434340</xdr:colOff>
      <xdr:row>27</xdr:row>
      <xdr:rowOff>190500</xdr:rowOff>
    </xdr:to>
    <xdr:graphicFrame macro="">
      <xdr:nvGraphicFramePr>
        <xdr:cNvPr id="7" name="Chart 6">
          <a:extLst>
            <a:ext uri="{FF2B5EF4-FFF2-40B4-BE49-F238E27FC236}">
              <a16:creationId xmlns:a16="http://schemas.microsoft.com/office/drawing/2014/main" id="{7B9266E3-B8D2-3B05-4F60-4AC85B929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396240</xdr:colOff>
      <xdr:row>5</xdr:row>
      <xdr:rowOff>22860</xdr:rowOff>
    </xdr:from>
    <xdr:to>
      <xdr:col>11</xdr:col>
      <xdr:colOff>541020</xdr:colOff>
      <xdr:row>16</xdr:row>
      <xdr:rowOff>0</xdr:rowOff>
    </xdr:to>
    <xdr:graphicFrame macro="">
      <xdr:nvGraphicFramePr>
        <xdr:cNvPr id="4" name="Chart 3">
          <a:extLst>
            <a:ext uri="{FF2B5EF4-FFF2-40B4-BE49-F238E27FC236}">
              <a16:creationId xmlns:a16="http://schemas.microsoft.com/office/drawing/2014/main" id="{F234687C-321D-DD8F-D824-C7BE5B570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259080</xdr:colOff>
      <xdr:row>7</xdr:row>
      <xdr:rowOff>0</xdr:rowOff>
    </xdr:from>
    <xdr:to>
      <xdr:col>12</xdr:col>
      <xdr:colOff>0</xdr:colOff>
      <xdr:row>16</xdr:row>
      <xdr:rowOff>137160</xdr:rowOff>
    </xdr:to>
    <xdr:graphicFrame macro="">
      <xdr:nvGraphicFramePr>
        <xdr:cNvPr id="6" name="Chart 5">
          <a:extLst>
            <a:ext uri="{FF2B5EF4-FFF2-40B4-BE49-F238E27FC236}">
              <a16:creationId xmlns:a16="http://schemas.microsoft.com/office/drawing/2014/main" id="{5617CE8B-3C0D-1C29-4B4E-62DCDC075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327660</xdr:colOff>
      <xdr:row>42</xdr:row>
      <xdr:rowOff>106680</xdr:rowOff>
    </xdr:to>
    <xdr:grpSp>
      <xdr:nvGrpSpPr>
        <xdr:cNvPr id="49" name="Group 48">
          <a:extLst>
            <a:ext uri="{FF2B5EF4-FFF2-40B4-BE49-F238E27FC236}">
              <a16:creationId xmlns:a16="http://schemas.microsoft.com/office/drawing/2014/main" id="{A394145E-E61D-8D6A-7C20-C02CF5479CAD}"/>
            </a:ext>
          </a:extLst>
        </xdr:cNvPr>
        <xdr:cNvGrpSpPr/>
      </xdr:nvGrpSpPr>
      <xdr:grpSpPr>
        <a:xfrm>
          <a:off x="0" y="0"/>
          <a:ext cx="13738860" cy="7787640"/>
          <a:chOff x="320040" y="281940"/>
          <a:chExt cx="13738860" cy="7787640"/>
        </a:xfrm>
      </xdr:grpSpPr>
      <xdr:sp macro="" textlink="">
        <xdr:nvSpPr>
          <xdr:cNvPr id="2" name="Rectangle: Rounded Corners 1">
            <a:extLst>
              <a:ext uri="{FF2B5EF4-FFF2-40B4-BE49-F238E27FC236}">
                <a16:creationId xmlns:a16="http://schemas.microsoft.com/office/drawing/2014/main" id="{2758C05D-C59F-4460-53C0-48D798BFB7EB}"/>
              </a:ext>
            </a:extLst>
          </xdr:cNvPr>
          <xdr:cNvSpPr/>
        </xdr:nvSpPr>
        <xdr:spPr>
          <a:xfrm>
            <a:off x="320040" y="281940"/>
            <a:ext cx="13738860" cy="7787640"/>
          </a:xfrm>
          <a:prstGeom prst="roundRect">
            <a:avLst>
              <a:gd name="adj" fmla="val 379"/>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40A7AC1B-3C0F-02F4-E4D3-15957B05CB21}"/>
              </a:ext>
            </a:extLst>
          </xdr:cNvPr>
          <xdr:cNvSpPr/>
        </xdr:nvSpPr>
        <xdr:spPr>
          <a:xfrm>
            <a:off x="2225040" y="297180"/>
            <a:ext cx="11658600" cy="7703820"/>
          </a:xfrm>
          <a:prstGeom prst="roundRect">
            <a:avLst>
              <a:gd name="adj" fmla="val 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editAs="oneCell">
    <xdr:from>
      <xdr:col>3</xdr:col>
      <xdr:colOff>525780</xdr:colOff>
      <xdr:row>2</xdr:row>
      <xdr:rowOff>91440</xdr:rowOff>
    </xdr:from>
    <xdr:to>
      <xdr:col>16</xdr:col>
      <xdr:colOff>487680</xdr:colOff>
      <xdr:row>8</xdr:row>
      <xdr:rowOff>106680</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C2CA0368-7383-4084-B516-E8160197385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354580" y="457200"/>
              <a:ext cx="7886700"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548640</xdr:colOff>
      <xdr:row>2</xdr:row>
      <xdr:rowOff>83820</xdr:rowOff>
    </xdr:from>
    <xdr:to>
      <xdr:col>22</xdr:col>
      <xdr:colOff>0</xdr:colOff>
      <xdr:row>8</xdr:row>
      <xdr:rowOff>121920</xdr:rowOff>
    </xdr:to>
    <mc:AlternateContent xmlns:mc="http://schemas.openxmlformats.org/markup-compatibility/2006" xmlns:a14="http://schemas.microsoft.com/office/drawing/2010/main">
      <mc:Choice Requires="a14">
        <xdr:graphicFrame macro="">
          <xdr:nvGraphicFramePr>
            <xdr:cNvPr id="6" name="Regional Performance 1">
              <a:extLst>
                <a:ext uri="{FF2B5EF4-FFF2-40B4-BE49-F238E27FC236}">
                  <a16:creationId xmlns:a16="http://schemas.microsoft.com/office/drawing/2014/main" id="{F02948D4-350F-4792-9B24-195C71F6C1FC}"/>
                </a:ext>
              </a:extLst>
            </xdr:cNvPr>
            <xdr:cNvGraphicFramePr/>
          </xdr:nvGraphicFramePr>
          <xdr:xfrm>
            <a:off x="0" y="0"/>
            <a:ext cx="0" cy="0"/>
          </xdr:xfrm>
          <a:graphic>
            <a:graphicData uri="http://schemas.microsoft.com/office/drawing/2010/slicer">
              <sle:slicer xmlns:sle="http://schemas.microsoft.com/office/drawing/2010/slicer" name="Regional Performance 1"/>
            </a:graphicData>
          </a:graphic>
        </xdr:graphicFrame>
      </mc:Choice>
      <mc:Fallback xmlns="">
        <xdr:sp macro="" textlink="">
          <xdr:nvSpPr>
            <xdr:cNvPr id="0" name=""/>
            <xdr:cNvSpPr>
              <a:spLocks noTextEdit="1"/>
            </xdr:cNvSpPr>
          </xdr:nvSpPr>
          <xdr:spPr>
            <a:xfrm>
              <a:off x="10302240" y="449580"/>
              <a:ext cx="310896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10</xdr:row>
      <xdr:rowOff>30480</xdr:rowOff>
    </xdr:from>
    <xdr:to>
      <xdr:col>3</xdr:col>
      <xdr:colOff>53340</xdr:colOff>
      <xdr:row>13</xdr:row>
      <xdr:rowOff>15240</xdr:rowOff>
    </xdr:to>
    <xdr:sp macro="" textlink="">
      <xdr:nvSpPr>
        <xdr:cNvPr id="7" name="Rectangle: Rounded Corners 6">
          <a:extLst>
            <a:ext uri="{FF2B5EF4-FFF2-40B4-BE49-F238E27FC236}">
              <a16:creationId xmlns:a16="http://schemas.microsoft.com/office/drawing/2014/main" id="{413F6C88-F353-58B4-2050-CC4AFFE98AAE}"/>
            </a:ext>
          </a:extLst>
        </xdr:cNvPr>
        <xdr:cNvSpPr/>
      </xdr:nvSpPr>
      <xdr:spPr>
        <a:xfrm>
          <a:off x="83820" y="1859280"/>
          <a:ext cx="1798320" cy="533400"/>
        </a:xfrm>
        <a:prstGeom prst="roundRect">
          <a:avLst>
            <a:gd name="adj" fmla="val 50000"/>
          </a:avLst>
        </a:prstGeom>
        <a:solidFill>
          <a:schemeClr val="bg1"/>
        </a:solidFill>
        <a:ln>
          <a:solidFill>
            <a:srgbClr val="00B050"/>
          </a:solid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92D050"/>
              </a:solidFill>
            </a:rPr>
            <a:t>Dashboard</a:t>
          </a:r>
        </a:p>
      </xdr:txBody>
    </xdr:sp>
    <xdr:clientData/>
  </xdr:twoCellAnchor>
  <xdr:twoCellAnchor>
    <xdr:from>
      <xdr:col>0</xdr:col>
      <xdr:colOff>30480</xdr:colOff>
      <xdr:row>17</xdr:row>
      <xdr:rowOff>53340</xdr:rowOff>
    </xdr:from>
    <xdr:to>
      <xdr:col>3</xdr:col>
      <xdr:colOff>0</xdr:colOff>
      <xdr:row>20</xdr:row>
      <xdr:rowOff>38100</xdr:rowOff>
    </xdr:to>
    <xdr:sp macro="" textlink="">
      <xdr:nvSpPr>
        <xdr:cNvPr id="8" name="Rectangle: Rounded Corners 7">
          <a:extLst>
            <a:ext uri="{FF2B5EF4-FFF2-40B4-BE49-F238E27FC236}">
              <a16:creationId xmlns:a16="http://schemas.microsoft.com/office/drawing/2014/main" id="{072F740E-A070-400B-AB56-6A03DF348034}"/>
            </a:ext>
          </a:extLst>
        </xdr:cNvPr>
        <xdr:cNvSpPr/>
      </xdr:nvSpPr>
      <xdr:spPr>
        <a:xfrm>
          <a:off x="30480" y="3162300"/>
          <a:ext cx="1798320" cy="533400"/>
        </a:xfrm>
        <a:prstGeom prst="roundRect">
          <a:avLst>
            <a:gd name="adj" fmla="val 50000"/>
          </a:avLst>
        </a:prstGeom>
        <a:solidFill>
          <a:schemeClr val="bg1"/>
        </a:solidFill>
        <a:ln>
          <a:solidFill>
            <a:srgbClr val="00B050"/>
          </a:solid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92D050"/>
              </a:solidFill>
            </a:rPr>
            <a:t>Reports</a:t>
          </a:r>
        </a:p>
      </xdr:txBody>
    </xdr:sp>
    <xdr:clientData/>
  </xdr:twoCellAnchor>
  <xdr:twoCellAnchor>
    <xdr:from>
      <xdr:col>0</xdr:col>
      <xdr:colOff>30480</xdr:colOff>
      <xdr:row>24</xdr:row>
      <xdr:rowOff>15240</xdr:rowOff>
    </xdr:from>
    <xdr:to>
      <xdr:col>3</xdr:col>
      <xdr:colOff>0</xdr:colOff>
      <xdr:row>27</xdr:row>
      <xdr:rowOff>0</xdr:rowOff>
    </xdr:to>
    <xdr:sp macro="" textlink="">
      <xdr:nvSpPr>
        <xdr:cNvPr id="9" name="Rectangle: Rounded Corners 8">
          <a:extLst>
            <a:ext uri="{FF2B5EF4-FFF2-40B4-BE49-F238E27FC236}">
              <a16:creationId xmlns:a16="http://schemas.microsoft.com/office/drawing/2014/main" id="{016EE054-D533-418A-921B-ABBD915D0284}"/>
            </a:ext>
          </a:extLst>
        </xdr:cNvPr>
        <xdr:cNvSpPr/>
      </xdr:nvSpPr>
      <xdr:spPr>
        <a:xfrm>
          <a:off x="30480" y="4404360"/>
          <a:ext cx="1798320" cy="533400"/>
        </a:xfrm>
        <a:prstGeom prst="roundRect">
          <a:avLst>
            <a:gd name="adj" fmla="val 50000"/>
          </a:avLst>
        </a:prstGeom>
        <a:solidFill>
          <a:schemeClr val="bg1"/>
        </a:solidFill>
        <a:ln>
          <a:solidFill>
            <a:srgbClr val="00B050"/>
          </a:solid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92D050"/>
              </a:solidFill>
            </a:rPr>
            <a:t>About</a:t>
          </a:r>
          <a:r>
            <a:rPr lang="en-IN" sz="1600" b="1" baseline="0">
              <a:solidFill>
                <a:srgbClr val="92D050"/>
              </a:solidFill>
            </a:rPr>
            <a:t> Us</a:t>
          </a:r>
          <a:endParaRPr lang="en-IN" sz="1600" b="1">
            <a:solidFill>
              <a:srgbClr val="92D050"/>
            </a:solidFill>
          </a:endParaRPr>
        </a:p>
      </xdr:txBody>
    </xdr:sp>
    <xdr:clientData/>
  </xdr:twoCellAnchor>
  <xdr:twoCellAnchor>
    <xdr:from>
      <xdr:col>11</xdr:col>
      <xdr:colOff>190499</xdr:colOff>
      <xdr:row>14</xdr:row>
      <xdr:rowOff>106680</xdr:rowOff>
    </xdr:from>
    <xdr:to>
      <xdr:col>18</xdr:col>
      <xdr:colOff>167640</xdr:colOff>
      <xdr:row>26</xdr:row>
      <xdr:rowOff>144780</xdr:rowOff>
    </xdr:to>
    <xdr:sp macro="" textlink="">
      <xdr:nvSpPr>
        <xdr:cNvPr id="21" name="Rectangle: Rounded Corners 20">
          <a:extLst>
            <a:ext uri="{FF2B5EF4-FFF2-40B4-BE49-F238E27FC236}">
              <a16:creationId xmlns:a16="http://schemas.microsoft.com/office/drawing/2014/main" id="{5C32EEA4-9C8B-4804-A4FB-D38EF108A1AA}"/>
            </a:ext>
          </a:extLst>
        </xdr:cNvPr>
        <xdr:cNvSpPr/>
      </xdr:nvSpPr>
      <xdr:spPr>
        <a:xfrm>
          <a:off x="6913562" y="2662555"/>
          <a:ext cx="4255453" cy="2228850"/>
        </a:xfrm>
        <a:prstGeom prst="roundRect">
          <a:avLst/>
        </a:prstGeom>
        <a:solidFill>
          <a:schemeClr val="bg1"/>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502919</xdr:colOff>
      <xdr:row>9</xdr:row>
      <xdr:rowOff>91440</xdr:rowOff>
    </xdr:from>
    <xdr:to>
      <xdr:col>22</xdr:col>
      <xdr:colOff>129540</xdr:colOff>
      <xdr:row>39</xdr:row>
      <xdr:rowOff>144780</xdr:rowOff>
    </xdr:to>
    <xdr:grpSp>
      <xdr:nvGrpSpPr>
        <xdr:cNvPr id="52" name="Group 51">
          <a:extLst>
            <a:ext uri="{FF2B5EF4-FFF2-40B4-BE49-F238E27FC236}">
              <a16:creationId xmlns:a16="http://schemas.microsoft.com/office/drawing/2014/main" id="{686A2E96-A0AD-1F91-6FD9-D6349208434B}"/>
            </a:ext>
          </a:extLst>
        </xdr:cNvPr>
        <xdr:cNvGrpSpPr/>
      </xdr:nvGrpSpPr>
      <xdr:grpSpPr>
        <a:xfrm>
          <a:off x="2331719" y="1737360"/>
          <a:ext cx="11209021" cy="5539740"/>
          <a:chOff x="2331719" y="1737360"/>
          <a:chExt cx="11209021" cy="5539740"/>
        </a:xfrm>
      </xdr:grpSpPr>
      <xdr:sp macro="" textlink="">
        <xdr:nvSpPr>
          <xdr:cNvPr id="13" name="Rectangle: Rounded Corners 12">
            <a:extLst>
              <a:ext uri="{FF2B5EF4-FFF2-40B4-BE49-F238E27FC236}">
                <a16:creationId xmlns:a16="http://schemas.microsoft.com/office/drawing/2014/main" id="{A75E88F4-1407-4498-AA6E-452B69F1FF5C}"/>
              </a:ext>
            </a:extLst>
          </xdr:cNvPr>
          <xdr:cNvSpPr/>
        </xdr:nvSpPr>
        <xdr:spPr>
          <a:xfrm>
            <a:off x="8221980" y="1760220"/>
            <a:ext cx="2438400" cy="678180"/>
          </a:xfrm>
          <a:prstGeom prst="roundRect">
            <a:avLst/>
          </a:prstGeom>
          <a:solidFill>
            <a:srgbClr val="FF000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7A486E66-1238-4A56-A7CE-B8EF4BB688BC}"/>
              </a:ext>
            </a:extLst>
          </xdr:cNvPr>
          <xdr:cNvSpPr/>
        </xdr:nvSpPr>
        <xdr:spPr>
          <a:xfrm>
            <a:off x="5425440" y="1783080"/>
            <a:ext cx="2438400" cy="678180"/>
          </a:xfrm>
          <a:prstGeom prst="round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DF336B3A-F223-44C3-9146-95462EE0EFAE}"/>
              </a:ext>
            </a:extLst>
          </xdr:cNvPr>
          <xdr:cNvSpPr/>
        </xdr:nvSpPr>
        <xdr:spPr>
          <a:xfrm>
            <a:off x="5577840" y="1760220"/>
            <a:ext cx="2286000" cy="708660"/>
          </a:xfrm>
          <a:prstGeom prst="roundRect">
            <a:avLst/>
          </a:prstGeom>
          <a:solidFill>
            <a:schemeClr val="bg1"/>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BE285647-B0AE-401F-8304-4ECC2F75F56E}"/>
              </a:ext>
            </a:extLst>
          </xdr:cNvPr>
          <xdr:cNvSpPr/>
        </xdr:nvSpPr>
        <xdr:spPr>
          <a:xfrm>
            <a:off x="8412480" y="1775460"/>
            <a:ext cx="2225040" cy="647700"/>
          </a:xfrm>
          <a:prstGeom prst="roundRect">
            <a:avLst/>
          </a:prstGeom>
          <a:solidFill>
            <a:schemeClr val="bg1"/>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B7CCB594-520E-43CE-A3D5-739D09D5AD8B}"/>
              </a:ext>
            </a:extLst>
          </xdr:cNvPr>
          <xdr:cNvSpPr/>
        </xdr:nvSpPr>
        <xdr:spPr>
          <a:xfrm>
            <a:off x="11102340" y="1737360"/>
            <a:ext cx="2438400" cy="678180"/>
          </a:xfrm>
          <a:prstGeom prst="roundRect">
            <a:avLst/>
          </a:prstGeom>
          <a:solidFill>
            <a:srgbClr val="C0000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822EFAA6-89BE-4455-BA8A-4E5934484115}"/>
              </a:ext>
            </a:extLst>
          </xdr:cNvPr>
          <xdr:cNvSpPr/>
        </xdr:nvSpPr>
        <xdr:spPr>
          <a:xfrm>
            <a:off x="11384280" y="1752600"/>
            <a:ext cx="2133600" cy="647700"/>
          </a:xfrm>
          <a:prstGeom prst="roundRect">
            <a:avLst/>
          </a:prstGeom>
          <a:solidFill>
            <a:schemeClr val="bg1"/>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09F09BC3-2FE2-4EFC-A8AF-9C00C326E0BF}"/>
              </a:ext>
            </a:extLst>
          </xdr:cNvPr>
          <xdr:cNvSpPr/>
        </xdr:nvSpPr>
        <xdr:spPr>
          <a:xfrm>
            <a:off x="2331719" y="2651760"/>
            <a:ext cx="4244341" cy="2232660"/>
          </a:xfrm>
          <a:prstGeom prst="roundRect">
            <a:avLst/>
          </a:prstGeom>
          <a:solidFill>
            <a:schemeClr val="bg1"/>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E79C289E-353D-7934-068A-90E04BFDDB97}"/>
              </a:ext>
            </a:extLst>
          </xdr:cNvPr>
          <xdr:cNvSpPr/>
        </xdr:nvSpPr>
        <xdr:spPr>
          <a:xfrm>
            <a:off x="2590800" y="1783080"/>
            <a:ext cx="2438400" cy="678180"/>
          </a:xfrm>
          <a:prstGeom prst="roundRect">
            <a:avLst/>
          </a:prstGeom>
          <a:solidFill>
            <a:srgbClr val="FFC00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D0322E09-ED4E-FA75-52A3-9C9CC378528E}"/>
              </a:ext>
            </a:extLst>
          </xdr:cNvPr>
          <xdr:cNvSpPr/>
        </xdr:nvSpPr>
        <xdr:spPr>
          <a:xfrm>
            <a:off x="2819400" y="1783080"/>
            <a:ext cx="2194560" cy="655320"/>
          </a:xfrm>
          <a:prstGeom prst="roundRect">
            <a:avLst/>
          </a:prstGeom>
          <a:solidFill>
            <a:schemeClr val="bg1"/>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2" name="Rectangle: Rounded Corners 71">
            <a:extLst>
              <a:ext uri="{FF2B5EF4-FFF2-40B4-BE49-F238E27FC236}">
                <a16:creationId xmlns:a16="http://schemas.microsoft.com/office/drawing/2014/main" id="{942AE8A9-4BB4-43DF-8E4F-17F2746ED25A}"/>
              </a:ext>
            </a:extLst>
          </xdr:cNvPr>
          <xdr:cNvSpPr/>
        </xdr:nvSpPr>
        <xdr:spPr>
          <a:xfrm>
            <a:off x="2438399" y="5044440"/>
            <a:ext cx="4244341" cy="2232660"/>
          </a:xfrm>
          <a:prstGeom prst="roundRect">
            <a:avLst/>
          </a:prstGeom>
          <a:solidFill>
            <a:schemeClr val="bg1"/>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9</xdr:col>
      <xdr:colOff>68580</xdr:colOff>
      <xdr:row>9</xdr:row>
      <xdr:rowOff>106680</xdr:rowOff>
    </xdr:from>
    <xdr:to>
      <xdr:col>10</xdr:col>
      <xdr:colOff>152400</xdr:colOff>
      <xdr:row>13</xdr:row>
      <xdr:rowOff>68580</xdr:rowOff>
    </xdr:to>
    <xdr:pic>
      <xdr:nvPicPr>
        <xdr:cNvPr id="40" name="Graphic 39" descr="Business Growth with solid fill">
          <a:extLst>
            <a:ext uri="{FF2B5EF4-FFF2-40B4-BE49-F238E27FC236}">
              <a16:creationId xmlns:a16="http://schemas.microsoft.com/office/drawing/2014/main" id="{0D9578F0-4E55-1362-C587-2B7A84023D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54980" y="1752600"/>
          <a:ext cx="693420" cy="693420"/>
        </a:xfrm>
        <a:prstGeom prst="rect">
          <a:avLst/>
        </a:prstGeom>
      </xdr:spPr>
    </xdr:pic>
    <xdr:clientData/>
  </xdr:twoCellAnchor>
  <xdr:twoCellAnchor editAs="oneCell">
    <xdr:from>
      <xdr:col>18</xdr:col>
      <xdr:colOff>243840</xdr:colOff>
      <xdr:row>14</xdr:row>
      <xdr:rowOff>152400</xdr:rowOff>
    </xdr:from>
    <xdr:to>
      <xdr:col>19</xdr:col>
      <xdr:colOff>381000</xdr:colOff>
      <xdr:row>18</xdr:row>
      <xdr:rowOff>167640</xdr:rowOff>
    </xdr:to>
    <xdr:pic>
      <xdr:nvPicPr>
        <xdr:cNvPr id="42" name="Graphic 41" descr="Document with solid fill">
          <a:extLst>
            <a:ext uri="{FF2B5EF4-FFF2-40B4-BE49-F238E27FC236}">
              <a16:creationId xmlns:a16="http://schemas.microsoft.com/office/drawing/2014/main" id="{B8647946-51AA-C8A1-E575-9DB8270ECE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216640" y="2712720"/>
          <a:ext cx="746760" cy="746760"/>
        </a:xfrm>
        <a:prstGeom prst="rect">
          <a:avLst/>
        </a:prstGeom>
      </xdr:spPr>
    </xdr:pic>
    <xdr:clientData/>
  </xdr:twoCellAnchor>
  <xdr:twoCellAnchor>
    <xdr:from>
      <xdr:col>10</xdr:col>
      <xdr:colOff>289560</xdr:colOff>
      <xdr:row>10</xdr:row>
      <xdr:rowOff>15240</xdr:rowOff>
    </xdr:from>
    <xdr:to>
      <xdr:col>12</xdr:col>
      <xdr:colOff>358140</xdr:colOff>
      <xdr:row>11</xdr:row>
      <xdr:rowOff>99060</xdr:rowOff>
    </xdr:to>
    <xdr:sp macro="" textlink="">
      <xdr:nvSpPr>
        <xdr:cNvPr id="51" name="TextBox 50">
          <a:extLst>
            <a:ext uri="{FF2B5EF4-FFF2-40B4-BE49-F238E27FC236}">
              <a16:creationId xmlns:a16="http://schemas.microsoft.com/office/drawing/2014/main" id="{34ED1234-0A44-8206-FFAA-99F181DAE39C}"/>
            </a:ext>
          </a:extLst>
        </xdr:cNvPr>
        <xdr:cNvSpPr txBox="1"/>
      </xdr:nvSpPr>
      <xdr:spPr>
        <a:xfrm>
          <a:off x="6385560" y="1844040"/>
          <a:ext cx="128778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rgbClr val="00B050"/>
              </a:solidFill>
              <a:effectLst/>
              <a:latin typeface="+mn-lt"/>
              <a:ea typeface="+mn-ea"/>
              <a:cs typeface="+mn-cs"/>
            </a:rPr>
            <a:t>Total Sales</a:t>
          </a:r>
          <a:r>
            <a:rPr lang="en-IN" sz="1400" b="1">
              <a:solidFill>
                <a:srgbClr val="00B050"/>
              </a:solidFill>
              <a:effectLst/>
            </a:rPr>
            <a:t> </a:t>
          </a:r>
          <a:endParaRPr lang="en-IN" sz="1400" b="1">
            <a:solidFill>
              <a:srgbClr val="00B050"/>
            </a:solidFill>
          </a:endParaRPr>
        </a:p>
      </xdr:txBody>
    </xdr:sp>
    <xdr:clientData/>
  </xdr:twoCellAnchor>
  <xdr:twoCellAnchor>
    <xdr:from>
      <xdr:col>19</xdr:col>
      <xdr:colOff>213360</xdr:colOff>
      <xdr:row>9</xdr:row>
      <xdr:rowOff>144780</xdr:rowOff>
    </xdr:from>
    <xdr:to>
      <xdr:col>22</xdr:col>
      <xdr:colOff>45720</xdr:colOff>
      <xdr:row>11</xdr:row>
      <xdr:rowOff>76200</xdr:rowOff>
    </xdr:to>
    <xdr:sp macro="" textlink="">
      <xdr:nvSpPr>
        <xdr:cNvPr id="53" name="TextBox 52">
          <a:extLst>
            <a:ext uri="{FF2B5EF4-FFF2-40B4-BE49-F238E27FC236}">
              <a16:creationId xmlns:a16="http://schemas.microsoft.com/office/drawing/2014/main" id="{E9A94609-68CB-431B-84BD-EAA25B9D9A9A}"/>
            </a:ext>
          </a:extLst>
        </xdr:cNvPr>
        <xdr:cNvSpPr txBox="1"/>
      </xdr:nvSpPr>
      <xdr:spPr>
        <a:xfrm>
          <a:off x="11795760" y="1790700"/>
          <a:ext cx="16611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rgbClr val="00B050"/>
              </a:solidFill>
              <a:effectLst/>
              <a:latin typeface="+mn-lt"/>
              <a:ea typeface="+mn-ea"/>
              <a:cs typeface="+mn-cs"/>
            </a:rPr>
            <a:t>Marketing Spend</a:t>
          </a:r>
          <a:endParaRPr lang="en-IN" sz="1400" b="1">
            <a:solidFill>
              <a:srgbClr val="00B050"/>
            </a:solidFill>
          </a:endParaRPr>
        </a:p>
      </xdr:txBody>
    </xdr:sp>
    <xdr:clientData/>
  </xdr:twoCellAnchor>
  <xdr:twoCellAnchor>
    <xdr:from>
      <xdr:col>15</xdr:col>
      <xdr:colOff>7621</xdr:colOff>
      <xdr:row>9</xdr:row>
      <xdr:rowOff>175260</xdr:rowOff>
    </xdr:from>
    <xdr:to>
      <xdr:col>16</xdr:col>
      <xdr:colOff>548640</xdr:colOff>
      <xdr:row>11</xdr:row>
      <xdr:rowOff>106680</xdr:rowOff>
    </xdr:to>
    <xdr:sp macro="" textlink="">
      <xdr:nvSpPr>
        <xdr:cNvPr id="54" name="TextBox 53">
          <a:extLst>
            <a:ext uri="{FF2B5EF4-FFF2-40B4-BE49-F238E27FC236}">
              <a16:creationId xmlns:a16="http://schemas.microsoft.com/office/drawing/2014/main" id="{9B4F98B4-130E-4F31-8D04-509A55D75B87}"/>
            </a:ext>
          </a:extLst>
        </xdr:cNvPr>
        <xdr:cNvSpPr txBox="1"/>
      </xdr:nvSpPr>
      <xdr:spPr>
        <a:xfrm>
          <a:off x="9151621" y="1821180"/>
          <a:ext cx="1150619"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rgbClr val="00B050"/>
              </a:solidFill>
              <a:effectLst/>
              <a:latin typeface="+mn-lt"/>
              <a:ea typeface="+mn-ea"/>
              <a:cs typeface="+mn-cs"/>
            </a:rPr>
            <a:t>Total Profit</a:t>
          </a:r>
          <a:r>
            <a:rPr lang="en-IN" sz="1400" b="1">
              <a:solidFill>
                <a:srgbClr val="00B050"/>
              </a:solidFill>
              <a:effectLst/>
            </a:rPr>
            <a:t> </a:t>
          </a:r>
          <a:endParaRPr lang="en-IN" sz="1400" b="1">
            <a:solidFill>
              <a:srgbClr val="00B050"/>
            </a:solidFill>
          </a:endParaRPr>
        </a:p>
      </xdr:txBody>
    </xdr:sp>
    <xdr:clientData/>
  </xdr:twoCellAnchor>
  <xdr:twoCellAnchor>
    <xdr:from>
      <xdr:col>5</xdr:col>
      <xdr:colOff>320040</xdr:colOff>
      <xdr:row>10</xdr:row>
      <xdr:rowOff>15240</xdr:rowOff>
    </xdr:from>
    <xdr:to>
      <xdr:col>7</xdr:col>
      <xdr:colOff>472440</xdr:colOff>
      <xdr:row>11</xdr:row>
      <xdr:rowOff>106680</xdr:rowOff>
    </xdr:to>
    <xdr:sp macro="" textlink="">
      <xdr:nvSpPr>
        <xdr:cNvPr id="56" name="TextBox 55">
          <a:extLst>
            <a:ext uri="{FF2B5EF4-FFF2-40B4-BE49-F238E27FC236}">
              <a16:creationId xmlns:a16="http://schemas.microsoft.com/office/drawing/2014/main" id="{CBE7CD19-9B96-428B-9075-177E1D9D97CE}"/>
            </a:ext>
          </a:extLst>
        </xdr:cNvPr>
        <xdr:cNvSpPr txBox="1"/>
      </xdr:nvSpPr>
      <xdr:spPr>
        <a:xfrm>
          <a:off x="3368040" y="1844040"/>
          <a:ext cx="137160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rgbClr val="00B050"/>
              </a:solidFill>
              <a:effectLst/>
              <a:latin typeface="+mn-lt"/>
              <a:ea typeface="+mn-ea"/>
              <a:cs typeface="+mn-cs"/>
            </a:rPr>
            <a:t>Profit Margin</a:t>
          </a:r>
          <a:endParaRPr lang="en-IN" sz="1400" b="1">
            <a:solidFill>
              <a:srgbClr val="00B050"/>
            </a:solidFill>
          </a:endParaRPr>
        </a:p>
      </xdr:txBody>
    </xdr:sp>
    <xdr:clientData/>
  </xdr:twoCellAnchor>
  <xdr:twoCellAnchor editAs="oneCell">
    <xdr:from>
      <xdr:col>4</xdr:col>
      <xdr:colOff>381000</xdr:colOff>
      <xdr:row>9</xdr:row>
      <xdr:rowOff>175260</xdr:rowOff>
    </xdr:from>
    <xdr:to>
      <xdr:col>5</xdr:col>
      <xdr:colOff>281940</xdr:colOff>
      <xdr:row>12</xdr:row>
      <xdr:rowOff>137160</xdr:rowOff>
    </xdr:to>
    <xdr:pic>
      <xdr:nvPicPr>
        <xdr:cNvPr id="58" name="Graphic 57" descr="Bar graph with upward trend with solid fill">
          <a:extLst>
            <a:ext uri="{FF2B5EF4-FFF2-40B4-BE49-F238E27FC236}">
              <a16:creationId xmlns:a16="http://schemas.microsoft.com/office/drawing/2014/main" id="{CC7687B1-66F2-4C76-4CE5-92C5F9E6EE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19400" y="1821180"/>
          <a:ext cx="510540" cy="510540"/>
        </a:xfrm>
        <a:prstGeom prst="rect">
          <a:avLst/>
        </a:prstGeom>
      </xdr:spPr>
    </xdr:pic>
    <xdr:clientData/>
  </xdr:twoCellAnchor>
  <xdr:twoCellAnchor editAs="oneCell">
    <xdr:from>
      <xdr:col>13</xdr:col>
      <xdr:colOff>464820</xdr:colOff>
      <xdr:row>9</xdr:row>
      <xdr:rowOff>152400</xdr:rowOff>
    </xdr:from>
    <xdr:to>
      <xdr:col>14</xdr:col>
      <xdr:colOff>441960</xdr:colOff>
      <xdr:row>13</xdr:row>
      <xdr:rowOff>7620</xdr:rowOff>
    </xdr:to>
    <xdr:pic>
      <xdr:nvPicPr>
        <xdr:cNvPr id="60" name="Graphic 59" descr="Bar graph with upward trend with solid fill">
          <a:extLst>
            <a:ext uri="{FF2B5EF4-FFF2-40B4-BE49-F238E27FC236}">
              <a16:creationId xmlns:a16="http://schemas.microsoft.com/office/drawing/2014/main" id="{D720AC0B-58F8-7FDF-879A-2A3238436D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389620" y="1798320"/>
          <a:ext cx="586740" cy="586740"/>
        </a:xfrm>
        <a:prstGeom prst="rect">
          <a:avLst/>
        </a:prstGeom>
      </xdr:spPr>
    </xdr:pic>
    <xdr:clientData/>
  </xdr:twoCellAnchor>
  <xdr:twoCellAnchor editAs="oneCell">
    <xdr:from>
      <xdr:col>18</xdr:col>
      <xdr:colOff>350520</xdr:colOff>
      <xdr:row>9</xdr:row>
      <xdr:rowOff>152400</xdr:rowOff>
    </xdr:from>
    <xdr:to>
      <xdr:col>19</xdr:col>
      <xdr:colOff>243840</xdr:colOff>
      <xdr:row>12</xdr:row>
      <xdr:rowOff>106680</xdr:rowOff>
    </xdr:to>
    <xdr:pic>
      <xdr:nvPicPr>
        <xdr:cNvPr id="62" name="Graphic 61" descr="Marketing with solid fill">
          <a:extLst>
            <a:ext uri="{FF2B5EF4-FFF2-40B4-BE49-F238E27FC236}">
              <a16:creationId xmlns:a16="http://schemas.microsoft.com/office/drawing/2014/main" id="{FC7C0A6E-8784-C0C3-7C80-A2FE55BEE40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323320" y="1798320"/>
          <a:ext cx="502920" cy="502920"/>
        </a:xfrm>
        <a:prstGeom prst="rect">
          <a:avLst/>
        </a:prstGeom>
      </xdr:spPr>
    </xdr:pic>
    <xdr:clientData/>
  </xdr:twoCellAnchor>
  <xdr:twoCellAnchor>
    <xdr:from>
      <xdr:col>5</xdr:col>
      <xdr:colOff>335280</xdr:colOff>
      <xdr:row>11</xdr:row>
      <xdr:rowOff>129540</xdr:rowOff>
    </xdr:from>
    <xdr:to>
      <xdr:col>7</xdr:col>
      <xdr:colOff>487680</xdr:colOff>
      <xdr:row>13</xdr:row>
      <xdr:rowOff>38100</xdr:rowOff>
    </xdr:to>
    <xdr:sp macro="" textlink="">
      <xdr:nvSpPr>
        <xdr:cNvPr id="64" name="TextBox 63">
          <a:extLst>
            <a:ext uri="{FF2B5EF4-FFF2-40B4-BE49-F238E27FC236}">
              <a16:creationId xmlns:a16="http://schemas.microsoft.com/office/drawing/2014/main" id="{324C9881-13F2-40C7-9847-500B69B9D4E9}"/>
            </a:ext>
          </a:extLst>
        </xdr:cNvPr>
        <xdr:cNvSpPr txBox="1"/>
      </xdr:nvSpPr>
      <xdr:spPr>
        <a:xfrm>
          <a:off x="3383280" y="2141220"/>
          <a:ext cx="137160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B050"/>
              </a:solidFill>
              <a:effectLst/>
              <a:latin typeface="+mn-lt"/>
              <a:ea typeface="+mn-ea"/>
              <a:cs typeface="+mn-cs"/>
            </a:rPr>
            <a:t>16930</a:t>
          </a:r>
          <a:r>
            <a:rPr lang="en-IN" sz="1100" b="0" i="0" u="none" strike="noStrike">
              <a:solidFill>
                <a:srgbClr val="00B050"/>
              </a:solidFill>
              <a:effectLst/>
              <a:latin typeface="+mn-lt"/>
              <a:ea typeface="+mn-ea"/>
              <a:cs typeface="+mn-cs"/>
            </a:rPr>
            <a:t>%</a:t>
          </a:r>
          <a:r>
            <a:rPr lang="en-IN" sz="1400">
              <a:solidFill>
                <a:srgbClr val="00B050"/>
              </a:solidFill>
              <a:effectLst/>
            </a:rPr>
            <a:t> </a:t>
          </a:r>
          <a:endParaRPr lang="en-IN" sz="1400" b="1">
            <a:solidFill>
              <a:srgbClr val="00B050"/>
            </a:solidFill>
          </a:endParaRPr>
        </a:p>
      </xdr:txBody>
    </xdr:sp>
    <xdr:clientData/>
  </xdr:twoCellAnchor>
  <xdr:twoCellAnchor>
    <xdr:from>
      <xdr:col>10</xdr:col>
      <xdr:colOff>274320</xdr:colOff>
      <xdr:row>11</xdr:row>
      <xdr:rowOff>144780</xdr:rowOff>
    </xdr:from>
    <xdr:to>
      <xdr:col>12</xdr:col>
      <xdr:colOff>426720</xdr:colOff>
      <xdr:row>13</xdr:row>
      <xdr:rowOff>53340</xdr:rowOff>
    </xdr:to>
    <xdr:sp macro="" textlink="">
      <xdr:nvSpPr>
        <xdr:cNvPr id="65" name="TextBox 64">
          <a:extLst>
            <a:ext uri="{FF2B5EF4-FFF2-40B4-BE49-F238E27FC236}">
              <a16:creationId xmlns:a16="http://schemas.microsoft.com/office/drawing/2014/main" id="{95B0FAE3-AC33-5CA2-CBDC-C37C36886821}"/>
            </a:ext>
          </a:extLst>
        </xdr:cNvPr>
        <xdr:cNvSpPr txBox="1"/>
      </xdr:nvSpPr>
      <xdr:spPr>
        <a:xfrm>
          <a:off x="6370320" y="2156460"/>
          <a:ext cx="137160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a:solidFill>
                <a:srgbClr val="00B050"/>
              </a:solidFill>
              <a:effectLst/>
              <a:latin typeface="+mn-lt"/>
              <a:ea typeface="+mn-ea"/>
              <a:cs typeface="+mn-cs"/>
            </a:rPr>
            <a:t>202895</a:t>
          </a:r>
          <a:r>
            <a:rPr lang="en-IN" sz="1400">
              <a:solidFill>
                <a:srgbClr val="00B050"/>
              </a:solidFill>
              <a:effectLst/>
              <a:latin typeface="+mn-lt"/>
              <a:ea typeface="+mn-ea"/>
              <a:cs typeface="+mn-cs"/>
            </a:rPr>
            <a:t> </a:t>
          </a:r>
          <a:endParaRPr lang="en-IN" sz="1400">
            <a:solidFill>
              <a:srgbClr val="00B050"/>
            </a:solidFill>
            <a:effectLst/>
          </a:endParaRPr>
        </a:p>
      </xdr:txBody>
    </xdr:sp>
    <xdr:clientData/>
  </xdr:twoCellAnchor>
  <xdr:twoCellAnchor>
    <xdr:from>
      <xdr:col>14</xdr:col>
      <xdr:colOff>495300</xdr:colOff>
      <xdr:row>11</xdr:row>
      <xdr:rowOff>144780</xdr:rowOff>
    </xdr:from>
    <xdr:to>
      <xdr:col>17</xdr:col>
      <xdr:colOff>38100</xdr:colOff>
      <xdr:row>13</xdr:row>
      <xdr:rowOff>53340</xdr:rowOff>
    </xdr:to>
    <xdr:sp macro="" textlink="">
      <xdr:nvSpPr>
        <xdr:cNvPr id="66" name="TextBox 65">
          <a:extLst>
            <a:ext uri="{FF2B5EF4-FFF2-40B4-BE49-F238E27FC236}">
              <a16:creationId xmlns:a16="http://schemas.microsoft.com/office/drawing/2014/main" id="{B672E5A8-1028-1506-E275-007C1EC836E0}"/>
            </a:ext>
          </a:extLst>
        </xdr:cNvPr>
        <xdr:cNvSpPr txBox="1"/>
      </xdr:nvSpPr>
      <xdr:spPr>
        <a:xfrm>
          <a:off x="9029700" y="2156460"/>
          <a:ext cx="137160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B050"/>
              </a:solidFill>
              <a:effectLst/>
              <a:latin typeface="+mn-lt"/>
              <a:ea typeface="+mn-ea"/>
              <a:cs typeface="+mn-cs"/>
            </a:rPr>
            <a:t>64311</a:t>
          </a:r>
          <a:r>
            <a:rPr lang="en-IN" sz="1400">
              <a:effectLst/>
            </a:rPr>
            <a:t> </a:t>
          </a:r>
          <a:endParaRPr lang="en-IN" sz="1400" b="1">
            <a:solidFill>
              <a:schemeClr val="tx1"/>
            </a:solidFill>
          </a:endParaRPr>
        </a:p>
      </xdr:txBody>
    </xdr:sp>
    <xdr:clientData/>
  </xdr:twoCellAnchor>
  <xdr:twoCellAnchor>
    <xdr:from>
      <xdr:col>19</xdr:col>
      <xdr:colOff>350520</xdr:colOff>
      <xdr:row>11</xdr:row>
      <xdr:rowOff>106680</xdr:rowOff>
    </xdr:from>
    <xdr:to>
      <xdr:col>21</xdr:col>
      <xdr:colOff>502920</xdr:colOff>
      <xdr:row>13</xdr:row>
      <xdr:rowOff>15240</xdr:rowOff>
    </xdr:to>
    <xdr:sp macro="" textlink="">
      <xdr:nvSpPr>
        <xdr:cNvPr id="67" name="TextBox 66">
          <a:extLst>
            <a:ext uri="{FF2B5EF4-FFF2-40B4-BE49-F238E27FC236}">
              <a16:creationId xmlns:a16="http://schemas.microsoft.com/office/drawing/2014/main" id="{C769F00D-FD4B-AFDA-EB7B-5877669A055F}"/>
            </a:ext>
          </a:extLst>
        </xdr:cNvPr>
        <xdr:cNvSpPr txBox="1"/>
      </xdr:nvSpPr>
      <xdr:spPr>
        <a:xfrm>
          <a:off x="11932920" y="2118360"/>
          <a:ext cx="137160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B050"/>
              </a:solidFill>
              <a:effectLst/>
              <a:latin typeface="+mn-lt"/>
              <a:ea typeface="+mn-ea"/>
              <a:cs typeface="+mn-cs"/>
            </a:rPr>
            <a:t>32320</a:t>
          </a:r>
          <a:r>
            <a:rPr lang="en-IN" sz="1400">
              <a:solidFill>
                <a:srgbClr val="00B050"/>
              </a:solidFill>
              <a:effectLst/>
            </a:rPr>
            <a:t> </a:t>
          </a:r>
          <a:endParaRPr lang="en-IN" sz="1400" b="1">
            <a:solidFill>
              <a:srgbClr val="00B050"/>
            </a:solidFill>
          </a:endParaRPr>
        </a:p>
      </xdr:txBody>
    </xdr:sp>
    <xdr:clientData/>
  </xdr:twoCellAnchor>
  <xdr:twoCellAnchor>
    <xdr:from>
      <xdr:col>11</xdr:col>
      <xdr:colOff>327659</xdr:colOff>
      <xdr:row>27</xdr:row>
      <xdr:rowOff>99060</xdr:rowOff>
    </xdr:from>
    <xdr:to>
      <xdr:col>18</xdr:col>
      <xdr:colOff>304800</xdr:colOff>
      <xdr:row>39</xdr:row>
      <xdr:rowOff>137160</xdr:rowOff>
    </xdr:to>
    <xdr:sp macro="" textlink="">
      <xdr:nvSpPr>
        <xdr:cNvPr id="73" name="Rectangle: Rounded Corners 72">
          <a:extLst>
            <a:ext uri="{FF2B5EF4-FFF2-40B4-BE49-F238E27FC236}">
              <a16:creationId xmlns:a16="http://schemas.microsoft.com/office/drawing/2014/main" id="{4B74101E-9532-7240-7FFB-B24089373158}"/>
            </a:ext>
          </a:extLst>
        </xdr:cNvPr>
        <xdr:cNvSpPr/>
      </xdr:nvSpPr>
      <xdr:spPr>
        <a:xfrm>
          <a:off x="7033259" y="5036820"/>
          <a:ext cx="4244341" cy="2232660"/>
        </a:xfrm>
        <a:prstGeom prst="roundRect">
          <a:avLst/>
        </a:prstGeom>
        <a:solidFill>
          <a:schemeClr val="bg1"/>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216216</xdr:colOff>
      <xdr:row>15</xdr:row>
      <xdr:rowOff>45720</xdr:rowOff>
    </xdr:from>
    <xdr:to>
      <xdr:col>18</xdr:col>
      <xdr:colOff>205740</xdr:colOff>
      <xdr:row>26</xdr:row>
      <xdr:rowOff>45720</xdr:rowOff>
    </xdr:to>
    <xdr:graphicFrame macro="">
      <xdr:nvGraphicFramePr>
        <xdr:cNvPr id="26" name="Chart 25">
          <a:extLst>
            <a:ext uri="{FF2B5EF4-FFF2-40B4-BE49-F238E27FC236}">
              <a16:creationId xmlns:a16="http://schemas.microsoft.com/office/drawing/2014/main" id="{027B95F2-14E3-441F-A211-5E7F3A907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243840</xdr:colOff>
      <xdr:row>15</xdr:row>
      <xdr:rowOff>11867</xdr:rowOff>
    </xdr:from>
    <xdr:to>
      <xdr:col>9</xdr:col>
      <xdr:colOff>0</xdr:colOff>
      <xdr:row>17</xdr:row>
      <xdr:rowOff>22860</xdr:rowOff>
    </xdr:to>
    <xdr:sp macro="" textlink="">
      <xdr:nvSpPr>
        <xdr:cNvPr id="10" name="Rectangle 9">
          <a:extLst>
            <a:ext uri="{FF2B5EF4-FFF2-40B4-BE49-F238E27FC236}">
              <a16:creationId xmlns:a16="http://schemas.microsoft.com/office/drawing/2014/main" id="{F42BCCBD-89D7-6497-3A6A-3134DB87B01D}"/>
            </a:ext>
          </a:extLst>
        </xdr:cNvPr>
        <xdr:cNvSpPr/>
      </xdr:nvSpPr>
      <xdr:spPr>
        <a:xfrm>
          <a:off x="3901440" y="2755067"/>
          <a:ext cx="1584960" cy="37675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rgbClr val="00B050"/>
              </a:solidFill>
            </a:rPr>
            <a:t>Sales Vs Profit</a:t>
          </a:r>
        </a:p>
      </xdr:txBody>
    </xdr:sp>
    <xdr:clientData/>
  </xdr:twoCellAnchor>
  <xdr:twoCellAnchor>
    <xdr:from>
      <xdr:col>13</xdr:col>
      <xdr:colOff>350520</xdr:colOff>
      <xdr:row>15</xdr:row>
      <xdr:rowOff>0</xdr:rowOff>
    </xdr:from>
    <xdr:to>
      <xdr:col>16</xdr:col>
      <xdr:colOff>0</xdr:colOff>
      <xdr:row>16</xdr:row>
      <xdr:rowOff>168514</xdr:rowOff>
    </xdr:to>
    <xdr:sp macro="" textlink="">
      <xdr:nvSpPr>
        <xdr:cNvPr id="11" name="Rectangle 10">
          <a:extLst>
            <a:ext uri="{FF2B5EF4-FFF2-40B4-BE49-F238E27FC236}">
              <a16:creationId xmlns:a16="http://schemas.microsoft.com/office/drawing/2014/main" id="{234EBD0E-C740-4228-A9CE-A89DB06491A2}"/>
            </a:ext>
          </a:extLst>
        </xdr:cNvPr>
        <xdr:cNvSpPr/>
      </xdr:nvSpPr>
      <xdr:spPr>
        <a:xfrm>
          <a:off x="8275320" y="2743200"/>
          <a:ext cx="1478280" cy="35139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rgbClr val="00B050"/>
              </a:solidFill>
            </a:rPr>
            <a:t>Monthly</a:t>
          </a:r>
          <a:r>
            <a:rPr lang="en-IN" sz="1600" b="1" baseline="0">
              <a:solidFill>
                <a:srgbClr val="00B050"/>
              </a:solidFill>
            </a:rPr>
            <a:t> Trend</a:t>
          </a:r>
          <a:endParaRPr lang="en-IN" sz="1600" b="1">
            <a:solidFill>
              <a:srgbClr val="00B050"/>
            </a:solidFill>
          </a:endParaRPr>
        </a:p>
      </xdr:txBody>
    </xdr:sp>
    <xdr:clientData/>
  </xdr:twoCellAnchor>
  <xdr:twoCellAnchor>
    <xdr:from>
      <xdr:col>5</xdr:col>
      <xdr:colOff>594360</xdr:colOff>
      <xdr:row>28</xdr:row>
      <xdr:rowOff>68580</xdr:rowOff>
    </xdr:from>
    <xdr:to>
      <xdr:col>9</xdr:col>
      <xdr:colOff>571500</xdr:colOff>
      <xdr:row>30</xdr:row>
      <xdr:rowOff>144780</xdr:rowOff>
    </xdr:to>
    <xdr:sp macro="" textlink="">
      <xdr:nvSpPr>
        <xdr:cNvPr id="12" name="Rectangle 11">
          <a:extLst>
            <a:ext uri="{FF2B5EF4-FFF2-40B4-BE49-F238E27FC236}">
              <a16:creationId xmlns:a16="http://schemas.microsoft.com/office/drawing/2014/main" id="{B1BA4D03-882A-4830-A80E-1113B17FFA17}"/>
            </a:ext>
          </a:extLst>
        </xdr:cNvPr>
        <xdr:cNvSpPr/>
      </xdr:nvSpPr>
      <xdr:spPr>
        <a:xfrm>
          <a:off x="3642360" y="5189220"/>
          <a:ext cx="2415540" cy="44196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rgbClr val="00B050"/>
              </a:solidFill>
            </a:rPr>
            <a:t>Region Contribution</a:t>
          </a:r>
        </a:p>
      </xdr:txBody>
    </xdr:sp>
    <xdr:clientData/>
  </xdr:twoCellAnchor>
  <xdr:twoCellAnchor>
    <xdr:from>
      <xdr:col>12</xdr:col>
      <xdr:colOff>259080</xdr:colOff>
      <xdr:row>27</xdr:row>
      <xdr:rowOff>152400</xdr:rowOff>
    </xdr:from>
    <xdr:to>
      <xdr:col>15</xdr:col>
      <xdr:colOff>289560</xdr:colOff>
      <xdr:row>30</xdr:row>
      <xdr:rowOff>45720</xdr:rowOff>
    </xdr:to>
    <xdr:sp macro="" textlink="">
      <xdr:nvSpPr>
        <xdr:cNvPr id="15" name="Rectangle 14">
          <a:extLst>
            <a:ext uri="{FF2B5EF4-FFF2-40B4-BE49-F238E27FC236}">
              <a16:creationId xmlns:a16="http://schemas.microsoft.com/office/drawing/2014/main" id="{17F7FAD6-F0C6-405A-968C-2C570F9DACC9}"/>
            </a:ext>
          </a:extLst>
        </xdr:cNvPr>
        <xdr:cNvSpPr/>
      </xdr:nvSpPr>
      <xdr:spPr>
        <a:xfrm>
          <a:off x="7574280" y="5090160"/>
          <a:ext cx="1859280" cy="44196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rgbClr val="00B050"/>
              </a:solidFill>
            </a:rPr>
            <a:t>Marketing</a:t>
          </a:r>
          <a:r>
            <a:rPr lang="en-IN" sz="1600" b="1" baseline="0">
              <a:solidFill>
                <a:srgbClr val="00B050"/>
              </a:solidFill>
            </a:rPr>
            <a:t> Sales</a:t>
          </a:r>
          <a:endParaRPr lang="en-IN" sz="1600" b="1">
            <a:solidFill>
              <a:srgbClr val="00B050"/>
            </a:solidFill>
          </a:endParaRPr>
        </a:p>
      </xdr:txBody>
    </xdr:sp>
    <xdr:clientData/>
  </xdr:twoCellAnchor>
  <xdr:twoCellAnchor>
    <xdr:from>
      <xdr:col>3</xdr:col>
      <xdr:colOff>541020</xdr:colOff>
      <xdr:row>14</xdr:row>
      <xdr:rowOff>80249</xdr:rowOff>
    </xdr:from>
    <xdr:to>
      <xdr:col>10</xdr:col>
      <xdr:colOff>457200</xdr:colOff>
      <xdr:row>26</xdr:row>
      <xdr:rowOff>132940</xdr:rowOff>
    </xdr:to>
    <xdr:graphicFrame macro="">
      <xdr:nvGraphicFramePr>
        <xdr:cNvPr id="27" name="Chart 26">
          <a:extLst>
            <a:ext uri="{FF2B5EF4-FFF2-40B4-BE49-F238E27FC236}">
              <a16:creationId xmlns:a16="http://schemas.microsoft.com/office/drawing/2014/main" id="{A5BE8A01-2BC7-4420-93C9-9FEEA35C8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0</xdr:colOff>
      <xdr:row>27</xdr:row>
      <xdr:rowOff>146304</xdr:rowOff>
    </xdr:from>
    <xdr:to>
      <xdr:col>11</xdr:col>
      <xdr:colOff>0</xdr:colOff>
      <xdr:row>40</xdr:row>
      <xdr:rowOff>50292</xdr:rowOff>
    </xdr:to>
    <xdr:graphicFrame macro="">
      <xdr:nvGraphicFramePr>
        <xdr:cNvPr id="30" name="Chart 29">
          <a:extLst>
            <a:ext uri="{FF2B5EF4-FFF2-40B4-BE49-F238E27FC236}">
              <a16:creationId xmlns:a16="http://schemas.microsoft.com/office/drawing/2014/main" id="{3EF021B0-EA51-4E3F-888C-92ACB6F0A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396240</xdr:colOff>
      <xdr:row>28</xdr:row>
      <xdr:rowOff>11945</xdr:rowOff>
    </xdr:from>
    <xdr:to>
      <xdr:col>18</xdr:col>
      <xdr:colOff>281940</xdr:colOff>
      <xdr:row>39</xdr:row>
      <xdr:rowOff>42185</xdr:rowOff>
    </xdr:to>
    <xdr:graphicFrame macro="">
      <xdr:nvGraphicFramePr>
        <xdr:cNvPr id="31" name="Chart 30">
          <a:extLst>
            <a:ext uri="{FF2B5EF4-FFF2-40B4-BE49-F238E27FC236}">
              <a16:creationId xmlns:a16="http://schemas.microsoft.com/office/drawing/2014/main" id="{F79425E8-B8A3-47FE-9C8C-6D7EC5D44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0</xdr:colOff>
      <xdr:row>20</xdr:row>
      <xdr:rowOff>0</xdr:rowOff>
    </xdr:from>
    <xdr:to>
      <xdr:col>22</xdr:col>
      <xdr:colOff>0</xdr:colOff>
      <xdr:row>22</xdr:row>
      <xdr:rowOff>0</xdr:rowOff>
    </xdr:to>
    <xdr:sp macro="" textlink="">
      <xdr:nvSpPr>
        <xdr:cNvPr id="57" name="TextBox 56">
          <a:extLst>
            <a:ext uri="{FF2B5EF4-FFF2-40B4-BE49-F238E27FC236}">
              <a16:creationId xmlns:a16="http://schemas.microsoft.com/office/drawing/2014/main" id="{CDCB8E9F-B0AD-13A1-3D47-76EA4708BAFB}"/>
            </a:ext>
          </a:extLst>
        </xdr:cNvPr>
        <xdr:cNvSpPr txBox="1"/>
      </xdr:nvSpPr>
      <xdr:spPr>
        <a:xfrm>
          <a:off x="11582400" y="3657600"/>
          <a:ext cx="182880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00B050"/>
              </a:solidFill>
            </a:rPr>
            <a:t>Data</a:t>
          </a:r>
          <a:r>
            <a:rPr lang="en-IN" sz="1600" b="1" baseline="0">
              <a:solidFill>
                <a:srgbClr val="00B050"/>
              </a:solidFill>
            </a:rPr>
            <a:t> Analyst</a:t>
          </a:r>
          <a:endParaRPr lang="en-IN" sz="1600" b="1">
            <a:solidFill>
              <a:srgbClr val="00B050"/>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YDI%20GANESH\Downloads\Coffee%20Chain%201.xlsx" TargetMode="External"/><Relationship Id="rId1" Type="http://schemas.openxmlformats.org/officeDocument/2006/relationships/externalLinkPath" Target="Coffee%20Chai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ffee Chain"/>
      <sheetName val="Product types"/>
      <sheetName val=" Business Scenario"/>
      <sheetName val="Business Objectives"/>
      <sheetName val=" Key Business KPIs"/>
      <sheetName val="Charts"/>
      <sheetName val="Coffee Chain Dataset"/>
      <sheetName val="1. Data Cleaning &amp; Preparation"/>
      <sheetName val=". Exploratory Data Analysis (ED"/>
      <sheetName val="Profitability Deep Dive"/>
      <sheetName val=". Marketing Effectiveness Analy"/>
      <sheetName val="Trend Analysis"/>
      <sheetName val=" Root Cause Analysis "/>
      <sheetName val=". Business Recommendations"/>
      <sheetName val=" Dashboard Requirements (Excel)"/>
      <sheetName val="Visual"/>
      <sheetName val="Interactivity"/>
      <sheetName val="Coffee Chain 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7">
          <cell r="J27" t="str">
            <v>Sum of Sales</v>
          </cell>
        </row>
        <row r="28">
          <cell r="I28" t="str">
            <v>Coffee</v>
          </cell>
          <cell r="J28">
            <v>52373</v>
          </cell>
          <cell r="K28">
            <v>132.15151515151516</v>
          </cell>
        </row>
        <row r="29">
          <cell r="I29" t="str">
            <v>Espresso</v>
          </cell>
          <cell r="J29">
            <v>56013</v>
          </cell>
          <cell r="K29">
            <v>129.70408163265307</v>
          </cell>
        </row>
        <row r="30">
          <cell r="I30" t="str">
            <v>Herbal Tea</v>
          </cell>
          <cell r="J30">
            <v>51685</v>
          </cell>
          <cell r="K30">
            <v>135.52651515151516</v>
          </cell>
        </row>
        <row r="31">
          <cell r="I31" t="str">
            <v>Tea</v>
          </cell>
          <cell r="J31">
            <v>42824</v>
          </cell>
          <cell r="K31">
            <v>124.1</v>
          </cell>
        </row>
        <row r="32">
          <cell r="I32" t="str">
            <v>Grand Total</v>
          </cell>
          <cell r="J32">
            <v>202895</v>
          </cell>
          <cell r="K32">
            <v>521.48211193568341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offee%20Chain%201.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Coffee%20Chain%201.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Coffee%20Chain%201.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YDI GANESH" refreshedDate="46133.321027662038" createdVersion="8" refreshedVersion="8" minRefreshableVersion="3" recordCount="1062" xr:uid="{31496311-8B9C-4B6D-986A-CD6B2DDDC6B7}">
  <cacheSource type="worksheet">
    <worksheetSource name="Coffee"/>
  </cacheSource>
  <cacheFields count="29">
    <cacheField name="Store id" numFmtId="0">
      <sharedItems containsSemiMixedTypes="0" containsString="0" containsNumber="1" containsInteger="1" minValue="203" maxValue="985"/>
    </cacheField>
    <cacheField name="Cogs" numFmtId="0">
      <sharedItems containsSemiMixedTypes="0" containsString="0" containsNumber="1" containsInteger="1" minValue="0" maxValue="294"/>
    </cacheField>
    <cacheField name="Date" numFmtId="14">
      <sharedItems containsSemiMixedTypes="0" containsNonDate="0" containsDate="1" containsString="0" minDate="2012-10-01T00:00:00" maxDate="2013-12-02T00:00:00" count="6">
        <d v="2012-10-01T00:00:00"/>
        <d v="2012-11-01T00:00:00"/>
        <d v="2012-12-01T00:00:00"/>
        <d v="2013-10-01T00:00:00"/>
        <d v="2013-11-01T00:00:00"/>
        <d v="2013-12-01T00:00:00"/>
      </sharedItems>
      <fieldGroup par="28"/>
    </cacheField>
    <cacheField name="Market Size" numFmtId="0">
      <sharedItems count="2">
        <s v="Major Market"/>
        <s v="Small Market"/>
      </sharedItems>
    </cacheField>
    <cacheField name="Regional Performance" numFmtId="0">
      <sharedItems count="4">
        <s v="Central"/>
        <s v="South"/>
        <s v="East"/>
        <s v="West"/>
      </sharedItems>
    </cacheField>
    <cacheField name="Marketing" numFmtId="0">
      <sharedItems containsSemiMixedTypes="0" containsString="0" containsNumber="1" containsInteger="1" minValue="0" maxValue="122"/>
    </cacheField>
    <cacheField name="Product Line" numFmtId="0">
      <sharedItems count="2">
        <s v="Leaves"/>
        <s v="Beans"/>
      </sharedItems>
    </cacheField>
    <cacheField name="Product Type" numFmtId="0">
      <sharedItems count="4">
        <s v="Herbal Tea"/>
        <s v="Tea"/>
        <s v="Espresso"/>
        <s v="Coffee"/>
      </sharedItems>
    </cacheField>
    <cacheField name="Product" numFmtId="0">
      <sharedItems count="13">
        <s v="Lemon"/>
        <s v="Mint"/>
        <s v="Darjeeling"/>
        <s v="Green Tea"/>
        <s v="Decaf Espresso"/>
        <s v="Decaf Irish Cream"/>
        <s v="Amaretto"/>
        <s v="Colombian"/>
        <s v="Caffe Mocha"/>
        <s v="Caffe Latte"/>
        <s v="Chamomile"/>
        <s v="Earl Grey"/>
        <s v="Regular Espresso"/>
      </sharedItems>
    </cacheField>
    <cacheField name="Profit" numFmtId="0">
      <sharedItems containsSemiMixedTypes="0" containsString="0" containsNumber="1" containsInteger="1" minValue="-605" maxValue="646"/>
    </cacheField>
    <cacheField name="Sales" numFmtId="0">
      <sharedItems containsSemiMixedTypes="0" containsString="0" containsNumber="1" containsInteger="1" minValue="21" maxValue="815"/>
    </cacheField>
    <cacheField name="State" numFmtId="0">
      <sharedItems count="20">
        <s v="Colorado"/>
        <s v="Texas"/>
        <s v="Florida"/>
        <s v="California"/>
        <s v="Iowa"/>
        <s v="Connecticut"/>
        <s v="Oklahoma"/>
        <s v="Nevada"/>
        <s v="Utah"/>
        <s v="New Hampshire"/>
        <s v="Louisiana"/>
        <s v="Oregon"/>
        <s v="Missouri"/>
        <s v="Wisconsin"/>
        <s v="Washington"/>
        <s v="Massachusetts"/>
        <s v="Illinois"/>
        <s v="New Mexico"/>
        <s v="Ohio"/>
        <s v="New York"/>
      </sharedItems>
    </cacheField>
    <cacheField name="Target COGS" numFmtId="0">
      <sharedItems containsSemiMixedTypes="0" containsString="0" containsNumber="1" containsInteger="1" minValue="0" maxValue="380"/>
    </cacheField>
    <cacheField name="Target Profit" numFmtId="0">
      <sharedItems containsSemiMixedTypes="0" containsString="0" containsNumber="1" containsInteger="1" minValue="-320" maxValue="470"/>
    </cacheField>
    <cacheField name="Target Sales" numFmtId="0">
      <sharedItems containsSemiMixedTypes="0" containsString="0" containsNumber="1" containsInteger="1" minValue="0" maxValue="960"/>
    </cacheField>
    <cacheField name="Other Expenses" numFmtId="0">
      <sharedItems containsSemiMixedTypes="0" containsString="0" containsNumber="1" containsInteger="1" minValue="11" maxValue="156"/>
    </cacheField>
    <cacheField name="Total Sales" numFmtId="0">
      <sharedItems containsSemiMixedTypes="0" containsString="0" containsNumber="1" containsInteger="1" minValue="21" maxValue="815"/>
    </cacheField>
    <cacheField name="Total Profit" numFmtId="0">
      <sharedItems containsSemiMixedTypes="0" containsString="0" containsNumber="1" containsInteger="1" minValue="-605" maxValue="646"/>
    </cacheField>
    <cacheField name="ProftMargin" numFmtId="9">
      <sharedItems containsSemiMixedTypes="0" containsString="0" containsNumber="1" minValue="-24.5" maxValue="1.0662983425414365"/>
    </cacheField>
    <cacheField name="Marketing spend" numFmtId="0">
      <sharedItems containsSemiMixedTypes="0" containsString="0" containsNumber="1" containsInteger="1" minValue="0" maxValue="122"/>
    </cacheField>
    <cacheField name="Actual Variance" numFmtId="0">
      <sharedItems containsSemiMixedTypes="0" containsString="0" containsNumber="1" containsInteger="1" minValue="-310" maxValue="347"/>
    </cacheField>
    <cacheField name="Cost of Goods Sold (COGS)" numFmtId="0">
      <sharedItems containsSemiMixedTypes="0" containsString="0" containsNumber="1" containsInteger="1" minValue="-120" maxValue="147"/>
    </cacheField>
    <cacheField name=" ROI on Marketing" numFmtId="0">
      <sharedItems containsMixedTypes="1" containsNumber="1" minValue="-5.614583333333333" maxValue="26.318181818181817" count="464">
        <n v="-0.10869565217391304"/>
        <n v="1.5294117647058822"/>
        <n v="2.1538461538461537"/>
        <n v="3.5"/>
        <n v="2.4347826086956523"/>
        <e v="#DIV/0!"/>
        <n v="1.4"/>
        <n v="3"/>
        <n v="0.77777777777777779"/>
        <n v="3.3636363636363638"/>
        <n v="2.2000000000000002"/>
        <n v="1.7142857142857142"/>
        <n v="-0.17073170731707318"/>
        <n v="1.8518518518518517E-2"/>
        <n v="-0.16666666666666666"/>
        <n v="0.6"/>
        <n v="-0.14634146341463414"/>
        <n v="3.4615384615384617"/>
        <n v="3.6153846153846154"/>
        <n v="3.2727272727272729"/>
        <n v="2.3703703703703702"/>
        <n v="2.7142857142857144"/>
        <n v="2"/>
        <n v="3.4285714285714284"/>
        <n v="2.0769230769230771"/>
        <n v="-0.1702127659574468"/>
        <n v="1.9130434782608696"/>
        <n v="2.2142857142857144"/>
        <n v="0.75"/>
        <n v="1.7058823529411764"/>
        <n v="3.1"/>
        <n v="2.2666666666666666"/>
        <n v="0.7"/>
        <n v="2.1428571428571428"/>
        <n v="1.4285714285714286"/>
        <n v="-0.2"/>
        <n v="3.0625"/>
        <n v="0.65"/>
        <n v="3.3846153846153846"/>
        <n v="3.3"/>
        <n v="1.8181818181818181E-2"/>
        <n v="3.4666666666666668"/>
        <n v="-0.14285714285714285"/>
        <n v="0.95833333333333337"/>
        <n v="2.0833333333333335"/>
        <n v="1.6470588235294117"/>
        <n v="1.8461538461538463"/>
        <n v="3.5333333333333332"/>
        <n v="3.375"/>
        <n v="3.4444444444444446"/>
        <n v="3.1111111111111112"/>
        <n v="1.8666666666666667"/>
        <n v="-6.1224489795918366E-2"/>
        <n v="-0.11363636363636363"/>
        <n v="7.1428571428571425E-2"/>
        <n v="2.5"/>
        <n v="0.5714285714285714"/>
        <n v="1.08"/>
        <n v="1.8947368421052631"/>
        <n v="0.6071428571428571"/>
        <n v="-0.15217391304347827"/>
        <n v="2.2941176470588234"/>
        <n v="3.2307692307692308"/>
        <n v="5.2"/>
        <n v="3.6086956521739131"/>
        <n v="2.0666666666666669"/>
        <n v="4.4285714285714288"/>
        <n v="1.1111111111111112"/>
        <n v="5"/>
        <n v="3.2666666666666666"/>
        <n v="2.5714285714285716"/>
        <n v="-0.24390243902439024"/>
        <n v="-0.25"/>
        <n v="0.9"/>
        <n v="-0.21951219512195122"/>
        <n v="5.1538461538461542"/>
        <n v="5.384615384615385"/>
        <n v="4.8181818181818183"/>
        <n v="3.5185185185185186"/>
        <n v="4.0357142857142856"/>
        <n v="5.0714285714285712"/>
        <n v="3.0769230769230771"/>
        <n v="-0.25531914893617019"/>
        <n v="2.8260869565217392"/>
        <n v="3.2857142857142856"/>
        <n v="1.1000000000000001"/>
        <n v="2.5294117647058822"/>
        <n v="4.5999999999999996"/>
        <n v="4.4444444444444446"/>
        <n v="5.25"/>
        <n v="4.5"/>
        <n v="3.3333333333333335"/>
        <n v="1.05"/>
        <n v="3.2142857142857144"/>
        <n v="-0.3"/>
        <n v="4.5625"/>
        <n v="0.95"/>
        <n v="4.9000000000000004"/>
        <n v="5.1333333333333337"/>
        <n v="-0.21428571428571427"/>
        <n v="1.4166666666666667"/>
        <n v="3.0833333333333335"/>
        <n v="2.4705882352941178"/>
        <n v="2.7692307692307692"/>
        <n v="5.2666666666666666"/>
        <n v="5.1111111111111107"/>
        <n v="4.666666666666667"/>
        <n v="2.8"/>
        <n v="-8.1632653061224483E-2"/>
        <n v="-0.15909090909090909"/>
        <n v="3.75"/>
        <n v="0.8571428571428571"/>
        <n v="1.6"/>
        <n v="2.7894736842105261"/>
        <n v="0.8928571428571429"/>
        <n v="2.25"/>
        <n v="1.6875"/>
        <n v="2.8571428571428572"/>
        <n v="3.7619047619047619"/>
        <n v="1.1333333333333333"/>
        <n v="1.75"/>
        <n v="0"/>
        <n v="3.1666666666666665"/>
        <n v="3.625"/>
        <n v="3.3571428571428572"/>
        <n v="-0.32"/>
        <n v="2.6666666666666665"/>
        <n v="-0.17499999999999999"/>
        <n v="-0.33333333333333331"/>
        <n v="1.8095238095238095"/>
        <n v="2.0714285714285716"/>
        <n v="-0.47619047619047616"/>
        <n v="0.35294117647058826"/>
        <n v="1.625"/>
        <n v="3.2222222222222223"/>
        <n v="0.88888888888888884"/>
        <n v="2.8333333333333335"/>
        <n v="2.5833333333333335"/>
        <n v="-9.0909090909090912E-2"/>
        <n v="2.9583333333333335"/>
        <n v="4.2857142857142856"/>
        <n v="5.5714285714285712"/>
        <n v="1.6666666666666667"/>
        <n v="2.6"/>
        <n v="4.7222222222222223"/>
        <n v="4.8571428571428568"/>
        <n v="5.375"/>
        <n v="-0.48"/>
        <n v="4"/>
        <n v="-0.5"/>
        <n v="3.0714285714285716"/>
        <n v="-0.7142857142857143"/>
        <n v="0.52941176470588236"/>
        <n v="2.4375"/>
        <n v="4.7777777777777777"/>
        <n v="1.3333333333333333"/>
        <n v="4.166666666666667"/>
        <n v="3.8333333333333335"/>
        <n v="-0.13636363636363635"/>
        <n v="2.1666666666666665"/>
        <n v="-1"/>
        <n v="0.66666666666666663"/>
        <n v="1.0833333333333333"/>
        <n v="1.5714285714285714"/>
        <n v="0.72727272727272729"/>
        <n v="0.625"/>
        <n v="-0.36"/>
        <n v="0.81818181818181823"/>
        <n v="3.125"/>
        <n v="0.41176470588235292"/>
        <n v="3.25"/>
        <n v="1.8571428571428572"/>
        <n v="0.14285714285714285"/>
        <n v="0.91666666666666663"/>
        <n v="1"/>
        <n v="-1.5"/>
        <n v="1.5833333333333333"/>
        <n v="2.2857142857142856"/>
        <n v="1.0909090909090908"/>
        <n v="0.875"/>
        <n v="-0.52"/>
        <n v="1.1818181818181819"/>
        <n v="4.625"/>
        <n v="0.58823529411764708"/>
        <n v="4.875"/>
        <n v="0.21428571428571427"/>
        <n v="1.5"/>
        <n v="-0.2391304347826087"/>
        <n v="2.3913043478260869"/>
        <n v="3.5384615384615383"/>
        <n v="1.588235294117647"/>
        <n v="0.76190476190476186"/>
        <n v="1.6428571428571428"/>
        <n v="-6.3829787234042548E-2"/>
        <n v="-8.5106382978723402E-2"/>
        <n v="1.6842105263157894"/>
        <n v="0.8"/>
        <n v="1.2258064516129032"/>
        <n v="3.6363636363636362E-2"/>
        <n v="2.1363636363636362"/>
        <n v="1.3125"/>
        <n v="2.3125"/>
        <n v="-4.0816326530612242E-2"/>
        <n v="7.6923076923076927E-2"/>
        <n v="-0.34782608695652173"/>
        <n v="3.5652173913043477"/>
        <n v="5.2307692307692308"/>
        <n v="2.3529411764705883"/>
        <n v="1.1428571428571428"/>
        <n v="2.4285714285714284"/>
        <n v="-0.1276595744680851"/>
        <n v="2.4736842105263159"/>
        <n v="1.2"/>
        <n v="1.8064516129032258"/>
        <n v="5.4545454545454543E-2"/>
        <n v="3.1818181818181817"/>
        <n v="1.9375"/>
        <n v="3.4375"/>
        <n v="1.375"/>
        <n v="3.3125"/>
        <n v="3.2"/>
        <n v="1.1666666666666667"/>
        <n v="-1.3333333333333333"/>
        <n v="-2.2857142857142856"/>
        <n v="4.8"/>
        <n v="4.4000000000000004"/>
        <n v="-2"/>
        <n v="4.2"/>
        <n v="3.5714285714285716"/>
        <n v="-3.4285714285714284"/>
        <n v="3.7142857142857144"/>
        <n v="2.4074074074074074"/>
        <n v="0.7142857142857143"/>
        <n v="1.736842105263158"/>
        <n v="2.4583333333333335"/>
        <n v="1.9565217391304348"/>
        <n v="3.4"/>
        <n v="1.9230769230769231"/>
        <n v="1.04"/>
        <n v="5.5238095238095237"/>
        <n v="3.5555555555555554"/>
        <n v="1.0476190476190477"/>
        <n v="2.5789473684210527"/>
        <n v="3.6666666666666665"/>
        <n v="2.9130434782608696"/>
        <n v="4.4375"/>
        <n v="5.0666666666666664"/>
        <n v="2.8461538461538463"/>
        <n v="-0.23809523809523808"/>
        <n v="1.56"/>
        <n v="3.9117647058823528"/>
        <n v="2.5517241379310347"/>
        <n v="2.6363636363636362"/>
        <n v="0.19540229885057472"/>
        <n v="2.5217391304347827"/>
        <n v="3.8484848484848486"/>
        <n v="2.48"/>
        <n v="2.4482758620689653"/>
        <n v="2.870967741935484"/>
        <n v="2.5757575757575757"/>
        <n v="0.17647058823529413"/>
        <n v="2.5405405405405403"/>
        <n v="2.4827586206896552"/>
        <n v="1.8"/>
        <n v="2.5384615384615383"/>
        <n v="-2.1428571428571428"/>
        <n v="2.9512195121951219"/>
        <n v="2.4838709677419355"/>
        <n v="0.21052631578947367"/>
        <n v="3.7162162162162162"/>
        <n v="5.7941176470588234"/>
        <n v="3.7931034482758621"/>
        <n v="3.9090909090909092"/>
        <n v="0.28735632183908044"/>
        <n v="3.7391304347826089"/>
        <n v="5.6969696969696972"/>
        <n v="3.68"/>
        <n v="3.6206896551724137"/>
        <n v="4.258064516129032"/>
        <n v="3.8181818181818183"/>
        <n v="0.25882352941176473"/>
        <n v="3.7702702702702702"/>
        <n v="3.6896551724137931"/>
        <n v="3.7692307692307692"/>
        <n v="-3.1428571428571428"/>
        <n v="4.3902439024390247"/>
        <n v="3.6774193548387095"/>
        <n v="0.31578947368421051"/>
        <n v="2.8048780487804876"/>
        <n v="2.9047619047619047"/>
        <n v="2.8378378378378377"/>
        <n v="4.1707317073170733"/>
        <n v="4.3095238095238093"/>
        <n v="4.2162162162162158"/>
        <n v="15.130434782608695"/>
        <n v="0.20689655172413793"/>
        <n v="-1.7876106194690264"/>
        <n v="2.0444444444444443"/>
        <n v="6.5909090909090908"/>
        <n v="1.34375"/>
        <n v="-2.2972972972972974"/>
        <n v="3.9411764705882355"/>
        <n v="2.04"/>
        <n v="2.52"/>
        <n v="13.5"/>
        <n v="2.7126436781609193"/>
        <n v="-1.8532110091743119"/>
        <n v="2.16"/>
        <n v="6.4576271186440675"/>
        <n v="2.193548387096774"/>
        <n v="-2.2608695652173911"/>
        <n v="2.975609756097561"/>
        <n v="2.1481481481481484"/>
        <n v="2.5172413793103448"/>
        <n v="17.727272727272727"/>
        <n v="2.7938144329896906"/>
        <n v="0.22105263157894736"/>
        <n v="-1.8360655737704918"/>
        <n v="4.4571428571428573"/>
        <n v="2.7837837837837838"/>
        <n v="-2.5540540540540539"/>
        <n v="3.7083333333333335"/>
        <n v="3.1785714285714284"/>
        <n v="22.434782608695652"/>
        <n v="4.0329670329670328"/>
        <n v="0.31034482758620691"/>
        <n v="-2.6548672566371683"/>
        <n v="3.0444444444444443"/>
        <n v="9.7878787878787872"/>
        <n v="1.9895833333333333"/>
        <n v="-3.4054054054054053"/>
        <n v="5.7"/>
        <n v="5.8529411764705879"/>
        <n v="3.04"/>
        <n v="3.72"/>
        <n v="20.041666666666668"/>
        <n v="4.0229885057471266"/>
        <n v="-2.7522935779816513"/>
        <n v="9.5762711864406782"/>
        <n v="3.2580645161290325"/>
        <n v="-3.36231884057971"/>
        <n v="5.6818181818181817"/>
        <n v="4.4146341463414638"/>
        <n v="3.1851851851851851"/>
        <n v="3.7241379310344827"/>
        <n v="26.318181818181817"/>
        <n v="4.1443298969072169"/>
        <n v="0.32631578947368423"/>
        <n v="-2.721311475409836"/>
        <n v="6.6142857142857139"/>
        <n v="4.1351351351351351"/>
        <n v="-3.7837837837837838"/>
        <n v="5.5"/>
        <n v="3.8666666666666667"/>
        <n v="2.9487179487179489"/>
        <n v="2.2575757575757578"/>
        <n v="2.4"/>
        <n v="-0.66666666666666663"/>
        <n v="2.1785714285714284"/>
        <n v="2.9230769230769229"/>
        <n v="1.90625"/>
        <n v="-1.2222222222222223"/>
        <n v="2.9444444444444446"/>
        <n v="2.4166666666666665"/>
        <n v="2.1864406779661016"/>
        <n v="3.8787878787878789"/>
        <n v="2.4385964912280702"/>
        <n v="2.6133333333333333"/>
        <n v="2.14"/>
        <n v="2.4137931034482758"/>
        <n v="0.18823529411764706"/>
        <n v="2.9722222222222223"/>
        <n v="1.8602150537634408"/>
        <n v="3.05"/>
        <n v="2.2428571428571429"/>
        <n v="2.6575342465753424"/>
        <n v="2.1111111111111112"/>
        <n v="3.0750000000000002"/>
        <n v="2.2285714285714286"/>
        <n v="1.9459459459459461"/>
        <n v="5.7333333333333334"/>
        <n v="4.384615384615385"/>
        <n v="3.3484848484848486"/>
        <n v="3.56"/>
        <n v="3.9523809523809526"/>
        <n v="1.7333333333333334"/>
        <n v="4.333333333333333"/>
        <n v="-1.7777777777777777"/>
        <n v="4.3611111111111107"/>
        <n v="3.5833333333333335"/>
        <n v="3.2372881355932202"/>
        <n v="5.7575757575757578"/>
        <n v="3.6140350877192984"/>
        <n v="3.88"/>
        <n v="3.18"/>
        <n v="3.5862068965517242"/>
        <n v="0.28235294117647058"/>
        <n v="4.416666666666667"/>
        <n v="2.763440860215054"/>
        <n v="5.458333333333333"/>
        <n v="4.5250000000000004"/>
        <n v="3.3285714285714287"/>
        <n v="3.9452054794520546"/>
        <n v="3.9629629629629628"/>
        <n v="3.1481481481481484"/>
        <n v="4.5750000000000002"/>
        <n v="3.3142857142857145"/>
        <n v="2.8918918918918921"/>
        <n v="-2.34"/>
        <n v="2.6785714285714284"/>
        <n v="-1.8974358974358974"/>
        <n v="0.23893805309734514"/>
        <n v="2.5135135135135136"/>
        <n v="2.2307692307692308"/>
        <n v="2.0222222222222221"/>
        <n v="1.1052631578947369"/>
        <n v="1.4666666666666666"/>
        <n v="0.23008849557522124"/>
        <n v="-1.0384615384615385"/>
        <n v="-3.78125"/>
        <n v="-2.2280701754385963"/>
        <n v="2.6266666666666665"/>
        <n v="-1.5555555555555556"/>
        <n v="2.7011494252873565"/>
        <n v="0.23853211009174313"/>
        <n v="0.82352941176470584"/>
        <n v="2.4210526315789473"/>
        <n v="2.1694915254237288"/>
        <n v="-3.6559139784946235"/>
        <n v="-2.0410958904109591"/>
        <n v="-2.2000000000000002"/>
        <n v="0.25409836065573771"/>
        <n v="2.125"/>
        <n v="0.26229508196721313"/>
        <n v="2.6543209876543208"/>
        <n v="-3.6756756756756759"/>
        <n v="-3.48"/>
        <n v="3.9761904761904763"/>
        <n v="-2.8205128205128207"/>
        <n v="0.35398230088495575"/>
        <n v="3.7297297297297298"/>
        <n v="3.3076923076923075"/>
        <n v="2.65"/>
        <n v="1.631578947368421"/>
        <n v="0.34513274336283184"/>
        <n v="-1.5384615384615385"/>
        <n v="-5.614583333333333"/>
        <n v="-3.2982456140350878"/>
        <n v="3.8933333333333335"/>
        <n v="-2.3055555555555554"/>
        <n v="4.0114942528735629"/>
        <n v="0.3577981651376147"/>
        <n v="2.7619047619047619"/>
        <n v="1.2352941176470589"/>
        <n v="3.7"/>
        <n v="3.5964912280701755"/>
        <n v="3.2203389830508473"/>
        <n v="-5.43010752688172"/>
        <n v="-3.0273972602739727"/>
        <n v="-3.2749999999999999"/>
        <n v="0.37704918032786883"/>
        <n v="0.38524590163934425"/>
        <n v="3.9382716049382718"/>
        <n v="-5.4504504504504503"/>
      </sharedItems>
    </cacheField>
    <cacheField name="Product Category" numFmtId="0">
      <sharedItems count="2">
        <s v="Low Profit"/>
        <s v="High Profit"/>
      </sharedItems>
    </cacheField>
    <cacheField name="COGS overview" numFmtId="0">
      <sharedItems containsSemiMixedTypes="0" containsString="0" containsNumber="1" containsInteger="1" minValue="0" maxValue="294"/>
    </cacheField>
    <cacheField name=" Revenue (Sales)" numFmtId="0">
      <sharedItems containsSemiMixedTypes="0" containsString="0" containsNumber="1" containsInteger="1" minValue="21" maxValue="815"/>
    </cacheField>
    <cacheField name="Months (Date)" numFmtId="0" databaseField="0">
      <fieldGroup base="2">
        <rangePr groupBy="months" startDate="2012-10-01T00:00:00" endDate="2013-12-02T00:00:00"/>
        <groupItems count="14">
          <s v="&lt;01-10-2012"/>
          <s v="Jan"/>
          <s v="Feb"/>
          <s v="Mar"/>
          <s v="Apr"/>
          <s v="May"/>
          <s v="Jun"/>
          <s v="Jul"/>
          <s v="Aug"/>
          <s v="Sep"/>
          <s v="Oct"/>
          <s v="Nov"/>
          <s v="Dec"/>
          <s v="&gt;02-12-2013"/>
        </groupItems>
      </fieldGroup>
    </cacheField>
    <cacheField name="Quarters (Date)" numFmtId="0" databaseField="0">
      <fieldGroup base="2">
        <rangePr groupBy="quarters" startDate="2012-10-01T00:00:00" endDate="2013-12-02T00:00:00"/>
        <groupItems count="6">
          <s v="&lt;01-10-2012"/>
          <s v="Qtr1"/>
          <s v="Qtr2"/>
          <s v="Qtr3"/>
          <s v="Qtr4"/>
          <s v="&gt;02-12-2013"/>
        </groupItems>
      </fieldGroup>
    </cacheField>
    <cacheField name="Years (Date)" numFmtId="0" databaseField="0">
      <fieldGroup base="2">
        <rangePr groupBy="years" startDate="2012-10-01T00:00:00" endDate="2013-12-02T00:00:00"/>
        <groupItems count="4">
          <s v="&lt;01-10-2012"/>
          <s v="2012"/>
          <s v="2013"/>
          <s v="&gt;02-12-2013"/>
        </groupItems>
      </fieldGroup>
    </cacheField>
  </cacheFields>
  <extLst>
    <ext xmlns:x14="http://schemas.microsoft.com/office/spreadsheetml/2009/9/main" uri="{725AE2AE-9491-48be-B2B4-4EB974FC3084}">
      <x14:pivotCacheDefinition pivotCacheId="17293077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YDI GANESH" refreshedDate="46131.582692361109" createdVersion="8" refreshedVersion="8" minRefreshableVersion="3" recordCount="1062" xr:uid="{4D10EDF7-9691-4660-AE4E-07C724951411}">
  <cacheSource type="worksheet">
    <worksheetSource name="Table1" r:id="rId2"/>
  </cacheSource>
  <cacheFields count="34">
    <cacheField name="Store id" numFmtId="0">
      <sharedItems containsSemiMixedTypes="0" containsString="0" containsNumber="1" containsInteger="1" minValue="203" maxValue="985" count="149">
        <n v="303"/>
        <n v="970"/>
        <n v="409"/>
        <n v="850"/>
        <n v="562"/>
        <n v="712"/>
        <n v="860"/>
        <n v="918"/>
        <n v="775"/>
        <n v="435"/>
        <n v="603"/>
        <n v="318"/>
        <n v="503"/>
        <n v="573"/>
        <n v="262"/>
        <n v="801"/>
        <n v="425"/>
        <n v="971"/>
        <n v="915"/>
        <n v="210"/>
        <n v="774"/>
        <n v="954"/>
        <n v="936"/>
        <n v="719"/>
        <n v="847"/>
        <n v="339"/>
        <n v="314"/>
        <n v="504"/>
        <n v="580"/>
        <n v="225"/>
        <n v="509"/>
        <n v="203"/>
        <n v="206"/>
        <n v="682"/>
        <n v="214"/>
        <n v="561"/>
        <n v="469"/>
        <n v="619"/>
        <n v="985"/>
        <n v="505"/>
        <n v="417"/>
        <n v="920"/>
        <n v="475"/>
        <n v="720"/>
        <n v="430"/>
        <n v="510"/>
        <n v="563"/>
        <n v="405"/>
        <n v="702"/>
        <n v="541"/>
        <n v="254"/>
        <n v="806"/>
        <n v="708"/>
        <n v="351"/>
        <n v="636"/>
        <n v="337"/>
        <n v="253"/>
        <n v="956"/>
        <n v="305"/>
        <n v="407"/>
        <n v="325"/>
        <n v="408"/>
        <n v="816"/>
        <n v="508"/>
        <n v="209"/>
        <n v="715"/>
        <n v="319"/>
        <n v="959"/>
        <n v="773"/>
        <n v="614"/>
        <n v="617"/>
        <n v="707"/>
        <n v="352"/>
        <n v="650"/>
        <n v="515"/>
        <n v="805"/>
        <n v="863"/>
        <n v="641"/>
        <n v="360"/>
        <n v="904"/>
        <n v="978"/>
        <n v="626"/>
        <n v="312"/>
        <n v="419"/>
        <n v="857"/>
        <n v="323"/>
        <n v="760"/>
        <n v="330"/>
        <n v="321"/>
        <n v="630"/>
        <n v="937"/>
        <n v="813"/>
        <n v="530"/>
        <n v="440"/>
        <n v="608"/>
        <n v="660"/>
        <n v="216"/>
        <n v="832"/>
        <n v="567"/>
        <n v="713"/>
        <n v="718"/>
        <n v="513"/>
        <n v="512"/>
        <n v="309"/>
        <n v="234"/>
        <n v="772"/>
        <n v="914"/>
        <n v="361"/>
        <n v="781"/>
        <n v="413"/>
        <n v="786"/>
        <n v="217"/>
        <n v="414"/>
        <n v="740"/>
        <n v="518"/>
        <n v="213"/>
        <n v="432"/>
        <n v="815"/>
        <n v="585"/>
        <n v="817"/>
        <n v="972"/>
        <n v="281"/>
        <n v="239"/>
        <n v="315"/>
        <n v="845"/>
        <n v="386"/>
        <n v="516"/>
        <n v="716"/>
        <n v="754"/>
        <n v="347"/>
        <n v="646"/>
        <n v="631"/>
        <n v="212"/>
        <n v="607"/>
        <n v="727"/>
        <n v="917"/>
        <n v="224"/>
        <n v="618"/>
        <n v="951"/>
        <n v="714"/>
        <n v="818"/>
        <n v="661"/>
        <n v="909"/>
        <n v="559"/>
        <n v="916"/>
        <n v="415"/>
        <n v="925"/>
        <n v="831"/>
        <n v="949"/>
      </sharedItems>
    </cacheField>
    <cacheField name="Cogs" numFmtId="0">
      <sharedItems containsSemiMixedTypes="0" containsString="0" containsNumber="1" containsInteger="1" minValue="0" maxValue="294"/>
    </cacheField>
    <cacheField name="Date" numFmtId="14">
      <sharedItems containsSemiMixedTypes="0" containsNonDate="0" containsDate="1" containsString="0" minDate="2012-10-01T00:00:00" maxDate="2013-12-02T00:00:00" count="6">
        <d v="2012-10-01T00:00:00"/>
        <d v="2012-11-01T00:00:00"/>
        <d v="2012-12-01T00:00:00"/>
        <d v="2013-10-01T00:00:00"/>
        <d v="2013-11-01T00:00:00"/>
        <d v="2013-12-01T00:00:00"/>
      </sharedItems>
      <fieldGroup par="33"/>
    </cacheField>
    <cacheField name="Market Size" numFmtId="0">
      <sharedItems count="2">
        <s v="Major Market"/>
        <s v="Small Market"/>
      </sharedItems>
    </cacheField>
    <cacheField name="Regional Performance" numFmtId="0">
      <sharedItems count="4">
        <s v="Central"/>
        <s v="South"/>
        <s v="East"/>
        <s v="West"/>
      </sharedItems>
    </cacheField>
    <cacheField name="Marketing" numFmtId="0">
      <sharedItems containsSemiMixedTypes="0" containsString="0" containsNumber="1" containsInteger="1" minValue="0" maxValue="122" count="67">
        <n v="46"/>
        <n v="17"/>
        <n v="13"/>
        <n v="10"/>
        <n v="23"/>
        <n v="0"/>
        <n v="15"/>
        <n v="7"/>
        <n v="9"/>
        <n v="11"/>
        <n v="14"/>
        <n v="41"/>
        <n v="54"/>
        <n v="12"/>
        <n v="20"/>
        <n v="27"/>
        <n v="28"/>
        <n v="47"/>
        <n v="8"/>
        <n v="40"/>
        <n v="16"/>
        <n v="55"/>
        <n v="42"/>
        <n v="24"/>
        <n v="49"/>
        <n v="44"/>
        <n v="25"/>
        <n v="19"/>
        <n v="21"/>
        <n v="6"/>
        <n v="30"/>
        <n v="18"/>
        <n v="26"/>
        <n v="31"/>
        <n v="22"/>
        <n v="5"/>
        <n v="4"/>
        <n v="74"/>
        <n v="34"/>
        <n v="29"/>
        <n v="33"/>
        <n v="87"/>
        <n v="69"/>
        <n v="85"/>
        <n v="95"/>
        <n v="37"/>
        <n v="91"/>
        <n v="113"/>
        <n v="45"/>
        <n v="66"/>
        <n v="96"/>
        <n v="109"/>
        <n v="50"/>
        <n v="59"/>
        <n v="93"/>
        <n v="97"/>
        <n v="122"/>
        <n v="70"/>
        <n v="111"/>
        <n v="39"/>
        <n v="84"/>
        <n v="3"/>
        <n v="36"/>
        <n v="57"/>
        <n v="75"/>
        <n v="73"/>
        <n v="81"/>
      </sharedItems>
    </cacheField>
    <cacheField name="Product Line" numFmtId="0">
      <sharedItems count="2">
        <s v="Leaves"/>
        <s v="Beans"/>
      </sharedItems>
    </cacheField>
    <cacheField name="Product Type" numFmtId="0">
      <sharedItems count="4">
        <s v="Herbal Tea"/>
        <s v="Tea"/>
        <s v="Espresso"/>
        <s v="Coffee"/>
      </sharedItems>
    </cacheField>
    <cacheField name="Product" numFmtId="0">
      <sharedItems count="13">
        <s v="Lemon"/>
        <s v="Mint"/>
        <s v="Darjeeling"/>
        <s v="Green Tea"/>
        <s v="Decaf Espresso"/>
        <s v="Decaf Irish Cream"/>
        <s v="Amaretto"/>
        <s v="Colombian"/>
        <s v="Caffe Mocha"/>
        <s v="Caffe Latte"/>
        <s v="Chamomile"/>
        <s v="Earl Grey"/>
        <s v="Regular Espresso"/>
      </sharedItems>
    </cacheField>
    <cacheField name="Profit" numFmtId="0">
      <sharedItems containsSemiMixedTypes="0" containsString="0" containsNumber="1" containsInteger="1" minValue="-605" maxValue="646" count="238">
        <n v="-5"/>
        <n v="26"/>
        <n v="28"/>
        <n v="35"/>
        <n v="56"/>
        <n v="31"/>
        <n v="21"/>
        <n v="7"/>
        <n v="37"/>
        <n v="33"/>
        <n v="24"/>
        <n v="-7"/>
        <n v="1"/>
        <n v="-2"/>
        <n v="12"/>
        <n v="-6"/>
        <n v="45"/>
        <n v="47"/>
        <n v="36"/>
        <n v="64"/>
        <n v="76"/>
        <n v="48"/>
        <n v="27"/>
        <n v="-8"/>
        <n v="44"/>
        <n v="15"/>
        <n v="29"/>
        <n v="30"/>
        <n v="34"/>
        <n v="14"/>
        <n v="20"/>
        <n v="49"/>
        <n v="13"/>
        <n v="52"/>
        <n v="23"/>
        <n v="50"/>
        <n v="53"/>
        <n v="-3"/>
        <n v="16"/>
        <n v="17"/>
        <n v="39"/>
        <n v="42"/>
        <n v="83"/>
        <n v="46"/>
        <n v="10"/>
        <n v="55"/>
        <n v="-10"/>
        <n v="18"/>
        <n v="-9"/>
        <n v="67"/>
        <n v="70"/>
        <n v="95"/>
        <n v="113"/>
        <n v="71"/>
        <n v="40"/>
        <n v="-12"/>
        <n v="65"/>
        <n v="22"/>
        <n v="43"/>
        <n v="73"/>
        <n v="19"/>
        <n v="77"/>
        <n v="74"/>
        <n v="79"/>
        <n v="-4"/>
        <n v="25"/>
        <n v="0"/>
        <n v="57"/>
        <n v="38"/>
        <n v="-20"/>
        <n v="6"/>
        <n v="32"/>
        <n v="8"/>
        <n v="117"/>
        <n v="85"/>
        <n v="-30"/>
        <n v="9"/>
        <n v="-26"/>
        <n v="11"/>
        <n v="5"/>
        <n v="2"/>
        <n v="-39"/>
        <n v="-13"/>
        <n v="3"/>
        <n v="-11"/>
        <n v="58"/>
        <n v="-16"/>
        <n v="82"/>
        <n v="68"/>
        <n v="86"/>
        <n v="-18"/>
        <n v="-24"/>
        <n v="78"/>
        <n v="59"/>
        <n v="51"/>
        <n v="116"/>
        <n v="96"/>
        <n v="88"/>
        <n v="185"/>
        <n v="133"/>
        <n v="87"/>
        <n v="174"/>
        <n v="127"/>
        <n v="62"/>
        <n v="89"/>
        <n v="188"/>
        <n v="72"/>
        <n v="66"/>
        <n v="-15"/>
        <n v="121"/>
        <n v="275"/>
        <n v="197"/>
        <n v="110"/>
        <n v="129"/>
        <n v="258"/>
        <n v="92"/>
        <n v="105"/>
        <n v="132"/>
        <n v="126"/>
        <n v="279"/>
        <n v="107"/>
        <n v="98"/>
        <n v="-22"/>
        <n v="180"/>
        <n v="114"/>
        <n v="115"/>
        <n v="122"/>
        <n v="171"/>
        <n v="181"/>
        <n v="156"/>
        <n v="60"/>
        <n v="348"/>
        <n v="247"/>
        <n v="-202"/>
        <n v="435"/>
        <n v="-170"/>
        <n v="134"/>
        <n v="63"/>
        <n v="324"/>
        <n v="236"/>
        <n v="108"/>
        <n v="381"/>
        <n v="204"/>
        <n v="-156"/>
        <n v="84"/>
        <n v="390"/>
        <n v="271"/>
        <n v="-224"/>
        <n v="312"/>
        <n v="309"/>
        <n v="-189"/>
        <n v="516"/>
        <n v="367"/>
        <n v="-300"/>
        <n v="137"/>
        <n v="646"/>
        <n v="191"/>
        <n v="-252"/>
        <n v="199"/>
        <n v="93"/>
        <n v="481"/>
        <n v="350"/>
        <n v="160"/>
        <n v="565"/>
        <n v="303"/>
        <n v="-232"/>
        <n v="125"/>
        <n v="579"/>
        <n v="402"/>
        <n v="-332"/>
        <n v="463"/>
        <n v="459"/>
        <n v="-280"/>
        <n v="149"/>
        <n v="120"/>
        <n v="224"/>
        <n v="61"/>
        <n v="183"/>
        <n v="106"/>
        <n v="128"/>
        <n v="139"/>
        <n v="196"/>
        <n v="173"/>
        <n v="157"/>
        <n v="194"/>
        <n v="216"/>
        <n v="-1"/>
        <n v="123"/>
        <n v="172"/>
        <n v="221"/>
        <n v="178"/>
        <n v="332"/>
        <n v="91"/>
        <n v="169"/>
        <n v="272"/>
        <n v="190"/>
        <n v="206"/>
        <n v="291"/>
        <n v="159"/>
        <n v="104"/>
        <n v="257"/>
        <n v="131"/>
        <n v="233"/>
        <n v="288"/>
        <n v="321"/>
        <n v="232"/>
        <n v="-117"/>
        <n v="225"/>
        <n v="-74"/>
        <n v="186"/>
        <n v="-27"/>
        <n v="-363"/>
        <n v="-127"/>
        <n v="-56"/>
        <n v="235"/>
        <n v="138"/>
        <n v="-340"/>
        <n v="-149"/>
        <n v="-88"/>
        <n v="215"/>
        <n v="-408"/>
        <n v="-174"/>
        <n v="334"/>
        <n v="-110"/>
        <n v="276"/>
        <n v="135"/>
        <n v="-40"/>
        <n v="-539"/>
        <n v="-188"/>
        <n v="292"/>
        <n v="-83"/>
        <n v="349"/>
        <n v="205"/>
        <n v="-505"/>
        <n v="-221"/>
        <n v="-131"/>
        <n v="319"/>
        <n v="-605"/>
      </sharedItems>
    </cacheField>
    <cacheField name="Sales" numFmtId="0">
      <sharedItems containsSemiMixedTypes="0" containsString="0" containsNumber="1" containsInteger="1" minValue="21" maxValue="815" count="243">
        <n v="122"/>
        <n v="123"/>
        <n v="107"/>
        <n v="94"/>
        <n v="182"/>
        <n v="43"/>
        <n v="111"/>
        <n v="66"/>
        <n v="68"/>
        <n v="99"/>
        <n v="120"/>
        <n v="114"/>
        <n v="109"/>
        <n v="144"/>
        <n v="77"/>
        <n v="118"/>
        <n v="119"/>
        <n v="205"/>
        <n v="218"/>
        <n v="92"/>
        <n v="164"/>
        <n v="124"/>
        <n v="125"/>
        <n v="88"/>
        <n v="81"/>
        <n v="78"/>
        <n v="121"/>
        <n v="113"/>
        <n v="106"/>
        <n v="141"/>
        <n v="115"/>
        <n v="90"/>
        <n v="147"/>
        <n v="133"/>
        <n v="112"/>
        <n v="127"/>
        <n v="145"/>
        <n v="176"/>
        <n v="101"/>
        <n v="85"/>
        <n v="82"/>
        <n v="131"/>
        <n v="160"/>
        <n v="153"/>
        <n v="139"/>
        <n v="130"/>
        <n v="100"/>
        <n v="194"/>
        <n v="46"/>
        <n v="70"/>
        <n v="72"/>
        <n v="128"/>
        <n v="116"/>
        <n v="126"/>
        <n v="232"/>
        <n v="98"/>
        <n v="175"/>
        <n v="132"/>
        <n v="86"/>
        <n v="83"/>
        <n v="129"/>
        <n v="150"/>
        <n v="96"/>
        <n v="157"/>
        <n v="142"/>
        <n v="135"/>
        <n v="155"/>
        <n v="188"/>
        <n v="108"/>
        <n v="91"/>
        <n v="87"/>
        <n v="140"/>
        <n v="171"/>
        <n v="163"/>
        <n v="148"/>
        <n v="174"/>
        <n v="187"/>
        <n v="51"/>
        <n v="58"/>
        <n v="177"/>
        <n v="159"/>
        <n v="80"/>
        <n v="56"/>
        <n v="74"/>
        <n v="103"/>
        <n v="69"/>
        <n v="185"/>
        <n v="199"/>
        <n v="54"/>
        <n v="62"/>
        <n v="189"/>
        <n v="151"/>
        <n v="169"/>
        <n v="75"/>
        <n v="60"/>
        <n v="79"/>
        <n v="110"/>
        <n v="52"/>
        <n v="64"/>
        <n v="76"/>
        <n v="73"/>
        <n v="89"/>
        <n v="84"/>
        <n v="55"/>
        <n v="95"/>
        <n v="138"/>
        <n v="184"/>
        <n v="168"/>
        <n v="134"/>
        <n v="196"/>
        <n v="179"/>
        <n v="104"/>
        <n v="53"/>
        <n v="61"/>
        <n v="63"/>
        <n v="39"/>
        <n v="41"/>
        <n v="45"/>
        <n v="65"/>
        <n v="67"/>
        <n v="42"/>
        <n v="44"/>
        <n v="48"/>
        <n v="201"/>
        <n v="520"/>
        <n v="302"/>
        <n v="236"/>
        <n v="230"/>
        <n v="490"/>
        <n v="290"/>
        <n v="197"/>
        <n v="200"/>
        <n v="245"/>
        <n v="231"/>
        <n v="224"/>
        <n v="525"/>
        <n v="221"/>
        <n v="320"/>
        <n v="214"/>
        <n v="250"/>
        <n v="554"/>
        <n v="322"/>
        <n v="251"/>
        <n v="522"/>
        <n v="309"/>
        <n v="210"/>
        <n v="213"/>
        <n v="261"/>
        <n v="246"/>
        <n v="239"/>
        <n v="559"/>
        <n v="341"/>
        <n v="228"/>
        <n v="266"/>
        <n v="313"/>
        <n v="325"/>
        <n v="289"/>
        <n v="334"/>
        <n v="346"/>
        <n v="308"/>
        <n v="202"/>
        <n v="474"/>
        <n v="650"/>
        <n v="765"/>
        <n v="513"/>
        <n v="265"/>
        <n v="180"/>
        <n v="454"/>
        <n v="623"/>
        <n v="363"/>
        <n v="675"/>
        <n v="576"/>
        <n v="198"/>
        <n v="195"/>
        <n v="510"/>
        <n v="699"/>
        <n v="306"/>
        <n v="657"/>
        <n v="747"/>
        <n v="215"/>
        <n v="505"/>
        <n v="693"/>
        <n v="343"/>
        <n v="815"/>
        <n v="547"/>
        <n v="282"/>
        <n v="192"/>
        <n v="484"/>
        <n v="664"/>
        <n v="387"/>
        <n v="719"/>
        <n v="614"/>
        <n v="211"/>
        <n v="208"/>
        <n v="543"/>
        <n v="745"/>
        <n v="326"/>
        <n v="700"/>
        <n v="796"/>
        <n v="158"/>
        <n v="298"/>
        <n v="478"/>
        <n v="367"/>
        <n v="598"/>
        <n v="23"/>
        <n v="567"/>
        <n v="278"/>
        <n v="423"/>
        <n v="412"/>
        <n v="532"/>
        <n v="545"/>
        <n v="312"/>
        <n v="501"/>
        <n v="534"/>
        <n v="24"/>
        <n v="654"/>
        <n v="318"/>
        <n v="509"/>
        <n v="391"/>
        <n v="637"/>
        <n v="25"/>
        <n v="604"/>
        <n v="296"/>
        <n v="451"/>
        <n v="439"/>
        <n v="581"/>
        <n v="332"/>
        <n v="569"/>
        <n v="26"/>
        <n v="697"/>
        <n v="167"/>
        <n v="21"/>
        <n v="146"/>
        <n v="156"/>
        <n v="32"/>
        <n v="102"/>
        <n v="31"/>
        <n v="178"/>
        <n v="22"/>
        <n v="136"/>
        <n v="166"/>
        <n v="34"/>
        <n v="33"/>
      </sharedItems>
    </cacheField>
    <cacheField name="State" numFmtId="0">
      <sharedItems count="20">
        <s v="Colorado"/>
        <s v="Texas"/>
        <s v="Florida"/>
        <s v="California"/>
        <s v="Iowa"/>
        <s v="Connecticut"/>
        <s v="Oklahoma"/>
        <s v="Nevada"/>
        <s v="Utah"/>
        <s v="New Hampshire"/>
        <s v="Louisiana"/>
        <s v="Oregon"/>
        <s v="Missouri"/>
        <s v="Wisconsin"/>
        <s v="Washington"/>
        <s v="Massachusetts"/>
        <s v="Illinois"/>
        <s v="New Mexico"/>
        <s v="Ohio"/>
        <s v="New York"/>
      </sharedItems>
    </cacheField>
    <cacheField name="Target COGS" numFmtId="0">
      <sharedItems containsSemiMixedTypes="0" containsString="0" containsNumber="1" containsInteger="1" minValue="0" maxValue="380"/>
    </cacheField>
    <cacheField name="Target Profit" numFmtId="0">
      <sharedItems containsSemiMixedTypes="0" containsString="0" containsNumber="1" containsInteger="1" minValue="-320" maxValue="470"/>
    </cacheField>
    <cacheField name="Target Sales" numFmtId="0">
      <sharedItems containsSemiMixedTypes="0" containsString="0" containsNumber="1" containsInteger="1" minValue="0" maxValue="960"/>
    </cacheField>
    <cacheField name="Other Expenses" numFmtId="0">
      <sharedItems containsSemiMixedTypes="0" containsString="0" containsNumber="1" containsInteger="1" minValue="11" maxValue="156"/>
    </cacheField>
    <cacheField name="Total Sales" numFmtId="0">
      <sharedItems containsSemiMixedTypes="0" containsString="0" containsNumber="1" containsInteger="1" minValue="21" maxValue="815" count="243">
        <n v="122"/>
        <n v="123"/>
        <n v="107"/>
        <n v="94"/>
        <n v="182"/>
        <n v="43"/>
        <n v="111"/>
        <n v="66"/>
        <n v="68"/>
        <n v="99"/>
        <n v="120"/>
        <n v="114"/>
        <n v="109"/>
        <n v="144"/>
        <n v="77"/>
        <n v="118"/>
        <n v="119"/>
        <n v="205"/>
        <n v="218"/>
        <n v="92"/>
        <n v="164"/>
        <n v="124"/>
        <n v="125"/>
        <n v="88"/>
        <n v="81"/>
        <n v="78"/>
        <n v="121"/>
        <n v="113"/>
        <n v="106"/>
        <n v="141"/>
        <n v="115"/>
        <n v="90"/>
        <n v="147"/>
        <n v="133"/>
        <n v="112"/>
        <n v="127"/>
        <n v="145"/>
        <n v="176"/>
        <n v="101"/>
        <n v="85"/>
        <n v="82"/>
        <n v="131"/>
        <n v="160"/>
        <n v="153"/>
        <n v="139"/>
        <n v="130"/>
        <n v="100"/>
        <n v="194"/>
        <n v="46"/>
        <n v="70"/>
        <n v="72"/>
        <n v="128"/>
        <n v="116"/>
        <n v="126"/>
        <n v="232"/>
        <n v="98"/>
        <n v="175"/>
        <n v="132"/>
        <n v="86"/>
        <n v="83"/>
        <n v="129"/>
        <n v="150"/>
        <n v="96"/>
        <n v="157"/>
        <n v="142"/>
        <n v="135"/>
        <n v="155"/>
        <n v="188"/>
        <n v="108"/>
        <n v="91"/>
        <n v="87"/>
        <n v="140"/>
        <n v="171"/>
        <n v="163"/>
        <n v="148"/>
        <n v="174"/>
        <n v="187"/>
        <n v="51"/>
        <n v="58"/>
        <n v="177"/>
        <n v="159"/>
        <n v="80"/>
        <n v="56"/>
        <n v="74"/>
        <n v="103"/>
        <n v="69"/>
        <n v="185"/>
        <n v="199"/>
        <n v="54"/>
        <n v="62"/>
        <n v="189"/>
        <n v="151"/>
        <n v="169"/>
        <n v="75"/>
        <n v="60"/>
        <n v="79"/>
        <n v="110"/>
        <n v="52"/>
        <n v="64"/>
        <n v="76"/>
        <n v="73"/>
        <n v="89"/>
        <n v="84"/>
        <n v="55"/>
        <n v="95"/>
        <n v="138"/>
        <n v="184"/>
        <n v="168"/>
        <n v="134"/>
        <n v="196"/>
        <n v="179"/>
        <n v="104"/>
        <n v="53"/>
        <n v="61"/>
        <n v="63"/>
        <n v="39"/>
        <n v="41"/>
        <n v="45"/>
        <n v="65"/>
        <n v="67"/>
        <n v="42"/>
        <n v="44"/>
        <n v="48"/>
        <n v="201"/>
        <n v="520"/>
        <n v="302"/>
        <n v="236"/>
        <n v="230"/>
        <n v="490"/>
        <n v="290"/>
        <n v="197"/>
        <n v="200"/>
        <n v="245"/>
        <n v="231"/>
        <n v="224"/>
        <n v="525"/>
        <n v="221"/>
        <n v="320"/>
        <n v="214"/>
        <n v="250"/>
        <n v="554"/>
        <n v="322"/>
        <n v="251"/>
        <n v="522"/>
        <n v="309"/>
        <n v="210"/>
        <n v="213"/>
        <n v="261"/>
        <n v="246"/>
        <n v="239"/>
        <n v="559"/>
        <n v="341"/>
        <n v="228"/>
        <n v="266"/>
        <n v="313"/>
        <n v="325"/>
        <n v="289"/>
        <n v="334"/>
        <n v="346"/>
        <n v="308"/>
        <n v="202"/>
        <n v="474"/>
        <n v="650"/>
        <n v="765"/>
        <n v="513"/>
        <n v="265"/>
        <n v="180"/>
        <n v="454"/>
        <n v="623"/>
        <n v="363"/>
        <n v="675"/>
        <n v="576"/>
        <n v="198"/>
        <n v="195"/>
        <n v="510"/>
        <n v="699"/>
        <n v="306"/>
        <n v="657"/>
        <n v="747"/>
        <n v="215"/>
        <n v="505"/>
        <n v="693"/>
        <n v="343"/>
        <n v="815"/>
        <n v="547"/>
        <n v="282"/>
        <n v="192"/>
        <n v="484"/>
        <n v="664"/>
        <n v="387"/>
        <n v="719"/>
        <n v="614"/>
        <n v="211"/>
        <n v="208"/>
        <n v="543"/>
        <n v="745"/>
        <n v="326"/>
        <n v="700"/>
        <n v="796"/>
        <n v="158"/>
        <n v="298"/>
        <n v="478"/>
        <n v="367"/>
        <n v="598"/>
        <n v="23"/>
        <n v="567"/>
        <n v="278"/>
        <n v="423"/>
        <n v="412"/>
        <n v="532"/>
        <n v="545"/>
        <n v="312"/>
        <n v="501"/>
        <n v="534"/>
        <n v="24"/>
        <n v="654"/>
        <n v="318"/>
        <n v="509"/>
        <n v="391"/>
        <n v="637"/>
        <n v="25"/>
        <n v="604"/>
        <n v="296"/>
        <n v="451"/>
        <n v="439"/>
        <n v="581"/>
        <n v="332"/>
        <n v="569"/>
        <n v="26"/>
        <n v="697"/>
        <n v="167"/>
        <n v="21"/>
        <n v="146"/>
        <n v="156"/>
        <n v="32"/>
        <n v="102"/>
        <n v="31"/>
        <n v="178"/>
        <n v="22"/>
        <n v="136"/>
        <n v="166"/>
        <n v="34"/>
        <n v="33"/>
      </sharedItems>
    </cacheField>
    <cacheField name="Total Profit" numFmtId="0">
      <sharedItems containsSemiMixedTypes="0" containsString="0" containsNumber="1" containsInteger="1" minValue="-605" maxValue="646" count="238">
        <n v="-5"/>
        <n v="26"/>
        <n v="28"/>
        <n v="35"/>
        <n v="56"/>
        <n v="31"/>
        <n v="21"/>
        <n v="7"/>
        <n v="37"/>
        <n v="33"/>
        <n v="24"/>
        <n v="-7"/>
        <n v="1"/>
        <n v="-2"/>
        <n v="12"/>
        <n v="-6"/>
        <n v="45"/>
        <n v="47"/>
        <n v="36"/>
        <n v="64"/>
        <n v="76"/>
        <n v="48"/>
        <n v="27"/>
        <n v="-8"/>
        <n v="44"/>
        <n v="15"/>
        <n v="29"/>
        <n v="30"/>
        <n v="34"/>
        <n v="14"/>
        <n v="20"/>
        <n v="49"/>
        <n v="13"/>
        <n v="52"/>
        <n v="23"/>
        <n v="50"/>
        <n v="53"/>
        <n v="-3"/>
        <n v="16"/>
        <n v="17"/>
        <n v="39"/>
        <n v="42"/>
        <n v="83"/>
        <n v="46"/>
        <n v="10"/>
        <n v="55"/>
        <n v="-10"/>
        <n v="18"/>
        <n v="-9"/>
        <n v="67"/>
        <n v="70"/>
        <n v="95"/>
        <n v="113"/>
        <n v="71"/>
        <n v="40"/>
        <n v="-12"/>
        <n v="65"/>
        <n v="22"/>
        <n v="43"/>
        <n v="73"/>
        <n v="19"/>
        <n v="77"/>
        <n v="74"/>
        <n v="79"/>
        <n v="-4"/>
        <n v="25"/>
        <n v="0"/>
        <n v="57"/>
        <n v="38"/>
        <n v="-20"/>
        <n v="6"/>
        <n v="32"/>
        <n v="8"/>
        <n v="117"/>
        <n v="85"/>
        <n v="-30"/>
        <n v="9"/>
        <n v="-26"/>
        <n v="11"/>
        <n v="5"/>
        <n v="2"/>
        <n v="-39"/>
        <n v="-13"/>
        <n v="3"/>
        <n v="-11"/>
        <n v="58"/>
        <n v="-16"/>
        <n v="82"/>
        <n v="68"/>
        <n v="86"/>
        <n v="-18"/>
        <n v="-24"/>
        <n v="78"/>
        <n v="59"/>
        <n v="51"/>
        <n v="116"/>
        <n v="96"/>
        <n v="88"/>
        <n v="185"/>
        <n v="133"/>
        <n v="87"/>
        <n v="174"/>
        <n v="127"/>
        <n v="62"/>
        <n v="89"/>
        <n v="188"/>
        <n v="72"/>
        <n v="66"/>
        <n v="-15"/>
        <n v="121"/>
        <n v="275"/>
        <n v="197"/>
        <n v="110"/>
        <n v="129"/>
        <n v="258"/>
        <n v="92"/>
        <n v="105"/>
        <n v="132"/>
        <n v="126"/>
        <n v="279"/>
        <n v="107"/>
        <n v="98"/>
        <n v="-22"/>
        <n v="180"/>
        <n v="114"/>
        <n v="115"/>
        <n v="122"/>
        <n v="171"/>
        <n v="181"/>
        <n v="156"/>
        <n v="60"/>
        <n v="348"/>
        <n v="247"/>
        <n v="-202"/>
        <n v="435"/>
        <n v="-170"/>
        <n v="134"/>
        <n v="63"/>
        <n v="324"/>
        <n v="236"/>
        <n v="108"/>
        <n v="381"/>
        <n v="204"/>
        <n v="-156"/>
        <n v="84"/>
        <n v="390"/>
        <n v="271"/>
        <n v="-224"/>
        <n v="312"/>
        <n v="309"/>
        <n v="-189"/>
        <n v="516"/>
        <n v="367"/>
        <n v="-300"/>
        <n v="137"/>
        <n v="646"/>
        <n v="191"/>
        <n v="-252"/>
        <n v="199"/>
        <n v="93"/>
        <n v="481"/>
        <n v="350"/>
        <n v="160"/>
        <n v="565"/>
        <n v="303"/>
        <n v="-232"/>
        <n v="125"/>
        <n v="579"/>
        <n v="402"/>
        <n v="-332"/>
        <n v="463"/>
        <n v="459"/>
        <n v="-280"/>
        <n v="149"/>
        <n v="120"/>
        <n v="224"/>
        <n v="61"/>
        <n v="183"/>
        <n v="106"/>
        <n v="128"/>
        <n v="139"/>
        <n v="196"/>
        <n v="173"/>
        <n v="157"/>
        <n v="194"/>
        <n v="216"/>
        <n v="-1"/>
        <n v="123"/>
        <n v="172"/>
        <n v="221"/>
        <n v="178"/>
        <n v="332"/>
        <n v="91"/>
        <n v="169"/>
        <n v="272"/>
        <n v="190"/>
        <n v="206"/>
        <n v="291"/>
        <n v="159"/>
        <n v="104"/>
        <n v="257"/>
        <n v="131"/>
        <n v="233"/>
        <n v="288"/>
        <n v="321"/>
        <n v="232"/>
        <n v="-117"/>
        <n v="225"/>
        <n v="-74"/>
        <n v="186"/>
        <n v="-27"/>
        <n v="-363"/>
        <n v="-127"/>
        <n v="-56"/>
        <n v="235"/>
        <n v="138"/>
        <n v="-340"/>
        <n v="-149"/>
        <n v="-88"/>
        <n v="215"/>
        <n v="-408"/>
        <n v="-174"/>
        <n v="334"/>
        <n v="-110"/>
        <n v="276"/>
        <n v="135"/>
        <n v="-40"/>
        <n v="-539"/>
        <n v="-188"/>
        <n v="292"/>
        <n v="-83"/>
        <n v="349"/>
        <n v="205"/>
        <n v="-505"/>
        <n v="-221"/>
        <n v="-131"/>
        <n v="319"/>
        <n v="-605"/>
      </sharedItems>
    </cacheField>
    <cacheField name="ProftMargin" numFmtId="0">
      <sharedItems containsSemiMixedTypes="0" containsString="0" containsNumber="1" containsInteger="1" minValue="-36" maxValue="638" count="249">
        <n v="127"/>
        <n v="97"/>
        <n v="79"/>
        <n v="59"/>
        <n v="126"/>
        <n v="12"/>
        <n v="90"/>
        <n v="45"/>
        <n v="61"/>
        <n v="62"/>
        <n v="87"/>
        <n v="116"/>
        <n v="143"/>
        <n v="108"/>
        <n v="115"/>
        <n v="73"/>
        <n v="72"/>
        <n v="63"/>
        <n v="141"/>
        <n v="142"/>
        <n v="66"/>
        <n v="75"/>
        <n v="65"/>
        <n v="128"/>
        <n v="120"/>
        <n v="83"/>
        <n v="109"/>
        <n v="96"/>
        <n v="57"/>
        <n v="54"/>
        <n v="50"/>
        <n v="58"/>
        <n v="86"/>
        <n v="107"/>
        <n v="89"/>
        <n v="114"/>
        <n v="92"/>
        <n v="71"/>
        <n v="146"/>
        <n v="69"/>
        <n v="81"/>
        <n v="118"/>
        <n v="98"/>
        <n v="122"/>
        <n v="99"/>
        <n v="77"/>
        <n v="80"/>
        <n v="94"/>
        <n v="134"/>
        <n v="123"/>
        <n v="144"/>
        <n v="103"/>
        <n v="137"/>
        <n v="48"/>
        <n v="111"/>
        <n v="0"/>
        <n v="39"/>
        <n v="51"/>
        <n v="85"/>
        <n v="152"/>
        <n v="110"/>
        <n v="125"/>
        <n v="53"/>
        <n v="119"/>
        <n v="60"/>
        <n v="140"/>
        <n v="46"/>
        <n v="41"/>
        <n v="49"/>
        <n v="78"/>
        <n v="47"/>
        <n v="156"/>
        <n v="121"/>
        <n v="93"/>
        <n v="42"/>
        <n v="88"/>
        <n v="133"/>
        <n v="147"/>
        <n v="95"/>
        <n v="91"/>
        <n v="40"/>
        <n v="102"/>
        <n v="76"/>
        <n v="130"/>
        <n v="113"/>
        <n v="112"/>
        <n v="70"/>
        <n v="55"/>
        <n v="11"/>
        <n v="56"/>
        <n v="82"/>
        <n v="35"/>
        <n v="139"/>
        <n v="153"/>
        <n v="84"/>
        <n v="36"/>
        <n v="43"/>
        <n v="104"/>
        <n v="136"/>
        <n v="101"/>
        <n v="44"/>
        <n v="-1"/>
        <n v="37"/>
        <n v="68"/>
        <n v="132"/>
        <n v="64"/>
        <n v="135"/>
        <n v="74"/>
        <n v="131"/>
        <n v="155"/>
        <n v="100"/>
        <n v="129"/>
        <n v="106"/>
        <n v="145"/>
        <n v="154"/>
        <n v="38"/>
        <n v="31"/>
        <n v="52"/>
        <n v="32"/>
        <n v="34"/>
        <n v="33"/>
        <n v="30"/>
        <n v="29"/>
        <n v="105"/>
        <n v="124"/>
        <n v="335"/>
        <n v="169"/>
        <n v="149"/>
        <n v="213"/>
        <n v="316"/>
        <n v="163"/>
        <n v="209"/>
        <n v="337"/>
        <n v="199"/>
        <n v="230"/>
        <n v="279"/>
        <n v="220"/>
        <n v="264"/>
        <n v="217"/>
        <n v="280"/>
        <n v="161"/>
        <n v="236"/>
        <n v="198"/>
        <n v="203"/>
        <n v="184"/>
        <n v="165"/>
        <n v="403"/>
        <n v="212"/>
        <n v="271"/>
        <n v="330"/>
        <n v="384"/>
        <n v="334"/>
        <n v="150"/>
        <n v="168"/>
        <n v="387"/>
        <n v="263"/>
        <n v="255"/>
        <n v="294"/>
        <n v="372"/>
        <n v="148"/>
        <n v="428"/>
        <n v="229"/>
        <n v="290"/>
        <n v="219"/>
        <n v="345"/>
        <n v="438"/>
        <n v="-11"/>
        <n v="326"/>
        <n v="218"/>
        <n v="374"/>
        <n v="206"/>
        <n v="356"/>
        <n v="427"/>
        <n v="117"/>
        <n v="3"/>
        <n v="314"/>
        <n v="365"/>
        <n v="227"/>
        <n v="311"/>
        <n v="160"/>
        <n v="-36"/>
        <n v="343"/>
        <n v="235"/>
        <n v="402"/>
        <n v="197"/>
        <n v="237"/>
        <n v="183"/>
        <n v="329"/>
        <n v="247"/>
        <n v="25"/>
        <n v="67"/>
        <n v="172"/>
        <n v="162"/>
        <n v="273"/>
        <n v="336"/>
        <n v="256"/>
        <n v="26"/>
        <n v="208"/>
        <n v="171"/>
        <n v="190"/>
        <n v="344"/>
        <n v="340"/>
        <n v="360"/>
        <n v="138"/>
        <n v="189"/>
        <n v="288"/>
        <n v="305"/>
        <n v="28"/>
        <n v="332"/>
        <n v="260"/>
        <n v="233"/>
        <n v="276"/>
        <n v="228"/>
        <n v="215"/>
        <n v="324"/>
        <n v="151"/>
        <n v="301"/>
        <n v="281"/>
        <n v="293"/>
        <n v="27"/>
        <n v="302"/>
        <n v="376"/>
        <n v="373"/>
        <n v="231"/>
        <n v="272"/>
        <n v="388"/>
        <n v="274"/>
        <n v="295"/>
        <n v="341"/>
        <n v="291"/>
        <n v="361"/>
        <n v="439"/>
        <n v="313"/>
        <n v="303"/>
        <n v="226"/>
        <n v="278"/>
        <n v="561"/>
        <n v="275"/>
        <n v="207"/>
        <n v="315"/>
        <n v="269"/>
        <n v="234"/>
        <n v="261"/>
        <n v="539"/>
        <n v="426"/>
        <n v="240"/>
        <n v="297"/>
        <n v="296"/>
        <n v="638"/>
      </sharedItems>
    </cacheField>
    <cacheField name="Marketing spend" numFmtId="0">
      <sharedItems containsMixedTypes="1" containsNumber="1" minValue="-5.614583333333333" maxValue="26.318181818181817" count="464">
        <n v="-0.10869565217391304"/>
        <n v="1.5294117647058822"/>
        <n v="2.1538461538461537"/>
        <n v="3.5"/>
        <n v="2.4347826086956523"/>
        <e v="#DIV/0!"/>
        <n v="1.4"/>
        <n v="3"/>
        <n v="0.77777777777777779"/>
        <n v="3.3636363636363638"/>
        <n v="2.2000000000000002"/>
        <n v="1.7142857142857142"/>
        <n v="-0.17073170731707318"/>
        <n v="1.8518518518518517E-2"/>
        <n v="-0.16666666666666666"/>
        <n v="0.6"/>
        <n v="-0.14634146341463414"/>
        <n v="3.4615384615384617"/>
        <n v="3.6153846153846154"/>
        <n v="3.2727272727272729"/>
        <n v="2.3703703703703702"/>
        <n v="2.7142857142857144"/>
        <n v="2"/>
        <n v="3.4285714285714284"/>
        <n v="2.0769230769230771"/>
        <n v="-0.1702127659574468"/>
        <n v="1.9130434782608696"/>
        <n v="2.2142857142857144"/>
        <n v="0.75"/>
        <n v="1.7058823529411764"/>
        <n v="3.1"/>
        <n v="2.2666666666666666"/>
        <n v="0.7"/>
        <n v="2.1428571428571428"/>
        <n v="1.4285714285714286"/>
        <n v="-0.2"/>
        <n v="3.0625"/>
        <n v="0.65"/>
        <n v="3.3846153846153846"/>
        <n v="3.3"/>
        <n v="1.8181818181818181E-2"/>
        <n v="3.4666666666666668"/>
        <n v="-0.14285714285714285"/>
        <n v="0.95833333333333337"/>
        <n v="2.0833333333333335"/>
        <n v="1.6470588235294117"/>
        <n v="1.8461538461538463"/>
        <n v="3.5333333333333332"/>
        <n v="3.375"/>
        <n v="3.4444444444444446"/>
        <n v="3.1111111111111112"/>
        <n v="1.8666666666666667"/>
        <n v="-6.1224489795918366E-2"/>
        <n v="-0.11363636363636363"/>
        <n v="7.1428571428571425E-2"/>
        <n v="2.5"/>
        <n v="0.5714285714285714"/>
        <n v="1.08"/>
        <n v="1.8947368421052631"/>
        <n v="0.6071428571428571"/>
        <n v="-0.15217391304347827"/>
        <n v="2.2941176470588234"/>
        <n v="3.2307692307692308"/>
        <n v="5.2"/>
        <n v="3.6086956521739131"/>
        <n v="2.0666666666666669"/>
        <n v="4.4285714285714288"/>
        <n v="1.1111111111111112"/>
        <n v="5"/>
        <n v="3.2666666666666666"/>
        <n v="2.5714285714285716"/>
        <n v="-0.24390243902439024"/>
        <n v="-0.25"/>
        <n v="0.9"/>
        <n v="-0.21951219512195122"/>
        <n v="5.1538461538461542"/>
        <n v="5.384615384615385"/>
        <n v="4.8181818181818183"/>
        <n v="3.5185185185185186"/>
        <n v="4.0357142857142856"/>
        <n v="5.0714285714285712"/>
        <n v="3.0769230769230771"/>
        <n v="-0.25531914893617019"/>
        <n v="2.8260869565217392"/>
        <n v="3.2857142857142856"/>
        <n v="1.1000000000000001"/>
        <n v="2.5294117647058822"/>
        <n v="4.5999999999999996"/>
        <n v="4.4444444444444446"/>
        <n v="5.25"/>
        <n v="4.5"/>
        <n v="3.3333333333333335"/>
        <n v="1.05"/>
        <n v="3.2142857142857144"/>
        <n v="-0.3"/>
        <n v="4.5625"/>
        <n v="0.95"/>
        <n v="4.9000000000000004"/>
        <n v="5.1333333333333337"/>
        <n v="-0.21428571428571427"/>
        <n v="1.4166666666666667"/>
        <n v="3.0833333333333335"/>
        <n v="2.4705882352941178"/>
        <n v="2.7692307692307692"/>
        <n v="5.2666666666666666"/>
        <n v="5.1111111111111107"/>
        <n v="4.666666666666667"/>
        <n v="2.8"/>
        <n v="-8.1632653061224483E-2"/>
        <n v="-0.15909090909090909"/>
        <n v="3.75"/>
        <n v="0.8571428571428571"/>
        <n v="1.6"/>
        <n v="2.7894736842105261"/>
        <n v="0.8928571428571429"/>
        <n v="2.25"/>
        <n v="1.6875"/>
        <n v="2.8571428571428572"/>
        <n v="3.7619047619047619"/>
        <n v="1.1333333333333333"/>
        <n v="1.75"/>
        <n v="0"/>
        <n v="3.1666666666666665"/>
        <n v="3.625"/>
        <n v="3.3571428571428572"/>
        <n v="-0.32"/>
        <n v="2.6666666666666665"/>
        <n v="-0.17499999999999999"/>
        <n v="-0.33333333333333331"/>
        <n v="1.8095238095238095"/>
        <n v="2.0714285714285716"/>
        <n v="-0.47619047619047616"/>
        <n v="0.35294117647058826"/>
        <n v="1.625"/>
        <n v="3.2222222222222223"/>
        <n v="0.88888888888888884"/>
        <n v="2.8333333333333335"/>
        <n v="2.5833333333333335"/>
        <n v="-9.0909090909090912E-2"/>
        <n v="2.9583333333333335"/>
        <n v="4.2857142857142856"/>
        <n v="5.5714285714285712"/>
        <n v="1.6666666666666667"/>
        <n v="2.6"/>
        <n v="4.7222222222222223"/>
        <n v="4.8571428571428568"/>
        <n v="5.375"/>
        <n v="-0.48"/>
        <n v="4"/>
        <n v="-0.5"/>
        <n v="3.0714285714285716"/>
        <n v="-0.7142857142857143"/>
        <n v="0.52941176470588236"/>
        <n v="2.4375"/>
        <n v="4.7777777777777777"/>
        <n v="1.3333333333333333"/>
        <n v="4.166666666666667"/>
        <n v="3.8333333333333335"/>
        <n v="-0.13636363636363635"/>
        <n v="2.1666666666666665"/>
        <n v="-1"/>
        <n v="0.66666666666666663"/>
        <n v="1.0833333333333333"/>
        <n v="1.5714285714285714"/>
        <n v="0.72727272727272729"/>
        <n v="0.625"/>
        <n v="-0.36"/>
        <n v="0.81818181818181823"/>
        <n v="3.125"/>
        <n v="0.41176470588235292"/>
        <n v="3.25"/>
        <n v="1.8571428571428572"/>
        <n v="0.14285714285714285"/>
        <n v="0.91666666666666663"/>
        <n v="1"/>
        <n v="-1.5"/>
        <n v="1.5833333333333333"/>
        <n v="2.2857142857142856"/>
        <n v="1.0909090909090908"/>
        <n v="0.875"/>
        <n v="-0.52"/>
        <n v="1.1818181818181819"/>
        <n v="4.625"/>
        <n v="0.58823529411764708"/>
        <n v="4.875"/>
        <n v="0.21428571428571427"/>
        <n v="1.5"/>
        <n v="-0.2391304347826087"/>
        <n v="2.3913043478260869"/>
        <n v="3.5384615384615383"/>
        <n v="1.588235294117647"/>
        <n v="0.76190476190476186"/>
        <n v="1.6428571428571428"/>
        <n v="-6.3829787234042548E-2"/>
        <n v="-8.5106382978723402E-2"/>
        <n v="1.6842105263157894"/>
        <n v="0.8"/>
        <n v="1.2258064516129032"/>
        <n v="3.6363636363636362E-2"/>
        <n v="2.1363636363636362"/>
        <n v="1.3125"/>
        <n v="2.3125"/>
        <n v="-4.0816326530612242E-2"/>
        <n v="7.6923076923076927E-2"/>
        <n v="-0.34782608695652173"/>
        <n v="3.5652173913043477"/>
        <n v="5.2307692307692308"/>
        <n v="2.3529411764705883"/>
        <n v="1.1428571428571428"/>
        <n v="2.4285714285714284"/>
        <n v="-0.1276595744680851"/>
        <n v="2.4736842105263159"/>
        <n v="1.2"/>
        <n v="1.8064516129032258"/>
        <n v="5.4545454545454543E-2"/>
        <n v="3.1818181818181817"/>
        <n v="1.9375"/>
        <n v="3.4375"/>
        <n v="1.375"/>
        <n v="3.3125"/>
        <n v="3.2"/>
        <n v="1.1666666666666667"/>
        <n v="-1.3333333333333333"/>
        <n v="-2.2857142857142856"/>
        <n v="4.8"/>
        <n v="4.4000000000000004"/>
        <n v="-2"/>
        <n v="4.2"/>
        <n v="3.5714285714285716"/>
        <n v="-3.4285714285714284"/>
        <n v="3.7142857142857144"/>
        <n v="2.4074074074074074"/>
        <n v="0.7142857142857143"/>
        <n v="1.736842105263158"/>
        <n v="2.4583333333333335"/>
        <n v="1.9565217391304348"/>
        <n v="3.4"/>
        <n v="1.9230769230769231"/>
        <n v="1.04"/>
        <n v="5.5238095238095237"/>
        <n v="3.5555555555555554"/>
        <n v="1.0476190476190477"/>
        <n v="2.5789473684210527"/>
        <n v="3.6666666666666665"/>
        <n v="2.9130434782608696"/>
        <n v="4.4375"/>
        <n v="5.0666666666666664"/>
        <n v="2.8461538461538463"/>
        <n v="-0.23809523809523808"/>
        <n v="1.56"/>
        <n v="3.9117647058823528"/>
        <n v="2.5517241379310347"/>
        <n v="2.6363636363636362"/>
        <n v="0.19540229885057472"/>
        <n v="2.5217391304347827"/>
        <n v="3.8484848484848486"/>
        <n v="2.48"/>
        <n v="2.4482758620689653"/>
        <n v="2.870967741935484"/>
        <n v="2.5757575757575757"/>
        <n v="0.17647058823529413"/>
        <n v="2.5405405405405403"/>
        <n v="2.4827586206896552"/>
        <n v="1.8"/>
        <n v="2.5384615384615383"/>
        <n v="-2.1428571428571428"/>
        <n v="2.9512195121951219"/>
        <n v="2.4838709677419355"/>
        <n v="0.21052631578947367"/>
        <n v="3.7162162162162162"/>
        <n v="5.7941176470588234"/>
        <n v="3.7931034482758621"/>
        <n v="3.9090909090909092"/>
        <n v="0.28735632183908044"/>
        <n v="3.7391304347826089"/>
        <n v="5.6969696969696972"/>
        <n v="3.68"/>
        <n v="3.6206896551724137"/>
        <n v="4.258064516129032"/>
        <n v="3.8181818181818183"/>
        <n v="0.25882352941176473"/>
        <n v="3.7702702702702702"/>
        <n v="3.6896551724137931"/>
        <n v="3.7692307692307692"/>
        <n v="-3.1428571428571428"/>
        <n v="4.3902439024390247"/>
        <n v="3.6774193548387095"/>
        <n v="0.31578947368421051"/>
        <n v="2.8048780487804876"/>
        <n v="2.9047619047619047"/>
        <n v="2.8378378378378377"/>
        <n v="4.1707317073170733"/>
        <n v="4.3095238095238093"/>
        <n v="4.2162162162162158"/>
        <n v="15.130434782608695"/>
        <n v="0.20689655172413793"/>
        <n v="-1.7876106194690264"/>
        <n v="2.0444444444444443"/>
        <n v="6.5909090909090908"/>
        <n v="1.34375"/>
        <n v="-2.2972972972972974"/>
        <n v="3.9411764705882355"/>
        <n v="2.04"/>
        <n v="2.52"/>
        <n v="13.5"/>
        <n v="2.7126436781609193"/>
        <n v="-1.8532110091743119"/>
        <n v="2.16"/>
        <n v="6.4576271186440675"/>
        <n v="2.193548387096774"/>
        <n v="-2.2608695652173911"/>
        <n v="2.975609756097561"/>
        <n v="2.1481481481481484"/>
        <n v="2.5172413793103448"/>
        <n v="17.727272727272727"/>
        <n v="2.7938144329896906"/>
        <n v="0.22105263157894736"/>
        <n v="-1.8360655737704918"/>
        <n v="4.4571428571428573"/>
        <n v="2.7837837837837838"/>
        <n v="-2.5540540540540539"/>
        <n v="3.7083333333333335"/>
        <n v="3.1785714285714284"/>
        <n v="22.434782608695652"/>
        <n v="4.0329670329670328"/>
        <n v="0.31034482758620691"/>
        <n v="-2.6548672566371683"/>
        <n v="3.0444444444444443"/>
        <n v="9.7878787878787872"/>
        <n v="1.9895833333333333"/>
        <n v="-3.4054054054054053"/>
        <n v="5.7"/>
        <n v="5.8529411764705879"/>
        <n v="3.04"/>
        <n v="3.72"/>
        <n v="20.041666666666668"/>
        <n v="4.0229885057471266"/>
        <n v="-2.7522935779816513"/>
        <n v="9.5762711864406782"/>
        <n v="3.2580645161290325"/>
        <n v="-3.36231884057971"/>
        <n v="5.6818181818181817"/>
        <n v="4.4146341463414638"/>
        <n v="3.1851851851851851"/>
        <n v="3.7241379310344827"/>
        <n v="26.318181818181817"/>
        <n v="4.1443298969072169"/>
        <n v="0.32631578947368423"/>
        <n v="-2.721311475409836"/>
        <n v="6.6142857142857139"/>
        <n v="4.1351351351351351"/>
        <n v="-3.7837837837837838"/>
        <n v="5.5"/>
        <n v="3.8666666666666667"/>
        <n v="2.9487179487179489"/>
        <n v="2.2575757575757578"/>
        <n v="2.4"/>
        <n v="-0.66666666666666663"/>
        <n v="2.1785714285714284"/>
        <n v="2.9230769230769229"/>
        <n v="1.90625"/>
        <n v="-1.2222222222222223"/>
        <n v="2.9444444444444446"/>
        <n v="2.4166666666666665"/>
        <n v="2.1864406779661016"/>
        <n v="3.8787878787878789"/>
        <n v="2.4385964912280702"/>
        <n v="2.6133333333333333"/>
        <n v="2.14"/>
        <n v="2.4137931034482758"/>
        <n v="0.18823529411764706"/>
        <n v="2.9722222222222223"/>
        <n v="1.8602150537634408"/>
        <n v="3.05"/>
        <n v="2.2428571428571429"/>
        <n v="2.6575342465753424"/>
        <n v="2.1111111111111112"/>
        <n v="3.0750000000000002"/>
        <n v="2.2285714285714286"/>
        <n v="1.9459459459459461"/>
        <n v="5.7333333333333334"/>
        <n v="4.384615384615385"/>
        <n v="3.3484848484848486"/>
        <n v="3.56"/>
        <n v="3.9523809523809526"/>
        <n v="1.7333333333333334"/>
        <n v="4.333333333333333"/>
        <n v="-1.7777777777777777"/>
        <n v="4.3611111111111107"/>
        <n v="3.5833333333333335"/>
        <n v="3.2372881355932202"/>
        <n v="5.7575757575757578"/>
        <n v="3.6140350877192984"/>
        <n v="3.88"/>
        <n v="3.18"/>
        <n v="3.5862068965517242"/>
        <n v="0.28235294117647058"/>
        <n v="4.416666666666667"/>
        <n v="2.763440860215054"/>
        <n v="5.458333333333333"/>
        <n v="4.5250000000000004"/>
        <n v="3.3285714285714287"/>
        <n v="3.9452054794520546"/>
        <n v="3.9629629629629628"/>
        <n v="3.1481481481481484"/>
        <n v="4.5750000000000002"/>
        <n v="3.3142857142857145"/>
        <n v="2.8918918918918921"/>
        <n v="-2.34"/>
        <n v="2.6785714285714284"/>
        <n v="-1.8974358974358974"/>
        <n v="0.23893805309734514"/>
        <n v="2.5135135135135136"/>
        <n v="2.2307692307692308"/>
        <n v="2.0222222222222221"/>
        <n v="1.1052631578947369"/>
        <n v="1.4666666666666666"/>
        <n v="0.23008849557522124"/>
        <n v="-1.0384615384615385"/>
        <n v="-3.78125"/>
        <n v="-2.2280701754385963"/>
        <n v="2.6266666666666665"/>
        <n v="-1.5555555555555556"/>
        <n v="2.7011494252873565"/>
        <n v="0.23853211009174313"/>
        <n v="0.82352941176470584"/>
        <n v="2.4210526315789473"/>
        <n v="2.1694915254237288"/>
        <n v="-3.6559139784946235"/>
        <n v="-2.0410958904109591"/>
        <n v="-2.2000000000000002"/>
        <n v="0.25409836065573771"/>
        <n v="2.125"/>
        <n v="0.26229508196721313"/>
        <n v="2.6543209876543208"/>
        <n v="-3.6756756756756759"/>
        <n v="-3.48"/>
        <n v="3.9761904761904763"/>
        <n v="-2.8205128205128207"/>
        <n v="0.35398230088495575"/>
        <n v="3.7297297297297298"/>
        <n v="3.3076923076923075"/>
        <n v="2.65"/>
        <n v="1.631578947368421"/>
        <n v="0.34513274336283184"/>
        <n v="-1.5384615384615385"/>
        <n v="-5.614583333333333"/>
        <n v="-3.2982456140350878"/>
        <n v="3.8933333333333335"/>
        <n v="-2.3055555555555554"/>
        <n v="4.0114942528735629"/>
        <n v="0.3577981651376147"/>
        <n v="2.7619047619047619"/>
        <n v="1.2352941176470589"/>
        <n v="3.7"/>
        <n v="3.5964912280701755"/>
        <n v="3.2203389830508473"/>
        <n v="-5.43010752688172"/>
        <n v="-3.0273972602739727"/>
        <n v="-3.2749999999999999"/>
        <n v="0.37704918032786883"/>
        <n v="0.38524590163934425"/>
        <n v="3.9382716049382718"/>
        <n v="-5.4504504504504503"/>
      </sharedItems>
    </cacheField>
    <cacheField name="COGS Variance" numFmtId="0">
      <sharedItems containsMixedTypes="1" containsNumber="1" minValue="0.68285714285714283" maxValue="4.5"/>
    </cacheField>
    <cacheField name="Poor-performing stores " numFmtId="0">
      <sharedItems containsSemiMixedTypes="0" containsString="0" containsNumber="1" containsInteger="1" minValue="-369" maxValue="249"/>
    </cacheField>
    <cacheField name="Product Categories" numFmtId="0">
      <sharedItems count="2">
        <s v="LOW"/>
        <s v="HIGH"/>
      </sharedItems>
    </cacheField>
    <cacheField name="Target metrics" numFmtId="0">
      <sharedItems containsMixedTypes="1" containsNumber="1" minValue="-321.890625" maxValue="469.47446808510637"/>
    </cacheField>
    <cacheField name="Sales_Revenue" numFmtId="0">
      <sharedItems containsSemiMixedTypes="0" containsString="0" containsNumber="1" containsInteger="1" minValue="-87725" maxValue="66096" count="544">
        <n v="-380"/>
        <n v="1170"/>
        <n v="1008"/>
        <n v="735"/>
        <n v="3024"/>
        <n v="372"/>
        <n v="903"/>
        <n v="378"/>
        <n v="210"/>
        <n v="814"/>
        <n v="1254"/>
        <n v="1080"/>
        <n v="-497"/>
        <n v="83"/>
        <n v="-90"/>
        <n v="648"/>
        <n v="-420"/>
        <n v="1125"/>
        <n v="1128"/>
        <n v="828"/>
        <n v="3776"/>
        <n v="3876"/>
        <n v="676"/>
        <n v="1200"/>
        <n v="675"/>
        <n v="-608"/>
        <n v="1980"/>
        <n v="1147"/>
        <n v="810"/>
        <n v="1131"/>
        <n v="651"/>
        <n v="567"/>
        <n v="532"/>
        <n v="660"/>
        <n v="1258"/>
        <n v="742"/>
        <n v="1110"/>
        <n v="920"/>
        <n v="-560"/>
        <n v="1911"/>
        <n v="702"/>
        <n v="1056"/>
        <n v="693"/>
        <n v="85"/>
        <n v="780"/>
        <n v="1404"/>
        <n v="-426"/>
        <n v="1276"/>
        <n v="1311"/>
        <n v="2300"/>
        <n v="1260"/>
        <n v="864"/>
        <n v="1378"/>
        <n v="513"/>
        <n v="620"/>
        <n v="588"/>
        <n v="1288"/>
        <n v="-237"/>
        <n v="-370"/>
        <n v="48"/>
        <n v="832"/>
        <n v="1566"/>
        <n v="1440"/>
        <n v="867"/>
        <n v="-532"/>
        <n v="1755"/>
        <n v="1512"/>
        <n v="1092"/>
        <n v="4482"/>
        <n v="552"/>
        <n v="1333"/>
        <n v="558"/>
        <n v="300"/>
        <n v="1210"/>
        <n v="1862"/>
        <n v="1620"/>
        <n v="-710"/>
        <n v="-135"/>
        <n v="972"/>
        <n v="-630"/>
        <n v="1675"/>
        <n v="1680"/>
        <n v="1219"/>
        <n v="5605"/>
        <n v="5763"/>
        <n v="1014"/>
        <n v="1775"/>
        <n v="1000"/>
        <n v="-912"/>
        <n v="2925"/>
        <n v="1702"/>
        <n v="1188"/>
        <n v="1677"/>
        <n v="966"/>
        <n v="840"/>
        <n v="798"/>
        <n v="990"/>
        <n v="1850"/>
        <n v="1113"/>
        <n v="1665"/>
        <n v="1380"/>
        <n v="-840"/>
        <n v="2847"/>
        <n v="1026"/>
        <n v="1560"/>
        <n v="1029"/>
        <n v="2079"/>
        <n v="-639"/>
        <n v="1892"/>
        <n v="1938"/>
        <n v="3404"/>
        <n v="1890"/>
        <n v="1296"/>
        <n v="2054"/>
        <n v="760"/>
        <n v="882"/>
        <n v="1932"/>
        <n v="-316"/>
        <n v="-518"/>
        <n v="1248"/>
        <n v="2320"/>
        <n v="2120"/>
        <n v="1275"/>
        <n v="2208"/>
        <n v="689"/>
        <n v="999"/>
        <n v="380"/>
        <n v="2528"/>
        <n v="190"/>
        <n v="306"/>
        <n v="2176"/>
        <n v="1470"/>
        <n v="0"/>
        <n v="2394"/>
        <n v="437"/>
        <n v="551"/>
        <n v="1222"/>
        <n v="-384"/>
        <n v="288"/>
        <n v="-483"/>
        <n v="-180"/>
        <n v="540"/>
        <n v="1634"/>
        <n v="783"/>
        <n v="-1440"/>
        <n v="962"/>
        <n v="580"/>
        <n v="630"/>
        <n v="352"/>
        <n v="240"/>
        <n v="1085"/>
        <n v="980"/>
        <n v="-292"/>
        <n v="960"/>
        <n v="3266"/>
        <n v="1007"/>
        <n v="1480"/>
        <n v="570"/>
        <n v="3744"/>
        <n v="285"/>
        <n v="459"/>
        <n v="3200"/>
        <n v="2184"/>
        <n v="3570"/>
        <n v="646"/>
        <n v="817"/>
        <n v="1820"/>
        <n v="-576"/>
        <n v="432"/>
        <n v="-690"/>
        <n v="-270"/>
        <n v="800"/>
        <n v="2408"/>
        <n v="1161"/>
        <n v="-2160"/>
        <n v="1443"/>
        <n v="860"/>
        <n v="945"/>
        <n v="517"/>
        <n v="360"/>
        <n v="450"/>
        <n v="1610"/>
        <n v="-438"/>
        <n v="650"/>
        <n v="-1274"/>
        <n v="186"/>
        <n v="520"/>
        <n v="324"/>
        <n v="209"/>
        <n v="312"/>
        <n v="150"/>
        <n v="-441"/>
        <n v="342"/>
        <n v="475"/>
        <n v="350"/>
        <n v="494"/>
        <n v="247"/>
        <n v="94"/>
        <n v="217"/>
        <n v="440"/>
        <n v="468"/>
        <n v="975"/>
        <n v="-1911"/>
        <n v="279"/>
        <n v="486"/>
        <n v="304"/>
        <n v="-637"/>
        <n v="703"/>
        <n v="500"/>
        <n v="741"/>
        <n v="361"/>
        <n v="141"/>
        <n v="310"/>
        <n v="640"/>
        <n v="-836"/>
        <n v="3025"/>
        <n v="1104"/>
        <n v="2378"/>
        <n v="1058"/>
        <n v="-228"/>
        <n v="1152"/>
        <n v="-308"/>
        <n v="1504"/>
        <n v="1352"/>
        <n v="848"/>
        <n v="2432"/>
        <n v="168"/>
        <n v="2538"/>
        <n v="924"/>
        <n v="1406"/>
        <n v="-156"/>
        <n v="56"/>
        <n v="1150"/>
        <n v="-1216"/>
        <n v="4510"/>
        <n v="1632"/>
        <n v="3526"/>
        <n v="1760"/>
        <n v="1564"/>
        <n v="-304"/>
        <n v="1692"/>
        <n v="-462"/>
        <n v="2209"/>
        <n v="2002"/>
        <n v="1272"/>
        <n v="3584"/>
        <n v="252"/>
        <n v="3780"/>
        <n v="1364"/>
        <n v="2090"/>
        <n v="-234"/>
        <n v="1914"/>
        <n v="2067"/>
        <n v="1700"/>
        <n v="256"/>
        <n v="255"/>
        <n v="546"/>
        <n v="-516"/>
        <n v="-138"/>
        <n v="238"/>
        <n v="323"/>
        <n v="1116"/>
        <n v="289"/>
        <n v="-184"/>
        <n v="128"/>
        <n v="560"/>
        <n v="-656"/>
        <n v="480"/>
        <n v="384"/>
        <n v="374"/>
        <n v="819"/>
        <n v="-774"/>
        <n v="357"/>
        <n v="1656"/>
        <n v="425"/>
        <n v="-276"/>
        <n v="192"/>
        <n v="225"/>
        <n v="-984"/>
        <n v="720"/>
        <n v="476"/>
        <n v="2574"/>
        <n v="3770"/>
        <n v="825"/>
        <n v="1518"/>
        <n v="3245"/>
        <n v="1920"/>
        <n v="1377"/>
        <n v="875"/>
        <n v="-504"/>
        <n v="1534"/>
        <n v="3828"/>
        <n v="5568"/>
        <n v="2254"/>
        <n v="4840"/>
        <n v="2948"/>
        <n v="2840"/>
        <n v="2052"/>
        <n v="1295"/>
        <n v="-720"/>
        <n v="2301"/>
        <n v="17760"/>
        <n v="6118"/>
        <n v="3034"/>
        <n v="4002"/>
        <n v="1989"/>
        <n v="15834"/>
        <n v="5715"/>
        <n v="3534"/>
        <n v="2911"/>
        <n v="4806"/>
        <n v="3825"/>
        <n v="135"/>
        <n v="1725"/>
        <n v="18048"/>
        <n v="4392"/>
        <n v="1269"/>
        <n v="2508"/>
        <n v="-600"/>
        <n v="7865"/>
        <n v="3311"/>
        <n v="144"/>
        <n v="2500"/>
        <n v="26400"/>
        <n v="9062"/>
        <n v="5934"/>
        <n v="23478"/>
        <n v="8460"/>
        <n v="5244"/>
        <n v="4305"/>
        <n v="7128"/>
        <n v="5670"/>
        <n v="195"/>
        <n v="2530"/>
        <n v="26784"/>
        <n v="6527"/>
        <n v="1880"/>
        <n v="3724"/>
        <n v="-880"/>
        <n v="11700"/>
        <n v="4902"/>
        <n v="208"/>
        <n v="3750"/>
        <n v="8395"/>
        <n v="8906"/>
        <n v="7245"/>
        <n v="12483"/>
        <n v="13213"/>
        <n v="10764"/>
        <n v="3360"/>
        <n v="18792"/>
        <n v="35321"/>
        <n v="2088"/>
        <n v="-29492"/>
        <n v="6348"/>
        <n v="39585"/>
        <n v="16641"/>
        <n v="-16150"/>
        <n v="4830"/>
        <n v="6030"/>
        <n v="2652"/>
        <n v="3528"/>
        <n v="17820"/>
        <n v="32568"/>
        <n v="-28684"/>
        <n v="7992"/>
        <n v="31623"/>
        <n v="25908"/>
        <n v="-14196"/>
        <n v="2772"/>
        <n v="7808"/>
        <n v="3132"/>
        <n v="4380"/>
        <n v="20670"/>
        <n v="40379"/>
        <n v="2604"/>
        <n v="-34720"/>
        <n v="5742"/>
        <n v="29640"/>
        <n v="44496"/>
        <n v="-18144"/>
        <n v="3115"/>
        <n v="4984"/>
        <n v="27864"/>
        <n v="52481"/>
        <n v="-43800"/>
        <n v="9453"/>
        <n v="58786"/>
        <n v="24639"/>
        <n v="-23940"/>
        <n v="7182"/>
        <n v="8955"/>
        <n v="3952"/>
        <n v="5208"/>
        <n v="26455"/>
        <n v="48300"/>
        <n v="-42600"/>
        <n v="11840"/>
        <n v="46895"/>
        <n v="38481"/>
        <n v="-21112"/>
        <n v="4125"/>
        <n v="11584"/>
        <n v="4644"/>
        <n v="6480"/>
        <n v="30687"/>
        <n v="59898"/>
        <n v="3844"/>
        <n v="-51460"/>
        <n v="8514"/>
        <n v="43985"/>
        <n v="66096"/>
        <n v="-26880"/>
        <n v="4620"/>
        <n v="4756"/>
        <n v="7015"/>
        <n v="13410"/>
        <n v="11160"/>
        <n v="26208"/>
        <n v="-30"/>
        <n v="3355"/>
        <n v="2205"/>
        <n v="7068"/>
        <n v="23607"/>
        <n v="6254"/>
        <n v="3248"/>
        <n v="10707"/>
        <n v="5632"/>
        <n v="13900"/>
        <n v="21168"/>
        <n v="8025"/>
        <n v="2940"/>
        <n v="-48"/>
        <n v="1824"/>
        <n v="6206"/>
        <n v="21971"/>
        <n v="3168"/>
        <n v="7686"/>
        <n v="14758"/>
        <n v="22504"/>
        <n v="24408"/>
        <n v="-15"/>
        <n v="3135"/>
        <n v="7626"/>
        <n v="14820"/>
        <n v="31104"/>
        <n v="7052"/>
        <n v="10431"/>
        <n v="19890"/>
        <n v="16554"/>
        <n v="38844"/>
        <n v="-45"/>
        <n v="5005"/>
        <n v="3276"/>
        <n v="10478"/>
        <n v="35088"/>
        <n v="-672"/>
        <n v="9263"/>
        <n v="4816"/>
        <n v="15853"/>
        <n v="8360"/>
        <n v="20600"/>
        <n v="31428"/>
        <n v="11925"/>
        <n v="4368"/>
        <n v="-64"/>
        <n v="2736"/>
        <n v="9222"/>
        <n v="32639"/>
        <n v="4716"/>
        <n v="11403"/>
        <n v="21902"/>
        <n v="33408"/>
        <n v="36273"/>
        <n v="4675"/>
        <n v="11346"/>
        <n v="22040"/>
        <n v="46224"/>
        <n v="-10881"/>
        <n v="26100"/>
        <n v="-4514"/>
        <n v="3942"/>
        <n v="17670"/>
        <n v="1015"/>
        <n v="6370"/>
        <n v="1476"/>
        <n v="1323"/>
        <n v="3822"/>
        <n v="3066"/>
        <n v="-1350"/>
        <n v="-46827"/>
        <n v="-12700"/>
        <n v="21079"/>
        <n v="-3304"/>
        <n v="32665"/>
        <n v="3692"/>
        <n v="1638"/>
        <n v="854"/>
        <n v="2150"/>
        <n v="13938"/>
        <n v="10752"/>
        <n v="-43180"/>
        <n v="-17433"/>
        <n v="-5544"/>
        <n v="4836"/>
        <n v="2295"/>
        <n v="2668"/>
        <n v="4960"/>
        <n v="24510"/>
        <n v="-59160"/>
        <n v="-16182"/>
        <n v="38744"/>
        <n v="-6710"/>
        <n v="5840"/>
        <n v="26220"/>
        <n v="1505"/>
        <n v="9450"/>
        <n v="2173"/>
        <n v="1953"/>
        <n v="1386"/>
        <n v="3569"/>
        <n v="5733"/>
        <n v="4536"/>
        <n v="-2000"/>
        <n v="-69531"/>
        <n v="-18800"/>
        <n v="31244"/>
        <n v="-4897"/>
        <n v="48511"/>
        <n v="5538"/>
        <n v="2436"/>
        <n v="1281"/>
        <n v="3182"/>
        <n v="20705"/>
        <n v="15960"/>
        <n v="-64135"/>
        <n v="-25857"/>
        <n v="-8253"/>
        <n v="7176"/>
        <n v="3420"/>
        <n v="3956"/>
        <n v="7285"/>
        <n v="36366"/>
        <n v="-87725"/>
      </sharedItems>
    </cacheField>
    <cacheField name="Cost" numFmtId="0">
      <sharedItems containsSemiMixedTypes="0" containsString="0" containsNumber="1" containsInteger="1" minValue="-45305" maxValue="526490"/>
    </cacheField>
    <cacheField name="RQI(Return of Investement)" numFmtId="0">
      <sharedItems containsMixedTypes="1" containsNumber="1" minValue="45" maxValue="19032"/>
    </cacheField>
    <cacheField name="Marketing spend as a% of Sales" numFmtId="0">
      <sharedItems containsMixedTypes="1" containsNumber="1" minValue="-0.25520833333333331" maxValue="8.5714285714285715E-2"/>
    </cacheField>
    <cacheField name="Month" numFmtId="0">
      <sharedItems/>
    </cacheField>
    <cacheField name="Varience" numFmtId="0">
      <sharedItems containsSemiMixedTypes="0" containsString="0" containsNumber="1" containsInteger="1" minValue="-490" maxValue="0" count="45">
        <n v="-60"/>
        <n v="-40"/>
        <n v="-50"/>
        <n v="-30"/>
        <n v="0"/>
        <n v="-20"/>
        <n v="-80"/>
        <n v="-70"/>
        <n v="-110"/>
        <n v="-90"/>
        <n v="-100"/>
        <n v="-120"/>
        <n v="-10"/>
        <n v="-130"/>
        <n v="-140"/>
        <n v="-430"/>
        <n v="-150"/>
        <n v="-160"/>
        <n v="-350"/>
        <n v="-180"/>
        <n v="-380"/>
        <n v="-200"/>
        <n v="-310"/>
        <n v="-220"/>
        <n v="-270"/>
        <n v="-330"/>
        <n v="-190"/>
        <n v="-240"/>
        <n v="-230"/>
        <n v="-280"/>
        <n v="-170"/>
        <n v="-370"/>
        <n v="-210"/>
        <n v="-320"/>
        <n v="-250"/>
        <n v="-410"/>
        <n v="-470"/>
        <n v="-340"/>
        <n v="-260"/>
        <n v="-390"/>
        <n v="-290"/>
        <n v="-400"/>
        <n v="-490"/>
        <n v="-300"/>
        <n v="-480"/>
      </sharedItems>
    </cacheField>
    <cacheField name="Cost of Goods Sold (COGS)" numFmtId="0">
      <sharedItems containsMixedTypes="1" containsNumber="1" minValue="8.2352941176470587E-2" maxValue="8.1044776119402986"/>
    </cacheField>
    <cacheField name="Months (Date)" numFmtId="0" databaseField="0">
      <fieldGroup base="2">
        <rangePr groupBy="months" startDate="2012-10-01T00:00:00" endDate="2013-12-02T00:00:00"/>
        <groupItems count="14">
          <s v="&lt;01-10-2012"/>
          <s v="Jan"/>
          <s v="Feb"/>
          <s v="Mar"/>
          <s v="Apr"/>
          <s v="May"/>
          <s v="Jun"/>
          <s v="Jul"/>
          <s v="Aug"/>
          <s v="Sep"/>
          <s v="Oct"/>
          <s v="Nov"/>
          <s v="Dec"/>
          <s v="&gt;02-12-2013"/>
        </groupItems>
      </fieldGroup>
    </cacheField>
    <cacheField name="Quarters (Date)" numFmtId="0" databaseField="0">
      <fieldGroup base="2">
        <rangePr groupBy="quarters" startDate="2012-10-01T00:00:00" endDate="2013-12-02T00:00:00"/>
        <groupItems count="6">
          <s v="&lt;01-10-2012"/>
          <s v="Qtr1"/>
          <s v="Qtr2"/>
          <s v="Qtr3"/>
          <s v="Qtr4"/>
          <s v="&gt;02-12-2013"/>
        </groupItems>
      </fieldGroup>
    </cacheField>
    <cacheField name="Years (Date)" numFmtId="0" databaseField="0">
      <fieldGroup base="2">
        <rangePr groupBy="years" startDate="2012-10-01T00:00:00" endDate="2013-12-02T00:00:00"/>
        <groupItems count="4">
          <s v="&lt;01-10-2012"/>
          <s v="2012"/>
          <s v="2013"/>
          <s v="&gt;02-12-2013"/>
        </groupItems>
      </fieldGroup>
    </cacheField>
  </cacheFields>
  <extLst>
    <ext xmlns:x14="http://schemas.microsoft.com/office/spreadsheetml/2009/9/main" uri="{725AE2AE-9491-48be-B2B4-4EB974FC3084}">
      <x14:pivotCacheDefinition pivotCacheId="165979935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YDI GANESH" refreshedDate="46131.582692361109" createdVersion="8" refreshedVersion="8" minRefreshableVersion="3" recordCount="1062" xr:uid="{16094881-670A-4B4A-855A-A5C1A6C4E02F}">
  <cacheSource type="worksheet">
    <worksheetSource name="Table1" r:id="rId2"/>
  </cacheSource>
  <cacheFields count="34">
    <cacheField name="Store id" numFmtId="0">
      <sharedItems containsSemiMixedTypes="0" containsString="0" containsNumber="1" containsInteger="1" minValue="203" maxValue="985" count="149">
        <n v="303"/>
        <n v="970"/>
        <n v="409"/>
        <n v="850"/>
        <n v="562"/>
        <n v="712"/>
        <n v="860"/>
        <n v="918"/>
        <n v="775"/>
        <n v="435"/>
        <n v="603"/>
        <n v="318"/>
        <n v="503"/>
        <n v="573"/>
        <n v="262"/>
        <n v="801"/>
        <n v="425"/>
        <n v="971"/>
        <n v="915"/>
        <n v="210"/>
        <n v="774"/>
        <n v="954"/>
        <n v="936"/>
        <n v="719"/>
        <n v="847"/>
        <n v="339"/>
        <n v="314"/>
        <n v="504"/>
        <n v="580"/>
        <n v="225"/>
        <n v="509"/>
        <n v="203"/>
        <n v="206"/>
        <n v="682"/>
        <n v="214"/>
        <n v="561"/>
        <n v="469"/>
        <n v="619"/>
        <n v="985"/>
        <n v="505"/>
        <n v="417"/>
        <n v="920"/>
        <n v="475"/>
        <n v="720"/>
        <n v="430"/>
        <n v="510"/>
        <n v="563"/>
        <n v="405"/>
        <n v="702"/>
        <n v="541"/>
        <n v="254"/>
        <n v="806"/>
        <n v="708"/>
        <n v="351"/>
        <n v="636"/>
        <n v="337"/>
        <n v="253"/>
        <n v="956"/>
        <n v="305"/>
        <n v="407"/>
        <n v="325"/>
        <n v="408"/>
        <n v="816"/>
        <n v="508"/>
        <n v="209"/>
        <n v="715"/>
        <n v="319"/>
        <n v="959"/>
        <n v="773"/>
        <n v="614"/>
        <n v="617"/>
        <n v="707"/>
        <n v="352"/>
        <n v="650"/>
        <n v="515"/>
        <n v="805"/>
        <n v="863"/>
        <n v="641"/>
        <n v="360"/>
        <n v="904"/>
        <n v="978"/>
        <n v="626"/>
        <n v="312"/>
        <n v="419"/>
        <n v="857"/>
        <n v="323"/>
        <n v="760"/>
        <n v="330"/>
        <n v="321"/>
        <n v="630"/>
        <n v="937"/>
        <n v="813"/>
        <n v="530"/>
        <n v="440"/>
        <n v="608"/>
        <n v="660"/>
        <n v="216"/>
        <n v="832"/>
        <n v="567"/>
        <n v="713"/>
        <n v="718"/>
        <n v="513"/>
        <n v="512"/>
        <n v="309"/>
        <n v="234"/>
        <n v="772"/>
        <n v="914"/>
        <n v="361"/>
        <n v="781"/>
        <n v="413"/>
        <n v="786"/>
        <n v="217"/>
        <n v="414"/>
        <n v="740"/>
        <n v="518"/>
        <n v="213"/>
        <n v="432"/>
        <n v="815"/>
        <n v="585"/>
        <n v="817"/>
        <n v="972"/>
        <n v="281"/>
        <n v="239"/>
        <n v="315"/>
        <n v="845"/>
        <n v="386"/>
        <n v="516"/>
        <n v="716"/>
        <n v="754"/>
        <n v="347"/>
        <n v="646"/>
        <n v="631"/>
        <n v="212"/>
        <n v="607"/>
        <n v="727"/>
        <n v="917"/>
        <n v="224"/>
        <n v="618"/>
        <n v="951"/>
        <n v="714"/>
        <n v="818"/>
        <n v="661"/>
        <n v="909"/>
        <n v="559"/>
        <n v="916"/>
        <n v="415"/>
        <n v="925"/>
        <n v="831"/>
        <n v="949"/>
      </sharedItems>
    </cacheField>
    <cacheField name="Cogs" numFmtId="0">
      <sharedItems containsSemiMixedTypes="0" containsString="0" containsNumber="1" containsInteger="1" minValue="0" maxValue="294"/>
    </cacheField>
    <cacheField name="Date" numFmtId="14">
      <sharedItems containsSemiMixedTypes="0" containsNonDate="0" containsDate="1" containsString="0" minDate="2012-10-01T00:00:00" maxDate="2013-12-02T00:00:00" count="6">
        <d v="2012-10-01T00:00:00"/>
        <d v="2012-11-01T00:00:00"/>
        <d v="2012-12-01T00:00:00"/>
        <d v="2013-10-01T00:00:00"/>
        <d v="2013-11-01T00:00:00"/>
        <d v="2013-12-01T00:00:00"/>
      </sharedItems>
      <fieldGroup par="33"/>
    </cacheField>
    <cacheField name="Market Size" numFmtId="0">
      <sharedItems count="2">
        <s v="Major Market"/>
        <s v="Small Market"/>
      </sharedItems>
    </cacheField>
    <cacheField name="Regional Performance" numFmtId="0">
      <sharedItems count="4">
        <s v="Central"/>
        <s v="South"/>
        <s v="East"/>
        <s v="West"/>
      </sharedItems>
    </cacheField>
    <cacheField name="Marketing" numFmtId="0">
      <sharedItems containsSemiMixedTypes="0" containsString="0" containsNumber="1" containsInteger="1" minValue="0" maxValue="122" count="67">
        <n v="46"/>
        <n v="17"/>
        <n v="13"/>
        <n v="10"/>
        <n v="23"/>
        <n v="0"/>
        <n v="15"/>
        <n v="7"/>
        <n v="9"/>
        <n v="11"/>
        <n v="14"/>
        <n v="41"/>
        <n v="54"/>
        <n v="12"/>
        <n v="20"/>
        <n v="27"/>
        <n v="28"/>
        <n v="47"/>
        <n v="8"/>
        <n v="40"/>
        <n v="16"/>
        <n v="55"/>
        <n v="42"/>
        <n v="24"/>
        <n v="49"/>
        <n v="44"/>
        <n v="25"/>
        <n v="19"/>
        <n v="21"/>
        <n v="6"/>
        <n v="30"/>
        <n v="18"/>
        <n v="26"/>
        <n v="31"/>
        <n v="22"/>
        <n v="5"/>
        <n v="4"/>
        <n v="74"/>
        <n v="34"/>
        <n v="29"/>
        <n v="33"/>
        <n v="87"/>
        <n v="69"/>
        <n v="85"/>
        <n v="95"/>
        <n v="37"/>
        <n v="91"/>
        <n v="113"/>
        <n v="45"/>
        <n v="66"/>
        <n v="96"/>
        <n v="109"/>
        <n v="50"/>
        <n v="59"/>
        <n v="93"/>
        <n v="97"/>
        <n v="122"/>
        <n v="70"/>
        <n v="111"/>
        <n v="39"/>
        <n v="84"/>
        <n v="3"/>
        <n v="36"/>
        <n v="57"/>
        <n v="75"/>
        <n v="73"/>
        <n v="81"/>
      </sharedItems>
    </cacheField>
    <cacheField name="Product Line" numFmtId="0">
      <sharedItems count="2">
        <s v="Leaves"/>
        <s v="Beans"/>
      </sharedItems>
    </cacheField>
    <cacheField name="Product Type" numFmtId="0">
      <sharedItems count="4">
        <s v="Herbal Tea"/>
        <s v="Tea"/>
        <s v="Espresso"/>
        <s v="Coffee"/>
      </sharedItems>
    </cacheField>
    <cacheField name="Product" numFmtId="0">
      <sharedItems count="13">
        <s v="Lemon"/>
        <s v="Mint"/>
        <s v="Darjeeling"/>
        <s v="Green Tea"/>
        <s v="Decaf Espresso"/>
        <s v="Decaf Irish Cream"/>
        <s v="Amaretto"/>
        <s v="Colombian"/>
        <s v="Caffe Mocha"/>
        <s v="Caffe Latte"/>
        <s v="Chamomile"/>
        <s v="Earl Grey"/>
        <s v="Regular Espresso"/>
      </sharedItems>
    </cacheField>
    <cacheField name="Profit" numFmtId="0">
      <sharedItems containsSemiMixedTypes="0" containsString="0" containsNumber="1" containsInteger="1" minValue="-605" maxValue="646" count="238">
        <n v="-5"/>
        <n v="26"/>
        <n v="28"/>
        <n v="35"/>
        <n v="56"/>
        <n v="31"/>
        <n v="21"/>
        <n v="7"/>
        <n v="37"/>
        <n v="33"/>
        <n v="24"/>
        <n v="-7"/>
        <n v="1"/>
        <n v="-2"/>
        <n v="12"/>
        <n v="-6"/>
        <n v="45"/>
        <n v="47"/>
        <n v="36"/>
        <n v="64"/>
        <n v="76"/>
        <n v="48"/>
        <n v="27"/>
        <n v="-8"/>
        <n v="44"/>
        <n v="15"/>
        <n v="29"/>
        <n v="30"/>
        <n v="34"/>
        <n v="14"/>
        <n v="20"/>
        <n v="49"/>
        <n v="13"/>
        <n v="52"/>
        <n v="23"/>
        <n v="50"/>
        <n v="53"/>
        <n v="-3"/>
        <n v="16"/>
        <n v="17"/>
        <n v="39"/>
        <n v="42"/>
        <n v="83"/>
        <n v="46"/>
        <n v="10"/>
        <n v="55"/>
        <n v="-10"/>
        <n v="18"/>
        <n v="-9"/>
        <n v="67"/>
        <n v="70"/>
        <n v="95"/>
        <n v="113"/>
        <n v="71"/>
        <n v="40"/>
        <n v="-12"/>
        <n v="65"/>
        <n v="22"/>
        <n v="43"/>
        <n v="73"/>
        <n v="19"/>
        <n v="77"/>
        <n v="74"/>
        <n v="79"/>
        <n v="-4"/>
        <n v="25"/>
        <n v="0"/>
        <n v="57"/>
        <n v="38"/>
        <n v="-20"/>
        <n v="6"/>
        <n v="32"/>
        <n v="8"/>
        <n v="117"/>
        <n v="85"/>
        <n v="-30"/>
        <n v="9"/>
        <n v="-26"/>
        <n v="11"/>
        <n v="5"/>
        <n v="2"/>
        <n v="-39"/>
        <n v="-13"/>
        <n v="3"/>
        <n v="-11"/>
        <n v="58"/>
        <n v="-16"/>
        <n v="82"/>
        <n v="68"/>
        <n v="86"/>
        <n v="-18"/>
        <n v="-24"/>
        <n v="78"/>
        <n v="59"/>
        <n v="51"/>
        <n v="116"/>
        <n v="96"/>
        <n v="88"/>
        <n v="185"/>
        <n v="133"/>
        <n v="87"/>
        <n v="174"/>
        <n v="127"/>
        <n v="62"/>
        <n v="89"/>
        <n v="188"/>
        <n v="72"/>
        <n v="66"/>
        <n v="-15"/>
        <n v="121"/>
        <n v="275"/>
        <n v="197"/>
        <n v="110"/>
        <n v="129"/>
        <n v="258"/>
        <n v="92"/>
        <n v="105"/>
        <n v="132"/>
        <n v="126"/>
        <n v="279"/>
        <n v="107"/>
        <n v="98"/>
        <n v="-22"/>
        <n v="180"/>
        <n v="114"/>
        <n v="115"/>
        <n v="122"/>
        <n v="171"/>
        <n v="181"/>
        <n v="156"/>
        <n v="60"/>
        <n v="348"/>
        <n v="247"/>
        <n v="-202"/>
        <n v="435"/>
        <n v="-170"/>
        <n v="134"/>
        <n v="63"/>
        <n v="324"/>
        <n v="236"/>
        <n v="108"/>
        <n v="381"/>
        <n v="204"/>
        <n v="-156"/>
        <n v="84"/>
        <n v="390"/>
        <n v="271"/>
        <n v="-224"/>
        <n v="312"/>
        <n v="309"/>
        <n v="-189"/>
        <n v="516"/>
        <n v="367"/>
        <n v="-300"/>
        <n v="137"/>
        <n v="646"/>
        <n v="191"/>
        <n v="-252"/>
        <n v="199"/>
        <n v="93"/>
        <n v="481"/>
        <n v="350"/>
        <n v="160"/>
        <n v="565"/>
        <n v="303"/>
        <n v="-232"/>
        <n v="125"/>
        <n v="579"/>
        <n v="402"/>
        <n v="-332"/>
        <n v="463"/>
        <n v="459"/>
        <n v="-280"/>
        <n v="149"/>
        <n v="120"/>
        <n v="224"/>
        <n v="61"/>
        <n v="183"/>
        <n v="106"/>
        <n v="128"/>
        <n v="139"/>
        <n v="196"/>
        <n v="173"/>
        <n v="157"/>
        <n v="194"/>
        <n v="216"/>
        <n v="-1"/>
        <n v="123"/>
        <n v="172"/>
        <n v="221"/>
        <n v="178"/>
        <n v="332"/>
        <n v="91"/>
        <n v="169"/>
        <n v="272"/>
        <n v="190"/>
        <n v="206"/>
        <n v="291"/>
        <n v="159"/>
        <n v="104"/>
        <n v="257"/>
        <n v="131"/>
        <n v="233"/>
        <n v="288"/>
        <n v="321"/>
        <n v="232"/>
        <n v="-117"/>
        <n v="225"/>
        <n v="-74"/>
        <n v="186"/>
        <n v="-27"/>
        <n v="-363"/>
        <n v="-127"/>
        <n v="-56"/>
        <n v="235"/>
        <n v="138"/>
        <n v="-340"/>
        <n v="-149"/>
        <n v="-88"/>
        <n v="215"/>
        <n v="-408"/>
        <n v="-174"/>
        <n v="334"/>
        <n v="-110"/>
        <n v="276"/>
        <n v="135"/>
        <n v="-40"/>
        <n v="-539"/>
        <n v="-188"/>
        <n v="292"/>
        <n v="-83"/>
        <n v="349"/>
        <n v="205"/>
        <n v="-505"/>
        <n v="-221"/>
        <n v="-131"/>
        <n v="319"/>
        <n v="-605"/>
      </sharedItems>
    </cacheField>
    <cacheField name="Sales" numFmtId="0">
      <sharedItems containsSemiMixedTypes="0" containsString="0" containsNumber="1" containsInteger="1" minValue="21" maxValue="815" count="243">
        <n v="122"/>
        <n v="123"/>
        <n v="107"/>
        <n v="94"/>
        <n v="182"/>
        <n v="43"/>
        <n v="111"/>
        <n v="66"/>
        <n v="68"/>
        <n v="99"/>
        <n v="120"/>
        <n v="114"/>
        <n v="109"/>
        <n v="144"/>
        <n v="77"/>
        <n v="118"/>
        <n v="119"/>
        <n v="205"/>
        <n v="218"/>
        <n v="92"/>
        <n v="164"/>
        <n v="124"/>
        <n v="125"/>
        <n v="88"/>
        <n v="81"/>
        <n v="78"/>
        <n v="121"/>
        <n v="113"/>
        <n v="106"/>
        <n v="141"/>
        <n v="115"/>
        <n v="90"/>
        <n v="147"/>
        <n v="133"/>
        <n v="112"/>
        <n v="127"/>
        <n v="145"/>
        <n v="176"/>
        <n v="101"/>
        <n v="85"/>
        <n v="82"/>
        <n v="131"/>
        <n v="160"/>
        <n v="153"/>
        <n v="139"/>
        <n v="130"/>
        <n v="100"/>
        <n v="194"/>
        <n v="46"/>
        <n v="70"/>
        <n v="72"/>
        <n v="128"/>
        <n v="116"/>
        <n v="126"/>
        <n v="232"/>
        <n v="98"/>
        <n v="175"/>
        <n v="132"/>
        <n v="86"/>
        <n v="83"/>
        <n v="129"/>
        <n v="150"/>
        <n v="96"/>
        <n v="157"/>
        <n v="142"/>
        <n v="135"/>
        <n v="155"/>
        <n v="188"/>
        <n v="108"/>
        <n v="91"/>
        <n v="87"/>
        <n v="140"/>
        <n v="171"/>
        <n v="163"/>
        <n v="148"/>
        <n v="174"/>
        <n v="187"/>
        <n v="51"/>
        <n v="58"/>
        <n v="177"/>
        <n v="159"/>
        <n v="80"/>
        <n v="56"/>
        <n v="74"/>
        <n v="103"/>
        <n v="69"/>
        <n v="185"/>
        <n v="199"/>
        <n v="54"/>
        <n v="62"/>
        <n v="189"/>
        <n v="151"/>
        <n v="169"/>
        <n v="75"/>
        <n v="60"/>
        <n v="79"/>
        <n v="110"/>
        <n v="52"/>
        <n v="64"/>
        <n v="76"/>
        <n v="73"/>
        <n v="89"/>
        <n v="84"/>
        <n v="55"/>
        <n v="95"/>
        <n v="138"/>
        <n v="184"/>
        <n v="168"/>
        <n v="134"/>
        <n v="196"/>
        <n v="179"/>
        <n v="104"/>
        <n v="53"/>
        <n v="61"/>
        <n v="63"/>
        <n v="39"/>
        <n v="41"/>
        <n v="45"/>
        <n v="65"/>
        <n v="67"/>
        <n v="42"/>
        <n v="44"/>
        <n v="48"/>
        <n v="201"/>
        <n v="520"/>
        <n v="302"/>
        <n v="236"/>
        <n v="230"/>
        <n v="490"/>
        <n v="290"/>
        <n v="197"/>
        <n v="200"/>
        <n v="245"/>
        <n v="231"/>
        <n v="224"/>
        <n v="525"/>
        <n v="221"/>
        <n v="320"/>
        <n v="214"/>
        <n v="250"/>
        <n v="554"/>
        <n v="322"/>
        <n v="251"/>
        <n v="522"/>
        <n v="309"/>
        <n v="210"/>
        <n v="213"/>
        <n v="261"/>
        <n v="246"/>
        <n v="239"/>
        <n v="559"/>
        <n v="341"/>
        <n v="228"/>
        <n v="266"/>
        <n v="313"/>
        <n v="325"/>
        <n v="289"/>
        <n v="334"/>
        <n v="346"/>
        <n v="308"/>
        <n v="202"/>
        <n v="474"/>
        <n v="650"/>
        <n v="765"/>
        <n v="513"/>
        <n v="265"/>
        <n v="180"/>
        <n v="454"/>
        <n v="623"/>
        <n v="363"/>
        <n v="675"/>
        <n v="576"/>
        <n v="198"/>
        <n v="195"/>
        <n v="510"/>
        <n v="699"/>
        <n v="306"/>
        <n v="657"/>
        <n v="747"/>
        <n v="215"/>
        <n v="505"/>
        <n v="693"/>
        <n v="343"/>
        <n v="815"/>
        <n v="547"/>
        <n v="282"/>
        <n v="192"/>
        <n v="484"/>
        <n v="664"/>
        <n v="387"/>
        <n v="719"/>
        <n v="614"/>
        <n v="211"/>
        <n v="208"/>
        <n v="543"/>
        <n v="745"/>
        <n v="326"/>
        <n v="700"/>
        <n v="796"/>
        <n v="158"/>
        <n v="298"/>
        <n v="478"/>
        <n v="367"/>
        <n v="598"/>
        <n v="23"/>
        <n v="567"/>
        <n v="278"/>
        <n v="423"/>
        <n v="412"/>
        <n v="532"/>
        <n v="545"/>
        <n v="312"/>
        <n v="501"/>
        <n v="534"/>
        <n v="24"/>
        <n v="654"/>
        <n v="318"/>
        <n v="509"/>
        <n v="391"/>
        <n v="637"/>
        <n v="25"/>
        <n v="604"/>
        <n v="296"/>
        <n v="451"/>
        <n v="439"/>
        <n v="581"/>
        <n v="332"/>
        <n v="569"/>
        <n v="26"/>
        <n v="697"/>
        <n v="167"/>
        <n v="21"/>
        <n v="146"/>
        <n v="156"/>
        <n v="32"/>
        <n v="102"/>
        <n v="31"/>
        <n v="178"/>
        <n v="22"/>
        <n v="136"/>
        <n v="166"/>
        <n v="34"/>
        <n v="33"/>
      </sharedItems>
    </cacheField>
    <cacheField name="State" numFmtId="0">
      <sharedItems count="20">
        <s v="Colorado"/>
        <s v="Texas"/>
        <s v="Florida"/>
        <s v="California"/>
        <s v="Iowa"/>
        <s v="Connecticut"/>
        <s v="Oklahoma"/>
        <s v="Nevada"/>
        <s v="Utah"/>
        <s v="New Hampshire"/>
        <s v="Louisiana"/>
        <s v="Oregon"/>
        <s v="Missouri"/>
        <s v="Wisconsin"/>
        <s v="Washington"/>
        <s v="Massachusetts"/>
        <s v="Illinois"/>
        <s v="New Mexico"/>
        <s v="Ohio"/>
        <s v="New York"/>
      </sharedItems>
    </cacheField>
    <cacheField name="Target COGS" numFmtId="0">
      <sharedItems containsSemiMixedTypes="0" containsString="0" containsNumber="1" containsInteger="1" minValue="0" maxValue="380"/>
    </cacheField>
    <cacheField name="Target Profit" numFmtId="0">
      <sharedItems containsSemiMixedTypes="0" containsString="0" containsNumber="1" containsInteger="1" minValue="-320" maxValue="470"/>
    </cacheField>
    <cacheField name="Target Sales" numFmtId="0">
      <sharedItems containsSemiMixedTypes="0" containsString="0" containsNumber="1" containsInteger="1" minValue="0" maxValue="960"/>
    </cacheField>
    <cacheField name="Other Expenses" numFmtId="0">
      <sharedItems containsSemiMixedTypes="0" containsString="0" containsNumber="1" containsInteger="1" minValue="11" maxValue="156"/>
    </cacheField>
    <cacheField name="Total Sales" numFmtId="0">
      <sharedItems containsSemiMixedTypes="0" containsString="0" containsNumber="1" containsInteger="1" minValue="21" maxValue="815" count="243">
        <n v="122"/>
        <n v="123"/>
        <n v="107"/>
        <n v="94"/>
        <n v="182"/>
        <n v="43"/>
        <n v="111"/>
        <n v="66"/>
        <n v="68"/>
        <n v="99"/>
        <n v="120"/>
        <n v="114"/>
        <n v="109"/>
        <n v="144"/>
        <n v="77"/>
        <n v="118"/>
        <n v="119"/>
        <n v="205"/>
        <n v="218"/>
        <n v="92"/>
        <n v="164"/>
        <n v="124"/>
        <n v="125"/>
        <n v="88"/>
        <n v="81"/>
        <n v="78"/>
        <n v="121"/>
        <n v="113"/>
        <n v="106"/>
        <n v="141"/>
        <n v="115"/>
        <n v="90"/>
        <n v="147"/>
        <n v="133"/>
        <n v="112"/>
        <n v="127"/>
        <n v="145"/>
        <n v="176"/>
        <n v="101"/>
        <n v="85"/>
        <n v="82"/>
        <n v="131"/>
        <n v="160"/>
        <n v="153"/>
        <n v="139"/>
        <n v="130"/>
        <n v="100"/>
        <n v="194"/>
        <n v="46"/>
        <n v="70"/>
        <n v="72"/>
        <n v="128"/>
        <n v="116"/>
        <n v="126"/>
        <n v="232"/>
        <n v="98"/>
        <n v="175"/>
        <n v="132"/>
        <n v="86"/>
        <n v="83"/>
        <n v="129"/>
        <n v="150"/>
        <n v="96"/>
        <n v="157"/>
        <n v="142"/>
        <n v="135"/>
        <n v="155"/>
        <n v="188"/>
        <n v="108"/>
        <n v="91"/>
        <n v="87"/>
        <n v="140"/>
        <n v="171"/>
        <n v="163"/>
        <n v="148"/>
        <n v="174"/>
        <n v="187"/>
        <n v="51"/>
        <n v="58"/>
        <n v="177"/>
        <n v="159"/>
        <n v="80"/>
        <n v="56"/>
        <n v="74"/>
        <n v="103"/>
        <n v="69"/>
        <n v="185"/>
        <n v="199"/>
        <n v="54"/>
        <n v="62"/>
        <n v="189"/>
        <n v="151"/>
        <n v="169"/>
        <n v="75"/>
        <n v="60"/>
        <n v="79"/>
        <n v="110"/>
        <n v="52"/>
        <n v="64"/>
        <n v="76"/>
        <n v="73"/>
        <n v="89"/>
        <n v="84"/>
        <n v="55"/>
        <n v="95"/>
        <n v="138"/>
        <n v="184"/>
        <n v="168"/>
        <n v="134"/>
        <n v="196"/>
        <n v="179"/>
        <n v="104"/>
        <n v="53"/>
        <n v="61"/>
        <n v="63"/>
        <n v="39"/>
        <n v="41"/>
        <n v="45"/>
        <n v="65"/>
        <n v="67"/>
        <n v="42"/>
        <n v="44"/>
        <n v="48"/>
        <n v="201"/>
        <n v="520"/>
        <n v="302"/>
        <n v="236"/>
        <n v="230"/>
        <n v="490"/>
        <n v="290"/>
        <n v="197"/>
        <n v="200"/>
        <n v="245"/>
        <n v="231"/>
        <n v="224"/>
        <n v="525"/>
        <n v="221"/>
        <n v="320"/>
        <n v="214"/>
        <n v="250"/>
        <n v="554"/>
        <n v="322"/>
        <n v="251"/>
        <n v="522"/>
        <n v="309"/>
        <n v="210"/>
        <n v="213"/>
        <n v="261"/>
        <n v="246"/>
        <n v="239"/>
        <n v="559"/>
        <n v="341"/>
        <n v="228"/>
        <n v="266"/>
        <n v="313"/>
        <n v="325"/>
        <n v="289"/>
        <n v="334"/>
        <n v="346"/>
        <n v="308"/>
        <n v="202"/>
        <n v="474"/>
        <n v="650"/>
        <n v="765"/>
        <n v="513"/>
        <n v="265"/>
        <n v="180"/>
        <n v="454"/>
        <n v="623"/>
        <n v="363"/>
        <n v="675"/>
        <n v="576"/>
        <n v="198"/>
        <n v="195"/>
        <n v="510"/>
        <n v="699"/>
        <n v="306"/>
        <n v="657"/>
        <n v="747"/>
        <n v="215"/>
        <n v="505"/>
        <n v="693"/>
        <n v="343"/>
        <n v="815"/>
        <n v="547"/>
        <n v="282"/>
        <n v="192"/>
        <n v="484"/>
        <n v="664"/>
        <n v="387"/>
        <n v="719"/>
        <n v="614"/>
        <n v="211"/>
        <n v="208"/>
        <n v="543"/>
        <n v="745"/>
        <n v="326"/>
        <n v="700"/>
        <n v="796"/>
        <n v="158"/>
        <n v="298"/>
        <n v="478"/>
        <n v="367"/>
        <n v="598"/>
        <n v="23"/>
        <n v="567"/>
        <n v="278"/>
        <n v="423"/>
        <n v="412"/>
        <n v="532"/>
        <n v="545"/>
        <n v="312"/>
        <n v="501"/>
        <n v="534"/>
        <n v="24"/>
        <n v="654"/>
        <n v="318"/>
        <n v="509"/>
        <n v="391"/>
        <n v="637"/>
        <n v="25"/>
        <n v="604"/>
        <n v="296"/>
        <n v="451"/>
        <n v="439"/>
        <n v="581"/>
        <n v="332"/>
        <n v="569"/>
        <n v="26"/>
        <n v="697"/>
        <n v="167"/>
        <n v="21"/>
        <n v="146"/>
        <n v="156"/>
        <n v="32"/>
        <n v="102"/>
        <n v="31"/>
        <n v="178"/>
        <n v="22"/>
        <n v="136"/>
        <n v="166"/>
        <n v="34"/>
        <n v="33"/>
      </sharedItems>
    </cacheField>
    <cacheField name="Total Profit" numFmtId="0">
      <sharedItems containsSemiMixedTypes="0" containsString="0" containsNumber="1" containsInteger="1" minValue="-605" maxValue="646" count="238">
        <n v="-5"/>
        <n v="26"/>
        <n v="28"/>
        <n v="35"/>
        <n v="56"/>
        <n v="31"/>
        <n v="21"/>
        <n v="7"/>
        <n v="37"/>
        <n v="33"/>
        <n v="24"/>
        <n v="-7"/>
        <n v="1"/>
        <n v="-2"/>
        <n v="12"/>
        <n v="-6"/>
        <n v="45"/>
        <n v="47"/>
        <n v="36"/>
        <n v="64"/>
        <n v="76"/>
        <n v="48"/>
        <n v="27"/>
        <n v="-8"/>
        <n v="44"/>
        <n v="15"/>
        <n v="29"/>
        <n v="30"/>
        <n v="34"/>
        <n v="14"/>
        <n v="20"/>
        <n v="49"/>
        <n v="13"/>
        <n v="52"/>
        <n v="23"/>
        <n v="50"/>
        <n v="53"/>
        <n v="-3"/>
        <n v="16"/>
        <n v="17"/>
        <n v="39"/>
        <n v="42"/>
        <n v="83"/>
        <n v="46"/>
        <n v="10"/>
        <n v="55"/>
        <n v="-10"/>
        <n v="18"/>
        <n v="-9"/>
        <n v="67"/>
        <n v="70"/>
        <n v="95"/>
        <n v="113"/>
        <n v="71"/>
        <n v="40"/>
        <n v="-12"/>
        <n v="65"/>
        <n v="22"/>
        <n v="43"/>
        <n v="73"/>
        <n v="19"/>
        <n v="77"/>
        <n v="74"/>
        <n v="79"/>
        <n v="-4"/>
        <n v="25"/>
        <n v="0"/>
        <n v="57"/>
        <n v="38"/>
        <n v="-20"/>
        <n v="6"/>
        <n v="32"/>
        <n v="8"/>
        <n v="117"/>
        <n v="85"/>
        <n v="-30"/>
        <n v="9"/>
        <n v="-26"/>
        <n v="11"/>
        <n v="5"/>
        <n v="2"/>
        <n v="-39"/>
        <n v="-13"/>
        <n v="3"/>
        <n v="-11"/>
        <n v="58"/>
        <n v="-16"/>
        <n v="82"/>
        <n v="68"/>
        <n v="86"/>
        <n v="-18"/>
        <n v="-24"/>
        <n v="78"/>
        <n v="59"/>
        <n v="51"/>
        <n v="116"/>
        <n v="96"/>
        <n v="88"/>
        <n v="185"/>
        <n v="133"/>
        <n v="87"/>
        <n v="174"/>
        <n v="127"/>
        <n v="62"/>
        <n v="89"/>
        <n v="188"/>
        <n v="72"/>
        <n v="66"/>
        <n v="-15"/>
        <n v="121"/>
        <n v="275"/>
        <n v="197"/>
        <n v="110"/>
        <n v="129"/>
        <n v="258"/>
        <n v="92"/>
        <n v="105"/>
        <n v="132"/>
        <n v="126"/>
        <n v="279"/>
        <n v="107"/>
        <n v="98"/>
        <n v="-22"/>
        <n v="180"/>
        <n v="114"/>
        <n v="115"/>
        <n v="122"/>
        <n v="171"/>
        <n v="181"/>
        <n v="156"/>
        <n v="60"/>
        <n v="348"/>
        <n v="247"/>
        <n v="-202"/>
        <n v="435"/>
        <n v="-170"/>
        <n v="134"/>
        <n v="63"/>
        <n v="324"/>
        <n v="236"/>
        <n v="108"/>
        <n v="381"/>
        <n v="204"/>
        <n v="-156"/>
        <n v="84"/>
        <n v="390"/>
        <n v="271"/>
        <n v="-224"/>
        <n v="312"/>
        <n v="309"/>
        <n v="-189"/>
        <n v="516"/>
        <n v="367"/>
        <n v="-300"/>
        <n v="137"/>
        <n v="646"/>
        <n v="191"/>
        <n v="-252"/>
        <n v="199"/>
        <n v="93"/>
        <n v="481"/>
        <n v="350"/>
        <n v="160"/>
        <n v="565"/>
        <n v="303"/>
        <n v="-232"/>
        <n v="125"/>
        <n v="579"/>
        <n v="402"/>
        <n v="-332"/>
        <n v="463"/>
        <n v="459"/>
        <n v="-280"/>
        <n v="149"/>
        <n v="120"/>
        <n v="224"/>
        <n v="61"/>
        <n v="183"/>
        <n v="106"/>
        <n v="128"/>
        <n v="139"/>
        <n v="196"/>
        <n v="173"/>
        <n v="157"/>
        <n v="194"/>
        <n v="216"/>
        <n v="-1"/>
        <n v="123"/>
        <n v="172"/>
        <n v="221"/>
        <n v="178"/>
        <n v="332"/>
        <n v="91"/>
        <n v="169"/>
        <n v="272"/>
        <n v="190"/>
        <n v="206"/>
        <n v="291"/>
        <n v="159"/>
        <n v="104"/>
        <n v="257"/>
        <n v="131"/>
        <n v="233"/>
        <n v="288"/>
        <n v="321"/>
        <n v="232"/>
        <n v="-117"/>
        <n v="225"/>
        <n v="-74"/>
        <n v="186"/>
        <n v="-27"/>
        <n v="-363"/>
        <n v="-127"/>
        <n v="-56"/>
        <n v="235"/>
        <n v="138"/>
        <n v="-340"/>
        <n v="-149"/>
        <n v="-88"/>
        <n v="215"/>
        <n v="-408"/>
        <n v="-174"/>
        <n v="334"/>
        <n v="-110"/>
        <n v="276"/>
        <n v="135"/>
        <n v="-40"/>
        <n v="-539"/>
        <n v="-188"/>
        <n v="292"/>
        <n v="-83"/>
        <n v="349"/>
        <n v="205"/>
        <n v="-505"/>
        <n v="-221"/>
        <n v="-131"/>
        <n v="319"/>
        <n v="-605"/>
      </sharedItems>
    </cacheField>
    <cacheField name="ProftMargin" numFmtId="0">
      <sharedItems containsSemiMixedTypes="0" containsString="0" containsNumber="1" containsInteger="1" minValue="-36" maxValue="638" count="249">
        <n v="127"/>
        <n v="97"/>
        <n v="79"/>
        <n v="59"/>
        <n v="126"/>
        <n v="12"/>
        <n v="90"/>
        <n v="45"/>
        <n v="61"/>
        <n v="62"/>
        <n v="87"/>
        <n v="116"/>
        <n v="143"/>
        <n v="108"/>
        <n v="115"/>
        <n v="73"/>
        <n v="72"/>
        <n v="63"/>
        <n v="141"/>
        <n v="142"/>
        <n v="66"/>
        <n v="75"/>
        <n v="65"/>
        <n v="128"/>
        <n v="120"/>
        <n v="83"/>
        <n v="109"/>
        <n v="96"/>
        <n v="57"/>
        <n v="54"/>
        <n v="50"/>
        <n v="58"/>
        <n v="86"/>
        <n v="107"/>
        <n v="89"/>
        <n v="114"/>
        <n v="92"/>
        <n v="71"/>
        <n v="146"/>
        <n v="69"/>
        <n v="81"/>
        <n v="118"/>
        <n v="98"/>
        <n v="122"/>
        <n v="99"/>
        <n v="77"/>
        <n v="80"/>
        <n v="94"/>
        <n v="134"/>
        <n v="123"/>
        <n v="144"/>
        <n v="103"/>
        <n v="137"/>
        <n v="48"/>
        <n v="111"/>
        <n v="0"/>
        <n v="39"/>
        <n v="51"/>
        <n v="85"/>
        <n v="152"/>
        <n v="110"/>
        <n v="125"/>
        <n v="53"/>
        <n v="119"/>
        <n v="60"/>
        <n v="140"/>
        <n v="46"/>
        <n v="41"/>
        <n v="49"/>
        <n v="78"/>
        <n v="47"/>
        <n v="156"/>
        <n v="121"/>
        <n v="93"/>
        <n v="42"/>
        <n v="88"/>
        <n v="133"/>
        <n v="147"/>
        <n v="95"/>
        <n v="91"/>
        <n v="40"/>
        <n v="102"/>
        <n v="76"/>
        <n v="130"/>
        <n v="113"/>
        <n v="112"/>
        <n v="70"/>
        <n v="55"/>
        <n v="11"/>
        <n v="56"/>
        <n v="82"/>
        <n v="35"/>
        <n v="139"/>
        <n v="153"/>
        <n v="84"/>
        <n v="36"/>
        <n v="43"/>
        <n v="104"/>
        <n v="136"/>
        <n v="101"/>
        <n v="44"/>
        <n v="-1"/>
        <n v="37"/>
        <n v="68"/>
        <n v="132"/>
        <n v="64"/>
        <n v="135"/>
        <n v="74"/>
        <n v="131"/>
        <n v="155"/>
        <n v="100"/>
        <n v="129"/>
        <n v="106"/>
        <n v="145"/>
        <n v="154"/>
        <n v="38"/>
        <n v="31"/>
        <n v="52"/>
        <n v="32"/>
        <n v="34"/>
        <n v="33"/>
        <n v="30"/>
        <n v="29"/>
        <n v="105"/>
        <n v="124"/>
        <n v="335"/>
        <n v="169"/>
        <n v="149"/>
        <n v="213"/>
        <n v="316"/>
        <n v="163"/>
        <n v="209"/>
        <n v="337"/>
        <n v="199"/>
        <n v="230"/>
        <n v="279"/>
        <n v="220"/>
        <n v="264"/>
        <n v="217"/>
        <n v="280"/>
        <n v="161"/>
        <n v="236"/>
        <n v="198"/>
        <n v="203"/>
        <n v="184"/>
        <n v="165"/>
        <n v="403"/>
        <n v="212"/>
        <n v="271"/>
        <n v="330"/>
        <n v="384"/>
        <n v="334"/>
        <n v="150"/>
        <n v="168"/>
        <n v="387"/>
        <n v="263"/>
        <n v="255"/>
        <n v="294"/>
        <n v="372"/>
        <n v="148"/>
        <n v="428"/>
        <n v="229"/>
        <n v="290"/>
        <n v="219"/>
        <n v="345"/>
        <n v="438"/>
        <n v="-11"/>
        <n v="326"/>
        <n v="218"/>
        <n v="374"/>
        <n v="206"/>
        <n v="356"/>
        <n v="427"/>
        <n v="117"/>
        <n v="3"/>
        <n v="314"/>
        <n v="365"/>
        <n v="227"/>
        <n v="311"/>
        <n v="160"/>
        <n v="-36"/>
        <n v="343"/>
        <n v="235"/>
        <n v="402"/>
        <n v="197"/>
        <n v="237"/>
        <n v="183"/>
        <n v="329"/>
        <n v="247"/>
        <n v="25"/>
        <n v="67"/>
        <n v="172"/>
        <n v="162"/>
        <n v="273"/>
        <n v="336"/>
        <n v="256"/>
        <n v="26"/>
        <n v="208"/>
        <n v="171"/>
        <n v="190"/>
        <n v="344"/>
        <n v="340"/>
        <n v="360"/>
        <n v="138"/>
        <n v="189"/>
        <n v="288"/>
        <n v="305"/>
        <n v="28"/>
        <n v="332"/>
        <n v="260"/>
        <n v="233"/>
        <n v="276"/>
        <n v="228"/>
        <n v="215"/>
        <n v="324"/>
        <n v="151"/>
        <n v="301"/>
        <n v="281"/>
        <n v="293"/>
        <n v="27"/>
        <n v="302"/>
        <n v="376"/>
        <n v="373"/>
        <n v="231"/>
        <n v="272"/>
        <n v="388"/>
        <n v="274"/>
        <n v="295"/>
        <n v="341"/>
        <n v="291"/>
        <n v="361"/>
        <n v="439"/>
        <n v="313"/>
        <n v="303"/>
        <n v="226"/>
        <n v="278"/>
        <n v="561"/>
        <n v="275"/>
        <n v="207"/>
        <n v="315"/>
        <n v="269"/>
        <n v="234"/>
        <n v="261"/>
        <n v="539"/>
        <n v="426"/>
        <n v="240"/>
        <n v="297"/>
        <n v="296"/>
        <n v="638"/>
      </sharedItems>
    </cacheField>
    <cacheField name="Marketing spend" numFmtId="0">
      <sharedItems containsMixedTypes="1" containsNumber="1" minValue="-5.614583333333333" maxValue="26.318181818181817" count="464">
        <n v="-0.10869565217391304"/>
        <n v="1.5294117647058822"/>
        <n v="2.1538461538461537"/>
        <n v="3.5"/>
        <n v="2.4347826086956523"/>
        <e v="#DIV/0!"/>
        <n v="1.4"/>
        <n v="3"/>
        <n v="0.77777777777777779"/>
        <n v="3.3636363636363638"/>
        <n v="2.2000000000000002"/>
        <n v="1.7142857142857142"/>
        <n v="-0.17073170731707318"/>
        <n v="1.8518518518518517E-2"/>
        <n v="-0.16666666666666666"/>
        <n v="0.6"/>
        <n v="-0.14634146341463414"/>
        <n v="3.4615384615384617"/>
        <n v="3.6153846153846154"/>
        <n v="3.2727272727272729"/>
        <n v="2.3703703703703702"/>
        <n v="2.7142857142857144"/>
        <n v="2"/>
        <n v="3.4285714285714284"/>
        <n v="2.0769230769230771"/>
        <n v="-0.1702127659574468"/>
        <n v="1.9130434782608696"/>
        <n v="2.2142857142857144"/>
        <n v="0.75"/>
        <n v="1.7058823529411764"/>
        <n v="3.1"/>
        <n v="2.2666666666666666"/>
        <n v="0.7"/>
        <n v="2.1428571428571428"/>
        <n v="1.4285714285714286"/>
        <n v="-0.2"/>
        <n v="3.0625"/>
        <n v="0.65"/>
        <n v="3.3846153846153846"/>
        <n v="3.3"/>
        <n v="1.8181818181818181E-2"/>
        <n v="3.4666666666666668"/>
        <n v="-0.14285714285714285"/>
        <n v="0.95833333333333337"/>
        <n v="2.0833333333333335"/>
        <n v="1.6470588235294117"/>
        <n v="1.8461538461538463"/>
        <n v="3.5333333333333332"/>
        <n v="3.375"/>
        <n v="3.4444444444444446"/>
        <n v="3.1111111111111112"/>
        <n v="1.8666666666666667"/>
        <n v="-6.1224489795918366E-2"/>
        <n v="-0.11363636363636363"/>
        <n v="7.1428571428571425E-2"/>
        <n v="2.5"/>
        <n v="0.5714285714285714"/>
        <n v="1.08"/>
        <n v="1.8947368421052631"/>
        <n v="0.6071428571428571"/>
        <n v="-0.15217391304347827"/>
        <n v="2.2941176470588234"/>
        <n v="3.2307692307692308"/>
        <n v="5.2"/>
        <n v="3.6086956521739131"/>
        <n v="2.0666666666666669"/>
        <n v="4.4285714285714288"/>
        <n v="1.1111111111111112"/>
        <n v="5"/>
        <n v="3.2666666666666666"/>
        <n v="2.5714285714285716"/>
        <n v="-0.24390243902439024"/>
        <n v="-0.25"/>
        <n v="0.9"/>
        <n v="-0.21951219512195122"/>
        <n v="5.1538461538461542"/>
        <n v="5.384615384615385"/>
        <n v="4.8181818181818183"/>
        <n v="3.5185185185185186"/>
        <n v="4.0357142857142856"/>
        <n v="5.0714285714285712"/>
        <n v="3.0769230769230771"/>
        <n v="-0.25531914893617019"/>
        <n v="2.8260869565217392"/>
        <n v="3.2857142857142856"/>
        <n v="1.1000000000000001"/>
        <n v="2.5294117647058822"/>
        <n v="4.5999999999999996"/>
        <n v="4.4444444444444446"/>
        <n v="5.25"/>
        <n v="4.5"/>
        <n v="3.3333333333333335"/>
        <n v="1.05"/>
        <n v="3.2142857142857144"/>
        <n v="-0.3"/>
        <n v="4.5625"/>
        <n v="0.95"/>
        <n v="4.9000000000000004"/>
        <n v="5.1333333333333337"/>
        <n v="-0.21428571428571427"/>
        <n v="1.4166666666666667"/>
        <n v="3.0833333333333335"/>
        <n v="2.4705882352941178"/>
        <n v="2.7692307692307692"/>
        <n v="5.2666666666666666"/>
        <n v="5.1111111111111107"/>
        <n v="4.666666666666667"/>
        <n v="2.8"/>
        <n v="-8.1632653061224483E-2"/>
        <n v="-0.15909090909090909"/>
        <n v="3.75"/>
        <n v="0.8571428571428571"/>
        <n v="1.6"/>
        <n v="2.7894736842105261"/>
        <n v="0.8928571428571429"/>
        <n v="2.25"/>
        <n v="1.6875"/>
        <n v="2.8571428571428572"/>
        <n v="3.7619047619047619"/>
        <n v="1.1333333333333333"/>
        <n v="1.75"/>
        <n v="0"/>
        <n v="3.1666666666666665"/>
        <n v="3.625"/>
        <n v="3.3571428571428572"/>
        <n v="-0.32"/>
        <n v="2.6666666666666665"/>
        <n v="-0.17499999999999999"/>
        <n v="-0.33333333333333331"/>
        <n v="1.8095238095238095"/>
        <n v="2.0714285714285716"/>
        <n v="-0.47619047619047616"/>
        <n v="0.35294117647058826"/>
        <n v="1.625"/>
        <n v="3.2222222222222223"/>
        <n v="0.88888888888888884"/>
        <n v="2.8333333333333335"/>
        <n v="2.5833333333333335"/>
        <n v="-9.0909090909090912E-2"/>
        <n v="2.9583333333333335"/>
        <n v="4.2857142857142856"/>
        <n v="5.5714285714285712"/>
        <n v="1.6666666666666667"/>
        <n v="2.6"/>
        <n v="4.7222222222222223"/>
        <n v="4.8571428571428568"/>
        <n v="5.375"/>
        <n v="-0.48"/>
        <n v="4"/>
        <n v="-0.5"/>
        <n v="3.0714285714285716"/>
        <n v="-0.7142857142857143"/>
        <n v="0.52941176470588236"/>
        <n v="2.4375"/>
        <n v="4.7777777777777777"/>
        <n v="1.3333333333333333"/>
        <n v="4.166666666666667"/>
        <n v="3.8333333333333335"/>
        <n v="-0.13636363636363635"/>
        <n v="2.1666666666666665"/>
        <n v="-1"/>
        <n v="0.66666666666666663"/>
        <n v="1.0833333333333333"/>
        <n v="1.5714285714285714"/>
        <n v="0.72727272727272729"/>
        <n v="0.625"/>
        <n v="-0.36"/>
        <n v="0.81818181818181823"/>
        <n v="3.125"/>
        <n v="0.41176470588235292"/>
        <n v="3.25"/>
        <n v="1.8571428571428572"/>
        <n v="0.14285714285714285"/>
        <n v="0.91666666666666663"/>
        <n v="1"/>
        <n v="-1.5"/>
        <n v="1.5833333333333333"/>
        <n v="2.2857142857142856"/>
        <n v="1.0909090909090908"/>
        <n v="0.875"/>
        <n v="-0.52"/>
        <n v="1.1818181818181819"/>
        <n v="4.625"/>
        <n v="0.58823529411764708"/>
        <n v="4.875"/>
        <n v="0.21428571428571427"/>
        <n v="1.5"/>
        <n v="-0.2391304347826087"/>
        <n v="2.3913043478260869"/>
        <n v="3.5384615384615383"/>
        <n v="1.588235294117647"/>
        <n v="0.76190476190476186"/>
        <n v="1.6428571428571428"/>
        <n v="-6.3829787234042548E-2"/>
        <n v="-8.5106382978723402E-2"/>
        <n v="1.6842105263157894"/>
        <n v="0.8"/>
        <n v="1.2258064516129032"/>
        <n v="3.6363636363636362E-2"/>
        <n v="2.1363636363636362"/>
        <n v="1.3125"/>
        <n v="2.3125"/>
        <n v="-4.0816326530612242E-2"/>
        <n v="7.6923076923076927E-2"/>
        <n v="-0.34782608695652173"/>
        <n v="3.5652173913043477"/>
        <n v="5.2307692307692308"/>
        <n v="2.3529411764705883"/>
        <n v="1.1428571428571428"/>
        <n v="2.4285714285714284"/>
        <n v="-0.1276595744680851"/>
        <n v="2.4736842105263159"/>
        <n v="1.2"/>
        <n v="1.8064516129032258"/>
        <n v="5.4545454545454543E-2"/>
        <n v="3.1818181818181817"/>
        <n v="1.9375"/>
        <n v="3.4375"/>
        <n v="1.375"/>
        <n v="3.3125"/>
        <n v="3.2"/>
        <n v="1.1666666666666667"/>
        <n v="-1.3333333333333333"/>
        <n v="-2.2857142857142856"/>
        <n v="4.8"/>
        <n v="4.4000000000000004"/>
        <n v="-2"/>
        <n v="4.2"/>
        <n v="3.5714285714285716"/>
        <n v="-3.4285714285714284"/>
        <n v="3.7142857142857144"/>
        <n v="2.4074074074074074"/>
        <n v="0.7142857142857143"/>
        <n v="1.736842105263158"/>
        <n v="2.4583333333333335"/>
        <n v="1.9565217391304348"/>
        <n v="3.4"/>
        <n v="1.9230769230769231"/>
        <n v="1.04"/>
        <n v="5.5238095238095237"/>
        <n v="3.5555555555555554"/>
        <n v="1.0476190476190477"/>
        <n v="2.5789473684210527"/>
        <n v="3.6666666666666665"/>
        <n v="2.9130434782608696"/>
        <n v="4.4375"/>
        <n v="5.0666666666666664"/>
        <n v="2.8461538461538463"/>
        <n v="-0.23809523809523808"/>
        <n v="1.56"/>
        <n v="3.9117647058823528"/>
        <n v="2.5517241379310347"/>
        <n v="2.6363636363636362"/>
        <n v="0.19540229885057472"/>
        <n v="2.5217391304347827"/>
        <n v="3.8484848484848486"/>
        <n v="2.48"/>
        <n v="2.4482758620689653"/>
        <n v="2.870967741935484"/>
        <n v="2.5757575757575757"/>
        <n v="0.17647058823529413"/>
        <n v="2.5405405405405403"/>
        <n v="2.4827586206896552"/>
        <n v="1.8"/>
        <n v="2.5384615384615383"/>
        <n v="-2.1428571428571428"/>
        <n v="2.9512195121951219"/>
        <n v="2.4838709677419355"/>
        <n v="0.21052631578947367"/>
        <n v="3.7162162162162162"/>
        <n v="5.7941176470588234"/>
        <n v="3.7931034482758621"/>
        <n v="3.9090909090909092"/>
        <n v="0.28735632183908044"/>
        <n v="3.7391304347826089"/>
        <n v="5.6969696969696972"/>
        <n v="3.68"/>
        <n v="3.6206896551724137"/>
        <n v="4.258064516129032"/>
        <n v="3.8181818181818183"/>
        <n v="0.25882352941176473"/>
        <n v="3.7702702702702702"/>
        <n v="3.6896551724137931"/>
        <n v="3.7692307692307692"/>
        <n v="-3.1428571428571428"/>
        <n v="4.3902439024390247"/>
        <n v="3.6774193548387095"/>
        <n v="0.31578947368421051"/>
        <n v="2.8048780487804876"/>
        <n v="2.9047619047619047"/>
        <n v="2.8378378378378377"/>
        <n v="4.1707317073170733"/>
        <n v="4.3095238095238093"/>
        <n v="4.2162162162162158"/>
        <n v="15.130434782608695"/>
        <n v="0.20689655172413793"/>
        <n v="-1.7876106194690264"/>
        <n v="2.0444444444444443"/>
        <n v="6.5909090909090908"/>
        <n v="1.34375"/>
        <n v="-2.2972972972972974"/>
        <n v="3.9411764705882355"/>
        <n v="2.04"/>
        <n v="2.52"/>
        <n v="13.5"/>
        <n v="2.7126436781609193"/>
        <n v="-1.8532110091743119"/>
        <n v="2.16"/>
        <n v="6.4576271186440675"/>
        <n v="2.193548387096774"/>
        <n v="-2.2608695652173911"/>
        <n v="2.975609756097561"/>
        <n v="2.1481481481481484"/>
        <n v="2.5172413793103448"/>
        <n v="17.727272727272727"/>
        <n v="2.7938144329896906"/>
        <n v="0.22105263157894736"/>
        <n v="-1.8360655737704918"/>
        <n v="4.4571428571428573"/>
        <n v="2.7837837837837838"/>
        <n v="-2.5540540540540539"/>
        <n v="3.7083333333333335"/>
        <n v="3.1785714285714284"/>
        <n v="22.434782608695652"/>
        <n v="4.0329670329670328"/>
        <n v="0.31034482758620691"/>
        <n v="-2.6548672566371683"/>
        <n v="3.0444444444444443"/>
        <n v="9.7878787878787872"/>
        <n v="1.9895833333333333"/>
        <n v="-3.4054054054054053"/>
        <n v="5.7"/>
        <n v="5.8529411764705879"/>
        <n v="3.04"/>
        <n v="3.72"/>
        <n v="20.041666666666668"/>
        <n v="4.0229885057471266"/>
        <n v="-2.7522935779816513"/>
        <n v="9.5762711864406782"/>
        <n v="3.2580645161290325"/>
        <n v="-3.36231884057971"/>
        <n v="5.6818181818181817"/>
        <n v="4.4146341463414638"/>
        <n v="3.1851851851851851"/>
        <n v="3.7241379310344827"/>
        <n v="26.318181818181817"/>
        <n v="4.1443298969072169"/>
        <n v="0.32631578947368423"/>
        <n v="-2.721311475409836"/>
        <n v="6.6142857142857139"/>
        <n v="4.1351351351351351"/>
        <n v="-3.7837837837837838"/>
        <n v="5.5"/>
        <n v="3.8666666666666667"/>
        <n v="2.9487179487179489"/>
        <n v="2.2575757575757578"/>
        <n v="2.4"/>
        <n v="-0.66666666666666663"/>
        <n v="2.1785714285714284"/>
        <n v="2.9230769230769229"/>
        <n v="1.90625"/>
        <n v="-1.2222222222222223"/>
        <n v="2.9444444444444446"/>
        <n v="2.4166666666666665"/>
        <n v="2.1864406779661016"/>
        <n v="3.8787878787878789"/>
        <n v="2.4385964912280702"/>
        <n v="2.6133333333333333"/>
        <n v="2.14"/>
        <n v="2.4137931034482758"/>
        <n v="0.18823529411764706"/>
        <n v="2.9722222222222223"/>
        <n v="1.8602150537634408"/>
        <n v="3.05"/>
        <n v="2.2428571428571429"/>
        <n v="2.6575342465753424"/>
        <n v="2.1111111111111112"/>
        <n v="3.0750000000000002"/>
        <n v="2.2285714285714286"/>
        <n v="1.9459459459459461"/>
        <n v="5.7333333333333334"/>
        <n v="4.384615384615385"/>
        <n v="3.3484848484848486"/>
        <n v="3.56"/>
        <n v="3.9523809523809526"/>
        <n v="1.7333333333333334"/>
        <n v="4.333333333333333"/>
        <n v="-1.7777777777777777"/>
        <n v="4.3611111111111107"/>
        <n v="3.5833333333333335"/>
        <n v="3.2372881355932202"/>
        <n v="5.7575757575757578"/>
        <n v="3.6140350877192984"/>
        <n v="3.88"/>
        <n v="3.18"/>
        <n v="3.5862068965517242"/>
        <n v="0.28235294117647058"/>
        <n v="4.416666666666667"/>
        <n v="2.763440860215054"/>
        <n v="5.458333333333333"/>
        <n v="4.5250000000000004"/>
        <n v="3.3285714285714287"/>
        <n v="3.9452054794520546"/>
        <n v="3.9629629629629628"/>
        <n v="3.1481481481481484"/>
        <n v="4.5750000000000002"/>
        <n v="3.3142857142857145"/>
        <n v="2.8918918918918921"/>
        <n v="-2.34"/>
        <n v="2.6785714285714284"/>
        <n v="-1.8974358974358974"/>
        <n v="0.23893805309734514"/>
        <n v="2.5135135135135136"/>
        <n v="2.2307692307692308"/>
        <n v="2.0222222222222221"/>
        <n v="1.1052631578947369"/>
        <n v="1.4666666666666666"/>
        <n v="0.23008849557522124"/>
        <n v="-1.0384615384615385"/>
        <n v="-3.78125"/>
        <n v="-2.2280701754385963"/>
        <n v="2.6266666666666665"/>
        <n v="-1.5555555555555556"/>
        <n v="2.7011494252873565"/>
        <n v="0.23853211009174313"/>
        <n v="0.82352941176470584"/>
        <n v="2.4210526315789473"/>
        <n v="2.1694915254237288"/>
        <n v="-3.6559139784946235"/>
        <n v="-2.0410958904109591"/>
        <n v="-2.2000000000000002"/>
        <n v="0.25409836065573771"/>
        <n v="2.125"/>
        <n v="0.26229508196721313"/>
        <n v="2.6543209876543208"/>
        <n v="-3.6756756756756759"/>
        <n v="-3.48"/>
        <n v="3.9761904761904763"/>
        <n v="-2.8205128205128207"/>
        <n v="0.35398230088495575"/>
        <n v="3.7297297297297298"/>
        <n v="3.3076923076923075"/>
        <n v="2.65"/>
        <n v="1.631578947368421"/>
        <n v="0.34513274336283184"/>
        <n v="-1.5384615384615385"/>
        <n v="-5.614583333333333"/>
        <n v="-3.2982456140350878"/>
        <n v="3.8933333333333335"/>
        <n v="-2.3055555555555554"/>
        <n v="4.0114942528735629"/>
        <n v="0.3577981651376147"/>
        <n v="2.7619047619047619"/>
        <n v="1.2352941176470589"/>
        <n v="3.7"/>
        <n v="3.5964912280701755"/>
        <n v="3.2203389830508473"/>
        <n v="-5.43010752688172"/>
        <n v="-3.0273972602739727"/>
        <n v="-3.2749999999999999"/>
        <n v="0.37704918032786883"/>
        <n v="0.38524590163934425"/>
        <n v="3.9382716049382718"/>
        <n v="-5.4504504504504503"/>
      </sharedItems>
    </cacheField>
    <cacheField name="COGS Variance" numFmtId="0">
      <sharedItems containsMixedTypes="1" containsNumber="1" minValue="0.68285714285714283" maxValue="4.5"/>
    </cacheField>
    <cacheField name="Poor-performing stores " numFmtId="0">
      <sharedItems containsSemiMixedTypes="0" containsString="0" containsNumber="1" containsInteger="1" minValue="-369" maxValue="249"/>
    </cacheField>
    <cacheField name="Product Categories" numFmtId="0">
      <sharedItems count="2">
        <s v="LOW"/>
        <s v="HIGH"/>
      </sharedItems>
    </cacheField>
    <cacheField name="Target metrics" numFmtId="0">
      <sharedItems containsMixedTypes="1" containsNumber="1" minValue="-321.890625" maxValue="469.47446808510637"/>
    </cacheField>
    <cacheField name="Sales_Revenue" numFmtId="0">
      <sharedItems containsSemiMixedTypes="0" containsString="0" containsNumber="1" containsInteger="1" minValue="-87725" maxValue="66096" count="544">
        <n v="-380"/>
        <n v="1170"/>
        <n v="1008"/>
        <n v="735"/>
        <n v="3024"/>
        <n v="372"/>
        <n v="903"/>
        <n v="378"/>
        <n v="210"/>
        <n v="814"/>
        <n v="1254"/>
        <n v="1080"/>
        <n v="-497"/>
        <n v="83"/>
        <n v="-90"/>
        <n v="648"/>
        <n v="-420"/>
        <n v="1125"/>
        <n v="1128"/>
        <n v="828"/>
        <n v="3776"/>
        <n v="3876"/>
        <n v="676"/>
        <n v="1200"/>
        <n v="675"/>
        <n v="-608"/>
        <n v="1980"/>
        <n v="1147"/>
        <n v="810"/>
        <n v="1131"/>
        <n v="651"/>
        <n v="567"/>
        <n v="532"/>
        <n v="660"/>
        <n v="1258"/>
        <n v="742"/>
        <n v="1110"/>
        <n v="920"/>
        <n v="-560"/>
        <n v="1911"/>
        <n v="702"/>
        <n v="1056"/>
        <n v="693"/>
        <n v="85"/>
        <n v="780"/>
        <n v="1404"/>
        <n v="-426"/>
        <n v="1276"/>
        <n v="1311"/>
        <n v="2300"/>
        <n v="1260"/>
        <n v="864"/>
        <n v="1378"/>
        <n v="513"/>
        <n v="620"/>
        <n v="588"/>
        <n v="1288"/>
        <n v="-237"/>
        <n v="-370"/>
        <n v="48"/>
        <n v="832"/>
        <n v="1566"/>
        <n v="1440"/>
        <n v="867"/>
        <n v="-532"/>
        <n v="1755"/>
        <n v="1512"/>
        <n v="1092"/>
        <n v="4482"/>
        <n v="552"/>
        <n v="1333"/>
        <n v="558"/>
        <n v="300"/>
        <n v="1210"/>
        <n v="1862"/>
        <n v="1620"/>
        <n v="-710"/>
        <n v="-135"/>
        <n v="972"/>
        <n v="-630"/>
        <n v="1675"/>
        <n v="1680"/>
        <n v="1219"/>
        <n v="5605"/>
        <n v="5763"/>
        <n v="1014"/>
        <n v="1775"/>
        <n v="1000"/>
        <n v="-912"/>
        <n v="2925"/>
        <n v="1702"/>
        <n v="1188"/>
        <n v="1677"/>
        <n v="966"/>
        <n v="840"/>
        <n v="798"/>
        <n v="990"/>
        <n v="1850"/>
        <n v="1113"/>
        <n v="1665"/>
        <n v="1380"/>
        <n v="-840"/>
        <n v="2847"/>
        <n v="1026"/>
        <n v="1560"/>
        <n v="1029"/>
        <n v="2079"/>
        <n v="-639"/>
        <n v="1892"/>
        <n v="1938"/>
        <n v="3404"/>
        <n v="1890"/>
        <n v="1296"/>
        <n v="2054"/>
        <n v="760"/>
        <n v="882"/>
        <n v="1932"/>
        <n v="-316"/>
        <n v="-518"/>
        <n v="1248"/>
        <n v="2320"/>
        <n v="2120"/>
        <n v="1275"/>
        <n v="2208"/>
        <n v="689"/>
        <n v="999"/>
        <n v="380"/>
        <n v="2528"/>
        <n v="190"/>
        <n v="306"/>
        <n v="2176"/>
        <n v="1470"/>
        <n v="0"/>
        <n v="2394"/>
        <n v="437"/>
        <n v="551"/>
        <n v="1222"/>
        <n v="-384"/>
        <n v="288"/>
        <n v="-483"/>
        <n v="-180"/>
        <n v="540"/>
        <n v="1634"/>
        <n v="783"/>
        <n v="-1440"/>
        <n v="962"/>
        <n v="580"/>
        <n v="630"/>
        <n v="352"/>
        <n v="240"/>
        <n v="1085"/>
        <n v="980"/>
        <n v="-292"/>
        <n v="960"/>
        <n v="3266"/>
        <n v="1007"/>
        <n v="1480"/>
        <n v="570"/>
        <n v="3744"/>
        <n v="285"/>
        <n v="459"/>
        <n v="3200"/>
        <n v="2184"/>
        <n v="3570"/>
        <n v="646"/>
        <n v="817"/>
        <n v="1820"/>
        <n v="-576"/>
        <n v="432"/>
        <n v="-690"/>
        <n v="-270"/>
        <n v="800"/>
        <n v="2408"/>
        <n v="1161"/>
        <n v="-2160"/>
        <n v="1443"/>
        <n v="860"/>
        <n v="945"/>
        <n v="517"/>
        <n v="360"/>
        <n v="450"/>
        <n v="1610"/>
        <n v="-438"/>
        <n v="650"/>
        <n v="-1274"/>
        <n v="186"/>
        <n v="520"/>
        <n v="324"/>
        <n v="209"/>
        <n v="312"/>
        <n v="150"/>
        <n v="-441"/>
        <n v="342"/>
        <n v="475"/>
        <n v="350"/>
        <n v="494"/>
        <n v="247"/>
        <n v="94"/>
        <n v="217"/>
        <n v="440"/>
        <n v="468"/>
        <n v="975"/>
        <n v="-1911"/>
        <n v="279"/>
        <n v="486"/>
        <n v="304"/>
        <n v="-637"/>
        <n v="703"/>
        <n v="500"/>
        <n v="741"/>
        <n v="361"/>
        <n v="141"/>
        <n v="310"/>
        <n v="640"/>
        <n v="-836"/>
        <n v="3025"/>
        <n v="1104"/>
        <n v="2378"/>
        <n v="1058"/>
        <n v="-228"/>
        <n v="1152"/>
        <n v="-308"/>
        <n v="1504"/>
        <n v="1352"/>
        <n v="848"/>
        <n v="2432"/>
        <n v="168"/>
        <n v="2538"/>
        <n v="924"/>
        <n v="1406"/>
        <n v="-156"/>
        <n v="56"/>
        <n v="1150"/>
        <n v="-1216"/>
        <n v="4510"/>
        <n v="1632"/>
        <n v="3526"/>
        <n v="1760"/>
        <n v="1564"/>
        <n v="-304"/>
        <n v="1692"/>
        <n v="-462"/>
        <n v="2209"/>
        <n v="2002"/>
        <n v="1272"/>
        <n v="3584"/>
        <n v="252"/>
        <n v="3780"/>
        <n v="1364"/>
        <n v="2090"/>
        <n v="-234"/>
        <n v="1914"/>
        <n v="2067"/>
        <n v="1700"/>
        <n v="256"/>
        <n v="255"/>
        <n v="546"/>
        <n v="-516"/>
        <n v="-138"/>
        <n v="238"/>
        <n v="323"/>
        <n v="1116"/>
        <n v="289"/>
        <n v="-184"/>
        <n v="128"/>
        <n v="560"/>
        <n v="-656"/>
        <n v="480"/>
        <n v="384"/>
        <n v="374"/>
        <n v="819"/>
        <n v="-774"/>
        <n v="357"/>
        <n v="1656"/>
        <n v="425"/>
        <n v="-276"/>
        <n v="192"/>
        <n v="225"/>
        <n v="-984"/>
        <n v="720"/>
        <n v="476"/>
        <n v="2574"/>
        <n v="3770"/>
        <n v="825"/>
        <n v="1518"/>
        <n v="3245"/>
        <n v="1920"/>
        <n v="1377"/>
        <n v="875"/>
        <n v="-504"/>
        <n v="1534"/>
        <n v="3828"/>
        <n v="5568"/>
        <n v="2254"/>
        <n v="4840"/>
        <n v="2948"/>
        <n v="2840"/>
        <n v="2052"/>
        <n v="1295"/>
        <n v="-720"/>
        <n v="2301"/>
        <n v="17760"/>
        <n v="6118"/>
        <n v="3034"/>
        <n v="4002"/>
        <n v="1989"/>
        <n v="15834"/>
        <n v="5715"/>
        <n v="3534"/>
        <n v="2911"/>
        <n v="4806"/>
        <n v="3825"/>
        <n v="135"/>
        <n v="1725"/>
        <n v="18048"/>
        <n v="4392"/>
        <n v="1269"/>
        <n v="2508"/>
        <n v="-600"/>
        <n v="7865"/>
        <n v="3311"/>
        <n v="144"/>
        <n v="2500"/>
        <n v="26400"/>
        <n v="9062"/>
        <n v="5934"/>
        <n v="23478"/>
        <n v="8460"/>
        <n v="5244"/>
        <n v="4305"/>
        <n v="7128"/>
        <n v="5670"/>
        <n v="195"/>
        <n v="2530"/>
        <n v="26784"/>
        <n v="6527"/>
        <n v="1880"/>
        <n v="3724"/>
        <n v="-880"/>
        <n v="11700"/>
        <n v="4902"/>
        <n v="208"/>
        <n v="3750"/>
        <n v="8395"/>
        <n v="8906"/>
        <n v="7245"/>
        <n v="12483"/>
        <n v="13213"/>
        <n v="10764"/>
        <n v="3360"/>
        <n v="18792"/>
        <n v="35321"/>
        <n v="2088"/>
        <n v="-29492"/>
        <n v="6348"/>
        <n v="39585"/>
        <n v="16641"/>
        <n v="-16150"/>
        <n v="4830"/>
        <n v="6030"/>
        <n v="2652"/>
        <n v="3528"/>
        <n v="17820"/>
        <n v="32568"/>
        <n v="-28684"/>
        <n v="7992"/>
        <n v="31623"/>
        <n v="25908"/>
        <n v="-14196"/>
        <n v="2772"/>
        <n v="7808"/>
        <n v="3132"/>
        <n v="4380"/>
        <n v="20670"/>
        <n v="40379"/>
        <n v="2604"/>
        <n v="-34720"/>
        <n v="5742"/>
        <n v="29640"/>
        <n v="44496"/>
        <n v="-18144"/>
        <n v="3115"/>
        <n v="4984"/>
        <n v="27864"/>
        <n v="52481"/>
        <n v="-43800"/>
        <n v="9453"/>
        <n v="58786"/>
        <n v="24639"/>
        <n v="-23940"/>
        <n v="7182"/>
        <n v="8955"/>
        <n v="3952"/>
        <n v="5208"/>
        <n v="26455"/>
        <n v="48300"/>
        <n v="-42600"/>
        <n v="11840"/>
        <n v="46895"/>
        <n v="38481"/>
        <n v="-21112"/>
        <n v="4125"/>
        <n v="11584"/>
        <n v="4644"/>
        <n v="6480"/>
        <n v="30687"/>
        <n v="59898"/>
        <n v="3844"/>
        <n v="-51460"/>
        <n v="8514"/>
        <n v="43985"/>
        <n v="66096"/>
        <n v="-26880"/>
        <n v="4620"/>
        <n v="4756"/>
        <n v="7015"/>
        <n v="13410"/>
        <n v="11160"/>
        <n v="26208"/>
        <n v="-30"/>
        <n v="3355"/>
        <n v="2205"/>
        <n v="7068"/>
        <n v="23607"/>
        <n v="6254"/>
        <n v="3248"/>
        <n v="10707"/>
        <n v="5632"/>
        <n v="13900"/>
        <n v="21168"/>
        <n v="8025"/>
        <n v="2940"/>
        <n v="-48"/>
        <n v="1824"/>
        <n v="6206"/>
        <n v="21971"/>
        <n v="3168"/>
        <n v="7686"/>
        <n v="14758"/>
        <n v="22504"/>
        <n v="24408"/>
        <n v="-15"/>
        <n v="3135"/>
        <n v="7626"/>
        <n v="14820"/>
        <n v="31104"/>
        <n v="7052"/>
        <n v="10431"/>
        <n v="19890"/>
        <n v="16554"/>
        <n v="38844"/>
        <n v="-45"/>
        <n v="5005"/>
        <n v="3276"/>
        <n v="10478"/>
        <n v="35088"/>
        <n v="-672"/>
        <n v="9263"/>
        <n v="4816"/>
        <n v="15853"/>
        <n v="8360"/>
        <n v="20600"/>
        <n v="31428"/>
        <n v="11925"/>
        <n v="4368"/>
        <n v="-64"/>
        <n v="2736"/>
        <n v="9222"/>
        <n v="32639"/>
        <n v="4716"/>
        <n v="11403"/>
        <n v="21902"/>
        <n v="33408"/>
        <n v="36273"/>
        <n v="4675"/>
        <n v="11346"/>
        <n v="22040"/>
        <n v="46224"/>
        <n v="-10881"/>
        <n v="26100"/>
        <n v="-4514"/>
        <n v="3942"/>
        <n v="17670"/>
        <n v="1015"/>
        <n v="6370"/>
        <n v="1476"/>
        <n v="1323"/>
        <n v="3822"/>
        <n v="3066"/>
        <n v="-1350"/>
        <n v="-46827"/>
        <n v="-12700"/>
        <n v="21079"/>
        <n v="-3304"/>
        <n v="32665"/>
        <n v="3692"/>
        <n v="1638"/>
        <n v="854"/>
        <n v="2150"/>
        <n v="13938"/>
        <n v="10752"/>
        <n v="-43180"/>
        <n v="-17433"/>
        <n v="-5544"/>
        <n v="4836"/>
        <n v="2295"/>
        <n v="2668"/>
        <n v="4960"/>
        <n v="24510"/>
        <n v="-59160"/>
        <n v="-16182"/>
        <n v="38744"/>
        <n v="-6710"/>
        <n v="5840"/>
        <n v="26220"/>
        <n v="1505"/>
        <n v="9450"/>
        <n v="2173"/>
        <n v="1953"/>
        <n v="1386"/>
        <n v="3569"/>
        <n v="5733"/>
        <n v="4536"/>
        <n v="-2000"/>
        <n v="-69531"/>
        <n v="-18800"/>
        <n v="31244"/>
        <n v="-4897"/>
        <n v="48511"/>
        <n v="5538"/>
        <n v="2436"/>
        <n v="1281"/>
        <n v="3182"/>
        <n v="20705"/>
        <n v="15960"/>
        <n v="-64135"/>
        <n v="-25857"/>
        <n v="-8253"/>
        <n v="7176"/>
        <n v="3420"/>
        <n v="3956"/>
        <n v="7285"/>
        <n v="36366"/>
        <n v="-87725"/>
      </sharedItems>
    </cacheField>
    <cacheField name="Cost" numFmtId="0">
      <sharedItems containsSemiMixedTypes="0" containsString="0" containsNumber="1" containsInteger="1" minValue="-45305" maxValue="526490"/>
    </cacheField>
    <cacheField name="RQI(Return of Investement)" numFmtId="0">
      <sharedItems containsMixedTypes="1" containsNumber="1" minValue="45" maxValue="19032"/>
    </cacheField>
    <cacheField name="Marketing spend as a% of Sales" numFmtId="0">
      <sharedItems containsMixedTypes="1" containsNumber="1" minValue="-0.25520833333333331" maxValue="8.5714285714285715E-2"/>
    </cacheField>
    <cacheField name="Month" numFmtId="0">
      <sharedItems/>
    </cacheField>
    <cacheField name="Varience" numFmtId="0">
      <sharedItems containsSemiMixedTypes="0" containsString="0" containsNumber="1" containsInteger="1" minValue="-490" maxValue="0" count="45">
        <n v="-60"/>
        <n v="-40"/>
        <n v="-50"/>
        <n v="-30"/>
        <n v="0"/>
        <n v="-20"/>
        <n v="-80"/>
        <n v="-70"/>
        <n v="-110"/>
        <n v="-90"/>
        <n v="-100"/>
        <n v="-120"/>
        <n v="-10"/>
        <n v="-130"/>
        <n v="-140"/>
        <n v="-430"/>
        <n v="-150"/>
        <n v="-160"/>
        <n v="-350"/>
        <n v="-180"/>
        <n v="-380"/>
        <n v="-200"/>
        <n v="-310"/>
        <n v="-220"/>
        <n v="-270"/>
        <n v="-330"/>
        <n v="-190"/>
        <n v="-240"/>
        <n v="-230"/>
        <n v="-280"/>
        <n v="-170"/>
        <n v="-370"/>
        <n v="-210"/>
        <n v="-320"/>
        <n v="-250"/>
        <n v="-410"/>
        <n v="-470"/>
        <n v="-340"/>
        <n v="-260"/>
        <n v="-390"/>
        <n v="-290"/>
        <n v="-400"/>
        <n v="-490"/>
        <n v="-300"/>
        <n v="-480"/>
      </sharedItems>
    </cacheField>
    <cacheField name="Cost of Goods Sold (COGS)" numFmtId="0">
      <sharedItems containsMixedTypes="1" containsNumber="1" minValue="8.2352941176470587E-2" maxValue="8.1044776119402986"/>
    </cacheField>
    <cacheField name="Months (Date)" numFmtId="0" databaseField="0">
      <fieldGroup base="2">
        <rangePr groupBy="months" startDate="2012-10-01T00:00:00" endDate="2013-12-02T00:00:00"/>
        <groupItems count="14">
          <s v="&lt;01-10-2012"/>
          <s v="Jan"/>
          <s v="Feb"/>
          <s v="Mar"/>
          <s v="Apr"/>
          <s v="May"/>
          <s v="Jun"/>
          <s v="Jul"/>
          <s v="Aug"/>
          <s v="Sep"/>
          <s v="Oct"/>
          <s v="Nov"/>
          <s v="Dec"/>
          <s v="&gt;02-12-2013"/>
        </groupItems>
      </fieldGroup>
    </cacheField>
    <cacheField name="Quarters (Date)" numFmtId="0" databaseField="0">
      <fieldGroup base="2">
        <rangePr groupBy="quarters" startDate="2012-10-01T00:00:00" endDate="2013-12-02T00:00:00"/>
        <groupItems count="6">
          <s v="&lt;01-10-2012"/>
          <s v="Qtr1"/>
          <s v="Qtr2"/>
          <s v="Qtr3"/>
          <s v="Qtr4"/>
          <s v="&gt;02-12-2013"/>
        </groupItems>
      </fieldGroup>
    </cacheField>
    <cacheField name="Years (Date)" numFmtId="0" databaseField="0">
      <fieldGroup base="2">
        <rangePr groupBy="years" startDate="2012-10-01T00:00:00" endDate="2013-12-02T00:00:00"/>
        <groupItems count="4">
          <s v="&lt;01-10-2012"/>
          <s v="2012"/>
          <s v="2013"/>
          <s v="&gt;02-12-2013"/>
        </groupItems>
      </fieldGroup>
    </cacheField>
  </cacheFields>
  <extLst>
    <ext xmlns:x14="http://schemas.microsoft.com/office/spreadsheetml/2009/9/main" uri="{725AE2AE-9491-48be-B2B4-4EB974FC3084}">
      <x14:pivotCacheDefinition pivotCacheId="45752564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YDI GANESH" refreshedDate="46131.582692361109" createdVersion="8" refreshedVersion="8" minRefreshableVersion="3" recordCount="1062" xr:uid="{F63E6017-3DF7-4004-9511-98054EBB9FBA}">
  <cacheSource type="worksheet">
    <worksheetSource name="Table1" r:id="rId2"/>
  </cacheSource>
  <cacheFields count="34">
    <cacheField name="Store id" numFmtId="0">
      <sharedItems containsSemiMixedTypes="0" containsString="0" containsNumber="1" containsInteger="1" minValue="203" maxValue="985" count="149">
        <n v="303"/>
        <n v="970"/>
        <n v="409"/>
        <n v="850"/>
        <n v="562"/>
        <n v="712"/>
        <n v="860"/>
        <n v="918"/>
        <n v="775"/>
        <n v="435"/>
        <n v="603"/>
        <n v="318"/>
        <n v="503"/>
        <n v="573"/>
        <n v="262"/>
        <n v="801"/>
        <n v="425"/>
        <n v="971"/>
        <n v="915"/>
        <n v="210"/>
        <n v="774"/>
        <n v="954"/>
        <n v="936"/>
        <n v="719"/>
        <n v="847"/>
        <n v="339"/>
        <n v="314"/>
        <n v="504"/>
        <n v="580"/>
        <n v="225"/>
        <n v="509"/>
        <n v="203"/>
        <n v="206"/>
        <n v="682"/>
        <n v="214"/>
        <n v="561"/>
        <n v="469"/>
        <n v="619"/>
        <n v="985"/>
        <n v="505"/>
        <n v="417"/>
        <n v="920"/>
        <n v="475"/>
        <n v="720"/>
        <n v="430"/>
        <n v="510"/>
        <n v="563"/>
        <n v="405"/>
        <n v="702"/>
        <n v="541"/>
        <n v="254"/>
        <n v="806"/>
        <n v="708"/>
        <n v="351"/>
        <n v="636"/>
        <n v="337"/>
        <n v="253"/>
        <n v="956"/>
        <n v="305"/>
        <n v="407"/>
        <n v="325"/>
        <n v="408"/>
        <n v="816"/>
        <n v="508"/>
        <n v="209"/>
        <n v="715"/>
        <n v="319"/>
        <n v="959"/>
        <n v="773"/>
        <n v="614"/>
        <n v="617"/>
        <n v="707"/>
        <n v="352"/>
        <n v="650"/>
        <n v="515"/>
        <n v="805"/>
        <n v="863"/>
        <n v="641"/>
        <n v="360"/>
        <n v="904"/>
        <n v="978"/>
        <n v="626"/>
        <n v="312"/>
        <n v="419"/>
        <n v="857"/>
        <n v="323"/>
        <n v="760"/>
        <n v="330"/>
        <n v="321"/>
        <n v="630"/>
        <n v="937"/>
        <n v="813"/>
        <n v="530"/>
        <n v="440"/>
        <n v="608"/>
        <n v="660"/>
        <n v="216"/>
        <n v="832"/>
        <n v="567"/>
        <n v="713"/>
        <n v="718"/>
        <n v="513"/>
        <n v="512"/>
        <n v="309"/>
        <n v="234"/>
        <n v="772"/>
        <n v="914"/>
        <n v="361"/>
        <n v="781"/>
        <n v="413"/>
        <n v="786"/>
        <n v="217"/>
        <n v="414"/>
        <n v="740"/>
        <n v="518"/>
        <n v="213"/>
        <n v="432"/>
        <n v="815"/>
        <n v="585"/>
        <n v="817"/>
        <n v="972"/>
        <n v="281"/>
        <n v="239"/>
        <n v="315"/>
        <n v="845"/>
        <n v="386"/>
        <n v="516"/>
        <n v="716"/>
        <n v="754"/>
        <n v="347"/>
        <n v="646"/>
        <n v="631"/>
        <n v="212"/>
        <n v="607"/>
        <n v="727"/>
        <n v="917"/>
        <n v="224"/>
        <n v="618"/>
        <n v="951"/>
        <n v="714"/>
        <n v="818"/>
        <n v="661"/>
        <n v="909"/>
        <n v="559"/>
        <n v="916"/>
        <n v="415"/>
        <n v="925"/>
        <n v="831"/>
        <n v="949"/>
      </sharedItems>
    </cacheField>
    <cacheField name="Cogs" numFmtId="0">
      <sharedItems containsSemiMixedTypes="0" containsString="0" containsNumber="1" containsInteger="1" minValue="0" maxValue="294"/>
    </cacheField>
    <cacheField name="Date" numFmtId="14">
      <sharedItems containsSemiMixedTypes="0" containsNonDate="0" containsDate="1" containsString="0" minDate="2012-10-01T00:00:00" maxDate="2013-12-02T00:00:00" count="6">
        <d v="2012-10-01T00:00:00"/>
        <d v="2012-11-01T00:00:00"/>
        <d v="2012-12-01T00:00:00"/>
        <d v="2013-10-01T00:00:00"/>
        <d v="2013-11-01T00:00:00"/>
        <d v="2013-12-01T00:00:00"/>
      </sharedItems>
      <fieldGroup par="33"/>
    </cacheField>
    <cacheField name="Market Size" numFmtId="0">
      <sharedItems count="2">
        <s v="Major Market"/>
        <s v="Small Market"/>
      </sharedItems>
    </cacheField>
    <cacheField name="Regional Performance" numFmtId="0">
      <sharedItems count="4">
        <s v="Central"/>
        <s v="South"/>
        <s v="East"/>
        <s v="West"/>
      </sharedItems>
    </cacheField>
    <cacheField name="Marketing" numFmtId="0">
      <sharedItems containsSemiMixedTypes="0" containsString="0" containsNumber="1" containsInteger="1" minValue="0" maxValue="122" count="67">
        <n v="46"/>
        <n v="17"/>
        <n v="13"/>
        <n v="10"/>
        <n v="23"/>
        <n v="0"/>
        <n v="15"/>
        <n v="7"/>
        <n v="9"/>
        <n v="11"/>
        <n v="14"/>
        <n v="41"/>
        <n v="54"/>
        <n v="12"/>
        <n v="20"/>
        <n v="27"/>
        <n v="28"/>
        <n v="47"/>
        <n v="8"/>
        <n v="40"/>
        <n v="16"/>
        <n v="55"/>
        <n v="42"/>
        <n v="24"/>
        <n v="49"/>
        <n v="44"/>
        <n v="25"/>
        <n v="19"/>
        <n v="21"/>
        <n v="6"/>
        <n v="30"/>
        <n v="18"/>
        <n v="26"/>
        <n v="31"/>
        <n v="22"/>
        <n v="5"/>
        <n v="4"/>
        <n v="74"/>
        <n v="34"/>
        <n v="29"/>
        <n v="33"/>
        <n v="87"/>
        <n v="69"/>
        <n v="85"/>
        <n v="95"/>
        <n v="37"/>
        <n v="91"/>
        <n v="113"/>
        <n v="45"/>
        <n v="66"/>
        <n v="96"/>
        <n v="109"/>
        <n v="50"/>
        <n v="59"/>
        <n v="93"/>
        <n v="97"/>
        <n v="122"/>
        <n v="70"/>
        <n v="111"/>
        <n v="39"/>
        <n v="84"/>
        <n v="3"/>
        <n v="36"/>
        <n v="57"/>
        <n v="75"/>
        <n v="73"/>
        <n v="81"/>
      </sharedItems>
    </cacheField>
    <cacheField name="Product Line" numFmtId="0">
      <sharedItems count="2">
        <s v="Leaves"/>
        <s v="Beans"/>
      </sharedItems>
    </cacheField>
    <cacheField name="Product Type" numFmtId="0">
      <sharedItems count="4">
        <s v="Herbal Tea"/>
        <s v="Tea"/>
        <s v="Espresso"/>
        <s v="Coffee"/>
      </sharedItems>
    </cacheField>
    <cacheField name="Product" numFmtId="0">
      <sharedItems count="13">
        <s v="Lemon"/>
        <s v="Mint"/>
        <s v="Darjeeling"/>
        <s v="Green Tea"/>
        <s v="Decaf Espresso"/>
        <s v="Decaf Irish Cream"/>
        <s v="Amaretto"/>
        <s v="Colombian"/>
        <s v="Caffe Mocha"/>
        <s v="Caffe Latte"/>
        <s v="Chamomile"/>
        <s v="Earl Grey"/>
        <s v="Regular Espresso"/>
      </sharedItems>
    </cacheField>
    <cacheField name="Profit" numFmtId="0">
      <sharedItems containsSemiMixedTypes="0" containsString="0" containsNumber="1" containsInteger="1" minValue="-605" maxValue="646" count="238">
        <n v="-5"/>
        <n v="26"/>
        <n v="28"/>
        <n v="35"/>
        <n v="56"/>
        <n v="31"/>
        <n v="21"/>
        <n v="7"/>
        <n v="37"/>
        <n v="33"/>
        <n v="24"/>
        <n v="-7"/>
        <n v="1"/>
        <n v="-2"/>
        <n v="12"/>
        <n v="-6"/>
        <n v="45"/>
        <n v="47"/>
        <n v="36"/>
        <n v="64"/>
        <n v="76"/>
        <n v="48"/>
        <n v="27"/>
        <n v="-8"/>
        <n v="44"/>
        <n v="15"/>
        <n v="29"/>
        <n v="30"/>
        <n v="34"/>
        <n v="14"/>
        <n v="20"/>
        <n v="49"/>
        <n v="13"/>
        <n v="52"/>
        <n v="23"/>
        <n v="50"/>
        <n v="53"/>
        <n v="-3"/>
        <n v="16"/>
        <n v="17"/>
        <n v="39"/>
        <n v="42"/>
        <n v="83"/>
        <n v="46"/>
        <n v="10"/>
        <n v="55"/>
        <n v="-10"/>
        <n v="18"/>
        <n v="-9"/>
        <n v="67"/>
        <n v="70"/>
        <n v="95"/>
        <n v="113"/>
        <n v="71"/>
        <n v="40"/>
        <n v="-12"/>
        <n v="65"/>
        <n v="22"/>
        <n v="43"/>
        <n v="73"/>
        <n v="19"/>
        <n v="77"/>
        <n v="74"/>
        <n v="79"/>
        <n v="-4"/>
        <n v="25"/>
        <n v="0"/>
        <n v="57"/>
        <n v="38"/>
        <n v="-20"/>
        <n v="6"/>
        <n v="32"/>
        <n v="8"/>
        <n v="117"/>
        <n v="85"/>
        <n v="-30"/>
        <n v="9"/>
        <n v="-26"/>
        <n v="11"/>
        <n v="5"/>
        <n v="2"/>
        <n v="-39"/>
        <n v="-13"/>
        <n v="3"/>
        <n v="-11"/>
        <n v="58"/>
        <n v="-16"/>
        <n v="82"/>
        <n v="68"/>
        <n v="86"/>
        <n v="-18"/>
        <n v="-24"/>
        <n v="78"/>
        <n v="59"/>
        <n v="51"/>
        <n v="116"/>
        <n v="96"/>
        <n v="88"/>
        <n v="185"/>
        <n v="133"/>
        <n v="87"/>
        <n v="174"/>
        <n v="127"/>
        <n v="62"/>
        <n v="89"/>
        <n v="188"/>
        <n v="72"/>
        <n v="66"/>
        <n v="-15"/>
        <n v="121"/>
        <n v="275"/>
        <n v="197"/>
        <n v="110"/>
        <n v="129"/>
        <n v="258"/>
        <n v="92"/>
        <n v="105"/>
        <n v="132"/>
        <n v="126"/>
        <n v="279"/>
        <n v="107"/>
        <n v="98"/>
        <n v="-22"/>
        <n v="180"/>
        <n v="114"/>
        <n v="115"/>
        <n v="122"/>
        <n v="171"/>
        <n v="181"/>
        <n v="156"/>
        <n v="60"/>
        <n v="348"/>
        <n v="247"/>
        <n v="-202"/>
        <n v="435"/>
        <n v="-170"/>
        <n v="134"/>
        <n v="63"/>
        <n v="324"/>
        <n v="236"/>
        <n v="108"/>
        <n v="381"/>
        <n v="204"/>
        <n v="-156"/>
        <n v="84"/>
        <n v="390"/>
        <n v="271"/>
        <n v="-224"/>
        <n v="312"/>
        <n v="309"/>
        <n v="-189"/>
        <n v="516"/>
        <n v="367"/>
        <n v="-300"/>
        <n v="137"/>
        <n v="646"/>
        <n v="191"/>
        <n v="-252"/>
        <n v="199"/>
        <n v="93"/>
        <n v="481"/>
        <n v="350"/>
        <n v="160"/>
        <n v="565"/>
        <n v="303"/>
        <n v="-232"/>
        <n v="125"/>
        <n v="579"/>
        <n v="402"/>
        <n v="-332"/>
        <n v="463"/>
        <n v="459"/>
        <n v="-280"/>
        <n v="149"/>
        <n v="120"/>
        <n v="224"/>
        <n v="61"/>
        <n v="183"/>
        <n v="106"/>
        <n v="128"/>
        <n v="139"/>
        <n v="196"/>
        <n v="173"/>
        <n v="157"/>
        <n v="194"/>
        <n v="216"/>
        <n v="-1"/>
        <n v="123"/>
        <n v="172"/>
        <n v="221"/>
        <n v="178"/>
        <n v="332"/>
        <n v="91"/>
        <n v="169"/>
        <n v="272"/>
        <n v="190"/>
        <n v="206"/>
        <n v="291"/>
        <n v="159"/>
        <n v="104"/>
        <n v="257"/>
        <n v="131"/>
        <n v="233"/>
        <n v="288"/>
        <n v="321"/>
        <n v="232"/>
        <n v="-117"/>
        <n v="225"/>
        <n v="-74"/>
        <n v="186"/>
        <n v="-27"/>
        <n v="-363"/>
        <n v="-127"/>
        <n v="-56"/>
        <n v="235"/>
        <n v="138"/>
        <n v="-340"/>
        <n v="-149"/>
        <n v="-88"/>
        <n v="215"/>
        <n v="-408"/>
        <n v="-174"/>
        <n v="334"/>
        <n v="-110"/>
        <n v="276"/>
        <n v="135"/>
        <n v="-40"/>
        <n v="-539"/>
        <n v="-188"/>
        <n v="292"/>
        <n v="-83"/>
        <n v="349"/>
        <n v="205"/>
        <n v="-505"/>
        <n v="-221"/>
        <n v="-131"/>
        <n v="319"/>
        <n v="-605"/>
      </sharedItems>
    </cacheField>
    <cacheField name="Sales" numFmtId="0">
      <sharedItems containsSemiMixedTypes="0" containsString="0" containsNumber="1" containsInteger="1" minValue="21" maxValue="815" count="243">
        <n v="122"/>
        <n v="123"/>
        <n v="107"/>
        <n v="94"/>
        <n v="182"/>
        <n v="43"/>
        <n v="111"/>
        <n v="66"/>
        <n v="68"/>
        <n v="99"/>
        <n v="120"/>
        <n v="114"/>
        <n v="109"/>
        <n v="144"/>
        <n v="77"/>
        <n v="118"/>
        <n v="119"/>
        <n v="205"/>
        <n v="218"/>
        <n v="92"/>
        <n v="164"/>
        <n v="124"/>
        <n v="125"/>
        <n v="88"/>
        <n v="81"/>
        <n v="78"/>
        <n v="121"/>
        <n v="113"/>
        <n v="106"/>
        <n v="141"/>
        <n v="115"/>
        <n v="90"/>
        <n v="147"/>
        <n v="133"/>
        <n v="112"/>
        <n v="127"/>
        <n v="145"/>
        <n v="176"/>
        <n v="101"/>
        <n v="85"/>
        <n v="82"/>
        <n v="131"/>
        <n v="160"/>
        <n v="153"/>
        <n v="139"/>
        <n v="130"/>
        <n v="100"/>
        <n v="194"/>
        <n v="46"/>
        <n v="70"/>
        <n v="72"/>
        <n v="128"/>
        <n v="116"/>
        <n v="126"/>
        <n v="232"/>
        <n v="98"/>
        <n v="175"/>
        <n v="132"/>
        <n v="86"/>
        <n v="83"/>
        <n v="129"/>
        <n v="150"/>
        <n v="96"/>
        <n v="157"/>
        <n v="142"/>
        <n v="135"/>
        <n v="155"/>
        <n v="188"/>
        <n v="108"/>
        <n v="91"/>
        <n v="87"/>
        <n v="140"/>
        <n v="171"/>
        <n v="163"/>
        <n v="148"/>
        <n v="174"/>
        <n v="187"/>
        <n v="51"/>
        <n v="58"/>
        <n v="177"/>
        <n v="159"/>
        <n v="80"/>
        <n v="56"/>
        <n v="74"/>
        <n v="103"/>
        <n v="69"/>
        <n v="185"/>
        <n v="199"/>
        <n v="54"/>
        <n v="62"/>
        <n v="189"/>
        <n v="151"/>
        <n v="169"/>
        <n v="75"/>
        <n v="60"/>
        <n v="79"/>
        <n v="110"/>
        <n v="52"/>
        <n v="64"/>
        <n v="76"/>
        <n v="73"/>
        <n v="89"/>
        <n v="84"/>
        <n v="55"/>
        <n v="95"/>
        <n v="138"/>
        <n v="184"/>
        <n v="168"/>
        <n v="134"/>
        <n v="196"/>
        <n v="179"/>
        <n v="104"/>
        <n v="53"/>
        <n v="61"/>
        <n v="63"/>
        <n v="39"/>
        <n v="41"/>
        <n v="45"/>
        <n v="65"/>
        <n v="67"/>
        <n v="42"/>
        <n v="44"/>
        <n v="48"/>
        <n v="201"/>
        <n v="520"/>
        <n v="302"/>
        <n v="236"/>
        <n v="230"/>
        <n v="490"/>
        <n v="290"/>
        <n v="197"/>
        <n v="200"/>
        <n v="245"/>
        <n v="231"/>
        <n v="224"/>
        <n v="525"/>
        <n v="221"/>
        <n v="320"/>
        <n v="214"/>
        <n v="250"/>
        <n v="554"/>
        <n v="322"/>
        <n v="251"/>
        <n v="522"/>
        <n v="309"/>
        <n v="210"/>
        <n v="213"/>
        <n v="261"/>
        <n v="246"/>
        <n v="239"/>
        <n v="559"/>
        <n v="341"/>
        <n v="228"/>
        <n v="266"/>
        <n v="313"/>
        <n v="325"/>
        <n v="289"/>
        <n v="334"/>
        <n v="346"/>
        <n v="308"/>
        <n v="202"/>
        <n v="474"/>
        <n v="650"/>
        <n v="765"/>
        <n v="513"/>
        <n v="265"/>
        <n v="180"/>
        <n v="454"/>
        <n v="623"/>
        <n v="363"/>
        <n v="675"/>
        <n v="576"/>
        <n v="198"/>
        <n v="195"/>
        <n v="510"/>
        <n v="699"/>
        <n v="306"/>
        <n v="657"/>
        <n v="747"/>
        <n v="215"/>
        <n v="505"/>
        <n v="693"/>
        <n v="343"/>
        <n v="815"/>
        <n v="547"/>
        <n v="282"/>
        <n v="192"/>
        <n v="484"/>
        <n v="664"/>
        <n v="387"/>
        <n v="719"/>
        <n v="614"/>
        <n v="211"/>
        <n v="208"/>
        <n v="543"/>
        <n v="745"/>
        <n v="326"/>
        <n v="700"/>
        <n v="796"/>
        <n v="158"/>
        <n v="298"/>
        <n v="478"/>
        <n v="367"/>
        <n v="598"/>
        <n v="23"/>
        <n v="567"/>
        <n v="278"/>
        <n v="423"/>
        <n v="412"/>
        <n v="532"/>
        <n v="545"/>
        <n v="312"/>
        <n v="501"/>
        <n v="534"/>
        <n v="24"/>
        <n v="654"/>
        <n v="318"/>
        <n v="509"/>
        <n v="391"/>
        <n v="637"/>
        <n v="25"/>
        <n v="604"/>
        <n v="296"/>
        <n v="451"/>
        <n v="439"/>
        <n v="581"/>
        <n v="332"/>
        <n v="569"/>
        <n v="26"/>
        <n v="697"/>
        <n v="167"/>
        <n v="21"/>
        <n v="146"/>
        <n v="156"/>
        <n v="32"/>
        <n v="102"/>
        <n v="31"/>
        <n v="178"/>
        <n v="22"/>
        <n v="136"/>
        <n v="166"/>
        <n v="34"/>
        <n v="33"/>
      </sharedItems>
    </cacheField>
    <cacheField name="State" numFmtId="0">
      <sharedItems count="20">
        <s v="Colorado"/>
        <s v="Texas"/>
        <s v="Florida"/>
        <s v="California"/>
        <s v="Iowa"/>
        <s v="Connecticut"/>
        <s v="Oklahoma"/>
        <s v="Nevada"/>
        <s v="Utah"/>
        <s v="New Hampshire"/>
        <s v="Louisiana"/>
        <s v="Oregon"/>
        <s v="Missouri"/>
        <s v="Wisconsin"/>
        <s v="Washington"/>
        <s v="Massachusetts"/>
        <s v="Illinois"/>
        <s v="New Mexico"/>
        <s v="Ohio"/>
        <s v="New York"/>
      </sharedItems>
    </cacheField>
    <cacheField name="Target COGS" numFmtId="0">
      <sharedItems containsSemiMixedTypes="0" containsString="0" containsNumber="1" containsInteger="1" minValue="0" maxValue="380"/>
    </cacheField>
    <cacheField name="Target Profit" numFmtId="0">
      <sharedItems containsSemiMixedTypes="0" containsString="0" containsNumber="1" containsInteger="1" minValue="-320" maxValue="470"/>
    </cacheField>
    <cacheField name="Target Sales" numFmtId="0">
      <sharedItems containsSemiMixedTypes="0" containsString="0" containsNumber="1" containsInteger="1" minValue="0" maxValue="960"/>
    </cacheField>
    <cacheField name="Other Expenses" numFmtId="0">
      <sharedItems containsSemiMixedTypes="0" containsString="0" containsNumber="1" containsInteger="1" minValue="11" maxValue="156"/>
    </cacheField>
    <cacheField name="Total Sales" numFmtId="0">
      <sharedItems containsSemiMixedTypes="0" containsString="0" containsNumber="1" containsInteger="1" minValue="21" maxValue="815" count="243">
        <n v="122"/>
        <n v="123"/>
        <n v="107"/>
        <n v="94"/>
        <n v="182"/>
        <n v="43"/>
        <n v="111"/>
        <n v="66"/>
        <n v="68"/>
        <n v="99"/>
        <n v="120"/>
        <n v="114"/>
        <n v="109"/>
        <n v="144"/>
        <n v="77"/>
        <n v="118"/>
        <n v="119"/>
        <n v="205"/>
        <n v="218"/>
        <n v="92"/>
        <n v="164"/>
        <n v="124"/>
        <n v="125"/>
        <n v="88"/>
        <n v="81"/>
        <n v="78"/>
        <n v="121"/>
        <n v="113"/>
        <n v="106"/>
        <n v="141"/>
        <n v="115"/>
        <n v="90"/>
        <n v="147"/>
        <n v="133"/>
        <n v="112"/>
        <n v="127"/>
        <n v="145"/>
        <n v="176"/>
        <n v="101"/>
        <n v="85"/>
        <n v="82"/>
        <n v="131"/>
        <n v="160"/>
        <n v="153"/>
        <n v="139"/>
        <n v="130"/>
        <n v="100"/>
        <n v="194"/>
        <n v="46"/>
        <n v="70"/>
        <n v="72"/>
        <n v="128"/>
        <n v="116"/>
        <n v="126"/>
        <n v="232"/>
        <n v="98"/>
        <n v="175"/>
        <n v="132"/>
        <n v="86"/>
        <n v="83"/>
        <n v="129"/>
        <n v="150"/>
        <n v="96"/>
        <n v="157"/>
        <n v="142"/>
        <n v="135"/>
        <n v="155"/>
        <n v="188"/>
        <n v="108"/>
        <n v="91"/>
        <n v="87"/>
        <n v="140"/>
        <n v="171"/>
        <n v="163"/>
        <n v="148"/>
        <n v="174"/>
        <n v="187"/>
        <n v="51"/>
        <n v="58"/>
        <n v="177"/>
        <n v="159"/>
        <n v="80"/>
        <n v="56"/>
        <n v="74"/>
        <n v="103"/>
        <n v="69"/>
        <n v="185"/>
        <n v="199"/>
        <n v="54"/>
        <n v="62"/>
        <n v="189"/>
        <n v="151"/>
        <n v="169"/>
        <n v="75"/>
        <n v="60"/>
        <n v="79"/>
        <n v="110"/>
        <n v="52"/>
        <n v="64"/>
        <n v="76"/>
        <n v="73"/>
        <n v="89"/>
        <n v="84"/>
        <n v="55"/>
        <n v="95"/>
        <n v="138"/>
        <n v="184"/>
        <n v="168"/>
        <n v="134"/>
        <n v="196"/>
        <n v="179"/>
        <n v="104"/>
        <n v="53"/>
        <n v="61"/>
        <n v="63"/>
        <n v="39"/>
        <n v="41"/>
        <n v="45"/>
        <n v="65"/>
        <n v="67"/>
        <n v="42"/>
        <n v="44"/>
        <n v="48"/>
        <n v="201"/>
        <n v="520"/>
        <n v="302"/>
        <n v="236"/>
        <n v="230"/>
        <n v="490"/>
        <n v="290"/>
        <n v="197"/>
        <n v="200"/>
        <n v="245"/>
        <n v="231"/>
        <n v="224"/>
        <n v="525"/>
        <n v="221"/>
        <n v="320"/>
        <n v="214"/>
        <n v="250"/>
        <n v="554"/>
        <n v="322"/>
        <n v="251"/>
        <n v="522"/>
        <n v="309"/>
        <n v="210"/>
        <n v="213"/>
        <n v="261"/>
        <n v="246"/>
        <n v="239"/>
        <n v="559"/>
        <n v="341"/>
        <n v="228"/>
        <n v="266"/>
        <n v="313"/>
        <n v="325"/>
        <n v="289"/>
        <n v="334"/>
        <n v="346"/>
        <n v="308"/>
        <n v="202"/>
        <n v="474"/>
        <n v="650"/>
        <n v="765"/>
        <n v="513"/>
        <n v="265"/>
        <n v="180"/>
        <n v="454"/>
        <n v="623"/>
        <n v="363"/>
        <n v="675"/>
        <n v="576"/>
        <n v="198"/>
        <n v="195"/>
        <n v="510"/>
        <n v="699"/>
        <n v="306"/>
        <n v="657"/>
        <n v="747"/>
        <n v="215"/>
        <n v="505"/>
        <n v="693"/>
        <n v="343"/>
        <n v="815"/>
        <n v="547"/>
        <n v="282"/>
        <n v="192"/>
        <n v="484"/>
        <n v="664"/>
        <n v="387"/>
        <n v="719"/>
        <n v="614"/>
        <n v="211"/>
        <n v="208"/>
        <n v="543"/>
        <n v="745"/>
        <n v="326"/>
        <n v="700"/>
        <n v="796"/>
        <n v="158"/>
        <n v="298"/>
        <n v="478"/>
        <n v="367"/>
        <n v="598"/>
        <n v="23"/>
        <n v="567"/>
        <n v="278"/>
        <n v="423"/>
        <n v="412"/>
        <n v="532"/>
        <n v="545"/>
        <n v="312"/>
        <n v="501"/>
        <n v="534"/>
        <n v="24"/>
        <n v="654"/>
        <n v="318"/>
        <n v="509"/>
        <n v="391"/>
        <n v="637"/>
        <n v="25"/>
        <n v="604"/>
        <n v="296"/>
        <n v="451"/>
        <n v="439"/>
        <n v="581"/>
        <n v="332"/>
        <n v="569"/>
        <n v="26"/>
        <n v="697"/>
        <n v="167"/>
        <n v="21"/>
        <n v="146"/>
        <n v="156"/>
        <n v="32"/>
        <n v="102"/>
        <n v="31"/>
        <n v="178"/>
        <n v="22"/>
        <n v="136"/>
        <n v="166"/>
        <n v="34"/>
        <n v="33"/>
      </sharedItems>
    </cacheField>
    <cacheField name="Total Profit" numFmtId="0">
      <sharedItems containsSemiMixedTypes="0" containsString="0" containsNumber="1" containsInteger="1" minValue="-605" maxValue="646" count="238">
        <n v="-5"/>
        <n v="26"/>
        <n v="28"/>
        <n v="35"/>
        <n v="56"/>
        <n v="31"/>
        <n v="21"/>
        <n v="7"/>
        <n v="37"/>
        <n v="33"/>
        <n v="24"/>
        <n v="-7"/>
        <n v="1"/>
        <n v="-2"/>
        <n v="12"/>
        <n v="-6"/>
        <n v="45"/>
        <n v="47"/>
        <n v="36"/>
        <n v="64"/>
        <n v="76"/>
        <n v="48"/>
        <n v="27"/>
        <n v="-8"/>
        <n v="44"/>
        <n v="15"/>
        <n v="29"/>
        <n v="30"/>
        <n v="34"/>
        <n v="14"/>
        <n v="20"/>
        <n v="49"/>
        <n v="13"/>
        <n v="52"/>
        <n v="23"/>
        <n v="50"/>
        <n v="53"/>
        <n v="-3"/>
        <n v="16"/>
        <n v="17"/>
        <n v="39"/>
        <n v="42"/>
        <n v="83"/>
        <n v="46"/>
        <n v="10"/>
        <n v="55"/>
        <n v="-10"/>
        <n v="18"/>
        <n v="-9"/>
        <n v="67"/>
        <n v="70"/>
        <n v="95"/>
        <n v="113"/>
        <n v="71"/>
        <n v="40"/>
        <n v="-12"/>
        <n v="65"/>
        <n v="22"/>
        <n v="43"/>
        <n v="73"/>
        <n v="19"/>
        <n v="77"/>
        <n v="74"/>
        <n v="79"/>
        <n v="-4"/>
        <n v="25"/>
        <n v="0"/>
        <n v="57"/>
        <n v="38"/>
        <n v="-20"/>
        <n v="6"/>
        <n v="32"/>
        <n v="8"/>
        <n v="117"/>
        <n v="85"/>
        <n v="-30"/>
        <n v="9"/>
        <n v="-26"/>
        <n v="11"/>
        <n v="5"/>
        <n v="2"/>
        <n v="-39"/>
        <n v="-13"/>
        <n v="3"/>
        <n v="-11"/>
        <n v="58"/>
        <n v="-16"/>
        <n v="82"/>
        <n v="68"/>
        <n v="86"/>
        <n v="-18"/>
        <n v="-24"/>
        <n v="78"/>
        <n v="59"/>
        <n v="51"/>
        <n v="116"/>
        <n v="96"/>
        <n v="88"/>
        <n v="185"/>
        <n v="133"/>
        <n v="87"/>
        <n v="174"/>
        <n v="127"/>
        <n v="62"/>
        <n v="89"/>
        <n v="188"/>
        <n v="72"/>
        <n v="66"/>
        <n v="-15"/>
        <n v="121"/>
        <n v="275"/>
        <n v="197"/>
        <n v="110"/>
        <n v="129"/>
        <n v="258"/>
        <n v="92"/>
        <n v="105"/>
        <n v="132"/>
        <n v="126"/>
        <n v="279"/>
        <n v="107"/>
        <n v="98"/>
        <n v="-22"/>
        <n v="180"/>
        <n v="114"/>
        <n v="115"/>
        <n v="122"/>
        <n v="171"/>
        <n v="181"/>
        <n v="156"/>
        <n v="60"/>
        <n v="348"/>
        <n v="247"/>
        <n v="-202"/>
        <n v="435"/>
        <n v="-170"/>
        <n v="134"/>
        <n v="63"/>
        <n v="324"/>
        <n v="236"/>
        <n v="108"/>
        <n v="381"/>
        <n v="204"/>
        <n v="-156"/>
        <n v="84"/>
        <n v="390"/>
        <n v="271"/>
        <n v="-224"/>
        <n v="312"/>
        <n v="309"/>
        <n v="-189"/>
        <n v="516"/>
        <n v="367"/>
        <n v="-300"/>
        <n v="137"/>
        <n v="646"/>
        <n v="191"/>
        <n v="-252"/>
        <n v="199"/>
        <n v="93"/>
        <n v="481"/>
        <n v="350"/>
        <n v="160"/>
        <n v="565"/>
        <n v="303"/>
        <n v="-232"/>
        <n v="125"/>
        <n v="579"/>
        <n v="402"/>
        <n v="-332"/>
        <n v="463"/>
        <n v="459"/>
        <n v="-280"/>
        <n v="149"/>
        <n v="120"/>
        <n v="224"/>
        <n v="61"/>
        <n v="183"/>
        <n v="106"/>
        <n v="128"/>
        <n v="139"/>
        <n v="196"/>
        <n v="173"/>
        <n v="157"/>
        <n v="194"/>
        <n v="216"/>
        <n v="-1"/>
        <n v="123"/>
        <n v="172"/>
        <n v="221"/>
        <n v="178"/>
        <n v="332"/>
        <n v="91"/>
        <n v="169"/>
        <n v="272"/>
        <n v="190"/>
        <n v="206"/>
        <n v="291"/>
        <n v="159"/>
        <n v="104"/>
        <n v="257"/>
        <n v="131"/>
        <n v="233"/>
        <n v="288"/>
        <n v="321"/>
        <n v="232"/>
        <n v="-117"/>
        <n v="225"/>
        <n v="-74"/>
        <n v="186"/>
        <n v="-27"/>
        <n v="-363"/>
        <n v="-127"/>
        <n v="-56"/>
        <n v="235"/>
        <n v="138"/>
        <n v="-340"/>
        <n v="-149"/>
        <n v="-88"/>
        <n v="215"/>
        <n v="-408"/>
        <n v="-174"/>
        <n v="334"/>
        <n v="-110"/>
        <n v="276"/>
        <n v="135"/>
        <n v="-40"/>
        <n v="-539"/>
        <n v="-188"/>
        <n v="292"/>
        <n v="-83"/>
        <n v="349"/>
        <n v="205"/>
        <n v="-505"/>
        <n v="-221"/>
        <n v="-131"/>
        <n v="319"/>
        <n v="-605"/>
      </sharedItems>
    </cacheField>
    <cacheField name="ProftMargin" numFmtId="0">
      <sharedItems containsSemiMixedTypes="0" containsString="0" containsNumber="1" containsInteger="1" minValue="-36" maxValue="638" count="249">
        <n v="127"/>
        <n v="97"/>
        <n v="79"/>
        <n v="59"/>
        <n v="126"/>
        <n v="12"/>
        <n v="90"/>
        <n v="45"/>
        <n v="61"/>
        <n v="62"/>
        <n v="87"/>
        <n v="116"/>
        <n v="143"/>
        <n v="108"/>
        <n v="115"/>
        <n v="73"/>
        <n v="72"/>
        <n v="63"/>
        <n v="141"/>
        <n v="142"/>
        <n v="66"/>
        <n v="75"/>
        <n v="65"/>
        <n v="128"/>
        <n v="120"/>
        <n v="83"/>
        <n v="109"/>
        <n v="96"/>
        <n v="57"/>
        <n v="54"/>
        <n v="50"/>
        <n v="58"/>
        <n v="86"/>
        <n v="107"/>
        <n v="89"/>
        <n v="114"/>
        <n v="92"/>
        <n v="71"/>
        <n v="146"/>
        <n v="69"/>
        <n v="81"/>
        <n v="118"/>
        <n v="98"/>
        <n v="122"/>
        <n v="99"/>
        <n v="77"/>
        <n v="80"/>
        <n v="94"/>
        <n v="134"/>
        <n v="123"/>
        <n v="144"/>
        <n v="103"/>
        <n v="137"/>
        <n v="48"/>
        <n v="111"/>
        <n v="0"/>
        <n v="39"/>
        <n v="51"/>
        <n v="85"/>
        <n v="152"/>
        <n v="110"/>
        <n v="125"/>
        <n v="53"/>
        <n v="119"/>
        <n v="60"/>
        <n v="140"/>
        <n v="46"/>
        <n v="41"/>
        <n v="49"/>
        <n v="78"/>
        <n v="47"/>
        <n v="156"/>
        <n v="121"/>
        <n v="93"/>
        <n v="42"/>
        <n v="88"/>
        <n v="133"/>
        <n v="147"/>
        <n v="95"/>
        <n v="91"/>
        <n v="40"/>
        <n v="102"/>
        <n v="76"/>
        <n v="130"/>
        <n v="113"/>
        <n v="112"/>
        <n v="70"/>
        <n v="55"/>
        <n v="11"/>
        <n v="56"/>
        <n v="82"/>
        <n v="35"/>
        <n v="139"/>
        <n v="153"/>
        <n v="84"/>
        <n v="36"/>
        <n v="43"/>
        <n v="104"/>
        <n v="136"/>
        <n v="101"/>
        <n v="44"/>
        <n v="-1"/>
        <n v="37"/>
        <n v="68"/>
        <n v="132"/>
        <n v="64"/>
        <n v="135"/>
        <n v="74"/>
        <n v="131"/>
        <n v="155"/>
        <n v="100"/>
        <n v="129"/>
        <n v="106"/>
        <n v="145"/>
        <n v="154"/>
        <n v="38"/>
        <n v="31"/>
        <n v="52"/>
        <n v="32"/>
        <n v="34"/>
        <n v="33"/>
        <n v="30"/>
        <n v="29"/>
        <n v="105"/>
        <n v="124"/>
        <n v="335"/>
        <n v="169"/>
        <n v="149"/>
        <n v="213"/>
        <n v="316"/>
        <n v="163"/>
        <n v="209"/>
        <n v="337"/>
        <n v="199"/>
        <n v="230"/>
        <n v="279"/>
        <n v="220"/>
        <n v="264"/>
        <n v="217"/>
        <n v="280"/>
        <n v="161"/>
        <n v="236"/>
        <n v="198"/>
        <n v="203"/>
        <n v="184"/>
        <n v="165"/>
        <n v="403"/>
        <n v="212"/>
        <n v="271"/>
        <n v="330"/>
        <n v="384"/>
        <n v="334"/>
        <n v="150"/>
        <n v="168"/>
        <n v="387"/>
        <n v="263"/>
        <n v="255"/>
        <n v="294"/>
        <n v="372"/>
        <n v="148"/>
        <n v="428"/>
        <n v="229"/>
        <n v="290"/>
        <n v="219"/>
        <n v="345"/>
        <n v="438"/>
        <n v="-11"/>
        <n v="326"/>
        <n v="218"/>
        <n v="374"/>
        <n v="206"/>
        <n v="356"/>
        <n v="427"/>
        <n v="117"/>
        <n v="3"/>
        <n v="314"/>
        <n v="365"/>
        <n v="227"/>
        <n v="311"/>
        <n v="160"/>
        <n v="-36"/>
        <n v="343"/>
        <n v="235"/>
        <n v="402"/>
        <n v="197"/>
        <n v="237"/>
        <n v="183"/>
        <n v="329"/>
        <n v="247"/>
        <n v="25"/>
        <n v="67"/>
        <n v="172"/>
        <n v="162"/>
        <n v="273"/>
        <n v="336"/>
        <n v="256"/>
        <n v="26"/>
        <n v="208"/>
        <n v="171"/>
        <n v="190"/>
        <n v="344"/>
        <n v="340"/>
        <n v="360"/>
        <n v="138"/>
        <n v="189"/>
        <n v="288"/>
        <n v="305"/>
        <n v="28"/>
        <n v="332"/>
        <n v="260"/>
        <n v="233"/>
        <n v="276"/>
        <n v="228"/>
        <n v="215"/>
        <n v="324"/>
        <n v="151"/>
        <n v="301"/>
        <n v="281"/>
        <n v="293"/>
        <n v="27"/>
        <n v="302"/>
        <n v="376"/>
        <n v="373"/>
        <n v="231"/>
        <n v="272"/>
        <n v="388"/>
        <n v="274"/>
        <n v="295"/>
        <n v="341"/>
        <n v="291"/>
        <n v="361"/>
        <n v="439"/>
        <n v="313"/>
        <n v="303"/>
        <n v="226"/>
        <n v="278"/>
        <n v="561"/>
        <n v="275"/>
        <n v="207"/>
        <n v="315"/>
        <n v="269"/>
        <n v="234"/>
        <n v="261"/>
        <n v="539"/>
        <n v="426"/>
        <n v="240"/>
        <n v="297"/>
        <n v="296"/>
        <n v="638"/>
      </sharedItems>
    </cacheField>
    <cacheField name="Marketing spend" numFmtId="0">
      <sharedItems containsMixedTypes="1" containsNumber="1" minValue="-5.614583333333333" maxValue="26.318181818181817" count="464">
        <n v="-0.10869565217391304"/>
        <n v="1.5294117647058822"/>
        <n v="2.1538461538461537"/>
        <n v="3.5"/>
        <n v="2.4347826086956523"/>
        <e v="#DIV/0!"/>
        <n v="1.4"/>
        <n v="3"/>
        <n v="0.77777777777777779"/>
        <n v="3.3636363636363638"/>
        <n v="2.2000000000000002"/>
        <n v="1.7142857142857142"/>
        <n v="-0.17073170731707318"/>
        <n v="1.8518518518518517E-2"/>
        <n v="-0.16666666666666666"/>
        <n v="0.6"/>
        <n v="-0.14634146341463414"/>
        <n v="3.4615384615384617"/>
        <n v="3.6153846153846154"/>
        <n v="3.2727272727272729"/>
        <n v="2.3703703703703702"/>
        <n v="2.7142857142857144"/>
        <n v="2"/>
        <n v="3.4285714285714284"/>
        <n v="2.0769230769230771"/>
        <n v="-0.1702127659574468"/>
        <n v="1.9130434782608696"/>
        <n v="2.2142857142857144"/>
        <n v="0.75"/>
        <n v="1.7058823529411764"/>
        <n v="3.1"/>
        <n v="2.2666666666666666"/>
        <n v="0.7"/>
        <n v="2.1428571428571428"/>
        <n v="1.4285714285714286"/>
        <n v="-0.2"/>
        <n v="3.0625"/>
        <n v="0.65"/>
        <n v="3.3846153846153846"/>
        <n v="3.3"/>
        <n v="1.8181818181818181E-2"/>
        <n v="3.4666666666666668"/>
        <n v="-0.14285714285714285"/>
        <n v="0.95833333333333337"/>
        <n v="2.0833333333333335"/>
        <n v="1.6470588235294117"/>
        <n v="1.8461538461538463"/>
        <n v="3.5333333333333332"/>
        <n v="3.375"/>
        <n v="3.4444444444444446"/>
        <n v="3.1111111111111112"/>
        <n v="1.8666666666666667"/>
        <n v="-6.1224489795918366E-2"/>
        <n v="-0.11363636363636363"/>
        <n v="7.1428571428571425E-2"/>
        <n v="2.5"/>
        <n v="0.5714285714285714"/>
        <n v="1.08"/>
        <n v="1.8947368421052631"/>
        <n v="0.6071428571428571"/>
        <n v="-0.15217391304347827"/>
        <n v="2.2941176470588234"/>
        <n v="3.2307692307692308"/>
        <n v="5.2"/>
        <n v="3.6086956521739131"/>
        <n v="2.0666666666666669"/>
        <n v="4.4285714285714288"/>
        <n v="1.1111111111111112"/>
        <n v="5"/>
        <n v="3.2666666666666666"/>
        <n v="2.5714285714285716"/>
        <n v="-0.24390243902439024"/>
        <n v="-0.25"/>
        <n v="0.9"/>
        <n v="-0.21951219512195122"/>
        <n v="5.1538461538461542"/>
        <n v="5.384615384615385"/>
        <n v="4.8181818181818183"/>
        <n v="3.5185185185185186"/>
        <n v="4.0357142857142856"/>
        <n v="5.0714285714285712"/>
        <n v="3.0769230769230771"/>
        <n v="-0.25531914893617019"/>
        <n v="2.8260869565217392"/>
        <n v="3.2857142857142856"/>
        <n v="1.1000000000000001"/>
        <n v="2.5294117647058822"/>
        <n v="4.5999999999999996"/>
        <n v="4.4444444444444446"/>
        <n v="5.25"/>
        <n v="4.5"/>
        <n v="3.3333333333333335"/>
        <n v="1.05"/>
        <n v="3.2142857142857144"/>
        <n v="-0.3"/>
        <n v="4.5625"/>
        <n v="0.95"/>
        <n v="4.9000000000000004"/>
        <n v="5.1333333333333337"/>
        <n v="-0.21428571428571427"/>
        <n v="1.4166666666666667"/>
        <n v="3.0833333333333335"/>
        <n v="2.4705882352941178"/>
        <n v="2.7692307692307692"/>
        <n v="5.2666666666666666"/>
        <n v="5.1111111111111107"/>
        <n v="4.666666666666667"/>
        <n v="2.8"/>
        <n v="-8.1632653061224483E-2"/>
        <n v="-0.15909090909090909"/>
        <n v="3.75"/>
        <n v="0.8571428571428571"/>
        <n v="1.6"/>
        <n v="2.7894736842105261"/>
        <n v="0.8928571428571429"/>
        <n v="2.25"/>
        <n v="1.6875"/>
        <n v="2.8571428571428572"/>
        <n v="3.7619047619047619"/>
        <n v="1.1333333333333333"/>
        <n v="1.75"/>
        <n v="0"/>
        <n v="3.1666666666666665"/>
        <n v="3.625"/>
        <n v="3.3571428571428572"/>
        <n v="-0.32"/>
        <n v="2.6666666666666665"/>
        <n v="-0.17499999999999999"/>
        <n v="-0.33333333333333331"/>
        <n v="1.8095238095238095"/>
        <n v="2.0714285714285716"/>
        <n v="-0.47619047619047616"/>
        <n v="0.35294117647058826"/>
        <n v="1.625"/>
        <n v="3.2222222222222223"/>
        <n v="0.88888888888888884"/>
        <n v="2.8333333333333335"/>
        <n v="2.5833333333333335"/>
        <n v="-9.0909090909090912E-2"/>
        <n v="2.9583333333333335"/>
        <n v="4.2857142857142856"/>
        <n v="5.5714285714285712"/>
        <n v="1.6666666666666667"/>
        <n v="2.6"/>
        <n v="4.7222222222222223"/>
        <n v="4.8571428571428568"/>
        <n v="5.375"/>
        <n v="-0.48"/>
        <n v="4"/>
        <n v="-0.5"/>
        <n v="3.0714285714285716"/>
        <n v="-0.7142857142857143"/>
        <n v="0.52941176470588236"/>
        <n v="2.4375"/>
        <n v="4.7777777777777777"/>
        <n v="1.3333333333333333"/>
        <n v="4.166666666666667"/>
        <n v="3.8333333333333335"/>
        <n v="-0.13636363636363635"/>
        <n v="2.1666666666666665"/>
        <n v="-1"/>
        <n v="0.66666666666666663"/>
        <n v="1.0833333333333333"/>
        <n v="1.5714285714285714"/>
        <n v="0.72727272727272729"/>
        <n v="0.625"/>
        <n v="-0.36"/>
        <n v="0.81818181818181823"/>
        <n v="3.125"/>
        <n v="0.41176470588235292"/>
        <n v="3.25"/>
        <n v="1.8571428571428572"/>
        <n v="0.14285714285714285"/>
        <n v="0.91666666666666663"/>
        <n v="1"/>
        <n v="-1.5"/>
        <n v="1.5833333333333333"/>
        <n v="2.2857142857142856"/>
        <n v="1.0909090909090908"/>
        <n v="0.875"/>
        <n v="-0.52"/>
        <n v="1.1818181818181819"/>
        <n v="4.625"/>
        <n v="0.58823529411764708"/>
        <n v="4.875"/>
        <n v="0.21428571428571427"/>
        <n v="1.5"/>
        <n v="-0.2391304347826087"/>
        <n v="2.3913043478260869"/>
        <n v="3.5384615384615383"/>
        <n v="1.588235294117647"/>
        <n v="0.76190476190476186"/>
        <n v="1.6428571428571428"/>
        <n v="-6.3829787234042548E-2"/>
        <n v="-8.5106382978723402E-2"/>
        <n v="1.6842105263157894"/>
        <n v="0.8"/>
        <n v="1.2258064516129032"/>
        <n v="3.6363636363636362E-2"/>
        <n v="2.1363636363636362"/>
        <n v="1.3125"/>
        <n v="2.3125"/>
        <n v="-4.0816326530612242E-2"/>
        <n v="7.6923076923076927E-2"/>
        <n v="-0.34782608695652173"/>
        <n v="3.5652173913043477"/>
        <n v="5.2307692307692308"/>
        <n v="2.3529411764705883"/>
        <n v="1.1428571428571428"/>
        <n v="2.4285714285714284"/>
        <n v="-0.1276595744680851"/>
        <n v="2.4736842105263159"/>
        <n v="1.2"/>
        <n v="1.8064516129032258"/>
        <n v="5.4545454545454543E-2"/>
        <n v="3.1818181818181817"/>
        <n v="1.9375"/>
        <n v="3.4375"/>
        <n v="1.375"/>
        <n v="3.3125"/>
        <n v="3.2"/>
        <n v="1.1666666666666667"/>
        <n v="-1.3333333333333333"/>
        <n v="-2.2857142857142856"/>
        <n v="4.8"/>
        <n v="4.4000000000000004"/>
        <n v="-2"/>
        <n v="4.2"/>
        <n v="3.5714285714285716"/>
        <n v="-3.4285714285714284"/>
        <n v="3.7142857142857144"/>
        <n v="2.4074074074074074"/>
        <n v="0.7142857142857143"/>
        <n v="1.736842105263158"/>
        <n v="2.4583333333333335"/>
        <n v="1.9565217391304348"/>
        <n v="3.4"/>
        <n v="1.9230769230769231"/>
        <n v="1.04"/>
        <n v="5.5238095238095237"/>
        <n v="3.5555555555555554"/>
        <n v="1.0476190476190477"/>
        <n v="2.5789473684210527"/>
        <n v="3.6666666666666665"/>
        <n v="2.9130434782608696"/>
        <n v="4.4375"/>
        <n v="5.0666666666666664"/>
        <n v="2.8461538461538463"/>
        <n v="-0.23809523809523808"/>
        <n v="1.56"/>
        <n v="3.9117647058823528"/>
        <n v="2.5517241379310347"/>
        <n v="2.6363636363636362"/>
        <n v="0.19540229885057472"/>
        <n v="2.5217391304347827"/>
        <n v="3.8484848484848486"/>
        <n v="2.48"/>
        <n v="2.4482758620689653"/>
        <n v="2.870967741935484"/>
        <n v="2.5757575757575757"/>
        <n v="0.17647058823529413"/>
        <n v="2.5405405405405403"/>
        <n v="2.4827586206896552"/>
        <n v="1.8"/>
        <n v="2.5384615384615383"/>
        <n v="-2.1428571428571428"/>
        <n v="2.9512195121951219"/>
        <n v="2.4838709677419355"/>
        <n v="0.21052631578947367"/>
        <n v="3.7162162162162162"/>
        <n v="5.7941176470588234"/>
        <n v="3.7931034482758621"/>
        <n v="3.9090909090909092"/>
        <n v="0.28735632183908044"/>
        <n v="3.7391304347826089"/>
        <n v="5.6969696969696972"/>
        <n v="3.68"/>
        <n v="3.6206896551724137"/>
        <n v="4.258064516129032"/>
        <n v="3.8181818181818183"/>
        <n v="0.25882352941176473"/>
        <n v="3.7702702702702702"/>
        <n v="3.6896551724137931"/>
        <n v="3.7692307692307692"/>
        <n v="-3.1428571428571428"/>
        <n v="4.3902439024390247"/>
        <n v="3.6774193548387095"/>
        <n v="0.31578947368421051"/>
        <n v="2.8048780487804876"/>
        <n v="2.9047619047619047"/>
        <n v="2.8378378378378377"/>
        <n v="4.1707317073170733"/>
        <n v="4.3095238095238093"/>
        <n v="4.2162162162162158"/>
        <n v="15.130434782608695"/>
        <n v="0.20689655172413793"/>
        <n v="-1.7876106194690264"/>
        <n v="2.0444444444444443"/>
        <n v="6.5909090909090908"/>
        <n v="1.34375"/>
        <n v="-2.2972972972972974"/>
        <n v="3.9411764705882355"/>
        <n v="2.04"/>
        <n v="2.52"/>
        <n v="13.5"/>
        <n v="2.7126436781609193"/>
        <n v="-1.8532110091743119"/>
        <n v="2.16"/>
        <n v="6.4576271186440675"/>
        <n v="2.193548387096774"/>
        <n v="-2.2608695652173911"/>
        <n v="2.975609756097561"/>
        <n v="2.1481481481481484"/>
        <n v="2.5172413793103448"/>
        <n v="17.727272727272727"/>
        <n v="2.7938144329896906"/>
        <n v="0.22105263157894736"/>
        <n v="-1.8360655737704918"/>
        <n v="4.4571428571428573"/>
        <n v="2.7837837837837838"/>
        <n v="-2.5540540540540539"/>
        <n v="3.7083333333333335"/>
        <n v="3.1785714285714284"/>
        <n v="22.434782608695652"/>
        <n v="4.0329670329670328"/>
        <n v="0.31034482758620691"/>
        <n v="-2.6548672566371683"/>
        <n v="3.0444444444444443"/>
        <n v="9.7878787878787872"/>
        <n v="1.9895833333333333"/>
        <n v="-3.4054054054054053"/>
        <n v="5.7"/>
        <n v="5.8529411764705879"/>
        <n v="3.04"/>
        <n v="3.72"/>
        <n v="20.041666666666668"/>
        <n v="4.0229885057471266"/>
        <n v="-2.7522935779816513"/>
        <n v="9.5762711864406782"/>
        <n v="3.2580645161290325"/>
        <n v="-3.36231884057971"/>
        <n v="5.6818181818181817"/>
        <n v="4.4146341463414638"/>
        <n v="3.1851851851851851"/>
        <n v="3.7241379310344827"/>
        <n v="26.318181818181817"/>
        <n v="4.1443298969072169"/>
        <n v="0.32631578947368423"/>
        <n v="-2.721311475409836"/>
        <n v="6.6142857142857139"/>
        <n v="4.1351351351351351"/>
        <n v="-3.7837837837837838"/>
        <n v="5.5"/>
        <n v="3.8666666666666667"/>
        <n v="2.9487179487179489"/>
        <n v="2.2575757575757578"/>
        <n v="2.4"/>
        <n v="-0.66666666666666663"/>
        <n v="2.1785714285714284"/>
        <n v="2.9230769230769229"/>
        <n v="1.90625"/>
        <n v="-1.2222222222222223"/>
        <n v="2.9444444444444446"/>
        <n v="2.4166666666666665"/>
        <n v="2.1864406779661016"/>
        <n v="3.8787878787878789"/>
        <n v="2.4385964912280702"/>
        <n v="2.6133333333333333"/>
        <n v="2.14"/>
        <n v="2.4137931034482758"/>
        <n v="0.18823529411764706"/>
        <n v="2.9722222222222223"/>
        <n v="1.8602150537634408"/>
        <n v="3.05"/>
        <n v="2.2428571428571429"/>
        <n v="2.6575342465753424"/>
        <n v="2.1111111111111112"/>
        <n v="3.0750000000000002"/>
        <n v="2.2285714285714286"/>
        <n v="1.9459459459459461"/>
        <n v="5.7333333333333334"/>
        <n v="4.384615384615385"/>
        <n v="3.3484848484848486"/>
        <n v="3.56"/>
        <n v="3.9523809523809526"/>
        <n v="1.7333333333333334"/>
        <n v="4.333333333333333"/>
        <n v="-1.7777777777777777"/>
        <n v="4.3611111111111107"/>
        <n v="3.5833333333333335"/>
        <n v="3.2372881355932202"/>
        <n v="5.7575757575757578"/>
        <n v="3.6140350877192984"/>
        <n v="3.88"/>
        <n v="3.18"/>
        <n v="3.5862068965517242"/>
        <n v="0.28235294117647058"/>
        <n v="4.416666666666667"/>
        <n v="2.763440860215054"/>
        <n v="5.458333333333333"/>
        <n v="4.5250000000000004"/>
        <n v="3.3285714285714287"/>
        <n v="3.9452054794520546"/>
        <n v="3.9629629629629628"/>
        <n v="3.1481481481481484"/>
        <n v="4.5750000000000002"/>
        <n v="3.3142857142857145"/>
        <n v="2.8918918918918921"/>
        <n v="-2.34"/>
        <n v="2.6785714285714284"/>
        <n v="-1.8974358974358974"/>
        <n v="0.23893805309734514"/>
        <n v="2.5135135135135136"/>
        <n v="2.2307692307692308"/>
        <n v="2.0222222222222221"/>
        <n v="1.1052631578947369"/>
        <n v="1.4666666666666666"/>
        <n v="0.23008849557522124"/>
        <n v="-1.0384615384615385"/>
        <n v="-3.78125"/>
        <n v="-2.2280701754385963"/>
        <n v="2.6266666666666665"/>
        <n v="-1.5555555555555556"/>
        <n v="2.7011494252873565"/>
        <n v="0.23853211009174313"/>
        <n v="0.82352941176470584"/>
        <n v="2.4210526315789473"/>
        <n v="2.1694915254237288"/>
        <n v="-3.6559139784946235"/>
        <n v="-2.0410958904109591"/>
        <n v="-2.2000000000000002"/>
        <n v="0.25409836065573771"/>
        <n v="2.125"/>
        <n v="0.26229508196721313"/>
        <n v="2.6543209876543208"/>
        <n v="-3.6756756756756759"/>
        <n v="-3.48"/>
        <n v="3.9761904761904763"/>
        <n v="-2.8205128205128207"/>
        <n v="0.35398230088495575"/>
        <n v="3.7297297297297298"/>
        <n v="3.3076923076923075"/>
        <n v="2.65"/>
        <n v="1.631578947368421"/>
        <n v="0.34513274336283184"/>
        <n v="-1.5384615384615385"/>
        <n v="-5.614583333333333"/>
        <n v="-3.2982456140350878"/>
        <n v="3.8933333333333335"/>
        <n v="-2.3055555555555554"/>
        <n v="4.0114942528735629"/>
        <n v="0.3577981651376147"/>
        <n v="2.7619047619047619"/>
        <n v="1.2352941176470589"/>
        <n v="3.7"/>
        <n v="3.5964912280701755"/>
        <n v="3.2203389830508473"/>
        <n v="-5.43010752688172"/>
        <n v="-3.0273972602739727"/>
        <n v="-3.2749999999999999"/>
        <n v="0.37704918032786883"/>
        <n v="0.38524590163934425"/>
        <n v="3.9382716049382718"/>
        <n v="-5.4504504504504503"/>
      </sharedItems>
    </cacheField>
    <cacheField name="COGS Variance" numFmtId="0">
      <sharedItems containsMixedTypes="1" containsNumber="1" minValue="0.68285714285714283" maxValue="4.5"/>
    </cacheField>
    <cacheField name="Poor-performing stores " numFmtId="0">
      <sharedItems containsSemiMixedTypes="0" containsString="0" containsNumber="1" containsInteger="1" minValue="-369" maxValue="249"/>
    </cacheField>
    <cacheField name="Product Categories" numFmtId="0">
      <sharedItems count="2">
        <s v="LOW"/>
        <s v="HIGH"/>
      </sharedItems>
    </cacheField>
    <cacheField name="Target metrics" numFmtId="0">
      <sharedItems containsMixedTypes="1" containsNumber="1" minValue="-321.890625" maxValue="469.47446808510637"/>
    </cacheField>
    <cacheField name="Sales_Revenue" numFmtId="0">
      <sharedItems containsSemiMixedTypes="0" containsString="0" containsNumber="1" containsInteger="1" minValue="-87725" maxValue="66096" count="544">
        <n v="-380"/>
        <n v="1170"/>
        <n v="1008"/>
        <n v="735"/>
        <n v="3024"/>
        <n v="372"/>
        <n v="903"/>
        <n v="378"/>
        <n v="210"/>
        <n v="814"/>
        <n v="1254"/>
        <n v="1080"/>
        <n v="-497"/>
        <n v="83"/>
        <n v="-90"/>
        <n v="648"/>
        <n v="-420"/>
        <n v="1125"/>
        <n v="1128"/>
        <n v="828"/>
        <n v="3776"/>
        <n v="3876"/>
        <n v="676"/>
        <n v="1200"/>
        <n v="675"/>
        <n v="-608"/>
        <n v="1980"/>
        <n v="1147"/>
        <n v="810"/>
        <n v="1131"/>
        <n v="651"/>
        <n v="567"/>
        <n v="532"/>
        <n v="660"/>
        <n v="1258"/>
        <n v="742"/>
        <n v="1110"/>
        <n v="920"/>
        <n v="-560"/>
        <n v="1911"/>
        <n v="702"/>
        <n v="1056"/>
        <n v="693"/>
        <n v="85"/>
        <n v="780"/>
        <n v="1404"/>
        <n v="-426"/>
        <n v="1276"/>
        <n v="1311"/>
        <n v="2300"/>
        <n v="1260"/>
        <n v="864"/>
        <n v="1378"/>
        <n v="513"/>
        <n v="620"/>
        <n v="588"/>
        <n v="1288"/>
        <n v="-237"/>
        <n v="-370"/>
        <n v="48"/>
        <n v="832"/>
        <n v="1566"/>
        <n v="1440"/>
        <n v="867"/>
        <n v="-532"/>
        <n v="1755"/>
        <n v="1512"/>
        <n v="1092"/>
        <n v="4482"/>
        <n v="552"/>
        <n v="1333"/>
        <n v="558"/>
        <n v="300"/>
        <n v="1210"/>
        <n v="1862"/>
        <n v="1620"/>
        <n v="-710"/>
        <n v="-135"/>
        <n v="972"/>
        <n v="-630"/>
        <n v="1675"/>
        <n v="1680"/>
        <n v="1219"/>
        <n v="5605"/>
        <n v="5763"/>
        <n v="1014"/>
        <n v="1775"/>
        <n v="1000"/>
        <n v="-912"/>
        <n v="2925"/>
        <n v="1702"/>
        <n v="1188"/>
        <n v="1677"/>
        <n v="966"/>
        <n v="840"/>
        <n v="798"/>
        <n v="990"/>
        <n v="1850"/>
        <n v="1113"/>
        <n v="1665"/>
        <n v="1380"/>
        <n v="-840"/>
        <n v="2847"/>
        <n v="1026"/>
        <n v="1560"/>
        <n v="1029"/>
        <n v="2079"/>
        <n v="-639"/>
        <n v="1892"/>
        <n v="1938"/>
        <n v="3404"/>
        <n v="1890"/>
        <n v="1296"/>
        <n v="2054"/>
        <n v="760"/>
        <n v="882"/>
        <n v="1932"/>
        <n v="-316"/>
        <n v="-518"/>
        <n v="1248"/>
        <n v="2320"/>
        <n v="2120"/>
        <n v="1275"/>
        <n v="2208"/>
        <n v="689"/>
        <n v="999"/>
        <n v="380"/>
        <n v="2528"/>
        <n v="190"/>
        <n v="306"/>
        <n v="2176"/>
        <n v="1470"/>
        <n v="0"/>
        <n v="2394"/>
        <n v="437"/>
        <n v="551"/>
        <n v="1222"/>
        <n v="-384"/>
        <n v="288"/>
        <n v="-483"/>
        <n v="-180"/>
        <n v="540"/>
        <n v="1634"/>
        <n v="783"/>
        <n v="-1440"/>
        <n v="962"/>
        <n v="580"/>
        <n v="630"/>
        <n v="352"/>
        <n v="240"/>
        <n v="1085"/>
        <n v="980"/>
        <n v="-292"/>
        <n v="960"/>
        <n v="3266"/>
        <n v="1007"/>
        <n v="1480"/>
        <n v="570"/>
        <n v="3744"/>
        <n v="285"/>
        <n v="459"/>
        <n v="3200"/>
        <n v="2184"/>
        <n v="3570"/>
        <n v="646"/>
        <n v="817"/>
        <n v="1820"/>
        <n v="-576"/>
        <n v="432"/>
        <n v="-690"/>
        <n v="-270"/>
        <n v="800"/>
        <n v="2408"/>
        <n v="1161"/>
        <n v="-2160"/>
        <n v="1443"/>
        <n v="860"/>
        <n v="945"/>
        <n v="517"/>
        <n v="360"/>
        <n v="450"/>
        <n v="1610"/>
        <n v="-438"/>
        <n v="650"/>
        <n v="-1274"/>
        <n v="186"/>
        <n v="520"/>
        <n v="324"/>
        <n v="209"/>
        <n v="312"/>
        <n v="150"/>
        <n v="-441"/>
        <n v="342"/>
        <n v="475"/>
        <n v="350"/>
        <n v="494"/>
        <n v="247"/>
        <n v="94"/>
        <n v="217"/>
        <n v="440"/>
        <n v="468"/>
        <n v="975"/>
        <n v="-1911"/>
        <n v="279"/>
        <n v="486"/>
        <n v="304"/>
        <n v="-637"/>
        <n v="703"/>
        <n v="500"/>
        <n v="741"/>
        <n v="361"/>
        <n v="141"/>
        <n v="310"/>
        <n v="640"/>
        <n v="-836"/>
        <n v="3025"/>
        <n v="1104"/>
        <n v="2378"/>
        <n v="1058"/>
        <n v="-228"/>
        <n v="1152"/>
        <n v="-308"/>
        <n v="1504"/>
        <n v="1352"/>
        <n v="848"/>
        <n v="2432"/>
        <n v="168"/>
        <n v="2538"/>
        <n v="924"/>
        <n v="1406"/>
        <n v="-156"/>
        <n v="56"/>
        <n v="1150"/>
        <n v="-1216"/>
        <n v="4510"/>
        <n v="1632"/>
        <n v="3526"/>
        <n v="1760"/>
        <n v="1564"/>
        <n v="-304"/>
        <n v="1692"/>
        <n v="-462"/>
        <n v="2209"/>
        <n v="2002"/>
        <n v="1272"/>
        <n v="3584"/>
        <n v="252"/>
        <n v="3780"/>
        <n v="1364"/>
        <n v="2090"/>
        <n v="-234"/>
        <n v="1914"/>
        <n v="2067"/>
        <n v="1700"/>
        <n v="256"/>
        <n v="255"/>
        <n v="546"/>
        <n v="-516"/>
        <n v="-138"/>
        <n v="238"/>
        <n v="323"/>
        <n v="1116"/>
        <n v="289"/>
        <n v="-184"/>
        <n v="128"/>
        <n v="560"/>
        <n v="-656"/>
        <n v="480"/>
        <n v="384"/>
        <n v="374"/>
        <n v="819"/>
        <n v="-774"/>
        <n v="357"/>
        <n v="1656"/>
        <n v="425"/>
        <n v="-276"/>
        <n v="192"/>
        <n v="225"/>
        <n v="-984"/>
        <n v="720"/>
        <n v="476"/>
        <n v="2574"/>
        <n v="3770"/>
        <n v="825"/>
        <n v="1518"/>
        <n v="3245"/>
        <n v="1920"/>
        <n v="1377"/>
        <n v="875"/>
        <n v="-504"/>
        <n v="1534"/>
        <n v="3828"/>
        <n v="5568"/>
        <n v="2254"/>
        <n v="4840"/>
        <n v="2948"/>
        <n v="2840"/>
        <n v="2052"/>
        <n v="1295"/>
        <n v="-720"/>
        <n v="2301"/>
        <n v="17760"/>
        <n v="6118"/>
        <n v="3034"/>
        <n v="4002"/>
        <n v="1989"/>
        <n v="15834"/>
        <n v="5715"/>
        <n v="3534"/>
        <n v="2911"/>
        <n v="4806"/>
        <n v="3825"/>
        <n v="135"/>
        <n v="1725"/>
        <n v="18048"/>
        <n v="4392"/>
        <n v="1269"/>
        <n v="2508"/>
        <n v="-600"/>
        <n v="7865"/>
        <n v="3311"/>
        <n v="144"/>
        <n v="2500"/>
        <n v="26400"/>
        <n v="9062"/>
        <n v="5934"/>
        <n v="23478"/>
        <n v="8460"/>
        <n v="5244"/>
        <n v="4305"/>
        <n v="7128"/>
        <n v="5670"/>
        <n v="195"/>
        <n v="2530"/>
        <n v="26784"/>
        <n v="6527"/>
        <n v="1880"/>
        <n v="3724"/>
        <n v="-880"/>
        <n v="11700"/>
        <n v="4902"/>
        <n v="208"/>
        <n v="3750"/>
        <n v="8395"/>
        <n v="8906"/>
        <n v="7245"/>
        <n v="12483"/>
        <n v="13213"/>
        <n v="10764"/>
        <n v="3360"/>
        <n v="18792"/>
        <n v="35321"/>
        <n v="2088"/>
        <n v="-29492"/>
        <n v="6348"/>
        <n v="39585"/>
        <n v="16641"/>
        <n v="-16150"/>
        <n v="4830"/>
        <n v="6030"/>
        <n v="2652"/>
        <n v="3528"/>
        <n v="17820"/>
        <n v="32568"/>
        <n v="-28684"/>
        <n v="7992"/>
        <n v="31623"/>
        <n v="25908"/>
        <n v="-14196"/>
        <n v="2772"/>
        <n v="7808"/>
        <n v="3132"/>
        <n v="4380"/>
        <n v="20670"/>
        <n v="40379"/>
        <n v="2604"/>
        <n v="-34720"/>
        <n v="5742"/>
        <n v="29640"/>
        <n v="44496"/>
        <n v="-18144"/>
        <n v="3115"/>
        <n v="4984"/>
        <n v="27864"/>
        <n v="52481"/>
        <n v="-43800"/>
        <n v="9453"/>
        <n v="58786"/>
        <n v="24639"/>
        <n v="-23940"/>
        <n v="7182"/>
        <n v="8955"/>
        <n v="3952"/>
        <n v="5208"/>
        <n v="26455"/>
        <n v="48300"/>
        <n v="-42600"/>
        <n v="11840"/>
        <n v="46895"/>
        <n v="38481"/>
        <n v="-21112"/>
        <n v="4125"/>
        <n v="11584"/>
        <n v="4644"/>
        <n v="6480"/>
        <n v="30687"/>
        <n v="59898"/>
        <n v="3844"/>
        <n v="-51460"/>
        <n v="8514"/>
        <n v="43985"/>
        <n v="66096"/>
        <n v="-26880"/>
        <n v="4620"/>
        <n v="4756"/>
        <n v="7015"/>
        <n v="13410"/>
        <n v="11160"/>
        <n v="26208"/>
        <n v="-30"/>
        <n v="3355"/>
        <n v="2205"/>
        <n v="7068"/>
        <n v="23607"/>
        <n v="6254"/>
        <n v="3248"/>
        <n v="10707"/>
        <n v="5632"/>
        <n v="13900"/>
        <n v="21168"/>
        <n v="8025"/>
        <n v="2940"/>
        <n v="-48"/>
        <n v="1824"/>
        <n v="6206"/>
        <n v="21971"/>
        <n v="3168"/>
        <n v="7686"/>
        <n v="14758"/>
        <n v="22504"/>
        <n v="24408"/>
        <n v="-15"/>
        <n v="3135"/>
        <n v="7626"/>
        <n v="14820"/>
        <n v="31104"/>
        <n v="7052"/>
        <n v="10431"/>
        <n v="19890"/>
        <n v="16554"/>
        <n v="38844"/>
        <n v="-45"/>
        <n v="5005"/>
        <n v="3276"/>
        <n v="10478"/>
        <n v="35088"/>
        <n v="-672"/>
        <n v="9263"/>
        <n v="4816"/>
        <n v="15853"/>
        <n v="8360"/>
        <n v="20600"/>
        <n v="31428"/>
        <n v="11925"/>
        <n v="4368"/>
        <n v="-64"/>
        <n v="2736"/>
        <n v="9222"/>
        <n v="32639"/>
        <n v="4716"/>
        <n v="11403"/>
        <n v="21902"/>
        <n v="33408"/>
        <n v="36273"/>
        <n v="4675"/>
        <n v="11346"/>
        <n v="22040"/>
        <n v="46224"/>
        <n v="-10881"/>
        <n v="26100"/>
        <n v="-4514"/>
        <n v="3942"/>
        <n v="17670"/>
        <n v="1015"/>
        <n v="6370"/>
        <n v="1476"/>
        <n v="1323"/>
        <n v="3822"/>
        <n v="3066"/>
        <n v="-1350"/>
        <n v="-46827"/>
        <n v="-12700"/>
        <n v="21079"/>
        <n v="-3304"/>
        <n v="32665"/>
        <n v="3692"/>
        <n v="1638"/>
        <n v="854"/>
        <n v="2150"/>
        <n v="13938"/>
        <n v="10752"/>
        <n v="-43180"/>
        <n v="-17433"/>
        <n v="-5544"/>
        <n v="4836"/>
        <n v="2295"/>
        <n v="2668"/>
        <n v="4960"/>
        <n v="24510"/>
        <n v="-59160"/>
        <n v="-16182"/>
        <n v="38744"/>
        <n v="-6710"/>
        <n v="5840"/>
        <n v="26220"/>
        <n v="1505"/>
        <n v="9450"/>
        <n v="2173"/>
        <n v="1953"/>
        <n v="1386"/>
        <n v="3569"/>
        <n v="5733"/>
        <n v="4536"/>
        <n v="-2000"/>
        <n v="-69531"/>
        <n v="-18800"/>
        <n v="31244"/>
        <n v="-4897"/>
        <n v="48511"/>
        <n v="5538"/>
        <n v="2436"/>
        <n v="1281"/>
        <n v="3182"/>
        <n v="20705"/>
        <n v="15960"/>
        <n v="-64135"/>
        <n v="-25857"/>
        <n v="-8253"/>
        <n v="7176"/>
        <n v="3420"/>
        <n v="3956"/>
        <n v="7285"/>
        <n v="36366"/>
        <n v="-87725"/>
      </sharedItems>
    </cacheField>
    <cacheField name="Cost" numFmtId="0">
      <sharedItems containsSemiMixedTypes="0" containsString="0" containsNumber="1" containsInteger="1" minValue="-45305" maxValue="526490"/>
    </cacheField>
    <cacheField name="RQI(Return of Investement)" numFmtId="0">
      <sharedItems containsMixedTypes="1" containsNumber="1" minValue="45" maxValue="19032"/>
    </cacheField>
    <cacheField name="Marketing spend as a% of Sales" numFmtId="0">
      <sharedItems containsMixedTypes="1" containsNumber="1" minValue="-0.25520833333333331" maxValue="8.5714285714285715E-2"/>
    </cacheField>
    <cacheField name="Month" numFmtId="0">
      <sharedItems/>
    </cacheField>
    <cacheField name="Varience" numFmtId="0">
      <sharedItems containsSemiMixedTypes="0" containsString="0" containsNumber="1" containsInteger="1" minValue="-490" maxValue="0" count="45">
        <n v="-60"/>
        <n v="-40"/>
        <n v="-50"/>
        <n v="-30"/>
        <n v="0"/>
        <n v="-20"/>
        <n v="-80"/>
        <n v="-70"/>
        <n v="-110"/>
        <n v="-90"/>
        <n v="-100"/>
        <n v="-120"/>
        <n v="-10"/>
        <n v="-130"/>
        <n v="-140"/>
        <n v="-430"/>
        <n v="-150"/>
        <n v="-160"/>
        <n v="-350"/>
        <n v="-180"/>
        <n v="-380"/>
        <n v="-200"/>
        <n v="-310"/>
        <n v="-220"/>
        <n v="-270"/>
        <n v="-330"/>
        <n v="-190"/>
        <n v="-240"/>
        <n v="-230"/>
        <n v="-280"/>
        <n v="-170"/>
        <n v="-370"/>
        <n v="-210"/>
        <n v="-320"/>
        <n v="-250"/>
        <n v="-410"/>
        <n v="-470"/>
        <n v="-340"/>
        <n v="-260"/>
        <n v="-390"/>
        <n v="-290"/>
        <n v="-400"/>
        <n v="-490"/>
        <n v="-300"/>
        <n v="-480"/>
      </sharedItems>
    </cacheField>
    <cacheField name="Cost of Goods Sold (COGS)" numFmtId="0">
      <sharedItems containsMixedTypes="1" containsNumber="1" minValue="8.2352941176470587E-2" maxValue="8.1044776119402986"/>
    </cacheField>
    <cacheField name="Months (Date)" numFmtId="0" databaseField="0">
      <fieldGroup base="2">
        <rangePr groupBy="months" startDate="2012-10-01T00:00:00" endDate="2013-12-02T00:00:00"/>
        <groupItems count="14">
          <s v="&lt;01-10-2012"/>
          <s v="Jan"/>
          <s v="Feb"/>
          <s v="Mar"/>
          <s v="Apr"/>
          <s v="May"/>
          <s v="Jun"/>
          <s v="Jul"/>
          <s v="Aug"/>
          <s v="Sep"/>
          <s v="Oct"/>
          <s v="Nov"/>
          <s v="Dec"/>
          <s v="&gt;02-12-2013"/>
        </groupItems>
      </fieldGroup>
    </cacheField>
    <cacheField name="Quarters (Date)" numFmtId="0" databaseField="0">
      <fieldGroup base="2">
        <rangePr groupBy="quarters" startDate="2012-10-01T00:00:00" endDate="2013-12-02T00:00:00"/>
        <groupItems count="6">
          <s v="&lt;01-10-2012"/>
          <s v="Qtr1"/>
          <s v="Qtr2"/>
          <s v="Qtr3"/>
          <s v="Qtr4"/>
          <s v="&gt;02-12-2013"/>
        </groupItems>
      </fieldGroup>
    </cacheField>
    <cacheField name="Years (Date)" numFmtId="0" databaseField="0">
      <fieldGroup base="2">
        <rangePr groupBy="years" startDate="2012-10-01T00:00:00" endDate="2013-12-02T00:00:00"/>
        <groupItems count="4">
          <s v="&lt;01-10-2012"/>
          <s v="2012"/>
          <s v="2013"/>
          <s v="&gt;02-12-2013"/>
        </groupItems>
      </fieldGroup>
    </cacheField>
  </cacheFields>
  <extLst>
    <ext xmlns:x14="http://schemas.microsoft.com/office/spreadsheetml/2009/9/main" uri="{725AE2AE-9491-48be-B2B4-4EB974FC3084}">
      <x14:pivotCacheDefinition pivotCacheId="285487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n v="303"/>
    <n v="51"/>
    <x v="0"/>
    <x v="0"/>
    <x v="0"/>
    <n v="46"/>
    <x v="0"/>
    <x v="0"/>
    <x v="0"/>
    <n v="-5"/>
    <n v="122"/>
    <x v="0"/>
    <n v="30"/>
    <n v="30"/>
    <n v="90"/>
    <n v="76"/>
    <n v="122"/>
    <n v="-5"/>
    <n v="-4.0983606557377046E-2"/>
    <n v="46"/>
    <n v="32"/>
    <n v="21"/>
    <x v="0"/>
    <x v="0"/>
    <n v="51"/>
    <n v="122"/>
  </r>
  <r>
    <n v="970"/>
    <n v="52"/>
    <x v="0"/>
    <x v="0"/>
    <x v="0"/>
    <n v="17"/>
    <x v="0"/>
    <x v="0"/>
    <x v="1"/>
    <n v="26"/>
    <n v="123"/>
    <x v="0"/>
    <n v="30"/>
    <n v="50"/>
    <n v="90"/>
    <n v="45"/>
    <n v="123"/>
    <n v="26"/>
    <n v="0.21138211382113822"/>
    <n v="17"/>
    <n v="33"/>
    <n v="22"/>
    <x v="1"/>
    <x v="0"/>
    <n v="52"/>
    <n v="123"/>
  </r>
  <r>
    <n v="409"/>
    <n v="43"/>
    <x v="0"/>
    <x v="0"/>
    <x v="1"/>
    <n v="13"/>
    <x v="0"/>
    <x v="0"/>
    <x v="0"/>
    <n v="28"/>
    <n v="107"/>
    <x v="1"/>
    <n v="30"/>
    <n v="50"/>
    <n v="90"/>
    <n v="36"/>
    <n v="107"/>
    <n v="28"/>
    <n v="0.26168224299065418"/>
    <n v="13"/>
    <n v="17"/>
    <n v="13"/>
    <x v="2"/>
    <x v="0"/>
    <n v="43"/>
    <n v="107"/>
  </r>
  <r>
    <n v="850"/>
    <n v="38"/>
    <x v="0"/>
    <x v="0"/>
    <x v="2"/>
    <n v="10"/>
    <x v="0"/>
    <x v="1"/>
    <x v="2"/>
    <n v="35"/>
    <n v="94"/>
    <x v="2"/>
    <n v="40"/>
    <n v="50"/>
    <n v="100"/>
    <n v="21"/>
    <n v="94"/>
    <n v="35"/>
    <n v="0.37234042553191488"/>
    <n v="10"/>
    <n v="-6"/>
    <n v="-2"/>
    <x v="3"/>
    <x v="0"/>
    <n v="38"/>
    <n v="94"/>
  </r>
  <r>
    <n v="562"/>
    <n v="72"/>
    <x v="0"/>
    <x v="0"/>
    <x v="3"/>
    <n v="23"/>
    <x v="0"/>
    <x v="1"/>
    <x v="3"/>
    <n v="56"/>
    <n v="182"/>
    <x v="3"/>
    <n v="20"/>
    <n v="50"/>
    <n v="80"/>
    <n v="54"/>
    <n v="182"/>
    <n v="56"/>
    <n v="0.30769230769230771"/>
    <n v="23"/>
    <n v="102"/>
    <n v="52"/>
    <x v="4"/>
    <x v="0"/>
    <n v="72"/>
    <n v="182"/>
  </r>
  <r>
    <n v="712"/>
    <n v="0"/>
    <x v="0"/>
    <x v="1"/>
    <x v="0"/>
    <n v="0"/>
    <x v="1"/>
    <x v="2"/>
    <x v="4"/>
    <n v="31"/>
    <n v="43"/>
    <x v="4"/>
    <n v="0"/>
    <n v="60"/>
    <n v="60"/>
    <n v="12"/>
    <n v="43"/>
    <n v="31"/>
    <n v="0.72093023255813948"/>
    <n v="0"/>
    <n v="-17"/>
    <n v="0"/>
    <x v="5"/>
    <x v="0"/>
    <n v="0"/>
    <n v="43"/>
  </r>
  <r>
    <n v="860"/>
    <n v="47"/>
    <x v="0"/>
    <x v="1"/>
    <x v="2"/>
    <n v="15"/>
    <x v="1"/>
    <x v="2"/>
    <x v="4"/>
    <n v="21"/>
    <n v="111"/>
    <x v="5"/>
    <n v="30"/>
    <n v="50"/>
    <n v="90"/>
    <n v="43"/>
    <n v="111"/>
    <n v="21"/>
    <n v="0.1891891891891892"/>
    <n v="15"/>
    <n v="21"/>
    <n v="17"/>
    <x v="6"/>
    <x v="0"/>
    <n v="47"/>
    <n v="111"/>
  </r>
  <r>
    <n v="918"/>
    <n v="27"/>
    <x v="0"/>
    <x v="1"/>
    <x v="1"/>
    <n v="7"/>
    <x v="1"/>
    <x v="3"/>
    <x v="5"/>
    <n v="21"/>
    <n v="66"/>
    <x v="6"/>
    <n v="30"/>
    <n v="60"/>
    <n v="90"/>
    <n v="18"/>
    <n v="66"/>
    <n v="21"/>
    <n v="0.31818181818181818"/>
    <n v="7"/>
    <n v="-24"/>
    <n v="-3"/>
    <x v="7"/>
    <x v="0"/>
    <n v="27"/>
    <n v="66"/>
  </r>
  <r>
    <n v="775"/>
    <n v="31"/>
    <x v="0"/>
    <x v="1"/>
    <x v="3"/>
    <n v="9"/>
    <x v="1"/>
    <x v="3"/>
    <x v="5"/>
    <n v="7"/>
    <n v="68"/>
    <x v="7"/>
    <n v="30"/>
    <n v="50"/>
    <n v="90"/>
    <n v="30"/>
    <n v="68"/>
    <n v="7"/>
    <n v="0.10294117647058823"/>
    <n v="9"/>
    <n v="-22"/>
    <n v="1"/>
    <x v="8"/>
    <x v="0"/>
    <n v="31"/>
    <n v="68"/>
  </r>
  <r>
    <n v="435"/>
    <n v="40"/>
    <x v="0"/>
    <x v="1"/>
    <x v="3"/>
    <n v="11"/>
    <x v="1"/>
    <x v="2"/>
    <x v="4"/>
    <n v="37"/>
    <n v="99"/>
    <x v="8"/>
    <n v="20"/>
    <n v="60"/>
    <n v="80"/>
    <n v="22"/>
    <n v="99"/>
    <n v="37"/>
    <n v="0.37373737373737376"/>
    <n v="11"/>
    <n v="19"/>
    <n v="20"/>
    <x v="9"/>
    <x v="0"/>
    <n v="40"/>
    <n v="99"/>
  </r>
  <r>
    <n v="603"/>
    <n v="49"/>
    <x v="0"/>
    <x v="1"/>
    <x v="2"/>
    <n v="15"/>
    <x v="1"/>
    <x v="3"/>
    <x v="6"/>
    <n v="33"/>
    <n v="120"/>
    <x v="9"/>
    <n v="30"/>
    <n v="60"/>
    <n v="90"/>
    <n v="38"/>
    <n v="120"/>
    <n v="33"/>
    <n v="0.27500000000000002"/>
    <n v="15"/>
    <n v="30"/>
    <n v="19"/>
    <x v="10"/>
    <x v="0"/>
    <n v="49"/>
    <n v="120"/>
  </r>
  <r>
    <n v="603"/>
    <n v="45"/>
    <x v="0"/>
    <x v="1"/>
    <x v="2"/>
    <n v="14"/>
    <x v="1"/>
    <x v="3"/>
    <x v="7"/>
    <n v="24"/>
    <n v="114"/>
    <x v="9"/>
    <n v="30"/>
    <n v="50"/>
    <n v="90"/>
    <n v="45"/>
    <n v="114"/>
    <n v="24"/>
    <n v="0.21052631578947367"/>
    <n v="14"/>
    <n v="24"/>
    <n v="15"/>
    <x v="11"/>
    <x v="0"/>
    <n v="45"/>
    <n v="114"/>
  </r>
  <r>
    <n v="603"/>
    <n v="45"/>
    <x v="0"/>
    <x v="1"/>
    <x v="2"/>
    <n v="41"/>
    <x v="1"/>
    <x v="2"/>
    <x v="8"/>
    <n v="-7"/>
    <n v="109"/>
    <x v="9"/>
    <n v="30"/>
    <n v="30"/>
    <n v="90"/>
    <n v="71"/>
    <n v="109"/>
    <n v="-7"/>
    <n v="-6.4220183486238536E-2"/>
    <n v="41"/>
    <n v="19"/>
    <n v="15"/>
    <x v="12"/>
    <x v="0"/>
    <n v="45"/>
    <n v="109"/>
  </r>
  <r>
    <n v="318"/>
    <n v="60"/>
    <x v="0"/>
    <x v="1"/>
    <x v="1"/>
    <n v="54"/>
    <x v="1"/>
    <x v="2"/>
    <x v="9"/>
    <n v="1"/>
    <n v="144"/>
    <x v="10"/>
    <n v="30"/>
    <n v="10"/>
    <n v="90"/>
    <n v="83"/>
    <n v="144"/>
    <n v="1"/>
    <n v="6.9444444444444441E-3"/>
    <n v="54"/>
    <n v="54"/>
    <n v="30"/>
    <x v="13"/>
    <x v="0"/>
    <n v="60"/>
    <n v="144"/>
  </r>
  <r>
    <n v="775"/>
    <n v="34"/>
    <x v="0"/>
    <x v="1"/>
    <x v="3"/>
    <n v="12"/>
    <x v="1"/>
    <x v="3"/>
    <x v="7"/>
    <n v="-2"/>
    <n v="77"/>
    <x v="7"/>
    <n v="40"/>
    <n v="30"/>
    <n v="100"/>
    <n v="45"/>
    <n v="77"/>
    <n v="-2"/>
    <n v="-2.5974025974025976E-2"/>
    <n v="12"/>
    <n v="-23"/>
    <n v="-6"/>
    <x v="14"/>
    <x v="0"/>
    <n v="34"/>
    <n v="77"/>
  </r>
  <r>
    <n v="503"/>
    <n v="54"/>
    <x v="0"/>
    <x v="1"/>
    <x v="3"/>
    <n v="20"/>
    <x v="1"/>
    <x v="2"/>
    <x v="9"/>
    <n v="12"/>
    <n v="120"/>
    <x v="11"/>
    <n v="40"/>
    <n v="40"/>
    <n v="100"/>
    <n v="54"/>
    <n v="120"/>
    <n v="12"/>
    <n v="0.1"/>
    <n v="20"/>
    <n v="20"/>
    <n v="14"/>
    <x v="15"/>
    <x v="0"/>
    <n v="54"/>
    <n v="120"/>
  </r>
  <r>
    <n v="573"/>
    <n v="45"/>
    <x v="0"/>
    <x v="1"/>
    <x v="0"/>
    <n v="41"/>
    <x v="0"/>
    <x v="0"/>
    <x v="10"/>
    <n v="-6"/>
    <n v="109"/>
    <x v="12"/>
    <n v="20"/>
    <n v="30"/>
    <n v="80"/>
    <n v="70"/>
    <n v="109"/>
    <n v="-6"/>
    <n v="-5.5045871559633031E-2"/>
    <n v="41"/>
    <n v="29"/>
    <n v="25"/>
    <x v="16"/>
    <x v="0"/>
    <n v="45"/>
    <n v="109"/>
  </r>
  <r>
    <n v="262"/>
    <n v="48"/>
    <x v="0"/>
    <x v="1"/>
    <x v="0"/>
    <n v="13"/>
    <x v="0"/>
    <x v="0"/>
    <x v="0"/>
    <n v="45"/>
    <n v="118"/>
    <x v="13"/>
    <n v="30"/>
    <n v="60"/>
    <n v="90"/>
    <n v="25"/>
    <n v="118"/>
    <n v="45"/>
    <n v="0.38135593220338981"/>
    <n v="13"/>
    <n v="28"/>
    <n v="18"/>
    <x v="17"/>
    <x v="0"/>
    <n v="48"/>
    <n v="118"/>
  </r>
  <r>
    <n v="801"/>
    <n v="49"/>
    <x v="0"/>
    <x v="1"/>
    <x v="3"/>
    <n v="15"/>
    <x v="0"/>
    <x v="0"/>
    <x v="10"/>
    <n v="33"/>
    <n v="120"/>
    <x v="8"/>
    <n v="30"/>
    <n v="60"/>
    <n v="90"/>
    <n v="38"/>
    <n v="120"/>
    <n v="33"/>
    <n v="0.27500000000000002"/>
    <n v="15"/>
    <n v="30"/>
    <n v="19"/>
    <x v="10"/>
    <x v="0"/>
    <n v="49"/>
    <n v="120"/>
  </r>
  <r>
    <n v="425"/>
    <n v="48"/>
    <x v="0"/>
    <x v="1"/>
    <x v="3"/>
    <n v="13"/>
    <x v="0"/>
    <x v="0"/>
    <x v="0"/>
    <n v="47"/>
    <n v="119"/>
    <x v="14"/>
    <n v="30"/>
    <n v="60"/>
    <n v="90"/>
    <n v="24"/>
    <n v="119"/>
    <n v="47"/>
    <n v="0.3949579831932773"/>
    <n v="13"/>
    <n v="29"/>
    <n v="18"/>
    <x v="18"/>
    <x v="0"/>
    <n v="48"/>
    <n v="119"/>
  </r>
  <r>
    <n v="860"/>
    <n v="40"/>
    <x v="0"/>
    <x v="1"/>
    <x v="2"/>
    <n v="11"/>
    <x v="0"/>
    <x v="1"/>
    <x v="2"/>
    <n v="36"/>
    <n v="99"/>
    <x v="5"/>
    <n v="40"/>
    <n v="50"/>
    <n v="100"/>
    <n v="23"/>
    <n v="99"/>
    <n v="36"/>
    <n v="0.36363636363636365"/>
    <n v="11"/>
    <n v="-1"/>
    <n v="0"/>
    <x v="19"/>
    <x v="0"/>
    <n v="40"/>
    <n v="99"/>
  </r>
  <r>
    <n v="971"/>
    <n v="82"/>
    <x v="0"/>
    <x v="1"/>
    <x v="3"/>
    <n v="27"/>
    <x v="0"/>
    <x v="1"/>
    <x v="11"/>
    <n v="64"/>
    <n v="205"/>
    <x v="11"/>
    <n v="30"/>
    <n v="50"/>
    <n v="90"/>
    <n v="59"/>
    <n v="205"/>
    <n v="64"/>
    <n v="0.31219512195121951"/>
    <n v="27"/>
    <n v="115"/>
    <n v="52"/>
    <x v="20"/>
    <x v="0"/>
    <n v="82"/>
    <n v="205"/>
  </r>
  <r>
    <n v="971"/>
    <n v="91"/>
    <x v="0"/>
    <x v="1"/>
    <x v="3"/>
    <n v="28"/>
    <x v="0"/>
    <x v="1"/>
    <x v="3"/>
    <n v="76"/>
    <n v="218"/>
    <x v="11"/>
    <n v="40"/>
    <n v="50"/>
    <n v="100"/>
    <n v="51"/>
    <n v="218"/>
    <n v="76"/>
    <n v="0.34862385321100919"/>
    <n v="28"/>
    <n v="118"/>
    <n v="51"/>
    <x v="21"/>
    <x v="0"/>
    <n v="91"/>
    <n v="218"/>
  </r>
  <r>
    <n v="915"/>
    <n v="40"/>
    <x v="1"/>
    <x v="0"/>
    <x v="1"/>
    <n v="13"/>
    <x v="1"/>
    <x v="3"/>
    <x v="5"/>
    <n v="26"/>
    <n v="92"/>
    <x v="1"/>
    <n v="40"/>
    <n v="40"/>
    <n v="100"/>
    <n v="26"/>
    <n v="92"/>
    <n v="26"/>
    <n v="0.28260869565217389"/>
    <n v="13"/>
    <n v="-8"/>
    <n v="0"/>
    <x v="22"/>
    <x v="0"/>
    <n v="40"/>
    <n v="92"/>
  </r>
  <r>
    <n v="210"/>
    <n v="50"/>
    <x v="1"/>
    <x v="0"/>
    <x v="1"/>
    <n v="14"/>
    <x v="1"/>
    <x v="2"/>
    <x v="4"/>
    <n v="48"/>
    <n v="123"/>
    <x v="1"/>
    <n v="30"/>
    <n v="40"/>
    <n v="90"/>
    <n v="25"/>
    <n v="123"/>
    <n v="48"/>
    <n v="0.3902439024390244"/>
    <n v="14"/>
    <n v="33"/>
    <n v="20"/>
    <x v="23"/>
    <x v="0"/>
    <n v="50"/>
    <n v="123"/>
  </r>
  <r>
    <n v="970"/>
    <n v="40"/>
    <x v="1"/>
    <x v="0"/>
    <x v="0"/>
    <n v="13"/>
    <x v="1"/>
    <x v="3"/>
    <x v="7"/>
    <n v="27"/>
    <n v="92"/>
    <x v="0"/>
    <n v="30"/>
    <n v="40"/>
    <n v="90"/>
    <n v="25"/>
    <n v="92"/>
    <n v="27"/>
    <n v="0.29347826086956524"/>
    <n v="13"/>
    <n v="2"/>
    <n v="10"/>
    <x v="24"/>
    <x v="0"/>
    <n v="40"/>
    <n v="92"/>
  </r>
  <r>
    <n v="774"/>
    <n v="52"/>
    <x v="1"/>
    <x v="0"/>
    <x v="2"/>
    <n v="47"/>
    <x v="1"/>
    <x v="2"/>
    <x v="8"/>
    <n v="-8"/>
    <n v="120"/>
    <x v="15"/>
    <n v="50"/>
    <n v="0"/>
    <n v="110"/>
    <n v="76"/>
    <n v="120"/>
    <n v="-8"/>
    <n v="-6.6666666666666666E-2"/>
    <n v="47"/>
    <n v="10"/>
    <n v="2"/>
    <x v="25"/>
    <x v="0"/>
    <n v="52"/>
    <n v="120"/>
  </r>
  <r>
    <n v="954"/>
    <n v="75"/>
    <x v="1"/>
    <x v="0"/>
    <x v="2"/>
    <n v="23"/>
    <x v="0"/>
    <x v="0"/>
    <x v="1"/>
    <n v="44"/>
    <n v="164"/>
    <x v="2"/>
    <n v="50"/>
    <n v="30"/>
    <n v="110"/>
    <n v="45"/>
    <n v="164"/>
    <n v="44"/>
    <n v="0.26829268292682928"/>
    <n v="23"/>
    <n v="54"/>
    <n v="25"/>
    <x v="26"/>
    <x v="0"/>
    <n v="75"/>
    <n v="164"/>
  </r>
  <r>
    <n v="936"/>
    <n v="46"/>
    <x v="1"/>
    <x v="0"/>
    <x v="1"/>
    <n v="14"/>
    <x v="0"/>
    <x v="0"/>
    <x v="0"/>
    <n v="31"/>
    <n v="114"/>
    <x v="1"/>
    <n v="40"/>
    <n v="30"/>
    <n v="100"/>
    <n v="37"/>
    <n v="114"/>
    <n v="31"/>
    <n v="0.27192982456140352"/>
    <n v="14"/>
    <n v="14"/>
    <n v="6"/>
    <x v="27"/>
    <x v="0"/>
    <n v="46"/>
    <n v="114"/>
  </r>
  <r>
    <n v="719"/>
    <n v="55"/>
    <x v="1"/>
    <x v="0"/>
    <x v="0"/>
    <n v="20"/>
    <x v="0"/>
    <x v="1"/>
    <x v="2"/>
    <n v="15"/>
    <n v="124"/>
    <x v="0"/>
    <n v="40"/>
    <n v="20"/>
    <n v="100"/>
    <n v="54"/>
    <n v="124"/>
    <n v="15"/>
    <n v="0.12096774193548387"/>
    <n v="20"/>
    <n v="24"/>
    <n v="15"/>
    <x v="28"/>
    <x v="0"/>
    <n v="55"/>
    <n v="124"/>
  </r>
  <r>
    <n v="847"/>
    <n v="50"/>
    <x v="1"/>
    <x v="0"/>
    <x v="0"/>
    <n v="14"/>
    <x v="0"/>
    <x v="1"/>
    <x v="2"/>
    <n v="48"/>
    <n v="123"/>
    <x v="16"/>
    <n v="40"/>
    <n v="40"/>
    <n v="100"/>
    <n v="25"/>
    <n v="123"/>
    <n v="48"/>
    <n v="0.3902439024390244"/>
    <n v="14"/>
    <n v="23"/>
    <n v="10"/>
    <x v="23"/>
    <x v="0"/>
    <n v="50"/>
    <n v="123"/>
  </r>
  <r>
    <n v="719"/>
    <n v="57"/>
    <x v="1"/>
    <x v="0"/>
    <x v="0"/>
    <n v="17"/>
    <x v="0"/>
    <x v="1"/>
    <x v="11"/>
    <n v="29"/>
    <n v="125"/>
    <x v="0"/>
    <n v="40"/>
    <n v="30"/>
    <n v="100"/>
    <n v="39"/>
    <n v="125"/>
    <n v="29"/>
    <n v="0.23200000000000001"/>
    <n v="17"/>
    <n v="25"/>
    <n v="17"/>
    <x v="29"/>
    <x v="0"/>
    <n v="57"/>
    <n v="125"/>
  </r>
  <r>
    <n v="339"/>
    <n v="36"/>
    <x v="1"/>
    <x v="0"/>
    <x v="2"/>
    <n v="10"/>
    <x v="0"/>
    <x v="1"/>
    <x v="2"/>
    <n v="31"/>
    <n v="88"/>
    <x v="15"/>
    <n v="30"/>
    <n v="40"/>
    <n v="90"/>
    <n v="21"/>
    <n v="88"/>
    <n v="31"/>
    <n v="0.35227272727272729"/>
    <n v="10"/>
    <n v="-2"/>
    <n v="6"/>
    <x v="30"/>
    <x v="0"/>
    <n v="36"/>
    <n v="88"/>
  </r>
  <r>
    <n v="314"/>
    <n v="33"/>
    <x v="1"/>
    <x v="1"/>
    <x v="0"/>
    <n v="9"/>
    <x v="1"/>
    <x v="2"/>
    <x v="4"/>
    <n v="27"/>
    <n v="81"/>
    <x v="12"/>
    <n v="40"/>
    <n v="50"/>
    <n v="100"/>
    <n v="21"/>
    <n v="81"/>
    <n v="27"/>
    <n v="0.33333333333333331"/>
    <n v="9"/>
    <n v="-19"/>
    <n v="-7"/>
    <x v="7"/>
    <x v="0"/>
    <n v="33"/>
    <n v="81"/>
  </r>
  <r>
    <n v="504"/>
    <n v="31"/>
    <x v="1"/>
    <x v="1"/>
    <x v="1"/>
    <n v="8"/>
    <x v="1"/>
    <x v="3"/>
    <x v="5"/>
    <n v="28"/>
    <n v="78"/>
    <x v="10"/>
    <n v="30"/>
    <n v="50"/>
    <n v="90"/>
    <n v="19"/>
    <n v="78"/>
    <n v="28"/>
    <n v="0.35897435897435898"/>
    <n v="8"/>
    <n v="-12"/>
    <n v="1"/>
    <x v="3"/>
    <x v="0"/>
    <n v="31"/>
    <n v="78"/>
  </r>
  <r>
    <n v="580"/>
    <n v="36"/>
    <x v="1"/>
    <x v="1"/>
    <x v="1"/>
    <n v="10"/>
    <x v="1"/>
    <x v="3"/>
    <x v="5"/>
    <n v="30"/>
    <n v="88"/>
    <x v="6"/>
    <n v="40"/>
    <n v="40"/>
    <n v="100"/>
    <n v="22"/>
    <n v="88"/>
    <n v="30"/>
    <n v="0.34090909090909088"/>
    <n v="10"/>
    <n v="-12"/>
    <n v="-4"/>
    <x v="7"/>
    <x v="0"/>
    <n v="36"/>
    <n v="88"/>
  </r>
  <r>
    <n v="225"/>
    <n v="49"/>
    <x v="1"/>
    <x v="1"/>
    <x v="1"/>
    <n v="15"/>
    <x v="1"/>
    <x v="2"/>
    <x v="4"/>
    <n v="34"/>
    <n v="120"/>
    <x v="10"/>
    <n v="30"/>
    <n v="30"/>
    <n v="90"/>
    <n v="37"/>
    <n v="120"/>
    <n v="34"/>
    <n v="0.28333333333333333"/>
    <n v="15"/>
    <n v="30"/>
    <n v="19"/>
    <x v="31"/>
    <x v="0"/>
    <n v="49"/>
    <n v="120"/>
  </r>
  <r>
    <n v="262"/>
    <n v="54"/>
    <x v="1"/>
    <x v="1"/>
    <x v="0"/>
    <n v="20"/>
    <x v="1"/>
    <x v="3"/>
    <x v="6"/>
    <n v="14"/>
    <n v="121"/>
    <x v="13"/>
    <n v="50"/>
    <n v="20"/>
    <n v="110"/>
    <n v="53"/>
    <n v="121"/>
    <n v="14"/>
    <n v="0.11570247933884298"/>
    <n v="20"/>
    <n v="11"/>
    <n v="4"/>
    <x v="32"/>
    <x v="0"/>
    <n v="54"/>
    <n v="121"/>
  </r>
  <r>
    <n v="603"/>
    <n v="46"/>
    <x v="1"/>
    <x v="1"/>
    <x v="2"/>
    <n v="14"/>
    <x v="1"/>
    <x v="3"/>
    <x v="6"/>
    <n v="30"/>
    <n v="113"/>
    <x v="9"/>
    <n v="40"/>
    <n v="40"/>
    <n v="100"/>
    <n v="37"/>
    <n v="113"/>
    <n v="30"/>
    <n v="0.26548672566371684"/>
    <n v="14"/>
    <n v="13"/>
    <n v="6"/>
    <x v="33"/>
    <x v="0"/>
    <n v="46"/>
    <n v="113"/>
  </r>
  <r>
    <n v="603"/>
    <n v="43"/>
    <x v="1"/>
    <x v="1"/>
    <x v="2"/>
    <n v="14"/>
    <x v="1"/>
    <x v="3"/>
    <x v="7"/>
    <n v="20"/>
    <n v="109"/>
    <x v="9"/>
    <n v="30"/>
    <n v="30"/>
    <n v="90"/>
    <n v="46"/>
    <n v="109"/>
    <n v="20"/>
    <n v="0.1834862385321101"/>
    <n v="14"/>
    <n v="19"/>
    <n v="13"/>
    <x v="34"/>
    <x v="0"/>
    <n v="43"/>
    <n v="109"/>
  </r>
  <r>
    <n v="603"/>
    <n v="44"/>
    <x v="1"/>
    <x v="1"/>
    <x v="2"/>
    <n v="40"/>
    <x v="1"/>
    <x v="2"/>
    <x v="8"/>
    <n v="-8"/>
    <n v="106"/>
    <x v="9"/>
    <n v="40"/>
    <n v="10"/>
    <n v="100"/>
    <n v="70"/>
    <n v="106"/>
    <n v="-8"/>
    <n v="-7.5471698113207544E-2"/>
    <n v="40"/>
    <n v="6"/>
    <n v="4"/>
    <x v="35"/>
    <x v="0"/>
    <n v="44"/>
    <n v="106"/>
  </r>
  <r>
    <n v="225"/>
    <n v="53"/>
    <x v="1"/>
    <x v="1"/>
    <x v="1"/>
    <n v="16"/>
    <x v="1"/>
    <x v="2"/>
    <x v="8"/>
    <n v="49"/>
    <n v="141"/>
    <x v="10"/>
    <n v="40"/>
    <n v="30"/>
    <n v="100"/>
    <n v="39"/>
    <n v="141"/>
    <n v="49"/>
    <n v="0.3475177304964539"/>
    <n v="16"/>
    <n v="41"/>
    <n v="13"/>
    <x v="36"/>
    <x v="0"/>
    <n v="53"/>
    <n v="141"/>
  </r>
  <r>
    <n v="425"/>
    <n v="54"/>
    <x v="1"/>
    <x v="1"/>
    <x v="3"/>
    <n v="20"/>
    <x v="1"/>
    <x v="2"/>
    <x v="8"/>
    <n v="13"/>
    <n v="121"/>
    <x v="14"/>
    <n v="50"/>
    <n v="20"/>
    <n v="110"/>
    <n v="54"/>
    <n v="121"/>
    <n v="13"/>
    <n v="0.10743801652892562"/>
    <n v="20"/>
    <n v="11"/>
    <n v="4"/>
    <x v="37"/>
    <x v="0"/>
    <n v="54"/>
    <n v="121"/>
  </r>
  <r>
    <n v="918"/>
    <n v="54"/>
    <x v="1"/>
    <x v="1"/>
    <x v="1"/>
    <n v="20"/>
    <x v="0"/>
    <x v="0"/>
    <x v="10"/>
    <n v="13"/>
    <n v="121"/>
    <x v="6"/>
    <n v="50"/>
    <n v="20"/>
    <n v="110"/>
    <n v="54"/>
    <n v="121"/>
    <n v="13"/>
    <n v="0.10743801652892562"/>
    <n v="20"/>
    <n v="11"/>
    <n v="4"/>
    <x v="37"/>
    <x v="0"/>
    <n v="54"/>
    <n v="121"/>
  </r>
  <r>
    <n v="801"/>
    <n v="46"/>
    <x v="1"/>
    <x v="1"/>
    <x v="3"/>
    <n v="14"/>
    <x v="0"/>
    <x v="0"/>
    <x v="10"/>
    <n v="30"/>
    <n v="113"/>
    <x v="8"/>
    <n v="40"/>
    <n v="30"/>
    <n v="100"/>
    <n v="37"/>
    <n v="113"/>
    <n v="30"/>
    <n v="0.26548672566371684"/>
    <n v="14"/>
    <n v="13"/>
    <n v="6"/>
    <x v="33"/>
    <x v="0"/>
    <n v="46"/>
    <n v="113"/>
  </r>
  <r>
    <n v="435"/>
    <n v="43"/>
    <x v="1"/>
    <x v="1"/>
    <x v="3"/>
    <n v="14"/>
    <x v="0"/>
    <x v="0"/>
    <x v="0"/>
    <n v="20"/>
    <n v="109"/>
    <x v="8"/>
    <n v="40"/>
    <n v="30"/>
    <n v="100"/>
    <n v="46"/>
    <n v="109"/>
    <n v="20"/>
    <n v="0.1834862385321101"/>
    <n v="14"/>
    <n v="9"/>
    <n v="3"/>
    <x v="34"/>
    <x v="0"/>
    <n v="43"/>
    <n v="109"/>
  </r>
  <r>
    <n v="509"/>
    <n v="47"/>
    <x v="1"/>
    <x v="1"/>
    <x v="3"/>
    <n v="13"/>
    <x v="0"/>
    <x v="0"/>
    <x v="0"/>
    <n v="44"/>
    <n v="115"/>
    <x v="14"/>
    <n v="40"/>
    <n v="40"/>
    <n v="100"/>
    <n v="24"/>
    <n v="115"/>
    <n v="44"/>
    <n v="0.38260869565217392"/>
    <n v="13"/>
    <n v="15"/>
    <n v="7"/>
    <x v="38"/>
    <x v="0"/>
    <n v="47"/>
    <n v="115"/>
  </r>
  <r>
    <n v="203"/>
    <n v="36"/>
    <x v="1"/>
    <x v="1"/>
    <x v="2"/>
    <n v="10"/>
    <x v="0"/>
    <x v="1"/>
    <x v="3"/>
    <n v="33"/>
    <n v="90"/>
    <x v="5"/>
    <n v="30"/>
    <n v="40"/>
    <n v="90"/>
    <n v="21"/>
    <n v="90"/>
    <n v="33"/>
    <n v="0.36666666666666664"/>
    <n v="10"/>
    <n v="0"/>
    <n v="6"/>
    <x v="39"/>
    <x v="0"/>
    <n v="36"/>
    <n v="90"/>
  </r>
  <r>
    <n v="206"/>
    <n v="61"/>
    <x v="1"/>
    <x v="1"/>
    <x v="3"/>
    <n v="55"/>
    <x v="0"/>
    <x v="1"/>
    <x v="3"/>
    <n v="1"/>
    <n v="147"/>
    <x v="14"/>
    <n v="40"/>
    <n v="0"/>
    <n v="100"/>
    <n v="85"/>
    <n v="147"/>
    <n v="1"/>
    <n v="6.8027210884353739E-3"/>
    <n v="55"/>
    <n v="47"/>
    <n v="21"/>
    <x v="40"/>
    <x v="0"/>
    <n v="61"/>
    <n v="147"/>
  </r>
  <r>
    <n v="682"/>
    <n v="43"/>
    <x v="2"/>
    <x v="0"/>
    <x v="1"/>
    <n v="14"/>
    <x v="1"/>
    <x v="3"/>
    <x v="5"/>
    <n v="30"/>
    <n v="99"/>
    <x v="1"/>
    <n v="50"/>
    <n v="40"/>
    <n v="110"/>
    <n v="26"/>
    <n v="99"/>
    <n v="30"/>
    <n v="0.30303030303030304"/>
    <n v="14"/>
    <n v="-11"/>
    <n v="-7"/>
    <x v="33"/>
    <x v="0"/>
    <n v="43"/>
    <n v="99"/>
  </r>
  <r>
    <n v="214"/>
    <n v="54"/>
    <x v="2"/>
    <x v="0"/>
    <x v="1"/>
    <n v="15"/>
    <x v="1"/>
    <x v="2"/>
    <x v="4"/>
    <n v="52"/>
    <n v="133"/>
    <x v="1"/>
    <n v="40"/>
    <n v="40"/>
    <n v="100"/>
    <n v="27"/>
    <n v="133"/>
    <n v="52"/>
    <n v="0.39097744360902253"/>
    <n v="15"/>
    <n v="33"/>
    <n v="14"/>
    <x v="41"/>
    <x v="0"/>
    <n v="54"/>
    <n v="133"/>
  </r>
  <r>
    <n v="970"/>
    <n v="47"/>
    <x v="2"/>
    <x v="0"/>
    <x v="0"/>
    <n v="42"/>
    <x v="0"/>
    <x v="0"/>
    <x v="0"/>
    <n v="-6"/>
    <n v="112"/>
    <x v="0"/>
    <n v="40"/>
    <n v="0"/>
    <n v="100"/>
    <n v="71"/>
    <n v="112"/>
    <n v="-6"/>
    <n v="-5.3571428571428568E-2"/>
    <n v="42"/>
    <n v="12"/>
    <n v="7"/>
    <x v="42"/>
    <x v="0"/>
    <n v="47"/>
    <n v="112"/>
  </r>
  <r>
    <n v="303"/>
    <n v="54"/>
    <x v="2"/>
    <x v="0"/>
    <x v="0"/>
    <n v="17"/>
    <x v="0"/>
    <x v="0"/>
    <x v="1"/>
    <n v="29"/>
    <n v="127"/>
    <x v="0"/>
    <n v="50"/>
    <n v="30"/>
    <n v="110"/>
    <n v="44"/>
    <n v="127"/>
    <n v="29"/>
    <n v="0.2283464566929134"/>
    <n v="17"/>
    <n v="17"/>
    <n v="4"/>
    <x v="29"/>
    <x v="0"/>
    <n v="54"/>
    <n v="127"/>
  </r>
  <r>
    <n v="954"/>
    <n v="65"/>
    <x v="2"/>
    <x v="0"/>
    <x v="2"/>
    <n v="24"/>
    <x v="0"/>
    <x v="0"/>
    <x v="0"/>
    <n v="23"/>
    <n v="145"/>
    <x v="2"/>
    <n v="40"/>
    <n v="20"/>
    <n v="100"/>
    <n v="57"/>
    <n v="145"/>
    <n v="23"/>
    <n v="0.15862068965517243"/>
    <n v="24"/>
    <n v="45"/>
    <n v="25"/>
    <x v="43"/>
    <x v="0"/>
    <n v="65"/>
    <n v="145"/>
  </r>
  <r>
    <n v="561"/>
    <n v="80"/>
    <x v="2"/>
    <x v="0"/>
    <x v="2"/>
    <n v="24"/>
    <x v="0"/>
    <x v="0"/>
    <x v="1"/>
    <n v="50"/>
    <n v="176"/>
    <x v="2"/>
    <n v="60"/>
    <n v="30"/>
    <n v="120"/>
    <n v="46"/>
    <n v="176"/>
    <n v="50"/>
    <n v="0.28409090909090912"/>
    <n v="24"/>
    <n v="56"/>
    <n v="20"/>
    <x v="44"/>
    <x v="0"/>
    <n v="80"/>
    <n v="176"/>
  </r>
  <r>
    <n v="469"/>
    <n v="54"/>
    <x v="2"/>
    <x v="0"/>
    <x v="1"/>
    <n v="17"/>
    <x v="0"/>
    <x v="0"/>
    <x v="10"/>
    <n v="28"/>
    <n v="127"/>
    <x v="1"/>
    <n v="50"/>
    <n v="30"/>
    <n v="110"/>
    <n v="45"/>
    <n v="127"/>
    <n v="28"/>
    <n v="0.22047244094488189"/>
    <n v="17"/>
    <n v="17"/>
    <n v="4"/>
    <x v="45"/>
    <x v="0"/>
    <n v="54"/>
    <n v="127"/>
  </r>
  <r>
    <n v="214"/>
    <n v="41"/>
    <x v="2"/>
    <x v="0"/>
    <x v="1"/>
    <n v="13"/>
    <x v="0"/>
    <x v="0"/>
    <x v="0"/>
    <n v="24"/>
    <n v="101"/>
    <x v="1"/>
    <n v="30"/>
    <n v="30"/>
    <n v="90"/>
    <n v="36"/>
    <n v="101"/>
    <n v="24"/>
    <n v="0.23762376237623761"/>
    <n v="13"/>
    <n v="11"/>
    <n v="11"/>
    <x v="46"/>
    <x v="0"/>
    <n v="41"/>
    <n v="101"/>
  </r>
  <r>
    <n v="619"/>
    <n v="54"/>
    <x v="2"/>
    <x v="0"/>
    <x v="3"/>
    <n v="15"/>
    <x v="0"/>
    <x v="1"/>
    <x v="11"/>
    <n v="53"/>
    <n v="133"/>
    <x v="3"/>
    <n v="30"/>
    <n v="50"/>
    <n v="90"/>
    <n v="26"/>
    <n v="133"/>
    <n v="53"/>
    <n v="0.39849624060150374"/>
    <n v="15"/>
    <n v="43"/>
    <n v="24"/>
    <x v="47"/>
    <x v="0"/>
    <n v="54"/>
    <n v="133"/>
  </r>
  <r>
    <n v="314"/>
    <n v="31"/>
    <x v="2"/>
    <x v="1"/>
    <x v="0"/>
    <n v="8"/>
    <x v="1"/>
    <x v="2"/>
    <x v="4"/>
    <n v="27"/>
    <n v="77"/>
    <x v="12"/>
    <n v="30"/>
    <n v="50"/>
    <n v="90"/>
    <n v="19"/>
    <n v="77"/>
    <n v="27"/>
    <n v="0.35064935064935066"/>
    <n v="8"/>
    <n v="-13"/>
    <n v="1"/>
    <x v="48"/>
    <x v="0"/>
    <n v="31"/>
    <n v="77"/>
  </r>
  <r>
    <n v="225"/>
    <n v="34"/>
    <x v="2"/>
    <x v="1"/>
    <x v="1"/>
    <n v="9"/>
    <x v="1"/>
    <x v="3"/>
    <x v="5"/>
    <n v="31"/>
    <n v="85"/>
    <x v="10"/>
    <n v="40"/>
    <n v="50"/>
    <n v="100"/>
    <n v="20"/>
    <n v="85"/>
    <n v="31"/>
    <n v="0.36470588235294116"/>
    <n v="9"/>
    <n v="-15"/>
    <n v="-6"/>
    <x v="49"/>
    <x v="0"/>
    <n v="34"/>
    <n v="85"/>
  </r>
  <r>
    <n v="580"/>
    <n v="33"/>
    <x v="2"/>
    <x v="1"/>
    <x v="1"/>
    <n v="9"/>
    <x v="1"/>
    <x v="3"/>
    <x v="5"/>
    <n v="28"/>
    <n v="82"/>
    <x v="6"/>
    <n v="30"/>
    <n v="50"/>
    <n v="90"/>
    <n v="21"/>
    <n v="82"/>
    <n v="28"/>
    <n v="0.34146341463414637"/>
    <n v="9"/>
    <n v="-8"/>
    <n v="3"/>
    <x v="50"/>
    <x v="0"/>
    <n v="33"/>
    <n v="82"/>
  </r>
  <r>
    <n v="603"/>
    <n v="48"/>
    <x v="2"/>
    <x v="1"/>
    <x v="2"/>
    <n v="15"/>
    <x v="1"/>
    <x v="3"/>
    <x v="7"/>
    <n v="28"/>
    <n v="122"/>
    <x v="9"/>
    <n v="40"/>
    <n v="30"/>
    <n v="100"/>
    <n v="46"/>
    <n v="122"/>
    <n v="28"/>
    <n v="0.22950819672131148"/>
    <n v="15"/>
    <n v="22"/>
    <n v="8"/>
    <x v="51"/>
    <x v="0"/>
    <n v="48"/>
    <n v="122"/>
  </r>
  <r>
    <n v="985"/>
    <n v="55"/>
    <x v="2"/>
    <x v="1"/>
    <x v="1"/>
    <n v="49"/>
    <x v="1"/>
    <x v="2"/>
    <x v="9"/>
    <n v="-3"/>
    <n v="131"/>
    <x v="10"/>
    <n v="40"/>
    <n v="0"/>
    <n v="100"/>
    <n v="79"/>
    <n v="131"/>
    <n v="-3"/>
    <n v="-2.2900763358778626E-2"/>
    <n v="49"/>
    <n v="31"/>
    <n v="15"/>
    <x v="52"/>
    <x v="0"/>
    <n v="55"/>
    <n v="131"/>
  </r>
  <r>
    <n v="505"/>
    <n v="49"/>
    <x v="2"/>
    <x v="1"/>
    <x v="1"/>
    <n v="44"/>
    <x v="1"/>
    <x v="2"/>
    <x v="8"/>
    <n v="-5"/>
    <n v="118"/>
    <x v="17"/>
    <n v="30"/>
    <n v="10"/>
    <n v="90"/>
    <n v="74"/>
    <n v="118"/>
    <n v="-5"/>
    <n v="-4.2372881355932202E-2"/>
    <n v="44"/>
    <n v="28"/>
    <n v="19"/>
    <x v="53"/>
    <x v="0"/>
    <n v="49"/>
    <n v="118"/>
  </r>
  <r>
    <n v="775"/>
    <n v="39"/>
    <x v="2"/>
    <x v="1"/>
    <x v="3"/>
    <n v="14"/>
    <x v="1"/>
    <x v="3"/>
    <x v="7"/>
    <n v="1"/>
    <n v="88"/>
    <x v="7"/>
    <n v="40"/>
    <n v="20"/>
    <n v="100"/>
    <n v="48"/>
    <n v="88"/>
    <n v="1"/>
    <n v="1.1363636363636364E-2"/>
    <n v="14"/>
    <n v="-12"/>
    <n v="-1"/>
    <x v="54"/>
    <x v="0"/>
    <n v="39"/>
    <n v="88"/>
  </r>
  <r>
    <n v="417"/>
    <n v="49"/>
    <x v="2"/>
    <x v="1"/>
    <x v="0"/>
    <n v="44"/>
    <x v="0"/>
    <x v="0"/>
    <x v="10"/>
    <n v="-5"/>
    <n v="118"/>
    <x v="12"/>
    <n v="40"/>
    <n v="0"/>
    <n v="100"/>
    <n v="74"/>
    <n v="118"/>
    <n v="-5"/>
    <n v="-4.2372881355932202E-2"/>
    <n v="44"/>
    <n v="18"/>
    <n v="9"/>
    <x v="53"/>
    <x v="0"/>
    <n v="49"/>
    <n v="118"/>
  </r>
  <r>
    <n v="920"/>
    <n v="41"/>
    <x v="2"/>
    <x v="1"/>
    <x v="0"/>
    <n v="12"/>
    <x v="0"/>
    <x v="0"/>
    <x v="10"/>
    <n v="30"/>
    <n v="107"/>
    <x v="13"/>
    <n v="30"/>
    <n v="30"/>
    <n v="90"/>
    <n v="36"/>
    <n v="107"/>
    <n v="30"/>
    <n v="0.28037383177570091"/>
    <n v="12"/>
    <n v="17"/>
    <n v="11"/>
    <x v="55"/>
    <x v="0"/>
    <n v="41"/>
    <n v="107"/>
  </r>
  <r>
    <n v="573"/>
    <n v="92"/>
    <x v="2"/>
    <x v="1"/>
    <x v="0"/>
    <n v="28"/>
    <x v="0"/>
    <x v="0"/>
    <x v="0"/>
    <n v="16"/>
    <n v="160"/>
    <x v="12"/>
    <n v="80"/>
    <n v="20"/>
    <n v="140"/>
    <n v="52"/>
    <n v="160"/>
    <n v="16"/>
    <n v="0.1"/>
    <n v="28"/>
    <n v="20"/>
    <n v="12"/>
    <x v="56"/>
    <x v="0"/>
    <n v="92"/>
    <n v="160"/>
  </r>
  <r>
    <n v="475"/>
    <n v="68"/>
    <x v="2"/>
    <x v="1"/>
    <x v="2"/>
    <n v="25"/>
    <x v="0"/>
    <x v="0"/>
    <x v="0"/>
    <n v="27"/>
    <n v="153"/>
    <x v="5"/>
    <n v="50"/>
    <n v="20"/>
    <n v="110"/>
    <n v="58"/>
    <n v="153"/>
    <n v="27"/>
    <n v="0.17647058823529413"/>
    <n v="25"/>
    <n v="43"/>
    <n v="18"/>
    <x v="57"/>
    <x v="0"/>
    <n v="68"/>
    <n v="153"/>
  </r>
  <r>
    <n v="475"/>
    <n v="63"/>
    <x v="2"/>
    <x v="1"/>
    <x v="2"/>
    <n v="19"/>
    <x v="0"/>
    <x v="0"/>
    <x v="1"/>
    <n v="36"/>
    <n v="139"/>
    <x v="5"/>
    <n v="40"/>
    <n v="40"/>
    <n v="100"/>
    <n v="40"/>
    <n v="139"/>
    <n v="36"/>
    <n v="0.25899280575539568"/>
    <n v="19"/>
    <n v="39"/>
    <n v="23"/>
    <x v="58"/>
    <x v="0"/>
    <n v="63"/>
    <n v="139"/>
  </r>
  <r>
    <n v="435"/>
    <n v="92"/>
    <x v="2"/>
    <x v="1"/>
    <x v="3"/>
    <n v="28"/>
    <x v="0"/>
    <x v="0"/>
    <x v="1"/>
    <n v="17"/>
    <n v="160"/>
    <x v="8"/>
    <n v="80"/>
    <n v="20"/>
    <n v="140"/>
    <n v="51"/>
    <n v="160"/>
    <n v="17"/>
    <n v="0.10625"/>
    <n v="28"/>
    <n v="20"/>
    <n v="12"/>
    <x v="59"/>
    <x v="0"/>
    <n v="92"/>
    <n v="160"/>
  </r>
  <r>
    <n v="920"/>
    <n v="55"/>
    <x v="2"/>
    <x v="1"/>
    <x v="0"/>
    <n v="49"/>
    <x v="0"/>
    <x v="1"/>
    <x v="11"/>
    <n v="-3"/>
    <n v="131"/>
    <x v="13"/>
    <n v="40"/>
    <n v="0"/>
    <n v="100"/>
    <n v="79"/>
    <n v="131"/>
    <n v="-3"/>
    <n v="-2.2900763358778626E-2"/>
    <n v="49"/>
    <n v="31"/>
    <n v="15"/>
    <x v="52"/>
    <x v="0"/>
    <n v="55"/>
    <n v="131"/>
  </r>
  <r>
    <n v="720"/>
    <n v="51"/>
    <x v="3"/>
    <x v="0"/>
    <x v="0"/>
    <n v="46"/>
    <x v="0"/>
    <x v="0"/>
    <x v="0"/>
    <n v="-7"/>
    <n v="130"/>
    <x v="0"/>
    <n v="30"/>
    <n v="30"/>
    <n v="90"/>
    <n v="76"/>
    <n v="130"/>
    <n v="-7"/>
    <n v="-5.3846153846153849E-2"/>
    <n v="46"/>
    <n v="40"/>
    <n v="21"/>
    <x v="60"/>
    <x v="0"/>
    <n v="51"/>
    <n v="130"/>
  </r>
  <r>
    <n v="970"/>
    <n v="52"/>
    <x v="3"/>
    <x v="0"/>
    <x v="0"/>
    <n v="17"/>
    <x v="0"/>
    <x v="0"/>
    <x v="1"/>
    <n v="39"/>
    <n v="131"/>
    <x v="0"/>
    <n v="30"/>
    <n v="50"/>
    <n v="90"/>
    <n v="45"/>
    <n v="131"/>
    <n v="39"/>
    <n v="0.29770992366412213"/>
    <n v="17"/>
    <n v="41"/>
    <n v="22"/>
    <x v="61"/>
    <x v="0"/>
    <n v="52"/>
    <n v="131"/>
  </r>
  <r>
    <n v="430"/>
    <n v="43"/>
    <x v="3"/>
    <x v="0"/>
    <x v="1"/>
    <n v="13"/>
    <x v="0"/>
    <x v="0"/>
    <x v="0"/>
    <n v="42"/>
    <n v="114"/>
    <x v="1"/>
    <n v="30"/>
    <n v="50"/>
    <n v="90"/>
    <n v="36"/>
    <n v="114"/>
    <n v="42"/>
    <n v="0.36842105263157893"/>
    <n v="13"/>
    <n v="24"/>
    <n v="13"/>
    <x v="62"/>
    <x v="0"/>
    <n v="43"/>
    <n v="114"/>
  </r>
  <r>
    <n v="561"/>
    <n v="38"/>
    <x v="3"/>
    <x v="0"/>
    <x v="2"/>
    <n v="10"/>
    <x v="0"/>
    <x v="1"/>
    <x v="2"/>
    <n v="52"/>
    <n v="100"/>
    <x v="2"/>
    <n v="40"/>
    <n v="50"/>
    <n v="100"/>
    <n v="21"/>
    <n v="100"/>
    <n v="52"/>
    <n v="0.52"/>
    <n v="10"/>
    <n v="0"/>
    <n v="-2"/>
    <x v="63"/>
    <x v="0"/>
    <n v="38"/>
    <n v="100"/>
  </r>
  <r>
    <n v="510"/>
    <n v="72"/>
    <x v="3"/>
    <x v="0"/>
    <x v="3"/>
    <n v="23"/>
    <x v="0"/>
    <x v="1"/>
    <x v="3"/>
    <n v="83"/>
    <n v="194"/>
    <x v="3"/>
    <n v="20"/>
    <n v="50"/>
    <n v="80"/>
    <n v="54"/>
    <n v="194"/>
    <n v="83"/>
    <n v="0.42783505154639173"/>
    <n v="23"/>
    <n v="114"/>
    <n v="52"/>
    <x v="64"/>
    <x v="0"/>
    <n v="72"/>
    <n v="194"/>
  </r>
  <r>
    <n v="563"/>
    <n v="0"/>
    <x v="3"/>
    <x v="1"/>
    <x v="0"/>
    <n v="0"/>
    <x v="1"/>
    <x v="2"/>
    <x v="4"/>
    <n v="46"/>
    <n v="46"/>
    <x v="4"/>
    <n v="0"/>
    <n v="60"/>
    <n v="60"/>
    <n v="12"/>
    <n v="46"/>
    <n v="46"/>
    <n v="1"/>
    <n v="0"/>
    <n v="-14"/>
    <n v="0"/>
    <x v="5"/>
    <x v="0"/>
    <n v="0"/>
    <n v="46"/>
  </r>
  <r>
    <n v="203"/>
    <n v="47"/>
    <x v="3"/>
    <x v="1"/>
    <x v="2"/>
    <n v="15"/>
    <x v="1"/>
    <x v="2"/>
    <x v="4"/>
    <n v="31"/>
    <n v="118"/>
    <x v="5"/>
    <n v="30"/>
    <n v="50"/>
    <n v="90"/>
    <n v="43"/>
    <n v="118"/>
    <n v="31"/>
    <n v="0.26271186440677968"/>
    <n v="15"/>
    <n v="28"/>
    <n v="17"/>
    <x v="65"/>
    <x v="0"/>
    <n v="47"/>
    <n v="118"/>
  </r>
  <r>
    <n v="405"/>
    <n v="27"/>
    <x v="3"/>
    <x v="1"/>
    <x v="1"/>
    <n v="7"/>
    <x v="1"/>
    <x v="3"/>
    <x v="5"/>
    <n v="31"/>
    <n v="70"/>
    <x v="6"/>
    <n v="30"/>
    <n v="60"/>
    <n v="90"/>
    <n v="18"/>
    <n v="70"/>
    <n v="31"/>
    <n v="0.44285714285714284"/>
    <n v="7"/>
    <n v="-20"/>
    <n v="-3"/>
    <x v="66"/>
    <x v="0"/>
    <n v="27"/>
    <n v="70"/>
  </r>
  <r>
    <n v="775"/>
    <n v="31"/>
    <x v="3"/>
    <x v="1"/>
    <x v="3"/>
    <n v="9"/>
    <x v="1"/>
    <x v="3"/>
    <x v="5"/>
    <n v="10"/>
    <n v="72"/>
    <x v="7"/>
    <n v="30"/>
    <n v="50"/>
    <n v="90"/>
    <n v="30"/>
    <n v="72"/>
    <n v="10"/>
    <n v="0.1388888888888889"/>
    <n v="9"/>
    <n v="-18"/>
    <n v="1"/>
    <x v="67"/>
    <x v="0"/>
    <n v="31"/>
    <n v="72"/>
  </r>
  <r>
    <n v="435"/>
    <n v="40"/>
    <x v="3"/>
    <x v="1"/>
    <x v="3"/>
    <n v="11"/>
    <x v="1"/>
    <x v="2"/>
    <x v="4"/>
    <n v="55"/>
    <n v="106"/>
    <x v="8"/>
    <n v="20"/>
    <n v="60"/>
    <n v="80"/>
    <n v="22"/>
    <n v="106"/>
    <n v="55"/>
    <n v="0.51886792452830188"/>
    <n v="11"/>
    <n v="26"/>
    <n v="20"/>
    <x v="68"/>
    <x v="0"/>
    <n v="40"/>
    <n v="106"/>
  </r>
  <r>
    <n v="603"/>
    <n v="49"/>
    <x v="3"/>
    <x v="1"/>
    <x v="2"/>
    <n v="15"/>
    <x v="1"/>
    <x v="3"/>
    <x v="6"/>
    <n v="49"/>
    <n v="128"/>
    <x v="9"/>
    <n v="30"/>
    <n v="60"/>
    <n v="90"/>
    <n v="38"/>
    <n v="128"/>
    <n v="49"/>
    <n v="0.3828125"/>
    <n v="15"/>
    <n v="38"/>
    <n v="19"/>
    <x v="69"/>
    <x v="0"/>
    <n v="49"/>
    <n v="128"/>
  </r>
  <r>
    <n v="603"/>
    <n v="45"/>
    <x v="3"/>
    <x v="1"/>
    <x v="2"/>
    <n v="14"/>
    <x v="1"/>
    <x v="3"/>
    <x v="7"/>
    <n v="36"/>
    <n v="121"/>
    <x v="9"/>
    <n v="30"/>
    <n v="50"/>
    <n v="90"/>
    <n v="45"/>
    <n v="121"/>
    <n v="36"/>
    <n v="0.2975206611570248"/>
    <n v="14"/>
    <n v="31"/>
    <n v="15"/>
    <x v="70"/>
    <x v="0"/>
    <n v="45"/>
    <n v="121"/>
  </r>
  <r>
    <n v="603"/>
    <n v="45"/>
    <x v="3"/>
    <x v="1"/>
    <x v="2"/>
    <n v="41"/>
    <x v="1"/>
    <x v="2"/>
    <x v="8"/>
    <n v="-10"/>
    <n v="116"/>
    <x v="9"/>
    <n v="30"/>
    <n v="30"/>
    <n v="90"/>
    <n v="71"/>
    <n v="116"/>
    <n v="-10"/>
    <n v="-8.6206896551724144E-2"/>
    <n v="41"/>
    <n v="26"/>
    <n v="15"/>
    <x v="71"/>
    <x v="0"/>
    <n v="45"/>
    <n v="116"/>
  </r>
  <r>
    <n v="504"/>
    <n v="60"/>
    <x v="3"/>
    <x v="1"/>
    <x v="1"/>
    <n v="54"/>
    <x v="1"/>
    <x v="2"/>
    <x v="9"/>
    <n v="1"/>
    <n v="153"/>
    <x v="10"/>
    <n v="30"/>
    <n v="10"/>
    <n v="90"/>
    <n v="83"/>
    <n v="153"/>
    <n v="1"/>
    <n v="6.5359477124183009E-3"/>
    <n v="54"/>
    <n v="63"/>
    <n v="30"/>
    <x v="13"/>
    <x v="0"/>
    <n v="60"/>
    <n v="153"/>
  </r>
  <r>
    <n v="702"/>
    <n v="34"/>
    <x v="3"/>
    <x v="1"/>
    <x v="3"/>
    <n v="12"/>
    <x v="1"/>
    <x v="3"/>
    <x v="7"/>
    <n v="-3"/>
    <n v="82"/>
    <x v="7"/>
    <n v="40"/>
    <n v="30"/>
    <n v="100"/>
    <n v="45"/>
    <n v="82"/>
    <n v="-3"/>
    <n v="-3.6585365853658534E-2"/>
    <n v="12"/>
    <n v="-18"/>
    <n v="-6"/>
    <x v="72"/>
    <x v="0"/>
    <n v="34"/>
    <n v="82"/>
  </r>
  <r>
    <n v="971"/>
    <n v="54"/>
    <x v="3"/>
    <x v="1"/>
    <x v="3"/>
    <n v="20"/>
    <x v="1"/>
    <x v="2"/>
    <x v="9"/>
    <n v="18"/>
    <n v="128"/>
    <x v="11"/>
    <n v="40"/>
    <n v="40"/>
    <n v="100"/>
    <n v="54"/>
    <n v="128"/>
    <n v="18"/>
    <n v="0.140625"/>
    <n v="20"/>
    <n v="28"/>
    <n v="14"/>
    <x v="73"/>
    <x v="0"/>
    <n v="54"/>
    <n v="128"/>
  </r>
  <r>
    <n v="573"/>
    <n v="45"/>
    <x v="3"/>
    <x v="1"/>
    <x v="0"/>
    <n v="41"/>
    <x v="0"/>
    <x v="0"/>
    <x v="10"/>
    <n v="-9"/>
    <n v="116"/>
    <x v="12"/>
    <n v="20"/>
    <n v="30"/>
    <n v="80"/>
    <n v="70"/>
    <n v="116"/>
    <n v="-9"/>
    <n v="-7.7586206896551727E-2"/>
    <n v="41"/>
    <n v="36"/>
    <n v="25"/>
    <x v="74"/>
    <x v="0"/>
    <n v="45"/>
    <n v="116"/>
  </r>
  <r>
    <n v="262"/>
    <n v="48"/>
    <x v="3"/>
    <x v="1"/>
    <x v="0"/>
    <n v="13"/>
    <x v="0"/>
    <x v="0"/>
    <x v="0"/>
    <n v="67"/>
    <n v="126"/>
    <x v="13"/>
    <n v="30"/>
    <n v="60"/>
    <n v="90"/>
    <n v="25"/>
    <n v="126"/>
    <n v="67"/>
    <n v="0.53174603174603174"/>
    <n v="13"/>
    <n v="36"/>
    <n v="18"/>
    <x v="75"/>
    <x v="0"/>
    <n v="48"/>
    <n v="126"/>
  </r>
  <r>
    <n v="801"/>
    <n v="49"/>
    <x v="3"/>
    <x v="1"/>
    <x v="3"/>
    <n v="15"/>
    <x v="0"/>
    <x v="0"/>
    <x v="10"/>
    <n v="49"/>
    <n v="128"/>
    <x v="8"/>
    <n v="30"/>
    <n v="60"/>
    <n v="90"/>
    <n v="38"/>
    <n v="128"/>
    <n v="49"/>
    <n v="0.3828125"/>
    <n v="15"/>
    <n v="38"/>
    <n v="19"/>
    <x v="69"/>
    <x v="0"/>
    <n v="49"/>
    <n v="128"/>
  </r>
  <r>
    <n v="509"/>
    <n v="48"/>
    <x v="3"/>
    <x v="1"/>
    <x v="3"/>
    <n v="13"/>
    <x v="0"/>
    <x v="0"/>
    <x v="0"/>
    <n v="70"/>
    <n v="127"/>
    <x v="14"/>
    <n v="30"/>
    <n v="60"/>
    <n v="90"/>
    <n v="24"/>
    <n v="127"/>
    <n v="70"/>
    <n v="0.55118110236220474"/>
    <n v="13"/>
    <n v="37"/>
    <n v="18"/>
    <x v="76"/>
    <x v="0"/>
    <n v="48"/>
    <n v="127"/>
  </r>
  <r>
    <n v="475"/>
    <n v="40"/>
    <x v="3"/>
    <x v="1"/>
    <x v="2"/>
    <n v="11"/>
    <x v="0"/>
    <x v="1"/>
    <x v="2"/>
    <n v="53"/>
    <n v="106"/>
    <x v="5"/>
    <n v="40"/>
    <n v="50"/>
    <n v="100"/>
    <n v="23"/>
    <n v="106"/>
    <n v="53"/>
    <n v="0.5"/>
    <n v="11"/>
    <n v="6"/>
    <n v="0"/>
    <x v="77"/>
    <x v="0"/>
    <n v="40"/>
    <n v="106"/>
  </r>
  <r>
    <n v="503"/>
    <n v="82"/>
    <x v="3"/>
    <x v="1"/>
    <x v="3"/>
    <n v="27"/>
    <x v="0"/>
    <x v="1"/>
    <x v="11"/>
    <n v="95"/>
    <n v="218"/>
    <x v="11"/>
    <n v="30"/>
    <n v="50"/>
    <n v="90"/>
    <n v="59"/>
    <n v="218"/>
    <n v="95"/>
    <n v="0.43577981651376146"/>
    <n v="27"/>
    <n v="128"/>
    <n v="52"/>
    <x v="78"/>
    <x v="0"/>
    <n v="82"/>
    <n v="218"/>
  </r>
  <r>
    <n v="541"/>
    <n v="91"/>
    <x v="3"/>
    <x v="1"/>
    <x v="3"/>
    <n v="28"/>
    <x v="0"/>
    <x v="1"/>
    <x v="3"/>
    <n v="113"/>
    <n v="232"/>
    <x v="11"/>
    <n v="40"/>
    <n v="50"/>
    <n v="100"/>
    <n v="51"/>
    <n v="232"/>
    <n v="113"/>
    <n v="0.48706896551724138"/>
    <n v="28"/>
    <n v="132"/>
    <n v="51"/>
    <x v="79"/>
    <x v="1"/>
    <n v="91"/>
    <n v="232"/>
  </r>
  <r>
    <n v="936"/>
    <n v="40"/>
    <x v="4"/>
    <x v="0"/>
    <x v="1"/>
    <n v="13"/>
    <x v="1"/>
    <x v="3"/>
    <x v="5"/>
    <n v="39"/>
    <n v="98"/>
    <x v="1"/>
    <n v="40"/>
    <n v="40"/>
    <n v="100"/>
    <n v="26"/>
    <n v="98"/>
    <n v="39"/>
    <n v="0.39795918367346939"/>
    <n v="13"/>
    <n v="-2"/>
    <n v="0"/>
    <x v="7"/>
    <x v="0"/>
    <n v="40"/>
    <n v="98"/>
  </r>
  <r>
    <n v="254"/>
    <n v="50"/>
    <x v="4"/>
    <x v="0"/>
    <x v="1"/>
    <n v="14"/>
    <x v="1"/>
    <x v="2"/>
    <x v="4"/>
    <n v="71"/>
    <n v="131"/>
    <x v="1"/>
    <n v="30"/>
    <n v="40"/>
    <n v="90"/>
    <n v="25"/>
    <n v="131"/>
    <n v="71"/>
    <n v="0.5419847328244275"/>
    <n v="14"/>
    <n v="41"/>
    <n v="20"/>
    <x v="80"/>
    <x v="0"/>
    <n v="50"/>
    <n v="131"/>
  </r>
  <r>
    <n v="719"/>
    <n v="40"/>
    <x v="4"/>
    <x v="0"/>
    <x v="0"/>
    <n v="13"/>
    <x v="1"/>
    <x v="3"/>
    <x v="7"/>
    <n v="40"/>
    <n v="98"/>
    <x v="0"/>
    <n v="30"/>
    <n v="40"/>
    <n v="90"/>
    <n v="25"/>
    <n v="98"/>
    <n v="40"/>
    <n v="0.40816326530612246"/>
    <n v="13"/>
    <n v="8"/>
    <n v="10"/>
    <x v="81"/>
    <x v="0"/>
    <n v="40"/>
    <n v="98"/>
  </r>
  <r>
    <n v="339"/>
    <n v="52"/>
    <x v="4"/>
    <x v="0"/>
    <x v="2"/>
    <n v="47"/>
    <x v="1"/>
    <x v="2"/>
    <x v="8"/>
    <n v="-12"/>
    <n v="128"/>
    <x v="15"/>
    <n v="50"/>
    <n v="0"/>
    <n v="110"/>
    <n v="76"/>
    <n v="128"/>
    <n v="-12"/>
    <n v="-9.375E-2"/>
    <n v="47"/>
    <n v="18"/>
    <n v="2"/>
    <x v="82"/>
    <x v="0"/>
    <n v="52"/>
    <n v="128"/>
  </r>
  <r>
    <n v="561"/>
    <n v="75"/>
    <x v="4"/>
    <x v="0"/>
    <x v="2"/>
    <n v="23"/>
    <x v="0"/>
    <x v="0"/>
    <x v="1"/>
    <n v="65"/>
    <n v="175"/>
    <x v="2"/>
    <n v="50"/>
    <n v="30"/>
    <n v="110"/>
    <n v="45"/>
    <n v="175"/>
    <n v="65"/>
    <n v="0.37142857142857144"/>
    <n v="23"/>
    <n v="65"/>
    <n v="25"/>
    <x v="83"/>
    <x v="0"/>
    <n v="75"/>
    <n v="175"/>
  </r>
  <r>
    <n v="806"/>
    <n v="46"/>
    <x v="4"/>
    <x v="0"/>
    <x v="1"/>
    <n v="14"/>
    <x v="0"/>
    <x v="0"/>
    <x v="0"/>
    <n v="46"/>
    <n v="121"/>
    <x v="1"/>
    <n v="40"/>
    <n v="30"/>
    <n v="100"/>
    <n v="37"/>
    <n v="121"/>
    <n v="46"/>
    <n v="0.38016528925619836"/>
    <n v="14"/>
    <n v="21"/>
    <n v="6"/>
    <x v="84"/>
    <x v="0"/>
    <n v="46"/>
    <n v="121"/>
  </r>
  <r>
    <n v="719"/>
    <n v="55"/>
    <x v="4"/>
    <x v="0"/>
    <x v="0"/>
    <n v="20"/>
    <x v="0"/>
    <x v="1"/>
    <x v="2"/>
    <n v="22"/>
    <n v="132"/>
    <x v="0"/>
    <n v="40"/>
    <n v="20"/>
    <n v="100"/>
    <n v="54"/>
    <n v="132"/>
    <n v="22"/>
    <n v="0.16666666666666666"/>
    <n v="20"/>
    <n v="32"/>
    <n v="15"/>
    <x v="85"/>
    <x v="0"/>
    <n v="55"/>
    <n v="132"/>
  </r>
  <r>
    <n v="708"/>
    <n v="50"/>
    <x v="4"/>
    <x v="0"/>
    <x v="0"/>
    <n v="14"/>
    <x v="0"/>
    <x v="1"/>
    <x v="2"/>
    <n v="71"/>
    <n v="131"/>
    <x v="16"/>
    <n v="40"/>
    <n v="40"/>
    <n v="100"/>
    <n v="25"/>
    <n v="131"/>
    <n v="71"/>
    <n v="0.5419847328244275"/>
    <n v="14"/>
    <n v="31"/>
    <n v="10"/>
    <x v="80"/>
    <x v="0"/>
    <n v="50"/>
    <n v="131"/>
  </r>
  <r>
    <n v="719"/>
    <n v="57"/>
    <x v="4"/>
    <x v="0"/>
    <x v="0"/>
    <n v="17"/>
    <x v="0"/>
    <x v="1"/>
    <x v="11"/>
    <n v="43"/>
    <n v="133"/>
    <x v="0"/>
    <n v="40"/>
    <n v="30"/>
    <n v="100"/>
    <n v="39"/>
    <n v="133"/>
    <n v="43"/>
    <n v="0.32330827067669171"/>
    <n v="17"/>
    <n v="33"/>
    <n v="17"/>
    <x v="86"/>
    <x v="0"/>
    <n v="57"/>
    <n v="133"/>
  </r>
  <r>
    <n v="351"/>
    <n v="36"/>
    <x v="4"/>
    <x v="0"/>
    <x v="2"/>
    <n v="10"/>
    <x v="0"/>
    <x v="1"/>
    <x v="2"/>
    <n v="46"/>
    <n v="94"/>
    <x v="15"/>
    <n v="30"/>
    <n v="40"/>
    <n v="90"/>
    <n v="21"/>
    <n v="94"/>
    <n v="46"/>
    <n v="0.48936170212765956"/>
    <n v="10"/>
    <n v="4"/>
    <n v="6"/>
    <x v="87"/>
    <x v="0"/>
    <n v="36"/>
    <n v="94"/>
  </r>
  <r>
    <n v="636"/>
    <n v="33"/>
    <x v="4"/>
    <x v="1"/>
    <x v="0"/>
    <n v="9"/>
    <x v="1"/>
    <x v="2"/>
    <x v="4"/>
    <n v="40"/>
    <n v="86"/>
    <x v="12"/>
    <n v="40"/>
    <n v="50"/>
    <n v="100"/>
    <n v="21"/>
    <n v="86"/>
    <n v="40"/>
    <n v="0.46511627906976744"/>
    <n v="9"/>
    <n v="-14"/>
    <n v="-7"/>
    <x v="88"/>
    <x v="0"/>
    <n v="33"/>
    <n v="86"/>
  </r>
  <r>
    <n v="504"/>
    <n v="31"/>
    <x v="4"/>
    <x v="1"/>
    <x v="1"/>
    <n v="8"/>
    <x v="1"/>
    <x v="3"/>
    <x v="5"/>
    <n v="42"/>
    <n v="83"/>
    <x v="10"/>
    <n v="30"/>
    <n v="50"/>
    <n v="90"/>
    <n v="19"/>
    <n v="83"/>
    <n v="42"/>
    <n v="0.50602409638554213"/>
    <n v="8"/>
    <n v="-7"/>
    <n v="1"/>
    <x v="89"/>
    <x v="0"/>
    <n v="31"/>
    <n v="83"/>
  </r>
  <r>
    <n v="580"/>
    <n v="36"/>
    <x v="4"/>
    <x v="1"/>
    <x v="1"/>
    <n v="10"/>
    <x v="1"/>
    <x v="3"/>
    <x v="5"/>
    <n v="45"/>
    <n v="94"/>
    <x v="6"/>
    <n v="40"/>
    <n v="40"/>
    <n v="100"/>
    <n v="22"/>
    <n v="94"/>
    <n v="45"/>
    <n v="0.47872340425531917"/>
    <n v="10"/>
    <n v="-6"/>
    <n v="-4"/>
    <x v="90"/>
    <x v="0"/>
    <n v="36"/>
    <n v="94"/>
  </r>
  <r>
    <n v="337"/>
    <n v="49"/>
    <x v="4"/>
    <x v="1"/>
    <x v="1"/>
    <n v="15"/>
    <x v="1"/>
    <x v="2"/>
    <x v="4"/>
    <n v="50"/>
    <n v="128"/>
    <x v="10"/>
    <n v="30"/>
    <n v="30"/>
    <n v="90"/>
    <n v="37"/>
    <n v="128"/>
    <n v="50"/>
    <n v="0.390625"/>
    <n v="15"/>
    <n v="38"/>
    <n v="19"/>
    <x v="91"/>
    <x v="0"/>
    <n v="49"/>
    <n v="128"/>
  </r>
  <r>
    <n v="262"/>
    <n v="54"/>
    <x v="4"/>
    <x v="1"/>
    <x v="0"/>
    <n v="20"/>
    <x v="1"/>
    <x v="3"/>
    <x v="6"/>
    <n v="21"/>
    <n v="129"/>
    <x v="13"/>
    <n v="50"/>
    <n v="20"/>
    <n v="110"/>
    <n v="53"/>
    <n v="129"/>
    <n v="21"/>
    <n v="0.16279069767441862"/>
    <n v="20"/>
    <n v="19"/>
    <n v="4"/>
    <x v="92"/>
    <x v="0"/>
    <n v="54"/>
    <n v="129"/>
  </r>
  <r>
    <n v="603"/>
    <n v="46"/>
    <x v="4"/>
    <x v="1"/>
    <x v="2"/>
    <n v="14"/>
    <x v="1"/>
    <x v="3"/>
    <x v="6"/>
    <n v="45"/>
    <n v="120"/>
    <x v="9"/>
    <n v="40"/>
    <n v="40"/>
    <n v="100"/>
    <n v="37"/>
    <n v="120"/>
    <n v="45"/>
    <n v="0.375"/>
    <n v="14"/>
    <n v="20"/>
    <n v="6"/>
    <x v="93"/>
    <x v="0"/>
    <n v="46"/>
    <n v="120"/>
  </r>
  <r>
    <n v="603"/>
    <n v="43"/>
    <x v="4"/>
    <x v="1"/>
    <x v="2"/>
    <n v="14"/>
    <x v="1"/>
    <x v="3"/>
    <x v="7"/>
    <n v="30"/>
    <n v="116"/>
    <x v="9"/>
    <n v="30"/>
    <n v="30"/>
    <n v="90"/>
    <n v="46"/>
    <n v="116"/>
    <n v="30"/>
    <n v="0.25862068965517243"/>
    <n v="14"/>
    <n v="26"/>
    <n v="13"/>
    <x v="33"/>
    <x v="0"/>
    <n v="43"/>
    <n v="116"/>
  </r>
  <r>
    <n v="603"/>
    <n v="44"/>
    <x v="4"/>
    <x v="1"/>
    <x v="2"/>
    <n v="40"/>
    <x v="1"/>
    <x v="2"/>
    <x v="8"/>
    <n v="-12"/>
    <n v="113"/>
    <x v="9"/>
    <n v="40"/>
    <n v="10"/>
    <n v="100"/>
    <n v="70"/>
    <n v="113"/>
    <n v="-12"/>
    <n v="-0.10619469026548672"/>
    <n v="40"/>
    <n v="13"/>
    <n v="4"/>
    <x v="94"/>
    <x v="0"/>
    <n v="44"/>
    <n v="113"/>
  </r>
  <r>
    <n v="318"/>
    <n v="53"/>
    <x v="4"/>
    <x v="1"/>
    <x v="1"/>
    <n v="16"/>
    <x v="1"/>
    <x v="2"/>
    <x v="8"/>
    <n v="73"/>
    <n v="150"/>
    <x v="10"/>
    <n v="40"/>
    <n v="30"/>
    <n v="100"/>
    <n v="39"/>
    <n v="150"/>
    <n v="73"/>
    <n v="0.48666666666666669"/>
    <n v="16"/>
    <n v="50"/>
    <n v="13"/>
    <x v="95"/>
    <x v="0"/>
    <n v="53"/>
    <n v="150"/>
  </r>
  <r>
    <n v="206"/>
    <n v="54"/>
    <x v="4"/>
    <x v="1"/>
    <x v="3"/>
    <n v="20"/>
    <x v="1"/>
    <x v="2"/>
    <x v="8"/>
    <n v="19"/>
    <n v="129"/>
    <x v="14"/>
    <n v="50"/>
    <n v="20"/>
    <n v="110"/>
    <n v="54"/>
    <n v="129"/>
    <n v="19"/>
    <n v="0.14728682170542637"/>
    <n v="20"/>
    <n v="19"/>
    <n v="4"/>
    <x v="96"/>
    <x v="0"/>
    <n v="54"/>
    <n v="129"/>
  </r>
  <r>
    <n v="580"/>
    <n v="54"/>
    <x v="4"/>
    <x v="1"/>
    <x v="1"/>
    <n v="20"/>
    <x v="0"/>
    <x v="0"/>
    <x v="10"/>
    <n v="19"/>
    <n v="129"/>
    <x v="6"/>
    <n v="50"/>
    <n v="20"/>
    <n v="110"/>
    <n v="54"/>
    <n v="129"/>
    <n v="19"/>
    <n v="0.14728682170542637"/>
    <n v="20"/>
    <n v="19"/>
    <n v="4"/>
    <x v="96"/>
    <x v="0"/>
    <n v="54"/>
    <n v="129"/>
  </r>
  <r>
    <n v="435"/>
    <n v="46"/>
    <x v="4"/>
    <x v="1"/>
    <x v="3"/>
    <n v="14"/>
    <x v="0"/>
    <x v="0"/>
    <x v="10"/>
    <n v="45"/>
    <n v="120"/>
    <x v="8"/>
    <n v="40"/>
    <n v="30"/>
    <n v="100"/>
    <n v="37"/>
    <n v="120"/>
    <n v="45"/>
    <n v="0.375"/>
    <n v="14"/>
    <n v="20"/>
    <n v="6"/>
    <x v="93"/>
    <x v="0"/>
    <n v="46"/>
    <n v="120"/>
  </r>
  <r>
    <n v="435"/>
    <n v="43"/>
    <x v="4"/>
    <x v="1"/>
    <x v="3"/>
    <n v="14"/>
    <x v="0"/>
    <x v="0"/>
    <x v="0"/>
    <n v="30"/>
    <n v="116"/>
    <x v="8"/>
    <n v="40"/>
    <n v="30"/>
    <n v="100"/>
    <n v="46"/>
    <n v="116"/>
    <n v="30"/>
    <n v="0.25862068965517243"/>
    <n v="14"/>
    <n v="16"/>
    <n v="3"/>
    <x v="33"/>
    <x v="0"/>
    <n v="43"/>
    <n v="116"/>
  </r>
  <r>
    <n v="253"/>
    <n v="47"/>
    <x v="4"/>
    <x v="1"/>
    <x v="3"/>
    <n v="13"/>
    <x v="0"/>
    <x v="0"/>
    <x v="0"/>
    <n v="65"/>
    <n v="123"/>
    <x v="14"/>
    <n v="40"/>
    <n v="40"/>
    <n v="100"/>
    <n v="24"/>
    <n v="123"/>
    <n v="65"/>
    <n v="0.52845528455284552"/>
    <n v="13"/>
    <n v="23"/>
    <n v="7"/>
    <x v="68"/>
    <x v="0"/>
    <n v="47"/>
    <n v="123"/>
  </r>
  <r>
    <n v="203"/>
    <n v="36"/>
    <x v="4"/>
    <x v="1"/>
    <x v="2"/>
    <n v="10"/>
    <x v="0"/>
    <x v="1"/>
    <x v="3"/>
    <n v="49"/>
    <n v="96"/>
    <x v="5"/>
    <n v="30"/>
    <n v="40"/>
    <n v="90"/>
    <n v="21"/>
    <n v="96"/>
    <n v="49"/>
    <n v="0.51041666666666663"/>
    <n v="10"/>
    <n v="6"/>
    <n v="6"/>
    <x v="97"/>
    <x v="0"/>
    <n v="36"/>
    <n v="96"/>
  </r>
  <r>
    <n v="509"/>
    <n v="61"/>
    <x v="4"/>
    <x v="1"/>
    <x v="3"/>
    <n v="55"/>
    <x v="0"/>
    <x v="1"/>
    <x v="3"/>
    <n v="1"/>
    <n v="157"/>
    <x v="14"/>
    <n v="40"/>
    <n v="0"/>
    <n v="100"/>
    <n v="85"/>
    <n v="157"/>
    <n v="1"/>
    <n v="6.369426751592357E-3"/>
    <n v="55"/>
    <n v="57"/>
    <n v="21"/>
    <x v="40"/>
    <x v="0"/>
    <n v="61"/>
    <n v="157"/>
  </r>
  <r>
    <n v="956"/>
    <n v="43"/>
    <x v="5"/>
    <x v="0"/>
    <x v="1"/>
    <n v="14"/>
    <x v="1"/>
    <x v="3"/>
    <x v="5"/>
    <n v="45"/>
    <n v="106"/>
    <x v="1"/>
    <n v="50"/>
    <n v="40"/>
    <n v="110"/>
    <n v="26"/>
    <n v="106"/>
    <n v="45"/>
    <n v="0.42452830188679247"/>
    <n v="14"/>
    <n v="-4"/>
    <n v="-7"/>
    <x v="93"/>
    <x v="0"/>
    <n v="43"/>
    <n v="106"/>
  </r>
  <r>
    <n v="430"/>
    <n v="54"/>
    <x v="5"/>
    <x v="0"/>
    <x v="1"/>
    <n v="15"/>
    <x v="1"/>
    <x v="2"/>
    <x v="4"/>
    <n v="77"/>
    <n v="142"/>
    <x v="1"/>
    <n v="40"/>
    <n v="40"/>
    <n v="100"/>
    <n v="27"/>
    <n v="142"/>
    <n v="77"/>
    <n v="0.54225352112676062"/>
    <n v="15"/>
    <n v="42"/>
    <n v="14"/>
    <x v="98"/>
    <x v="0"/>
    <n v="54"/>
    <n v="142"/>
  </r>
  <r>
    <n v="719"/>
    <n v="47"/>
    <x v="5"/>
    <x v="0"/>
    <x v="0"/>
    <n v="42"/>
    <x v="0"/>
    <x v="0"/>
    <x v="0"/>
    <n v="-9"/>
    <n v="119"/>
    <x v="0"/>
    <n v="40"/>
    <n v="0"/>
    <n v="100"/>
    <n v="71"/>
    <n v="119"/>
    <n v="-9"/>
    <n v="-7.5630252100840331E-2"/>
    <n v="42"/>
    <n v="19"/>
    <n v="7"/>
    <x v="99"/>
    <x v="0"/>
    <n v="47"/>
    <n v="119"/>
  </r>
  <r>
    <n v="970"/>
    <n v="54"/>
    <x v="5"/>
    <x v="0"/>
    <x v="0"/>
    <n v="17"/>
    <x v="0"/>
    <x v="0"/>
    <x v="1"/>
    <n v="43"/>
    <n v="135"/>
    <x v="0"/>
    <n v="50"/>
    <n v="30"/>
    <n v="110"/>
    <n v="44"/>
    <n v="135"/>
    <n v="43"/>
    <n v="0.31851851851851853"/>
    <n v="17"/>
    <n v="25"/>
    <n v="4"/>
    <x v="86"/>
    <x v="0"/>
    <n v="54"/>
    <n v="135"/>
  </r>
  <r>
    <n v="305"/>
    <n v="65"/>
    <x v="5"/>
    <x v="0"/>
    <x v="2"/>
    <n v="24"/>
    <x v="0"/>
    <x v="0"/>
    <x v="0"/>
    <n v="34"/>
    <n v="155"/>
    <x v="2"/>
    <n v="40"/>
    <n v="20"/>
    <n v="100"/>
    <n v="57"/>
    <n v="155"/>
    <n v="34"/>
    <n v="0.21935483870967742"/>
    <n v="24"/>
    <n v="55"/>
    <n v="25"/>
    <x v="100"/>
    <x v="0"/>
    <n v="65"/>
    <n v="155"/>
  </r>
  <r>
    <n v="407"/>
    <n v="80"/>
    <x v="5"/>
    <x v="0"/>
    <x v="2"/>
    <n v="24"/>
    <x v="0"/>
    <x v="0"/>
    <x v="1"/>
    <n v="74"/>
    <n v="188"/>
    <x v="2"/>
    <n v="60"/>
    <n v="30"/>
    <n v="120"/>
    <n v="46"/>
    <n v="188"/>
    <n v="74"/>
    <n v="0.39361702127659576"/>
    <n v="24"/>
    <n v="68"/>
    <n v="20"/>
    <x v="101"/>
    <x v="0"/>
    <n v="80"/>
    <n v="188"/>
  </r>
  <r>
    <n v="325"/>
    <n v="54"/>
    <x v="5"/>
    <x v="0"/>
    <x v="1"/>
    <n v="17"/>
    <x v="0"/>
    <x v="0"/>
    <x v="10"/>
    <n v="42"/>
    <n v="135"/>
    <x v="1"/>
    <n v="50"/>
    <n v="30"/>
    <n v="110"/>
    <n v="45"/>
    <n v="135"/>
    <n v="42"/>
    <n v="0.31111111111111112"/>
    <n v="17"/>
    <n v="25"/>
    <n v="4"/>
    <x v="102"/>
    <x v="0"/>
    <n v="54"/>
    <n v="135"/>
  </r>
  <r>
    <n v="430"/>
    <n v="41"/>
    <x v="5"/>
    <x v="0"/>
    <x v="1"/>
    <n v="13"/>
    <x v="0"/>
    <x v="0"/>
    <x v="0"/>
    <n v="36"/>
    <n v="108"/>
    <x v="1"/>
    <n v="30"/>
    <n v="30"/>
    <n v="90"/>
    <n v="36"/>
    <n v="108"/>
    <n v="36"/>
    <n v="0.33333333333333331"/>
    <n v="13"/>
    <n v="18"/>
    <n v="11"/>
    <x v="103"/>
    <x v="0"/>
    <n v="41"/>
    <n v="108"/>
  </r>
  <r>
    <n v="408"/>
    <n v="54"/>
    <x v="5"/>
    <x v="0"/>
    <x v="3"/>
    <n v="15"/>
    <x v="0"/>
    <x v="1"/>
    <x v="11"/>
    <n v="79"/>
    <n v="142"/>
    <x v="3"/>
    <n v="30"/>
    <n v="50"/>
    <n v="90"/>
    <n v="26"/>
    <n v="142"/>
    <n v="79"/>
    <n v="0.55633802816901412"/>
    <n v="15"/>
    <n v="52"/>
    <n v="24"/>
    <x v="104"/>
    <x v="0"/>
    <n v="54"/>
    <n v="142"/>
  </r>
  <r>
    <n v="816"/>
    <n v="31"/>
    <x v="5"/>
    <x v="1"/>
    <x v="0"/>
    <n v="8"/>
    <x v="1"/>
    <x v="2"/>
    <x v="4"/>
    <n v="40"/>
    <n v="82"/>
    <x v="12"/>
    <n v="30"/>
    <n v="50"/>
    <n v="90"/>
    <n v="19"/>
    <n v="82"/>
    <n v="40"/>
    <n v="0.48780487804878048"/>
    <n v="8"/>
    <n v="-8"/>
    <n v="1"/>
    <x v="68"/>
    <x v="0"/>
    <n v="31"/>
    <n v="82"/>
  </r>
  <r>
    <n v="337"/>
    <n v="34"/>
    <x v="5"/>
    <x v="1"/>
    <x v="1"/>
    <n v="9"/>
    <x v="1"/>
    <x v="3"/>
    <x v="5"/>
    <n v="46"/>
    <n v="91"/>
    <x v="10"/>
    <n v="40"/>
    <n v="50"/>
    <n v="100"/>
    <n v="20"/>
    <n v="91"/>
    <n v="46"/>
    <n v="0.50549450549450547"/>
    <n v="9"/>
    <n v="-9"/>
    <n v="-6"/>
    <x v="105"/>
    <x v="0"/>
    <n v="34"/>
    <n v="91"/>
  </r>
  <r>
    <n v="918"/>
    <n v="33"/>
    <x v="5"/>
    <x v="1"/>
    <x v="1"/>
    <n v="9"/>
    <x v="1"/>
    <x v="3"/>
    <x v="5"/>
    <n v="42"/>
    <n v="87"/>
    <x v="6"/>
    <n v="30"/>
    <n v="50"/>
    <n v="90"/>
    <n v="21"/>
    <n v="87"/>
    <n v="42"/>
    <n v="0.48275862068965519"/>
    <n v="9"/>
    <n v="-3"/>
    <n v="3"/>
    <x v="106"/>
    <x v="0"/>
    <n v="33"/>
    <n v="87"/>
  </r>
  <r>
    <n v="603"/>
    <n v="48"/>
    <x v="5"/>
    <x v="1"/>
    <x v="2"/>
    <n v="15"/>
    <x v="1"/>
    <x v="3"/>
    <x v="7"/>
    <n v="42"/>
    <n v="130"/>
    <x v="9"/>
    <n v="40"/>
    <n v="30"/>
    <n v="100"/>
    <n v="46"/>
    <n v="130"/>
    <n v="42"/>
    <n v="0.32307692307692309"/>
    <n v="15"/>
    <n v="30"/>
    <n v="8"/>
    <x v="107"/>
    <x v="0"/>
    <n v="48"/>
    <n v="130"/>
  </r>
  <r>
    <n v="225"/>
    <n v="55"/>
    <x v="5"/>
    <x v="1"/>
    <x v="1"/>
    <n v="49"/>
    <x v="1"/>
    <x v="2"/>
    <x v="9"/>
    <n v="-4"/>
    <n v="140"/>
    <x v="10"/>
    <n v="40"/>
    <n v="0"/>
    <n v="100"/>
    <n v="79"/>
    <n v="140"/>
    <n v="-4"/>
    <n v="-2.8571428571428571E-2"/>
    <n v="49"/>
    <n v="40"/>
    <n v="15"/>
    <x v="108"/>
    <x v="0"/>
    <n v="55"/>
    <n v="140"/>
  </r>
  <r>
    <n v="505"/>
    <n v="49"/>
    <x v="5"/>
    <x v="1"/>
    <x v="1"/>
    <n v="44"/>
    <x v="1"/>
    <x v="2"/>
    <x v="8"/>
    <n v="-7"/>
    <n v="126"/>
    <x v="17"/>
    <n v="30"/>
    <n v="10"/>
    <n v="90"/>
    <n v="74"/>
    <n v="126"/>
    <n v="-7"/>
    <n v="-5.5555555555555552E-2"/>
    <n v="44"/>
    <n v="36"/>
    <n v="19"/>
    <x v="109"/>
    <x v="0"/>
    <n v="49"/>
    <n v="126"/>
  </r>
  <r>
    <n v="702"/>
    <n v="39"/>
    <x v="5"/>
    <x v="1"/>
    <x v="3"/>
    <n v="14"/>
    <x v="1"/>
    <x v="3"/>
    <x v="7"/>
    <n v="1"/>
    <n v="94"/>
    <x v="7"/>
    <n v="40"/>
    <n v="20"/>
    <n v="100"/>
    <n v="48"/>
    <n v="94"/>
    <n v="1"/>
    <n v="1.0638297872340425E-2"/>
    <n v="14"/>
    <n v="-6"/>
    <n v="-1"/>
    <x v="54"/>
    <x v="0"/>
    <n v="39"/>
    <n v="94"/>
  </r>
  <r>
    <n v="314"/>
    <n v="49"/>
    <x v="5"/>
    <x v="1"/>
    <x v="0"/>
    <n v="44"/>
    <x v="0"/>
    <x v="0"/>
    <x v="10"/>
    <n v="-7"/>
    <n v="126"/>
    <x v="12"/>
    <n v="40"/>
    <n v="0"/>
    <n v="100"/>
    <n v="74"/>
    <n v="126"/>
    <n v="-7"/>
    <n v="-5.5555555555555552E-2"/>
    <n v="44"/>
    <n v="26"/>
    <n v="9"/>
    <x v="109"/>
    <x v="0"/>
    <n v="49"/>
    <n v="126"/>
  </r>
  <r>
    <n v="920"/>
    <n v="41"/>
    <x v="5"/>
    <x v="1"/>
    <x v="0"/>
    <n v="12"/>
    <x v="0"/>
    <x v="0"/>
    <x v="10"/>
    <n v="45"/>
    <n v="114"/>
    <x v="13"/>
    <n v="30"/>
    <n v="30"/>
    <n v="90"/>
    <n v="36"/>
    <n v="114"/>
    <n v="45"/>
    <n v="0.39473684210526316"/>
    <n v="12"/>
    <n v="24"/>
    <n v="11"/>
    <x v="110"/>
    <x v="0"/>
    <n v="41"/>
    <n v="114"/>
  </r>
  <r>
    <n v="417"/>
    <n v="92"/>
    <x v="5"/>
    <x v="1"/>
    <x v="0"/>
    <n v="28"/>
    <x v="0"/>
    <x v="0"/>
    <x v="0"/>
    <n v="24"/>
    <n v="171"/>
    <x v="12"/>
    <n v="80"/>
    <n v="20"/>
    <n v="140"/>
    <n v="52"/>
    <n v="171"/>
    <n v="24"/>
    <n v="0.14035087719298245"/>
    <n v="28"/>
    <n v="31"/>
    <n v="12"/>
    <x v="111"/>
    <x v="0"/>
    <n v="92"/>
    <n v="171"/>
  </r>
  <r>
    <n v="860"/>
    <n v="68"/>
    <x v="5"/>
    <x v="1"/>
    <x v="2"/>
    <n v="25"/>
    <x v="0"/>
    <x v="0"/>
    <x v="0"/>
    <n v="40"/>
    <n v="163"/>
    <x v="5"/>
    <n v="50"/>
    <n v="20"/>
    <n v="110"/>
    <n v="58"/>
    <n v="163"/>
    <n v="40"/>
    <n v="0.24539877300613497"/>
    <n v="25"/>
    <n v="53"/>
    <n v="18"/>
    <x v="112"/>
    <x v="0"/>
    <n v="68"/>
    <n v="163"/>
  </r>
  <r>
    <n v="203"/>
    <n v="63"/>
    <x v="5"/>
    <x v="1"/>
    <x v="2"/>
    <n v="19"/>
    <x v="0"/>
    <x v="0"/>
    <x v="1"/>
    <n v="53"/>
    <n v="148"/>
    <x v="5"/>
    <n v="40"/>
    <n v="40"/>
    <n v="100"/>
    <n v="40"/>
    <n v="148"/>
    <n v="53"/>
    <n v="0.35810810810810811"/>
    <n v="19"/>
    <n v="48"/>
    <n v="23"/>
    <x v="113"/>
    <x v="0"/>
    <n v="63"/>
    <n v="148"/>
  </r>
  <r>
    <n v="435"/>
    <n v="92"/>
    <x v="5"/>
    <x v="1"/>
    <x v="3"/>
    <n v="28"/>
    <x v="0"/>
    <x v="0"/>
    <x v="1"/>
    <n v="25"/>
    <n v="171"/>
    <x v="8"/>
    <n v="80"/>
    <n v="20"/>
    <n v="140"/>
    <n v="51"/>
    <n v="171"/>
    <n v="25"/>
    <n v="0.14619883040935672"/>
    <n v="28"/>
    <n v="31"/>
    <n v="12"/>
    <x v="114"/>
    <x v="0"/>
    <n v="92"/>
    <n v="171"/>
  </r>
  <r>
    <n v="262"/>
    <n v="55"/>
    <x v="5"/>
    <x v="1"/>
    <x v="0"/>
    <n v="49"/>
    <x v="0"/>
    <x v="1"/>
    <x v="11"/>
    <n v="-4"/>
    <n v="140"/>
    <x v="13"/>
    <n v="40"/>
    <n v="0"/>
    <n v="100"/>
    <n v="79"/>
    <n v="140"/>
    <n v="-4"/>
    <n v="-2.8571428571428571E-2"/>
    <n v="49"/>
    <n v="40"/>
    <n v="15"/>
    <x v="108"/>
    <x v="0"/>
    <n v="55"/>
    <n v="140"/>
  </r>
  <r>
    <n v="719"/>
    <n v="39"/>
    <x v="0"/>
    <x v="0"/>
    <x v="0"/>
    <n v="12"/>
    <x v="1"/>
    <x v="3"/>
    <x v="7"/>
    <n v="27"/>
    <n v="90"/>
    <x v="0"/>
    <n v="30"/>
    <n v="50"/>
    <n v="80"/>
    <n v="24"/>
    <n v="90"/>
    <n v="27"/>
    <n v="0.3"/>
    <n v="12"/>
    <n v="10"/>
    <n v="9"/>
    <x v="115"/>
    <x v="0"/>
    <n v="39"/>
    <n v="90"/>
  </r>
  <r>
    <n v="305"/>
    <n v="80"/>
    <x v="0"/>
    <x v="0"/>
    <x v="2"/>
    <n v="24"/>
    <x v="0"/>
    <x v="0"/>
    <x v="1"/>
    <n v="48"/>
    <n v="174"/>
    <x v="2"/>
    <n v="40"/>
    <n v="40"/>
    <n v="90"/>
    <n v="46"/>
    <n v="174"/>
    <n v="48"/>
    <n v="0.27586206896551724"/>
    <n v="24"/>
    <n v="84"/>
    <n v="40"/>
    <x v="22"/>
    <x v="0"/>
    <n v="80"/>
    <n v="174"/>
  </r>
  <r>
    <n v="303"/>
    <n v="54"/>
    <x v="0"/>
    <x v="0"/>
    <x v="0"/>
    <n v="20"/>
    <x v="0"/>
    <x v="1"/>
    <x v="2"/>
    <n v="13"/>
    <n v="120"/>
    <x v="0"/>
    <n v="30"/>
    <n v="30"/>
    <n v="80"/>
    <n v="53"/>
    <n v="120"/>
    <n v="13"/>
    <n v="0.10833333333333334"/>
    <n v="20"/>
    <n v="40"/>
    <n v="24"/>
    <x v="37"/>
    <x v="0"/>
    <n v="54"/>
    <n v="120"/>
  </r>
  <r>
    <n v="303"/>
    <n v="54"/>
    <x v="0"/>
    <x v="0"/>
    <x v="0"/>
    <n v="16"/>
    <x v="0"/>
    <x v="1"/>
    <x v="11"/>
    <n v="27"/>
    <n v="118"/>
    <x v="0"/>
    <n v="30"/>
    <n v="40"/>
    <n v="80"/>
    <n v="37"/>
    <n v="118"/>
    <n v="27"/>
    <n v="0.2288135593220339"/>
    <n v="16"/>
    <n v="38"/>
    <n v="24"/>
    <x v="116"/>
    <x v="0"/>
    <n v="54"/>
    <n v="118"/>
  </r>
  <r>
    <n v="508"/>
    <n v="27"/>
    <x v="0"/>
    <x v="0"/>
    <x v="2"/>
    <n v="7"/>
    <x v="0"/>
    <x v="1"/>
    <x v="2"/>
    <n v="20"/>
    <n v="66"/>
    <x v="15"/>
    <n v="20"/>
    <n v="50"/>
    <n v="70"/>
    <n v="19"/>
    <n v="66"/>
    <n v="20"/>
    <n v="0.30303030303030304"/>
    <n v="7"/>
    <n v="-4"/>
    <n v="7"/>
    <x v="117"/>
    <x v="0"/>
    <n v="27"/>
    <n v="66"/>
  </r>
  <r>
    <n v="209"/>
    <n v="76"/>
    <x v="0"/>
    <x v="0"/>
    <x v="3"/>
    <n v="21"/>
    <x v="0"/>
    <x v="1"/>
    <x v="11"/>
    <n v="79"/>
    <n v="187"/>
    <x v="3"/>
    <n v="30"/>
    <n v="50"/>
    <n v="80"/>
    <n v="32"/>
    <n v="187"/>
    <n v="79"/>
    <n v="0.42245989304812837"/>
    <n v="21"/>
    <n v="107"/>
    <n v="46"/>
    <x v="118"/>
    <x v="0"/>
    <n v="76"/>
    <n v="187"/>
  </r>
  <r>
    <n v="715"/>
    <n v="22"/>
    <x v="0"/>
    <x v="1"/>
    <x v="0"/>
    <n v="7"/>
    <x v="1"/>
    <x v="2"/>
    <x v="4"/>
    <n v="10"/>
    <n v="51"/>
    <x v="13"/>
    <n v="20"/>
    <n v="50"/>
    <n v="70"/>
    <n v="19"/>
    <n v="51"/>
    <n v="10"/>
    <n v="0.19607843137254902"/>
    <n v="7"/>
    <n v="-19"/>
    <n v="2"/>
    <x v="34"/>
    <x v="0"/>
    <n v="22"/>
    <n v="51"/>
  </r>
  <r>
    <n v="319"/>
    <n v="23"/>
    <x v="0"/>
    <x v="1"/>
    <x v="0"/>
    <n v="6"/>
    <x v="1"/>
    <x v="2"/>
    <x v="8"/>
    <n v="18"/>
    <n v="58"/>
    <x v="4"/>
    <n v="20"/>
    <n v="50"/>
    <n v="70"/>
    <n v="17"/>
    <n v="58"/>
    <n v="18"/>
    <n v="0.31034482758620691"/>
    <n v="6"/>
    <n v="-12"/>
    <n v="3"/>
    <x v="7"/>
    <x v="0"/>
    <n v="23"/>
    <n v="58"/>
  </r>
  <r>
    <n v="959"/>
    <n v="79"/>
    <x v="0"/>
    <x v="1"/>
    <x v="2"/>
    <n v="30"/>
    <x v="0"/>
    <x v="0"/>
    <x v="0"/>
    <n v="34"/>
    <n v="177"/>
    <x v="5"/>
    <n v="40"/>
    <n v="30"/>
    <n v="90"/>
    <n v="64"/>
    <n v="177"/>
    <n v="34"/>
    <n v="0.19209039548022599"/>
    <n v="30"/>
    <n v="87"/>
    <n v="39"/>
    <x v="119"/>
    <x v="0"/>
    <n v="79"/>
    <n v="177"/>
  </r>
  <r>
    <n v="860"/>
    <n v="65"/>
    <x v="0"/>
    <x v="1"/>
    <x v="2"/>
    <n v="20"/>
    <x v="0"/>
    <x v="0"/>
    <x v="1"/>
    <n v="35"/>
    <n v="142"/>
    <x v="5"/>
    <n v="30"/>
    <n v="50"/>
    <n v="80"/>
    <n v="42"/>
    <n v="142"/>
    <n v="35"/>
    <n v="0.24647887323943662"/>
    <n v="20"/>
    <n v="62"/>
    <n v="35"/>
    <x v="120"/>
    <x v="0"/>
    <n v="65"/>
    <n v="142"/>
  </r>
  <r>
    <n v="262"/>
    <n v="46"/>
    <x v="0"/>
    <x v="1"/>
    <x v="0"/>
    <n v="14"/>
    <x v="0"/>
    <x v="1"/>
    <x v="2"/>
    <n v="30"/>
    <n v="113"/>
    <x v="13"/>
    <n v="20"/>
    <n v="40"/>
    <n v="70"/>
    <n v="37"/>
    <n v="113"/>
    <n v="30"/>
    <n v="0.26548672566371684"/>
    <n v="14"/>
    <n v="43"/>
    <n v="26"/>
    <x v="33"/>
    <x v="0"/>
    <n v="46"/>
    <n v="113"/>
  </r>
  <r>
    <n v="715"/>
    <n v="60"/>
    <x v="0"/>
    <x v="1"/>
    <x v="0"/>
    <n v="54"/>
    <x v="0"/>
    <x v="1"/>
    <x v="11"/>
    <n v="0"/>
    <n v="144"/>
    <x v="13"/>
    <n v="40"/>
    <n v="0"/>
    <n v="90"/>
    <n v="84"/>
    <n v="144"/>
    <n v="0"/>
    <n v="0"/>
    <n v="54"/>
    <n v="54"/>
    <n v="20"/>
    <x v="121"/>
    <x v="0"/>
    <n v="60"/>
    <n v="144"/>
  </r>
  <r>
    <n v="206"/>
    <n v="60"/>
    <x v="0"/>
    <x v="1"/>
    <x v="3"/>
    <n v="18"/>
    <x v="0"/>
    <x v="1"/>
    <x v="2"/>
    <n v="57"/>
    <n v="159"/>
    <x v="14"/>
    <n v="20"/>
    <n v="40"/>
    <n v="70"/>
    <n v="42"/>
    <n v="159"/>
    <n v="57"/>
    <n v="0.35849056603773582"/>
    <n v="18"/>
    <n v="89"/>
    <n v="40"/>
    <x v="122"/>
    <x v="0"/>
    <n v="60"/>
    <n v="159"/>
  </r>
  <r>
    <n v="773"/>
    <n v="40"/>
    <x v="1"/>
    <x v="0"/>
    <x v="0"/>
    <n v="13"/>
    <x v="0"/>
    <x v="0"/>
    <x v="0"/>
    <n v="27"/>
    <n v="92"/>
    <x v="16"/>
    <n v="30"/>
    <n v="30"/>
    <n v="80"/>
    <n v="25"/>
    <n v="92"/>
    <n v="27"/>
    <n v="0.29347826086956524"/>
    <n v="13"/>
    <n v="12"/>
    <n v="10"/>
    <x v="24"/>
    <x v="0"/>
    <n v="40"/>
    <n v="92"/>
  </r>
  <r>
    <n v="614"/>
    <n v="36"/>
    <x v="1"/>
    <x v="0"/>
    <x v="0"/>
    <n v="10"/>
    <x v="0"/>
    <x v="0"/>
    <x v="0"/>
    <n v="30"/>
    <n v="88"/>
    <x v="18"/>
    <n v="30"/>
    <n v="40"/>
    <n v="80"/>
    <n v="22"/>
    <n v="88"/>
    <n v="30"/>
    <n v="0.34090909090909088"/>
    <n v="10"/>
    <n v="8"/>
    <n v="6"/>
    <x v="7"/>
    <x v="0"/>
    <n v="36"/>
    <n v="88"/>
  </r>
  <r>
    <n v="617"/>
    <n v="55"/>
    <x v="1"/>
    <x v="0"/>
    <x v="2"/>
    <n v="20"/>
    <x v="0"/>
    <x v="0"/>
    <x v="0"/>
    <n v="15"/>
    <n v="124"/>
    <x v="15"/>
    <n v="40"/>
    <n v="20"/>
    <n v="90"/>
    <n v="54"/>
    <n v="124"/>
    <n v="15"/>
    <n v="0.12096774193548387"/>
    <n v="20"/>
    <n v="34"/>
    <n v="15"/>
    <x v="28"/>
    <x v="0"/>
    <n v="55"/>
    <n v="124"/>
  </r>
  <r>
    <n v="707"/>
    <n v="40"/>
    <x v="1"/>
    <x v="0"/>
    <x v="3"/>
    <n v="13"/>
    <x v="0"/>
    <x v="0"/>
    <x v="1"/>
    <n v="27"/>
    <n v="92"/>
    <x v="3"/>
    <n v="30"/>
    <n v="30"/>
    <n v="80"/>
    <n v="25"/>
    <n v="92"/>
    <n v="27"/>
    <n v="0.29347826086956524"/>
    <n v="13"/>
    <n v="12"/>
    <n v="10"/>
    <x v="24"/>
    <x v="0"/>
    <n v="40"/>
    <n v="92"/>
  </r>
  <r>
    <n v="352"/>
    <n v="28"/>
    <x v="1"/>
    <x v="0"/>
    <x v="2"/>
    <n v="7"/>
    <x v="0"/>
    <x v="1"/>
    <x v="2"/>
    <n v="23"/>
    <n v="70"/>
    <x v="2"/>
    <n v="20"/>
    <n v="40"/>
    <n v="70"/>
    <n v="19"/>
    <n v="70"/>
    <n v="23"/>
    <n v="0.32857142857142857"/>
    <n v="7"/>
    <n v="0"/>
    <n v="8"/>
    <x v="84"/>
    <x v="0"/>
    <n v="28"/>
    <n v="70"/>
  </r>
  <r>
    <n v="561"/>
    <n v="31"/>
    <x v="1"/>
    <x v="0"/>
    <x v="2"/>
    <n v="8"/>
    <x v="0"/>
    <x v="1"/>
    <x v="3"/>
    <n v="28"/>
    <n v="78"/>
    <x v="2"/>
    <n v="30"/>
    <n v="40"/>
    <n v="80"/>
    <n v="19"/>
    <n v="78"/>
    <n v="28"/>
    <n v="0.35897435897435898"/>
    <n v="8"/>
    <n v="-2"/>
    <n v="1"/>
    <x v="3"/>
    <x v="0"/>
    <n v="31"/>
    <n v="78"/>
  </r>
  <r>
    <n v="351"/>
    <n v="32"/>
    <x v="1"/>
    <x v="0"/>
    <x v="2"/>
    <n v="8"/>
    <x v="0"/>
    <x v="1"/>
    <x v="3"/>
    <n v="29"/>
    <n v="80"/>
    <x v="15"/>
    <n v="30"/>
    <n v="40"/>
    <n v="80"/>
    <n v="19"/>
    <n v="80"/>
    <n v="29"/>
    <n v="0.36249999999999999"/>
    <n v="8"/>
    <n v="0"/>
    <n v="2"/>
    <x v="123"/>
    <x v="0"/>
    <n v="32"/>
    <n v="80"/>
  </r>
  <r>
    <n v="650"/>
    <n v="50"/>
    <x v="1"/>
    <x v="0"/>
    <x v="3"/>
    <n v="14"/>
    <x v="0"/>
    <x v="1"/>
    <x v="11"/>
    <n v="47"/>
    <n v="123"/>
    <x v="3"/>
    <n v="30"/>
    <n v="40"/>
    <n v="80"/>
    <n v="26"/>
    <n v="123"/>
    <n v="47"/>
    <n v="0.38211382113821141"/>
    <n v="14"/>
    <n v="43"/>
    <n v="20"/>
    <x v="124"/>
    <x v="0"/>
    <n v="50"/>
    <n v="123"/>
  </r>
  <r>
    <n v="712"/>
    <n v="0"/>
    <x v="1"/>
    <x v="1"/>
    <x v="0"/>
    <n v="0"/>
    <x v="1"/>
    <x v="2"/>
    <x v="4"/>
    <n v="31"/>
    <n v="43"/>
    <x v="4"/>
    <n v="0"/>
    <n v="40"/>
    <n v="50"/>
    <n v="12"/>
    <n v="43"/>
    <n v="31"/>
    <n v="0.72093023255813948"/>
    <n v="0"/>
    <n v="-7"/>
    <n v="0"/>
    <x v="5"/>
    <x v="0"/>
    <n v="0"/>
    <n v="43"/>
  </r>
  <r>
    <n v="505"/>
    <n v="82"/>
    <x v="1"/>
    <x v="1"/>
    <x v="1"/>
    <n v="25"/>
    <x v="1"/>
    <x v="3"/>
    <x v="5"/>
    <n v="-8"/>
    <n v="122"/>
    <x v="17"/>
    <n v="90"/>
    <n v="10"/>
    <n v="140"/>
    <n v="48"/>
    <n v="122"/>
    <n v="-8"/>
    <n v="-6.5573770491803282E-2"/>
    <n v="25"/>
    <n v="-18"/>
    <n v="-8"/>
    <x v="125"/>
    <x v="0"/>
    <n v="82"/>
    <n v="122"/>
  </r>
  <r>
    <n v="515"/>
    <n v="22"/>
    <x v="1"/>
    <x v="1"/>
    <x v="0"/>
    <n v="6"/>
    <x v="1"/>
    <x v="2"/>
    <x v="8"/>
    <n v="16"/>
    <n v="56"/>
    <x v="4"/>
    <n v="20"/>
    <n v="40"/>
    <n v="70"/>
    <n v="18"/>
    <n v="56"/>
    <n v="16"/>
    <n v="0.2857142857142857"/>
    <n v="6"/>
    <n v="-14"/>
    <n v="2"/>
    <x v="126"/>
    <x v="0"/>
    <n v="22"/>
    <n v="56"/>
  </r>
  <r>
    <n v="505"/>
    <n v="44"/>
    <x v="1"/>
    <x v="1"/>
    <x v="1"/>
    <n v="40"/>
    <x v="1"/>
    <x v="2"/>
    <x v="8"/>
    <n v="-7"/>
    <n v="106"/>
    <x v="17"/>
    <n v="30"/>
    <n v="0"/>
    <n v="80"/>
    <n v="69"/>
    <n v="106"/>
    <n v="-7"/>
    <n v="-6.6037735849056603E-2"/>
    <n v="40"/>
    <n v="26"/>
    <n v="14"/>
    <x v="127"/>
    <x v="0"/>
    <n v="44"/>
    <n v="106"/>
  </r>
  <r>
    <n v="775"/>
    <n v="33"/>
    <x v="1"/>
    <x v="1"/>
    <x v="3"/>
    <n v="12"/>
    <x v="1"/>
    <x v="3"/>
    <x v="7"/>
    <n v="-4"/>
    <n v="74"/>
    <x v="7"/>
    <n v="30"/>
    <n v="10"/>
    <n v="80"/>
    <n v="45"/>
    <n v="74"/>
    <n v="-4"/>
    <n v="-5.4054054054054057E-2"/>
    <n v="12"/>
    <n v="-6"/>
    <n v="3"/>
    <x v="128"/>
    <x v="0"/>
    <n v="33"/>
    <n v="74"/>
  </r>
  <r>
    <n v="573"/>
    <n v="44"/>
    <x v="1"/>
    <x v="1"/>
    <x v="0"/>
    <n v="40"/>
    <x v="0"/>
    <x v="0"/>
    <x v="10"/>
    <n v="-8"/>
    <n v="106"/>
    <x v="12"/>
    <n v="40"/>
    <n v="0"/>
    <n v="90"/>
    <n v="70"/>
    <n v="106"/>
    <n v="-8"/>
    <n v="-7.5471698113207544E-2"/>
    <n v="40"/>
    <n v="16"/>
    <n v="4"/>
    <x v="35"/>
    <x v="0"/>
    <n v="44"/>
    <n v="106"/>
  </r>
  <r>
    <n v="262"/>
    <n v="31"/>
    <x v="1"/>
    <x v="1"/>
    <x v="0"/>
    <n v="8"/>
    <x v="0"/>
    <x v="0"/>
    <x v="0"/>
    <n v="27"/>
    <n v="78"/>
    <x v="13"/>
    <n v="20"/>
    <n v="40"/>
    <n v="70"/>
    <n v="20"/>
    <n v="78"/>
    <n v="27"/>
    <n v="0.34615384615384615"/>
    <n v="8"/>
    <n v="8"/>
    <n v="11"/>
    <x v="48"/>
    <x v="0"/>
    <n v="31"/>
    <n v="78"/>
  </r>
  <r>
    <n v="475"/>
    <n v="69"/>
    <x v="1"/>
    <x v="1"/>
    <x v="2"/>
    <n v="21"/>
    <x v="0"/>
    <x v="0"/>
    <x v="1"/>
    <n v="38"/>
    <n v="150"/>
    <x v="5"/>
    <n v="50"/>
    <n v="30"/>
    <n v="100"/>
    <n v="43"/>
    <n v="150"/>
    <n v="38"/>
    <n v="0.25333333333333335"/>
    <n v="21"/>
    <n v="50"/>
    <n v="19"/>
    <x v="129"/>
    <x v="0"/>
    <n v="69"/>
    <n v="150"/>
  </r>
  <r>
    <n v="262"/>
    <n v="49"/>
    <x v="1"/>
    <x v="1"/>
    <x v="0"/>
    <n v="15"/>
    <x v="0"/>
    <x v="1"/>
    <x v="2"/>
    <n v="33"/>
    <n v="120"/>
    <x v="13"/>
    <n v="40"/>
    <n v="20"/>
    <n v="90"/>
    <n v="38"/>
    <n v="120"/>
    <n v="33"/>
    <n v="0.27500000000000002"/>
    <n v="15"/>
    <n v="30"/>
    <n v="9"/>
    <x v="10"/>
    <x v="0"/>
    <n v="49"/>
    <n v="120"/>
  </r>
  <r>
    <n v="206"/>
    <n v="49"/>
    <x v="1"/>
    <x v="1"/>
    <x v="3"/>
    <n v="15"/>
    <x v="0"/>
    <x v="1"/>
    <x v="11"/>
    <n v="34"/>
    <n v="120"/>
    <x v="14"/>
    <n v="30"/>
    <n v="30"/>
    <n v="80"/>
    <n v="37"/>
    <n v="120"/>
    <n v="34"/>
    <n v="0.28333333333333333"/>
    <n v="15"/>
    <n v="40"/>
    <n v="19"/>
    <x v="31"/>
    <x v="0"/>
    <n v="49"/>
    <n v="120"/>
  </r>
  <r>
    <n v="970"/>
    <n v="43"/>
    <x v="2"/>
    <x v="0"/>
    <x v="0"/>
    <n v="14"/>
    <x v="1"/>
    <x v="3"/>
    <x v="7"/>
    <n v="29"/>
    <n v="99"/>
    <x v="0"/>
    <n v="40"/>
    <n v="30"/>
    <n v="90"/>
    <n v="27"/>
    <n v="99"/>
    <n v="29"/>
    <n v="0.29292929292929293"/>
    <n v="14"/>
    <n v="9"/>
    <n v="3"/>
    <x v="130"/>
    <x v="0"/>
    <n v="43"/>
    <n v="99"/>
  </r>
  <r>
    <n v="614"/>
    <n v="41"/>
    <x v="2"/>
    <x v="0"/>
    <x v="0"/>
    <n v="13"/>
    <x v="1"/>
    <x v="3"/>
    <x v="7"/>
    <n v="24"/>
    <n v="101"/>
    <x v="18"/>
    <n v="40"/>
    <n v="20"/>
    <n v="90"/>
    <n v="36"/>
    <n v="101"/>
    <n v="24"/>
    <n v="0.23762376237623761"/>
    <n v="13"/>
    <n v="11"/>
    <n v="1"/>
    <x v="46"/>
    <x v="0"/>
    <n v="41"/>
    <n v="101"/>
  </r>
  <r>
    <n v="339"/>
    <n v="47"/>
    <x v="2"/>
    <x v="0"/>
    <x v="2"/>
    <n v="42"/>
    <x v="1"/>
    <x v="2"/>
    <x v="8"/>
    <n v="-20"/>
    <n v="99"/>
    <x v="15"/>
    <n v="40"/>
    <n v="-10"/>
    <n v="90"/>
    <n v="72"/>
    <n v="99"/>
    <n v="-20"/>
    <n v="-0.20202020202020202"/>
    <n v="42"/>
    <n v="9"/>
    <n v="7"/>
    <x v="131"/>
    <x v="0"/>
    <n v="47"/>
    <n v="99"/>
  </r>
  <r>
    <n v="773"/>
    <n v="43"/>
    <x v="2"/>
    <x v="0"/>
    <x v="0"/>
    <n v="14"/>
    <x v="0"/>
    <x v="0"/>
    <x v="0"/>
    <n v="29"/>
    <n v="99"/>
    <x v="16"/>
    <n v="40"/>
    <n v="30"/>
    <n v="90"/>
    <n v="27"/>
    <n v="99"/>
    <n v="29"/>
    <n v="0.29292929292929293"/>
    <n v="14"/>
    <n v="9"/>
    <n v="3"/>
    <x v="130"/>
    <x v="0"/>
    <n v="43"/>
    <n v="99"/>
  </r>
  <r>
    <n v="805"/>
    <n v="43"/>
    <x v="2"/>
    <x v="0"/>
    <x v="3"/>
    <n v="14"/>
    <x v="0"/>
    <x v="0"/>
    <x v="1"/>
    <n v="29"/>
    <n v="99"/>
    <x v="3"/>
    <n v="40"/>
    <n v="30"/>
    <n v="90"/>
    <n v="27"/>
    <n v="99"/>
    <n v="29"/>
    <n v="0.29292929292929293"/>
    <n v="14"/>
    <n v="9"/>
    <n v="3"/>
    <x v="130"/>
    <x v="0"/>
    <n v="43"/>
    <n v="99"/>
  </r>
  <r>
    <n v="303"/>
    <n v="46"/>
    <x v="2"/>
    <x v="0"/>
    <x v="0"/>
    <n v="17"/>
    <x v="0"/>
    <x v="1"/>
    <x v="2"/>
    <n v="6"/>
    <n v="103"/>
    <x v="0"/>
    <n v="30"/>
    <n v="10"/>
    <n v="80"/>
    <n v="51"/>
    <n v="103"/>
    <n v="6"/>
    <n v="5.8252427184466021E-2"/>
    <n v="17"/>
    <n v="23"/>
    <n v="16"/>
    <x v="132"/>
    <x v="0"/>
    <n v="46"/>
    <n v="103"/>
  </r>
  <r>
    <n v="303"/>
    <n v="53"/>
    <x v="2"/>
    <x v="0"/>
    <x v="0"/>
    <n v="16"/>
    <x v="0"/>
    <x v="1"/>
    <x v="11"/>
    <n v="26"/>
    <n v="116"/>
    <x v="0"/>
    <n v="40"/>
    <n v="20"/>
    <n v="90"/>
    <n v="37"/>
    <n v="116"/>
    <n v="26"/>
    <n v="0.22413793103448276"/>
    <n v="16"/>
    <n v="26"/>
    <n v="13"/>
    <x v="133"/>
    <x v="0"/>
    <n v="53"/>
    <n v="116"/>
  </r>
  <r>
    <n v="617"/>
    <n v="33"/>
    <x v="2"/>
    <x v="0"/>
    <x v="2"/>
    <n v="9"/>
    <x v="0"/>
    <x v="1"/>
    <x v="2"/>
    <n v="29"/>
    <n v="82"/>
    <x v="15"/>
    <n v="30"/>
    <n v="40"/>
    <n v="80"/>
    <n v="20"/>
    <n v="82"/>
    <n v="29"/>
    <n v="0.35365853658536583"/>
    <n v="9"/>
    <n v="2"/>
    <n v="3"/>
    <x v="134"/>
    <x v="0"/>
    <n v="33"/>
    <n v="82"/>
  </r>
  <r>
    <n v="863"/>
    <n v="34"/>
    <x v="2"/>
    <x v="0"/>
    <x v="2"/>
    <n v="9"/>
    <x v="0"/>
    <x v="1"/>
    <x v="3"/>
    <n v="30"/>
    <n v="85"/>
    <x v="2"/>
    <n v="30"/>
    <n v="40"/>
    <n v="80"/>
    <n v="21"/>
    <n v="85"/>
    <n v="30"/>
    <n v="0.35294117647058826"/>
    <n v="9"/>
    <n v="5"/>
    <n v="4"/>
    <x v="91"/>
    <x v="0"/>
    <n v="34"/>
    <n v="85"/>
  </r>
  <r>
    <n v="641"/>
    <n v="0"/>
    <x v="2"/>
    <x v="1"/>
    <x v="0"/>
    <n v="0"/>
    <x v="1"/>
    <x v="2"/>
    <x v="4"/>
    <n v="32"/>
    <n v="43"/>
    <x v="4"/>
    <n v="0"/>
    <n v="40"/>
    <n v="50"/>
    <n v="11"/>
    <n v="43"/>
    <n v="32"/>
    <n v="0.7441860465116279"/>
    <n v="0"/>
    <n v="-7"/>
    <n v="0"/>
    <x v="5"/>
    <x v="0"/>
    <n v="0"/>
    <n v="43"/>
  </r>
  <r>
    <n v="225"/>
    <n v="43"/>
    <x v="2"/>
    <x v="1"/>
    <x v="1"/>
    <n v="13"/>
    <x v="1"/>
    <x v="2"/>
    <x v="4"/>
    <n v="27"/>
    <n v="106"/>
    <x v="10"/>
    <n v="30"/>
    <n v="20"/>
    <n v="80"/>
    <n v="36"/>
    <n v="106"/>
    <n v="27"/>
    <n v="0.25471698113207547"/>
    <n v="13"/>
    <n v="26"/>
    <n v="13"/>
    <x v="24"/>
    <x v="0"/>
    <n v="43"/>
    <n v="106"/>
  </r>
  <r>
    <n v="702"/>
    <n v="31"/>
    <x v="2"/>
    <x v="1"/>
    <x v="3"/>
    <n v="9"/>
    <x v="1"/>
    <x v="3"/>
    <x v="5"/>
    <n v="8"/>
    <n v="69"/>
    <x v="7"/>
    <n v="30"/>
    <n v="30"/>
    <n v="80"/>
    <n v="30"/>
    <n v="69"/>
    <n v="8"/>
    <n v="0.11594202898550725"/>
    <n v="9"/>
    <n v="-11"/>
    <n v="1"/>
    <x v="135"/>
    <x v="0"/>
    <n v="31"/>
    <n v="69"/>
  </r>
  <r>
    <n v="515"/>
    <n v="23"/>
    <x v="2"/>
    <x v="1"/>
    <x v="0"/>
    <n v="6"/>
    <x v="1"/>
    <x v="2"/>
    <x v="8"/>
    <n v="17"/>
    <n v="58"/>
    <x v="4"/>
    <n v="20"/>
    <n v="40"/>
    <n v="70"/>
    <n v="18"/>
    <n v="58"/>
    <n v="17"/>
    <n v="0.29310344827586204"/>
    <n v="6"/>
    <n v="-12"/>
    <n v="3"/>
    <x v="136"/>
    <x v="0"/>
    <n v="23"/>
    <n v="58"/>
  </r>
  <r>
    <n v="985"/>
    <n v="41"/>
    <x v="2"/>
    <x v="1"/>
    <x v="1"/>
    <n v="12"/>
    <x v="1"/>
    <x v="2"/>
    <x v="8"/>
    <n v="31"/>
    <n v="107"/>
    <x v="10"/>
    <n v="30"/>
    <n v="20"/>
    <n v="80"/>
    <n v="35"/>
    <n v="107"/>
    <n v="31"/>
    <n v="0.28971962616822428"/>
    <n v="12"/>
    <n v="27"/>
    <n v="11"/>
    <x v="137"/>
    <x v="0"/>
    <n v="41"/>
    <n v="107"/>
  </r>
  <r>
    <n v="971"/>
    <n v="46"/>
    <x v="2"/>
    <x v="1"/>
    <x v="3"/>
    <n v="17"/>
    <x v="1"/>
    <x v="2"/>
    <x v="9"/>
    <n v="6"/>
    <n v="103"/>
    <x v="11"/>
    <n v="40"/>
    <n v="10"/>
    <n v="90"/>
    <n v="51"/>
    <n v="103"/>
    <n v="6"/>
    <n v="5.8252427184466021E-2"/>
    <n v="17"/>
    <n v="13"/>
    <n v="6"/>
    <x v="132"/>
    <x v="0"/>
    <n v="46"/>
    <n v="103"/>
  </r>
  <r>
    <n v="262"/>
    <n v="43"/>
    <x v="2"/>
    <x v="1"/>
    <x v="0"/>
    <n v="13"/>
    <x v="0"/>
    <x v="1"/>
    <x v="2"/>
    <n v="28"/>
    <n v="106"/>
    <x v="13"/>
    <n v="30"/>
    <n v="20"/>
    <n v="80"/>
    <n v="35"/>
    <n v="106"/>
    <n v="28"/>
    <n v="0.26415094339622641"/>
    <n v="13"/>
    <n v="26"/>
    <n v="13"/>
    <x v="2"/>
    <x v="0"/>
    <n v="43"/>
    <n v="106"/>
  </r>
  <r>
    <n v="959"/>
    <n v="33"/>
    <x v="2"/>
    <x v="1"/>
    <x v="2"/>
    <n v="9"/>
    <x v="0"/>
    <x v="1"/>
    <x v="3"/>
    <n v="28"/>
    <n v="82"/>
    <x v="5"/>
    <n v="30"/>
    <n v="40"/>
    <n v="80"/>
    <n v="21"/>
    <n v="82"/>
    <n v="28"/>
    <n v="0.34146341463414637"/>
    <n v="9"/>
    <n v="2"/>
    <n v="3"/>
    <x v="50"/>
    <x v="0"/>
    <n v="33"/>
    <n v="82"/>
  </r>
  <r>
    <n v="435"/>
    <n v="49"/>
    <x v="2"/>
    <x v="1"/>
    <x v="3"/>
    <n v="44"/>
    <x v="0"/>
    <x v="1"/>
    <x v="2"/>
    <n v="-4"/>
    <n v="118"/>
    <x v="8"/>
    <n v="30"/>
    <n v="0"/>
    <n v="80"/>
    <n v="73"/>
    <n v="118"/>
    <n v="-4"/>
    <n v="-3.3898305084745763E-2"/>
    <n v="44"/>
    <n v="38"/>
    <n v="19"/>
    <x v="138"/>
    <x v="0"/>
    <n v="49"/>
    <n v="118"/>
  </r>
  <r>
    <n v="360"/>
    <n v="55"/>
    <x v="2"/>
    <x v="1"/>
    <x v="3"/>
    <n v="49"/>
    <x v="0"/>
    <x v="1"/>
    <x v="3"/>
    <n v="-3"/>
    <n v="131"/>
    <x v="14"/>
    <n v="40"/>
    <n v="-10"/>
    <n v="90"/>
    <n v="79"/>
    <n v="131"/>
    <n v="-3"/>
    <n v="-2.2900763358778626E-2"/>
    <n v="49"/>
    <n v="41"/>
    <n v="15"/>
    <x v="52"/>
    <x v="0"/>
    <n v="55"/>
    <n v="131"/>
  </r>
  <r>
    <n v="303"/>
    <n v="39"/>
    <x v="3"/>
    <x v="0"/>
    <x v="0"/>
    <n v="12"/>
    <x v="1"/>
    <x v="3"/>
    <x v="7"/>
    <n v="40"/>
    <n v="96"/>
    <x v="0"/>
    <n v="30"/>
    <n v="50"/>
    <n v="80"/>
    <n v="24"/>
    <n v="96"/>
    <n v="40"/>
    <n v="0.41666666666666669"/>
    <n v="12"/>
    <n v="16"/>
    <n v="9"/>
    <x v="91"/>
    <x v="0"/>
    <n v="39"/>
    <n v="96"/>
  </r>
  <r>
    <n v="904"/>
    <n v="80"/>
    <x v="3"/>
    <x v="0"/>
    <x v="2"/>
    <n v="24"/>
    <x v="0"/>
    <x v="0"/>
    <x v="1"/>
    <n v="71"/>
    <n v="185"/>
    <x v="2"/>
    <n v="40"/>
    <n v="40"/>
    <n v="90"/>
    <n v="46"/>
    <n v="185"/>
    <n v="71"/>
    <n v="0.38378378378378381"/>
    <n v="24"/>
    <n v="95"/>
    <n v="40"/>
    <x v="139"/>
    <x v="0"/>
    <n v="80"/>
    <n v="185"/>
  </r>
  <r>
    <n v="720"/>
    <n v="54"/>
    <x v="3"/>
    <x v="0"/>
    <x v="0"/>
    <n v="20"/>
    <x v="0"/>
    <x v="1"/>
    <x v="2"/>
    <n v="19"/>
    <n v="128"/>
    <x v="0"/>
    <n v="30"/>
    <n v="30"/>
    <n v="80"/>
    <n v="53"/>
    <n v="128"/>
    <n v="19"/>
    <n v="0.1484375"/>
    <n v="20"/>
    <n v="48"/>
    <n v="24"/>
    <x v="96"/>
    <x v="0"/>
    <n v="54"/>
    <n v="128"/>
  </r>
  <r>
    <n v="970"/>
    <n v="54"/>
    <x v="3"/>
    <x v="0"/>
    <x v="0"/>
    <n v="16"/>
    <x v="0"/>
    <x v="1"/>
    <x v="11"/>
    <n v="40"/>
    <n v="126"/>
    <x v="0"/>
    <n v="30"/>
    <n v="40"/>
    <n v="80"/>
    <n v="37"/>
    <n v="126"/>
    <n v="40"/>
    <n v="0.31746031746031744"/>
    <n v="16"/>
    <n v="46"/>
    <n v="24"/>
    <x v="55"/>
    <x v="0"/>
    <n v="54"/>
    <n v="126"/>
  </r>
  <r>
    <n v="978"/>
    <n v="27"/>
    <x v="3"/>
    <x v="0"/>
    <x v="2"/>
    <n v="7"/>
    <x v="0"/>
    <x v="1"/>
    <x v="2"/>
    <n v="30"/>
    <n v="70"/>
    <x v="15"/>
    <n v="20"/>
    <n v="50"/>
    <n v="70"/>
    <n v="19"/>
    <n v="70"/>
    <n v="30"/>
    <n v="0.42857142857142855"/>
    <n v="7"/>
    <n v="0"/>
    <n v="7"/>
    <x v="140"/>
    <x v="0"/>
    <n v="27"/>
    <n v="70"/>
  </r>
  <r>
    <n v="626"/>
    <n v="76"/>
    <x v="3"/>
    <x v="0"/>
    <x v="3"/>
    <n v="21"/>
    <x v="0"/>
    <x v="1"/>
    <x v="11"/>
    <n v="117"/>
    <n v="199"/>
    <x v="3"/>
    <n v="30"/>
    <n v="50"/>
    <n v="80"/>
    <n v="32"/>
    <n v="199"/>
    <n v="117"/>
    <n v="0.5879396984924623"/>
    <n v="21"/>
    <n v="119"/>
    <n v="46"/>
    <x v="141"/>
    <x v="1"/>
    <n v="76"/>
    <n v="199"/>
  </r>
  <r>
    <n v="262"/>
    <n v="22"/>
    <x v="3"/>
    <x v="1"/>
    <x v="0"/>
    <n v="7"/>
    <x v="1"/>
    <x v="2"/>
    <x v="4"/>
    <n v="15"/>
    <n v="54"/>
    <x v="13"/>
    <n v="20"/>
    <n v="50"/>
    <n v="70"/>
    <n v="19"/>
    <n v="54"/>
    <n v="15"/>
    <n v="0.27777777777777779"/>
    <n v="7"/>
    <n v="-16"/>
    <n v="2"/>
    <x v="33"/>
    <x v="0"/>
    <n v="22"/>
    <n v="54"/>
  </r>
  <r>
    <n v="641"/>
    <n v="23"/>
    <x v="3"/>
    <x v="1"/>
    <x v="0"/>
    <n v="6"/>
    <x v="1"/>
    <x v="2"/>
    <x v="8"/>
    <n v="27"/>
    <n v="62"/>
    <x v="4"/>
    <n v="20"/>
    <n v="50"/>
    <n v="70"/>
    <n v="17"/>
    <n v="62"/>
    <n v="27"/>
    <n v="0.43548387096774194"/>
    <n v="6"/>
    <n v="-8"/>
    <n v="3"/>
    <x v="90"/>
    <x v="0"/>
    <n v="23"/>
    <n v="62"/>
  </r>
  <r>
    <n v="203"/>
    <n v="79"/>
    <x v="3"/>
    <x v="1"/>
    <x v="2"/>
    <n v="30"/>
    <x v="0"/>
    <x v="0"/>
    <x v="0"/>
    <n v="50"/>
    <n v="189"/>
    <x v="5"/>
    <n v="40"/>
    <n v="30"/>
    <n v="90"/>
    <n v="64"/>
    <n v="189"/>
    <n v="50"/>
    <n v="0.26455026455026454"/>
    <n v="30"/>
    <n v="99"/>
    <n v="39"/>
    <x v="142"/>
    <x v="0"/>
    <n v="79"/>
    <n v="189"/>
  </r>
  <r>
    <n v="203"/>
    <n v="65"/>
    <x v="3"/>
    <x v="1"/>
    <x v="2"/>
    <n v="20"/>
    <x v="0"/>
    <x v="0"/>
    <x v="1"/>
    <n v="52"/>
    <n v="151"/>
    <x v="5"/>
    <n v="30"/>
    <n v="50"/>
    <n v="80"/>
    <n v="42"/>
    <n v="151"/>
    <n v="52"/>
    <n v="0.3443708609271523"/>
    <n v="20"/>
    <n v="71"/>
    <n v="35"/>
    <x v="143"/>
    <x v="0"/>
    <n v="65"/>
    <n v="151"/>
  </r>
  <r>
    <n v="262"/>
    <n v="46"/>
    <x v="3"/>
    <x v="1"/>
    <x v="0"/>
    <n v="14"/>
    <x v="0"/>
    <x v="1"/>
    <x v="2"/>
    <n v="45"/>
    <n v="120"/>
    <x v="13"/>
    <n v="20"/>
    <n v="40"/>
    <n v="70"/>
    <n v="37"/>
    <n v="120"/>
    <n v="45"/>
    <n v="0.375"/>
    <n v="14"/>
    <n v="50"/>
    <n v="26"/>
    <x v="93"/>
    <x v="0"/>
    <n v="46"/>
    <n v="120"/>
  </r>
  <r>
    <n v="262"/>
    <n v="60"/>
    <x v="3"/>
    <x v="1"/>
    <x v="0"/>
    <n v="54"/>
    <x v="0"/>
    <x v="1"/>
    <x v="11"/>
    <n v="0"/>
    <n v="153"/>
    <x v="13"/>
    <n v="40"/>
    <n v="0"/>
    <n v="90"/>
    <n v="84"/>
    <n v="153"/>
    <n v="0"/>
    <n v="0"/>
    <n v="54"/>
    <n v="63"/>
    <n v="20"/>
    <x v="121"/>
    <x v="0"/>
    <n v="60"/>
    <n v="153"/>
  </r>
  <r>
    <n v="425"/>
    <n v="60"/>
    <x v="3"/>
    <x v="1"/>
    <x v="3"/>
    <n v="18"/>
    <x v="0"/>
    <x v="1"/>
    <x v="2"/>
    <n v="85"/>
    <n v="169"/>
    <x v="14"/>
    <n v="20"/>
    <n v="40"/>
    <n v="70"/>
    <n v="42"/>
    <n v="169"/>
    <n v="85"/>
    <n v="0.50295857988165682"/>
    <n v="18"/>
    <n v="99"/>
    <n v="40"/>
    <x v="144"/>
    <x v="0"/>
    <n v="60"/>
    <n v="169"/>
  </r>
  <r>
    <n v="312"/>
    <n v="40"/>
    <x v="4"/>
    <x v="0"/>
    <x v="0"/>
    <n v="13"/>
    <x v="0"/>
    <x v="0"/>
    <x v="0"/>
    <n v="40"/>
    <n v="98"/>
    <x v="16"/>
    <n v="30"/>
    <n v="30"/>
    <n v="80"/>
    <n v="25"/>
    <n v="98"/>
    <n v="40"/>
    <n v="0.40816326530612246"/>
    <n v="13"/>
    <n v="18"/>
    <n v="10"/>
    <x v="81"/>
    <x v="0"/>
    <n v="40"/>
    <n v="98"/>
  </r>
  <r>
    <n v="419"/>
    <n v="36"/>
    <x v="4"/>
    <x v="0"/>
    <x v="0"/>
    <n v="10"/>
    <x v="0"/>
    <x v="0"/>
    <x v="0"/>
    <n v="45"/>
    <n v="94"/>
    <x v="18"/>
    <n v="30"/>
    <n v="40"/>
    <n v="80"/>
    <n v="22"/>
    <n v="94"/>
    <n v="45"/>
    <n v="0.47872340425531917"/>
    <n v="10"/>
    <n v="14"/>
    <n v="6"/>
    <x v="90"/>
    <x v="0"/>
    <n v="36"/>
    <n v="94"/>
  </r>
  <r>
    <n v="857"/>
    <n v="55"/>
    <x v="4"/>
    <x v="0"/>
    <x v="2"/>
    <n v="20"/>
    <x v="0"/>
    <x v="0"/>
    <x v="0"/>
    <n v="22"/>
    <n v="132"/>
    <x v="15"/>
    <n v="40"/>
    <n v="20"/>
    <n v="90"/>
    <n v="54"/>
    <n v="132"/>
    <n v="22"/>
    <n v="0.16666666666666666"/>
    <n v="20"/>
    <n v="42"/>
    <n v="15"/>
    <x v="85"/>
    <x v="0"/>
    <n v="55"/>
    <n v="132"/>
  </r>
  <r>
    <n v="323"/>
    <n v="40"/>
    <x v="4"/>
    <x v="0"/>
    <x v="3"/>
    <n v="13"/>
    <x v="0"/>
    <x v="0"/>
    <x v="1"/>
    <n v="40"/>
    <n v="98"/>
    <x v="3"/>
    <n v="30"/>
    <n v="30"/>
    <n v="80"/>
    <n v="25"/>
    <n v="98"/>
    <n v="40"/>
    <n v="0.40816326530612246"/>
    <n v="13"/>
    <n v="18"/>
    <n v="10"/>
    <x v="81"/>
    <x v="0"/>
    <n v="40"/>
    <n v="98"/>
  </r>
  <r>
    <n v="352"/>
    <n v="28"/>
    <x v="4"/>
    <x v="0"/>
    <x v="2"/>
    <n v="7"/>
    <x v="0"/>
    <x v="1"/>
    <x v="2"/>
    <n v="34"/>
    <n v="75"/>
    <x v="2"/>
    <n v="20"/>
    <n v="40"/>
    <n v="70"/>
    <n v="19"/>
    <n v="75"/>
    <n v="34"/>
    <n v="0.45333333333333331"/>
    <n v="7"/>
    <n v="5"/>
    <n v="8"/>
    <x v="145"/>
    <x v="0"/>
    <n v="28"/>
    <n v="75"/>
  </r>
  <r>
    <n v="904"/>
    <n v="31"/>
    <x v="4"/>
    <x v="0"/>
    <x v="2"/>
    <n v="8"/>
    <x v="0"/>
    <x v="1"/>
    <x v="3"/>
    <n v="42"/>
    <n v="83"/>
    <x v="2"/>
    <n v="30"/>
    <n v="40"/>
    <n v="80"/>
    <n v="19"/>
    <n v="83"/>
    <n v="42"/>
    <n v="0.50602409638554213"/>
    <n v="8"/>
    <n v="3"/>
    <n v="1"/>
    <x v="89"/>
    <x v="0"/>
    <n v="31"/>
    <n v="83"/>
  </r>
  <r>
    <n v="978"/>
    <n v="32"/>
    <x v="4"/>
    <x v="0"/>
    <x v="2"/>
    <n v="8"/>
    <x v="0"/>
    <x v="1"/>
    <x v="3"/>
    <n v="43"/>
    <n v="85"/>
    <x v="15"/>
    <n v="30"/>
    <n v="40"/>
    <n v="80"/>
    <n v="19"/>
    <n v="85"/>
    <n v="43"/>
    <n v="0.50588235294117645"/>
    <n v="8"/>
    <n v="5"/>
    <n v="2"/>
    <x v="146"/>
    <x v="0"/>
    <n v="32"/>
    <n v="85"/>
  </r>
  <r>
    <n v="760"/>
    <n v="50"/>
    <x v="4"/>
    <x v="0"/>
    <x v="3"/>
    <n v="14"/>
    <x v="0"/>
    <x v="1"/>
    <x v="11"/>
    <n v="70"/>
    <n v="131"/>
    <x v="3"/>
    <n v="30"/>
    <n v="40"/>
    <n v="80"/>
    <n v="26"/>
    <n v="131"/>
    <n v="70"/>
    <n v="0.53435114503816794"/>
    <n v="14"/>
    <n v="51"/>
    <n v="20"/>
    <x v="68"/>
    <x v="0"/>
    <n v="50"/>
    <n v="131"/>
  </r>
  <r>
    <n v="515"/>
    <n v="0"/>
    <x v="4"/>
    <x v="1"/>
    <x v="0"/>
    <n v="0"/>
    <x v="1"/>
    <x v="2"/>
    <x v="4"/>
    <n v="46"/>
    <n v="46"/>
    <x v="4"/>
    <n v="0"/>
    <n v="40"/>
    <n v="50"/>
    <n v="12"/>
    <n v="46"/>
    <n v="46"/>
    <n v="1"/>
    <n v="0"/>
    <n v="-4"/>
    <n v="0"/>
    <x v="5"/>
    <x v="0"/>
    <n v="0"/>
    <n v="46"/>
  </r>
  <r>
    <n v="505"/>
    <n v="82"/>
    <x v="4"/>
    <x v="1"/>
    <x v="1"/>
    <n v="25"/>
    <x v="1"/>
    <x v="3"/>
    <x v="5"/>
    <n v="-12"/>
    <n v="130"/>
    <x v="17"/>
    <n v="90"/>
    <n v="10"/>
    <n v="140"/>
    <n v="48"/>
    <n v="130"/>
    <n v="-12"/>
    <n v="-9.2307692307692313E-2"/>
    <n v="25"/>
    <n v="-10"/>
    <n v="-8"/>
    <x v="147"/>
    <x v="0"/>
    <n v="82"/>
    <n v="130"/>
  </r>
  <r>
    <n v="515"/>
    <n v="22"/>
    <x v="4"/>
    <x v="1"/>
    <x v="0"/>
    <n v="6"/>
    <x v="1"/>
    <x v="2"/>
    <x v="8"/>
    <n v="24"/>
    <n v="60"/>
    <x v="4"/>
    <n v="20"/>
    <n v="40"/>
    <n v="70"/>
    <n v="18"/>
    <n v="60"/>
    <n v="24"/>
    <n v="0.4"/>
    <n v="6"/>
    <n v="-10"/>
    <n v="2"/>
    <x v="148"/>
    <x v="0"/>
    <n v="22"/>
    <n v="60"/>
  </r>
  <r>
    <n v="505"/>
    <n v="44"/>
    <x v="4"/>
    <x v="1"/>
    <x v="1"/>
    <n v="40"/>
    <x v="1"/>
    <x v="2"/>
    <x v="8"/>
    <n v="-10"/>
    <n v="113"/>
    <x v="17"/>
    <n v="30"/>
    <n v="0"/>
    <n v="80"/>
    <n v="69"/>
    <n v="113"/>
    <n v="-10"/>
    <n v="-8.8495575221238937E-2"/>
    <n v="40"/>
    <n v="33"/>
    <n v="14"/>
    <x v="72"/>
    <x v="0"/>
    <n v="44"/>
    <n v="113"/>
  </r>
  <r>
    <n v="775"/>
    <n v="33"/>
    <x v="4"/>
    <x v="1"/>
    <x v="3"/>
    <n v="12"/>
    <x v="1"/>
    <x v="3"/>
    <x v="7"/>
    <n v="-6"/>
    <n v="79"/>
    <x v="7"/>
    <n v="30"/>
    <n v="10"/>
    <n v="80"/>
    <n v="45"/>
    <n v="79"/>
    <n v="-6"/>
    <n v="-7.5949367088607597E-2"/>
    <n v="12"/>
    <n v="-1"/>
    <n v="3"/>
    <x v="149"/>
    <x v="0"/>
    <n v="33"/>
    <n v="79"/>
  </r>
  <r>
    <n v="314"/>
    <n v="44"/>
    <x v="4"/>
    <x v="1"/>
    <x v="0"/>
    <n v="40"/>
    <x v="0"/>
    <x v="0"/>
    <x v="10"/>
    <n v="-12"/>
    <n v="113"/>
    <x v="12"/>
    <n v="40"/>
    <n v="0"/>
    <n v="90"/>
    <n v="70"/>
    <n v="113"/>
    <n v="-12"/>
    <n v="-0.10619469026548672"/>
    <n v="40"/>
    <n v="23"/>
    <n v="4"/>
    <x v="94"/>
    <x v="0"/>
    <n v="44"/>
    <n v="113"/>
  </r>
  <r>
    <n v="715"/>
    <n v="31"/>
    <x v="4"/>
    <x v="1"/>
    <x v="0"/>
    <n v="8"/>
    <x v="0"/>
    <x v="0"/>
    <x v="0"/>
    <n v="40"/>
    <n v="83"/>
    <x v="13"/>
    <n v="20"/>
    <n v="40"/>
    <n v="70"/>
    <n v="20"/>
    <n v="83"/>
    <n v="40"/>
    <n v="0.48192771084337349"/>
    <n v="8"/>
    <n v="13"/>
    <n v="11"/>
    <x v="68"/>
    <x v="0"/>
    <n v="31"/>
    <n v="83"/>
  </r>
  <r>
    <n v="959"/>
    <n v="69"/>
    <x v="4"/>
    <x v="1"/>
    <x v="2"/>
    <n v="21"/>
    <x v="0"/>
    <x v="0"/>
    <x v="1"/>
    <n v="56"/>
    <n v="160"/>
    <x v="5"/>
    <n v="50"/>
    <n v="30"/>
    <n v="100"/>
    <n v="43"/>
    <n v="160"/>
    <n v="56"/>
    <n v="0.35"/>
    <n v="21"/>
    <n v="60"/>
    <n v="19"/>
    <x v="126"/>
    <x v="0"/>
    <n v="69"/>
    <n v="160"/>
  </r>
  <r>
    <n v="715"/>
    <n v="49"/>
    <x v="4"/>
    <x v="1"/>
    <x v="0"/>
    <n v="15"/>
    <x v="0"/>
    <x v="1"/>
    <x v="2"/>
    <n v="49"/>
    <n v="128"/>
    <x v="13"/>
    <n v="40"/>
    <n v="20"/>
    <n v="90"/>
    <n v="38"/>
    <n v="128"/>
    <n v="49"/>
    <n v="0.3828125"/>
    <n v="15"/>
    <n v="38"/>
    <n v="9"/>
    <x v="69"/>
    <x v="0"/>
    <n v="49"/>
    <n v="128"/>
  </r>
  <r>
    <n v="206"/>
    <n v="49"/>
    <x v="4"/>
    <x v="1"/>
    <x v="3"/>
    <n v="15"/>
    <x v="0"/>
    <x v="1"/>
    <x v="11"/>
    <n v="50"/>
    <n v="128"/>
    <x v="14"/>
    <n v="30"/>
    <n v="30"/>
    <n v="80"/>
    <n v="37"/>
    <n v="128"/>
    <n v="50"/>
    <n v="0.390625"/>
    <n v="15"/>
    <n v="48"/>
    <n v="19"/>
    <x v="91"/>
    <x v="0"/>
    <n v="49"/>
    <n v="128"/>
  </r>
  <r>
    <n v="970"/>
    <n v="43"/>
    <x v="5"/>
    <x v="0"/>
    <x v="0"/>
    <n v="14"/>
    <x v="1"/>
    <x v="3"/>
    <x v="7"/>
    <n v="43"/>
    <n v="106"/>
    <x v="0"/>
    <n v="40"/>
    <n v="30"/>
    <n v="90"/>
    <n v="27"/>
    <n v="106"/>
    <n v="43"/>
    <n v="0.40566037735849059"/>
    <n v="14"/>
    <n v="16"/>
    <n v="3"/>
    <x v="150"/>
    <x v="0"/>
    <n v="43"/>
    <n v="106"/>
  </r>
  <r>
    <n v="330"/>
    <n v="41"/>
    <x v="5"/>
    <x v="0"/>
    <x v="0"/>
    <n v="13"/>
    <x v="1"/>
    <x v="3"/>
    <x v="7"/>
    <n v="36"/>
    <n v="108"/>
    <x v="18"/>
    <n v="40"/>
    <n v="20"/>
    <n v="90"/>
    <n v="36"/>
    <n v="108"/>
    <n v="36"/>
    <n v="0.33333333333333331"/>
    <n v="13"/>
    <n v="18"/>
    <n v="1"/>
    <x v="103"/>
    <x v="0"/>
    <n v="41"/>
    <n v="108"/>
  </r>
  <r>
    <n v="978"/>
    <n v="47"/>
    <x v="5"/>
    <x v="0"/>
    <x v="2"/>
    <n v="42"/>
    <x v="1"/>
    <x v="2"/>
    <x v="8"/>
    <n v="-30"/>
    <n v="106"/>
    <x v="15"/>
    <n v="40"/>
    <n v="-10"/>
    <n v="90"/>
    <n v="72"/>
    <n v="106"/>
    <n v="-30"/>
    <n v="-0.28301886792452829"/>
    <n v="42"/>
    <n v="16"/>
    <n v="7"/>
    <x v="151"/>
    <x v="0"/>
    <n v="47"/>
    <n v="106"/>
  </r>
  <r>
    <n v="312"/>
    <n v="43"/>
    <x v="5"/>
    <x v="0"/>
    <x v="0"/>
    <n v="14"/>
    <x v="0"/>
    <x v="0"/>
    <x v="0"/>
    <n v="43"/>
    <n v="106"/>
    <x v="16"/>
    <n v="40"/>
    <n v="30"/>
    <n v="90"/>
    <n v="27"/>
    <n v="106"/>
    <n v="43"/>
    <n v="0.40566037735849059"/>
    <n v="14"/>
    <n v="16"/>
    <n v="3"/>
    <x v="150"/>
    <x v="0"/>
    <n v="43"/>
    <n v="106"/>
  </r>
  <r>
    <n v="323"/>
    <n v="43"/>
    <x v="5"/>
    <x v="0"/>
    <x v="3"/>
    <n v="14"/>
    <x v="0"/>
    <x v="0"/>
    <x v="1"/>
    <n v="43"/>
    <n v="106"/>
    <x v="3"/>
    <n v="40"/>
    <n v="30"/>
    <n v="90"/>
    <n v="27"/>
    <n v="106"/>
    <n v="43"/>
    <n v="0.40566037735849059"/>
    <n v="14"/>
    <n v="16"/>
    <n v="3"/>
    <x v="150"/>
    <x v="0"/>
    <n v="43"/>
    <n v="106"/>
  </r>
  <r>
    <n v="303"/>
    <n v="46"/>
    <x v="5"/>
    <x v="0"/>
    <x v="0"/>
    <n v="17"/>
    <x v="0"/>
    <x v="1"/>
    <x v="2"/>
    <n v="9"/>
    <n v="110"/>
    <x v="0"/>
    <n v="30"/>
    <n v="10"/>
    <n v="80"/>
    <n v="51"/>
    <n v="110"/>
    <n v="9"/>
    <n v="8.1818181818181818E-2"/>
    <n v="17"/>
    <n v="30"/>
    <n v="16"/>
    <x v="152"/>
    <x v="0"/>
    <n v="46"/>
    <n v="110"/>
  </r>
  <r>
    <n v="970"/>
    <n v="53"/>
    <x v="5"/>
    <x v="0"/>
    <x v="0"/>
    <n v="16"/>
    <x v="0"/>
    <x v="1"/>
    <x v="11"/>
    <n v="39"/>
    <n v="124"/>
    <x v="0"/>
    <n v="40"/>
    <n v="20"/>
    <n v="90"/>
    <n v="37"/>
    <n v="124"/>
    <n v="39"/>
    <n v="0.31451612903225806"/>
    <n v="16"/>
    <n v="34"/>
    <n v="13"/>
    <x v="153"/>
    <x v="0"/>
    <n v="53"/>
    <n v="124"/>
  </r>
  <r>
    <n v="978"/>
    <n v="33"/>
    <x v="5"/>
    <x v="0"/>
    <x v="2"/>
    <n v="9"/>
    <x v="0"/>
    <x v="1"/>
    <x v="2"/>
    <n v="43"/>
    <n v="87"/>
    <x v="15"/>
    <n v="30"/>
    <n v="40"/>
    <n v="80"/>
    <n v="20"/>
    <n v="87"/>
    <n v="43"/>
    <n v="0.4942528735632184"/>
    <n v="9"/>
    <n v="7"/>
    <n v="3"/>
    <x v="154"/>
    <x v="0"/>
    <n v="33"/>
    <n v="87"/>
  </r>
  <r>
    <n v="321"/>
    <n v="34"/>
    <x v="5"/>
    <x v="0"/>
    <x v="2"/>
    <n v="9"/>
    <x v="0"/>
    <x v="1"/>
    <x v="3"/>
    <n v="45"/>
    <n v="91"/>
    <x v="2"/>
    <n v="30"/>
    <n v="40"/>
    <n v="80"/>
    <n v="21"/>
    <n v="91"/>
    <n v="45"/>
    <n v="0.49450549450549453"/>
    <n v="9"/>
    <n v="11"/>
    <n v="4"/>
    <x v="68"/>
    <x v="0"/>
    <n v="34"/>
    <n v="91"/>
  </r>
  <r>
    <n v="563"/>
    <n v="0"/>
    <x v="5"/>
    <x v="1"/>
    <x v="0"/>
    <n v="0"/>
    <x v="1"/>
    <x v="2"/>
    <x v="4"/>
    <n v="47"/>
    <n v="46"/>
    <x v="4"/>
    <n v="0"/>
    <n v="40"/>
    <n v="50"/>
    <n v="11"/>
    <n v="46"/>
    <n v="47"/>
    <n v="1.0217391304347827"/>
    <n v="0"/>
    <n v="-4"/>
    <n v="0"/>
    <x v="5"/>
    <x v="0"/>
    <n v="0"/>
    <n v="46"/>
  </r>
  <r>
    <n v="318"/>
    <n v="43"/>
    <x v="5"/>
    <x v="1"/>
    <x v="1"/>
    <n v="13"/>
    <x v="1"/>
    <x v="2"/>
    <x v="4"/>
    <n v="40"/>
    <n v="113"/>
    <x v="10"/>
    <n v="30"/>
    <n v="20"/>
    <n v="80"/>
    <n v="36"/>
    <n v="113"/>
    <n v="40"/>
    <n v="0.35398230088495575"/>
    <n v="13"/>
    <n v="33"/>
    <n v="13"/>
    <x v="81"/>
    <x v="0"/>
    <n v="43"/>
    <n v="113"/>
  </r>
  <r>
    <n v="775"/>
    <n v="31"/>
    <x v="5"/>
    <x v="1"/>
    <x v="3"/>
    <n v="9"/>
    <x v="1"/>
    <x v="3"/>
    <x v="5"/>
    <n v="12"/>
    <n v="74"/>
    <x v="7"/>
    <n v="30"/>
    <n v="30"/>
    <n v="80"/>
    <n v="30"/>
    <n v="74"/>
    <n v="12"/>
    <n v="0.16216216216216217"/>
    <n v="9"/>
    <n v="-6"/>
    <n v="1"/>
    <x v="155"/>
    <x v="0"/>
    <n v="31"/>
    <n v="74"/>
  </r>
  <r>
    <n v="515"/>
    <n v="23"/>
    <x v="5"/>
    <x v="1"/>
    <x v="0"/>
    <n v="6"/>
    <x v="1"/>
    <x v="2"/>
    <x v="8"/>
    <n v="25"/>
    <n v="62"/>
    <x v="4"/>
    <n v="20"/>
    <n v="40"/>
    <n v="70"/>
    <n v="18"/>
    <n v="62"/>
    <n v="25"/>
    <n v="0.40322580645161288"/>
    <n v="6"/>
    <n v="-8"/>
    <n v="3"/>
    <x v="156"/>
    <x v="0"/>
    <n v="23"/>
    <n v="62"/>
  </r>
  <r>
    <n v="225"/>
    <n v="41"/>
    <x v="5"/>
    <x v="1"/>
    <x v="1"/>
    <n v="12"/>
    <x v="1"/>
    <x v="2"/>
    <x v="8"/>
    <n v="46"/>
    <n v="114"/>
    <x v="10"/>
    <n v="30"/>
    <n v="20"/>
    <n v="80"/>
    <n v="35"/>
    <n v="114"/>
    <n v="46"/>
    <n v="0.40350877192982454"/>
    <n v="12"/>
    <n v="34"/>
    <n v="11"/>
    <x v="157"/>
    <x v="0"/>
    <n v="41"/>
    <n v="114"/>
  </r>
  <r>
    <n v="971"/>
    <n v="46"/>
    <x v="5"/>
    <x v="1"/>
    <x v="3"/>
    <n v="17"/>
    <x v="1"/>
    <x v="2"/>
    <x v="9"/>
    <n v="9"/>
    <n v="110"/>
    <x v="11"/>
    <n v="40"/>
    <n v="10"/>
    <n v="90"/>
    <n v="51"/>
    <n v="110"/>
    <n v="9"/>
    <n v="8.1818181818181818E-2"/>
    <n v="17"/>
    <n v="20"/>
    <n v="6"/>
    <x v="152"/>
    <x v="0"/>
    <n v="46"/>
    <n v="110"/>
  </r>
  <r>
    <n v="262"/>
    <n v="43"/>
    <x v="5"/>
    <x v="1"/>
    <x v="0"/>
    <n v="13"/>
    <x v="0"/>
    <x v="1"/>
    <x v="2"/>
    <n v="42"/>
    <n v="113"/>
    <x v="13"/>
    <n v="30"/>
    <n v="20"/>
    <n v="80"/>
    <n v="35"/>
    <n v="113"/>
    <n v="42"/>
    <n v="0.37168141592920356"/>
    <n v="13"/>
    <n v="33"/>
    <n v="13"/>
    <x v="62"/>
    <x v="0"/>
    <n v="43"/>
    <n v="113"/>
  </r>
  <r>
    <n v="959"/>
    <n v="33"/>
    <x v="5"/>
    <x v="1"/>
    <x v="2"/>
    <n v="9"/>
    <x v="0"/>
    <x v="1"/>
    <x v="3"/>
    <n v="42"/>
    <n v="87"/>
    <x v="5"/>
    <n v="30"/>
    <n v="40"/>
    <n v="80"/>
    <n v="21"/>
    <n v="87"/>
    <n v="42"/>
    <n v="0.48275862068965519"/>
    <n v="9"/>
    <n v="7"/>
    <n v="3"/>
    <x v="106"/>
    <x v="0"/>
    <n v="33"/>
    <n v="87"/>
  </r>
  <r>
    <n v="435"/>
    <n v="49"/>
    <x v="5"/>
    <x v="1"/>
    <x v="3"/>
    <n v="44"/>
    <x v="0"/>
    <x v="1"/>
    <x v="2"/>
    <n v="-6"/>
    <n v="126"/>
    <x v="8"/>
    <n v="30"/>
    <n v="0"/>
    <n v="80"/>
    <n v="73"/>
    <n v="126"/>
    <n v="-6"/>
    <n v="-4.7619047619047616E-2"/>
    <n v="44"/>
    <n v="46"/>
    <n v="19"/>
    <x v="158"/>
    <x v="0"/>
    <n v="49"/>
    <n v="126"/>
  </r>
  <r>
    <n v="509"/>
    <n v="55"/>
    <x v="5"/>
    <x v="1"/>
    <x v="3"/>
    <n v="49"/>
    <x v="0"/>
    <x v="1"/>
    <x v="3"/>
    <n v="-4"/>
    <n v="140"/>
    <x v="14"/>
    <n v="40"/>
    <n v="-10"/>
    <n v="90"/>
    <n v="79"/>
    <n v="140"/>
    <n v="-4"/>
    <n v="-2.8571428571428571E-2"/>
    <n v="49"/>
    <n v="50"/>
    <n v="15"/>
    <x v="108"/>
    <x v="0"/>
    <n v="55"/>
    <n v="140"/>
  </r>
  <r>
    <n v="630"/>
    <n v="39"/>
    <x v="0"/>
    <x v="0"/>
    <x v="0"/>
    <n v="12"/>
    <x v="0"/>
    <x v="0"/>
    <x v="0"/>
    <n v="27"/>
    <n v="90"/>
    <x v="16"/>
    <n v="20"/>
    <n v="40"/>
    <n v="60"/>
    <n v="24"/>
    <n v="90"/>
    <n v="27"/>
    <n v="0.3"/>
    <n v="12"/>
    <n v="30"/>
    <n v="19"/>
    <x v="115"/>
    <x v="0"/>
    <n v="39"/>
    <n v="90"/>
  </r>
  <r>
    <n v="209"/>
    <n v="39"/>
    <x v="0"/>
    <x v="0"/>
    <x v="3"/>
    <n v="12"/>
    <x v="0"/>
    <x v="0"/>
    <x v="1"/>
    <n v="26"/>
    <n v="90"/>
    <x v="3"/>
    <n v="20"/>
    <n v="40"/>
    <n v="60"/>
    <n v="25"/>
    <n v="90"/>
    <n v="26"/>
    <n v="0.28888888888888886"/>
    <n v="12"/>
    <n v="30"/>
    <n v="19"/>
    <x v="159"/>
    <x v="0"/>
    <n v="39"/>
    <n v="90"/>
  </r>
  <r>
    <n v="505"/>
    <n v="86"/>
    <x v="0"/>
    <x v="1"/>
    <x v="1"/>
    <n v="26"/>
    <x v="1"/>
    <x v="3"/>
    <x v="5"/>
    <n v="-26"/>
    <n v="109"/>
    <x v="17"/>
    <n v="110"/>
    <n v="10"/>
    <n v="150"/>
    <n v="49"/>
    <n v="109"/>
    <n v="-26"/>
    <n v="-0.23853211009174313"/>
    <n v="26"/>
    <n v="-41"/>
    <n v="-24"/>
    <x v="160"/>
    <x v="0"/>
    <n v="86"/>
    <n v="109"/>
  </r>
  <r>
    <n v="318"/>
    <n v="46"/>
    <x v="0"/>
    <x v="1"/>
    <x v="1"/>
    <n v="14"/>
    <x v="1"/>
    <x v="2"/>
    <x v="4"/>
    <n v="30"/>
    <n v="113"/>
    <x v="10"/>
    <n v="20"/>
    <n v="40"/>
    <n v="60"/>
    <n v="37"/>
    <n v="113"/>
    <n v="30"/>
    <n v="0.26548672566371684"/>
    <n v="14"/>
    <n v="53"/>
    <n v="26"/>
    <x v="33"/>
    <x v="0"/>
    <n v="46"/>
    <n v="113"/>
  </r>
  <r>
    <n v="515"/>
    <n v="31"/>
    <x v="0"/>
    <x v="1"/>
    <x v="0"/>
    <n v="9"/>
    <x v="1"/>
    <x v="3"/>
    <x v="7"/>
    <n v="7"/>
    <n v="68"/>
    <x v="4"/>
    <n v="20"/>
    <n v="30"/>
    <n v="60"/>
    <n v="30"/>
    <n v="68"/>
    <n v="7"/>
    <n v="0.10294117647058823"/>
    <n v="9"/>
    <n v="8"/>
    <n v="11"/>
    <x v="8"/>
    <x v="0"/>
    <n v="31"/>
    <n v="68"/>
  </r>
  <r>
    <n v="505"/>
    <n v="45"/>
    <x v="0"/>
    <x v="1"/>
    <x v="1"/>
    <n v="41"/>
    <x v="1"/>
    <x v="2"/>
    <x v="8"/>
    <n v="-6"/>
    <n v="109"/>
    <x v="17"/>
    <n v="20"/>
    <n v="10"/>
    <n v="60"/>
    <n v="70"/>
    <n v="109"/>
    <n v="-6"/>
    <n v="-5.5045871559633031E-2"/>
    <n v="41"/>
    <n v="49"/>
    <n v="25"/>
    <x v="16"/>
    <x v="0"/>
    <n v="45"/>
    <n v="109"/>
  </r>
  <r>
    <n v="801"/>
    <n v="32"/>
    <x v="0"/>
    <x v="1"/>
    <x v="3"/>
    <n v="8"/>
    <x v="1"/>
    <x v="2"/>
    <x v="9"/>
    <n v="28"/>
    <n v="79"/>
    <x v="8"/>
    <n v="20"/>
    <n v="40"/>
    <n v="60"/>
    <n v="19"/>
    <n v="79"/>
    <n v="28"/>
    <n v="0.35443037974683544"/>
    <n v="8"/>
    <n v="19"/>
    <n v="12"/>
    <x v="3"/>
    <x v="0"/>
    <n v="32"/>
    <n v="79"/>
  </r>
  <r>
    <n v="505"/>
    <n v="31"/>
    <x v="0"/>
    <x v="1"/>
    <x v="1"/>
    <n v="9"/>
    <x v="0"/>
    <x v="0"/>
    <x v="0"/>
    <n v="6"/>
    <n v="68"/>
    <x v="17"/>
    <n v="10"/>
    <n v="30"/>
    <n v="50"/>
    <n v="31"/>
    <n v="68"/>
    <n v="6"/>
    <n v="8.8235294117647065E-2"/>
    <n v="9"/>
    <n v="18"/>
    <n v="21"/>
    <x v="161"/>
    <x v="0"/>
    <n v="31"/>
    <n v="68"/>
  </r>
  <r>
    <n v="636"/>
    <n v="39"/>
    <x v="0"/>
    <x v="1"/>
    <x v="0"/>
    <n v="12"/>
    <x v="0"/>
    <x v="1"/>
    <x v="2"/>
    <n v="13"/>
    <n v="92"/>
    <x v="12"/>
    <n v="20"/>
    <n v="30"/>
    <n v="60"/>
    <n v="40"/>
    <n v="92"/>
    <n v="13"/>
    <n v="0.14130434782608695"/>
    <n v="12"/>
    <n v="32"/>
    <n v="19"/>
    <x v="162"/>
    <x v="0"/>
    <n v="39"/>
    <n v="92"/>
  </r>
  <r>
    <n v="959"/>
    <n v="24"/>
    <x v="0"/>
    <x v="1"/>
    <x v="2"/>
    <n v="6"/>
    <x v="0"/>
    <x v="1"/>
    <x v="3"/>
    <n v="18"/>
    <n v="60"/>
    <x v="5"/>
    <n v="20"/>
    <n v="40"/>
    <n v="60"/>
    <n v="18"/>
    <n v="60"/>
    <n v="18"/>
    <n v="0.3"/>
    <n v="6"/>
    <n v="0"/>
    <n v="4"/>
    <x v="7"/>
    <x v="0"/>
    <n v="24"/>
    <n v="60"/>
  </r>
  <r>
    <n v="603"/>
    <n v="0"/>
    <x v="0"/>
    <x v="1"/>
    <x v="2"/>
    <n v="0"/>
    <x v="0"/>
    <x v="1"/>
    <x v="3"/>
    <n v="32"/>
    <n v="43"/>
    <x v="9"/>
    <n v="0"/>
    <n v="40"/>
    <n v="40"/>
    <n v="11"/>
    <n v="43"/>
    <n v="32"/>
    <n v="0.7441860465116279"/>
    <n v="0"/>
    <n v="3"/>
    <n v="0"/>
    <x v="5"/>
    <x v="0"/>
    <n v="0"/>
    <n v="43"/>
  </r>
  <r>
    <n v="801"/>
    <n v="45"/>
    <x v="0"/>
    <x v="1"/>
    <x v="3"/>
    <n v="41"/>
    <x v="0"/>
    <x v="1"/>
    <x v="2"/>
    <n v="-6"/>
    <n v="109"/>
    <x v="8"/>
    <n v="10"/>
    <n v="20"/>
    <n v="50"/>
    <n v="70"/>
    <n v="109"/>
    <n v="-6"/>
    <n v="-5.5045871559633031E-2"/>
    <n v="41"/>
    <n v="59"/>
    <n v="35"/>
    <x v="16"/>
    <x v="0"/>
    <n v="45"/>
    <n v="109"/>
  </r>
  <r>
    <n v="206"/>
    <n v="60"/>
    <x v="0"/>
    <x v="1"/>
    <x v="3"/>
    <n v="54"/>
    <x v="0"/>
    <x v="1"/>
    <x v="3"/>
    <n v="0"/>
    <n v="144"/>
    <x v="14"/>
    <n v="20"/>
    <n v="10"/>
    <n v="60"/>
    <n v="84"/>
    <n v="144"/>
    <n v="0"/>
    <n v="0"/>
    <n v="54"/>
    <n v="84"/>
    <n v="40"/>
    <x v="121"/>
    <x v="0"/>
    <n v="60"/>
    <n v="144"/>
  </r>
  <r>
    <n v="937"/>
    <n v="32"/>
    <x v="1"/>
    <x v="0"/>
    <x v="0"/>
    <n v="8"/>
    <x v="0"/>
    <x v="0"/>
    <x v="10"/>
    <n v="29"/>
    <n v="80"/>
    <x v="18"/>
    <n v="30"/>
    <n v="30"/>
    <n v="70"/>
    <n v="19"/>
    <n v="80"/>
    <n v="29"/>
    <n v="0.36249999999999999"/>
    <n v="8"/>
    <n v="10"/>
    <n v="2"/>
    <x v="123"/>
    <x v="0"/>
    <n v="32"/>
    <n v="80"/>
  </r>
  <r>
    <n v="407"/>
    <n v="54"/>
    <x v="1"/>
    <x v="0"/>
    <x v="2"/>
    <n v="20"/>
    <x v="0"/>
    <x v="0"/>
    <x v="0"/>
    <n v="13"/>
    <n v="121"/>
    <x v="2"/>
    <n v="40"/>
    <n v="10"/>
    <n v="80"/>
    <n v="54"/>
    <n v="121"/>
    <n v="13"/>
    <n v="0.10743801652892562"/>
    <n v="20"/>
    <n v="41"/>
    <n v="14"/>
    <x v="37"/>
    <x v="0"/>
    <n v="54"/>
    <n v="121"/>
  </r>
  <r>
    <n v="715"/>
    <n v="22"/>
    <x v="1"/>
    <x v="1"/>
    <x v="0"/>
    <n v="7"/>
    <x v="1"/>
    <x v="2"/>
    <x v="4"/>
    <n v="11"/>
    <n v="52"/>
    <x v="13"/>
    <n v="20"/>
    <n v="30"/>
    <n v="60"/>
    <n v="19"/>
    <n v="52"/>
    <n v="11"/>
    <n v="0.21153846153846154"/>
    <n v="7"/>
    <n v="-8"/>
    <n v="2"/>
    <x v="163"/>
    <x v="0"/>
    <n v="22"/>
    <n v="52"/>
  </r>
  <r>
    <n v="505"/>
    <n v="35"/>
    <x v="1"/>
    <x v="1"/>
    <x v="1"/>
    <n v="11"/>
    <x v="1"/>
    <x v="2"/>
    <x v="4"/>
    <n v="8"/>
    <n v="82"/>
    <x v="17"/>
    <n v="20"/>
    <n v="20"/>
    <n v="60"/>
    <n v="39"/>
    <n v="82"/>
    <n v="8"/>
    <n v="9.7560975609756101E-2"/>
    <n v="11"/>
    <n v="22"/>
    <n v="15"/>
    <x v="164"/>
    <x v="0"/>
    <n v="35"/>
    <n v="82"/>
  </r>
  <r>
    <n v="775"/>
    <n v="29"/>
    <x v="1"/>
    <x v="1"/>
    <x v="3"/>
    <n v="8"/>
    <x v="1"/>
    <x v="3"/>
    <x v="5"/>
    <n v="5"/>
    <n v="64"/>
    <x v="7"/>
    <n v="30"/>
    <n v="20"/>
    <n v="70"/>
    <n v="30"/>
    <n v="64"/>
    <n v="5"/>
    <n v="7.8125E-2"/>
    <n v="8"/>
    <n v="-6"/>
    <n v="-1"/>
    <x v="165"/>
    <x v="0"/>
    <n v="29"/>
    <n v="64"/>
  </r>
  <r>
    <n v="563"/>
    <n v="29"/>
    <x v="1"/>
    <x v="1"/>
    <x v="0"/>
    <n v="8"/>
    <x v="1"/>
    <x v="3"/>
    <x v="7"/>
    <n v="5"/>
    <n v="64"/>
    <x v="4"/>
    <n v="20"/>
    <n v="20"/>
    <n v="60"/>
    <n v="30"/>
    <n v="64"/>
    <n v="5"/>
    <n v="7.8125E-2"/>
    <n v="8"/>
    <n v="4"/>
    <n v="9"/>
    <x v="165"/>
    <x v="0"/>
    <n v="29"/>
    <n v="64"/>
  </r>
  <r>
    <n v="603"/>
    <n v="34"/>
    <x v="1"/>
    <x v="1"/>
    <x v="2"/>
    <n v="12"/>
    <x v="1"/>
    <x v="2"/>
    <x v="12"/>
    <n v="-3"/>
    <n v="76"/>
    <x v="9"/>
    <n v="30"/>
    <n v="0"/>
    <n v="70"/>
    <n v="45"/>
    <n v="76"/>
    <n v="-3"/>
    <n v="-3.9473684210526314E-2"/>
    <n v="12"/>
    <n v="6"/>
    <n v="4"/>
    <x v="72"/>
    <x v="0"/>
    <n v="34"/>
    <n v="76"/>
  </r>
  <r>
    <n v="918"/>
    <n v="32"/>
    <x v="1"/>
    <x v="1"/>
    <x v="1"/>
    <n v="8"/>
    <x v="1"/>
    <x v="2"/>
    <x v="8"/>
    <n v="29"/>
    <n v="80"/>
    <x v="6"/>
    <n v="20"/>
    <n v="30"/>
    <n v="60"/>
    <n v="19"/>
    <n v="80"/>
    <n v="29"/>
    <n v="0.36249999999999999"/>
    <n v="8"/>
    <n v="20"/>
    <n v="12"/>
    <x v="123"/>
    <x v="0"/>
    <n v="32"/>
    <n v="80"/>
  </r>
  <r>
    <n v="775"/>
    <n v="0"/>
    <x v="1"/>
    <x v="1"/>
    <x v="3"/>
    <n v="0"/>
    <x v="1"/>
    <x v="2"/>
    <x v="9"/>
    <n v="31"/>
    <n v="43"/>
    <x v="7"/>
    <n v="0"/>
    <n v="30"/>
    <n v="40"/>
    <n v="12"/>
    <n v="43"/>
    <n v="31"/>
    <n v="0.72093023255813948"/>
    <n v="0"/>
    <n v="3"/>
    <n v="0"/>
    <x v="5"/>
    <x v="0"/>
    <n v="0"/>
    <n v="43"/>
  </r>
  <r>
    <n v="435"/>
    <n v="33"/>
    <x v="1"/>
    <x v="1"/>
    <x v="3"/>
    <n v="9"/>
    <x v="1"/>
    <x v="2"/>
    <x v="9"/>
    <n v="27"/>
    <n v="81"/>
    <x v="8"/>
    <n v="30"/>
    <n v="30"/>
    <n v="70"/>
    <n v="21"/>
    <n v="81"/>
    <n v="27"/>
    <n v="0.33333333333333331"/>
    <n v="9"/>
    <n v="11"/>
    <n v="3"/>
    <x v="7"/>
    <x v="0"/>
    <n v="33"/>
    <n v="81"/>
  </r>
  <r>
    <n v="573"/>
    <n v="82"/>
    <x v="1"/>
    <x v="1"/>
    <x v="0"/>
    <n v="25"/>
    <x v="0"/>
    <x v="0"/>
    <x v="0"/>
    <n v="-9"/>
    <n v="122"/>
    <x v="12"/>
    <n v="70"/>
    <n v="0"/>
    <n v="110"/>
    <n v="49"/>
    <n v="122"/>
    <n v="-9"/>
    <n v="-7.3770491803278687E-2"/>
    <n v="25"/>
    <n v="12"/>
    <n v="12"/>
    <x v="166"/>
    <x v="0"/>
    <n v="82"/>
    <n v="122"/>
  </r>
  <r>
    <n v="801"/>
    <n v="82"/>
    <x v="1"/>
    <x v="1"/>
    <x v="3"/>
    <n v="25"/>
    <x v="0"/>
    <x v="0"/>
    <x v="1"/>
    <n v="-8"/>
    <n v="122"/>
    <x v="8"/>
    <n v="70"/>
    <n v="0"/>
    <n v="110"/>
    <n v="48"/>
    <n v="122"/>
    <n v="-8"/>
    <n v="-6.5573770491803282E-2"/>
    <n v="25"/>
    <n v="12"/>
    <n v="12"/>
    <x v="125"/>
    <x v="0"/>
    <n v="82"/>
    <n v="122"/>
  </r>
  <r>
    <n v="417"/>
    <n v="35"/>
    <x v="1"/>
    <x v="1"/>
    <x v="0"/>
    <n v="11"/>
    <x v="0"/>
    <x v="1"/>
    <x v="2"/>
    <n v="9"/>
    <n v="82"/>
    <x v="12"/>
    <n v="20"/>
    <n v="10"/>
    <n v="60"/>
    <n v="38"/>
    <n v="82"/>
    <n v="9"/>
    <n v="0.10975609756097561"/>
    <n v="11"/>
    <n v="22"/>
    <n v="15"/>
    <x v="167"/>
    <x v="0"/>
    <n v="35"/>
    <n v="82"/>
  </r>
  <r>
    <n v="636"/>
    <n v="34"/>
    <x v="1"/>
    <x v="1"/>
    <x v="0"/>
    <n v="12"/>
    <x v="0"/>
    <x v="1"/>
    <x v="11"/>
    <n v="-3"/>
    <n v="76"/>
    <x v="12"/>
    <n v="20"/>
    <n v="0"/>
    <n v="60"/>
    <n v="45"/>
    <n v="76"/>
    <n v="-3"/>
    <n v="-3.9473684210526314E-2"/>
    <n v="12"/>
    <n v="16"/>
    <n v="14"/>
    <x v="72"/>
    <x v="0"/>
    <n v="34"/>
    <n v="76"/>
  </r>
  <r>
    <n v="314"/>
    <n v="33"/>
    <x v="1"/>
    <x v="1"/>
    <x v="0"/>
    <n v="12"/>
    <x v="0"/>
    <x v="1"/>
    <x v="3"/>
    <n v="-4"/>
    <n v="74"/>
    <x v="12"/>
    <n v="20"/>
    <n v="0"/>
    <n v="60"/>
    <n v="45"/>
    <n v="74"/>
    <n v="-4"/>
    <n v="-5.4054054054054057E-2"/>
    <n v="12"/>
    <n v="14"/>
    <n v="13"/>
    <x v="128"/>
    <x v="0"/>
    <n v="33"/>
    <n v="74"/>
  </r>
  <r>
    <n v="603"/>
    <n v="0"/>
    <x v="1"/>
    <x v="1"/>
    <x v="2"/>
    <n v="0"/>
    <x v="0"/>
    <x v="1"/>
    <x v="3"/>
    <n v="32"/>
    <n v="43"/>
    <x v="9"/>
    <n v="0"/>
    <n v="30"/>
    <n v="40"/>
    <n v="11"/>
    <n v="43"/>
    <n v="32"/>
    <n v="0.7441860465116279"/>
    <n v="0"/>
    <n v="3"/>
    <n v="0"/>
    <x v="5"/>
    <x v="0"/>
    <n v="0"/>
    <n v="43"/>
  </r>
  <r>
    <n v="435"/>
    <n v="44"/>
    <x v="1"/>
    <x v="1"/>
    <x v="3"/>
    <n v="40"/>
    <x v="0"/>
    <x v="1"/>
    <x v="2"/>
    <n v="-7"/>
    <n v="106"/>
    <x v="8"/>
    <n v="30"/>
    <n v="-10"/>
    <n v="70"/>
    <n v="69"/>
    <n v="106"/>
    <n v="-7"/>
    <n v="-6.6037735849056603E-2"/>
    <n v="40"/>
    <n v="36"/>
    <n v="14"/>
    <x v="127"/>
    <x v="0"/>
    <n v="44"/>
    <n v="106"/>
  </r>
  <r>
    <n v="937"/>
    <n v="29"/>
    <x v="2"/>
    <x v="0"/>
    <x v="0"/>
    <n v="8"/>
    <x v="0"/>
    <x v="0"/>
    <x v="10"/>
    <n v="25"/>
    <n v="73"/>
    <x v="18"/>
    <n v="20"/>
    <n v="30"/>
    <n v="60"/>
    <n v="19"/>
    <n v="73"/>
    <n v="25"/>
    <n v="0.34246575342465752"/>
    <n v="8"/>
    <n v="13"/>
    <n v="9"/>
    <x v="168"/>
    <x v="0"/>
    <n v="29"/>
    <n v="73"/>
  </r>
  <r>
    <n v="330"/>
    <n v="33"/>
    <x v="2"/>
    <x v="0"/>
    <x v="0"/>
    <n v="9"/>
    <x v="0"/>
    <x v="0"/>
    <x v="0"/>
    <n v="29"/>
    <n v="82"/>
    <x v="18"/>
    <n v="30"/>
    <n v="30"/>
    <n v="70"/>
    <n v="20"/>
    <n v="82"/>
    <n v="29"/>
    <n v="0.35365853658536583"/>
    <n v="9"/>
    <n v="12"/>
    <n v="3"/>
    <x v="134"/>
    <x v="0"/>
    <n v="33"/>
    <n v="82"/>
  </r>
  <r>
    <n v="508"/>
    <n v="46"/>
    <x v="2"/>
    <x v="0"/>
    <x v="2"/>
    <n v="17"/>
    <x v="0"/>
    <x v="0"/>
    <x v="0"/>
    <n v="7"/>
    <n v="103"/>
    <x v="15"/>
    <n v="30"/>
    <n v="10"/>
    <n v="70"/>
    <n v="50"/>
    <n v="103"/>
    <n v="7"/>
    <n v="6.7961165048543687E-2"/>
    <n v="17"/>
    <n v="33"/>
    <n v="16"/>
    <x v="169"/>
    <x v="0"/>
    <n v="46"/>
    <n v="103"/>
  </r>
  <r>
    <n v="813"/>
    <n v="30"/>
    <x v="2"/>
    <x v="0"/>
    <x v="2"/>
    <n v="8"/>
    <x v="0"/>
    <x v="1"/>
    <x v="2"/>
    <n v="26"/>
    <n v="75"/>
    <x v="2"/>
    <n v="30"/>
    <n v="30"/>
    <n v="70"/>
    <n v="19"/>
    <n v="75"/>
    <n v="26"/>
    <n v="0.34666666666666668"/>
    <n v="8"/>
    <n v="5"/>
    <n v="0"/>
    <x v="170"/>
    <x v="0"/>
    <n v="30"/>
    <n v="75"/>
  </r>
  <r>
    <n v="857"/>
    <n v="29"/>
    <x v="2"/>
    <x v="0"/>
    <x v="2"/>
    <n v="8"/>
    <x v="0"/>
    <x v="1"/>
    <x v="3"/>
    <n v="25"/>
    <n v="73"/>
    <x v="15"/>
    <n v="30"/>
    <n v="30"/>
    <n v="70"/>
    <n v="19"/>
    <n v="73"/>
    <n v="25"/>
    <n v="0.34246575342465752"/>
    <n v="8"/>
    <n v="3"/>
    <n v="-1"/>
    <x v="168"/>
    <x v="0"/>
    <n v="29"/>
    <n v="73"/>
  </r>
  <r>
    <n v="262"/>
    <n v="24"/>
    <x v="2"/>
    <x v="1"/>
    <x v="0"/>
    <n v="7"/>
    <x v="1"/>
    <x v="2"/>
    <x v="4"/>
    <n v="13"/>
    <n v="56"/>
    <x v="13"/>
    <n v="30"/>
    <n v="30"/>
    <n v="70"/>
    <n v="19"/>
    <n v="56"/>
    <n v="13"/>
    <n v="0.23214285714285715"/>
    <n v="7"/>
    <n v="-14"/>
    <n v="-6"/>
    <x v="171"/>
    <x v="0"/>
    <n v="24"/>
    <n v="56"/>
  </r>
  <r>
    <n v="702"/>
    <n v="0"/>
    <x v="2"/>
    <x v="1"/>
    <x v="3"/>
    <n v="0"/>
    <x v="1"/>
    <x v="2"/>
    <x v="9"/>
    <n v="31"/>
    <n v="43"/>
    <x v="7"/>
    <n v="0"/>
    <n v="30"/>
    <n v="40"/>
    <n v="12"/>
    <n v="43"/>
    <n v="31"/>
    <n v="0.72093023255813948"/>
    <n v="0"/>
    <n v="3"/>
    <n v="0"/>
    <x v="5"/>
    <x v="0"/>
    <n v="0"/>
    <n v="43"/>
  </r>
  <r>
    <n v="435"/>
    <n v="31"/>
    <x v="2"/>
    <x v="1"/>
    <x v="3"/>
    <n v="8"/>
    <x v="1"/>
    <x v="2"/>
    <x v="9"/>
    <n v="26"/>
    <n v="77"/>
    <x v="8"/>
    <n v="30"/>
    <n v="30"/>
    <n v="70"/>
    <n v="20"/>
    <n v="77"/>
    <n v="26"/>
    <n v="0.33766233766233766"/>
    <n v="8"/>
    <n v="7"/>
    <n v="1"/>
    <x v="170"/>
    <x v="0"/>
    <n v="31"/>
    <n v="77"/>
  </r>
  <r>
    <n v="715"/>
    <n v="34"/>
    <x v="2"/>
    <x v="1"/>
    <x v="0"/>
    <n v="9"/>
    <x v="0"/>
    <x v="0"/>
    <x v="0"/>
    <n v="30"/>
    <n v="85"/>
    <x v="13"/>
    <n v="30"/>
    <n v="30"/>
    <n v="70"/>
    <n v="21"/>
    <n v="85"/>
    <n v="30"/>
    <n v="0.35294117647058826"/>
    <n v="9"/>
    <n v="15"/>
    <n v="4"/>
    <x v="91"/>
    <x v="0"/>
    <n v="34"/>
    <n v="85"/>
  </r>
  <r>
    <n v="603"/>
    <n v="39"/>
    <x v="2"/>
    <x v="1"/>
    <x v="2"/>
    <n v="14"/>
    <x v="0"/>
    <x v="0"/>
    <x v="0"/>
    <n v="2"/>
    <n v="88"/>
    <x v="9"/>
    <n v="20"/>
    <n v="10"/>
    <n v="60"/>
    <n v="47"/>
    <n v="88"/>
    <n v="2"/>
    <n v="2.2727272727272728E-2"/>
    <n v="14"/>
    <n v="28"/>
    <n v="19"/>
    <x v="172"/>
    <x v="0"/>
    <n v="39"/>
    <n v="88"/>
  </r>
  <r>
    <n v="505"/>
    <n v="31"/>
    <x v="2"/>
    <x v="1"/>
    <x v="1"/>
    <n v="9"/>
    <x v="0"/>
    <x v="0"/>
    <x v="0"/>
    <n v="7"/>
    <n v="69"/>
    <x v="17"/>
    <n v="20"/>
    <n v="20"/>
    <n v="60"/>
    <n v="31"/>
    <n v="69"/>
    <n v="7"/>
    <n v="0.10144927536231885"/>
    <n v="9"/>
    <n v="9"/>
    <n v="11"/>
    <x v="8"/>
    <x v="0"/>
    <n v="31"/>
    <n v="69"/>
  </r>
  <r>
    <n v="573"/>
    <n v="38"/>
    <x v="2"/>
    <x v="1"/>
    <x v="0"/>
    <n v="12"/>
    <x v="0"/>
    <x v="1"/>
    <x v="2"/>
    <n v="11"/>
    <n v="89"/>
    <x v="12"/>
    <n v="30"/>
    <n v="10"/>
    <n v="70"/>
    <n v="40"/>
    <n v="89"/>
    <n v="11"/>
    <n v="0.12359550561797752"/>
    <n v="12"/>
    <n v="19"/>
    <n v="8"/>
    <x v="173"/>
    <x v="0"/>
    <n v="38"/>
    <n v="89"/>
  </r>
  <r>
    <n v="636"/>
    <n v="39"/>
    <x v="2"/>
    <x v="1"/>
    <x v="0"/>
    <n v="14"/>
    <x v="0"/>
    <x v="1"/>
    <x v="3"/>
    <n v="2"/>
    <n v="88"/>
    <x v="12"/>
    <n v="30"/>
    <n v="0"/>
    <n v="70"/>
    <n v="47"/>
    <n v="88"/>
    <n v="2"/>
    <n v="2.2727272727272728E-2"/>
    <n v="14"/>
    <n v="18"/>
    <n v="9"/>
    <x v="172"/>
    <x v="0"/>
    <n v="39"/>
    <n v="88"/>
  </r>
  <r>
    <n v="603"/>
    <n v="0"/>
    <x v="2"/>
    <x v="1"/>
    <x v="2"/>
    <n v="0"/>
    <x v="0"/>
    <x v="1"/>
    <x v="3"/>
    <n v="32"/>
    <n v="43"/>
    <x v="9"/>
    <n v="0"/>
    <n v="30"/>
    <n v="40"/>
    <n v="11"/>
    <n v="43"/>
    <n v="32"/>
    <n v="0.7441860465116279"/>
    <n v="0"/>
    <n v="3"/>
    <n v="0"/>
    <x v="5"/>
    <x v="0"/>
    <n v="0"/>
    <n v="43"/>
  </r>
  <r>
    <n v="509"/>
    <n v="41"/>
    <x v="2"/>
    <x v="1"/>
    <x v="3"/>
    <n v="12"/>
    <x v="0"/>
    <x v="1"/>
    <x v="2"/>
    <n v="30"/>
    <n v="107"/>
    <x v="14"/>
    <n v="30"/>
    <n v="20"/>
    <n v="70"/>
    <n v="36"/>
    <n v="107"/>
    <n v="30"/>
    <n v="0.28037383177570091"/>
    <n v="12"/>
    <n v="37"/>
    <n v="11"/>
    <x v="55"/>
    <x v="0"/>
    <n v="41"/>
    <n v="107"/>
  </r>
  <r>
    <n v="801"/>
    <n v="38"/>
    <x v="2"/>
    <x v="1"/>
    <x v="3"/>
    <n v="12"/>
    <x v="0"/>
    <x v="1"/>
    <x v="11"/>
    <n v="12"/>
    <n v="89"/>
    <x v="8"/>
    <n v="20"/>
    <n v="10"/>
    <n v="60"/>
    <n v="39"/>
    <n v="89"/>
    <n v="12"/>
    <n v="0.1348314606741573"/>
    <n v="12"/>
    <n v="29"/>
    <n v="18"/>
    <x v="174"/>
    <x v="0"/>
    <n v="38"/>
    <n v="89"/>
  </r>
  <r>
    <n v="509"/>
    <n v="43"/>
    <x v="2"/>
    <x v="1"/>
    <x v="3"/>
    <n v="13"/>
    <x v="0"/>
    <x v="1"/>
    <x v="11"/>
    <n v="28"/>
    <n v="106"/>
    <x v="14"/>
    <n v="30"/>
    <n v="20"/>
    <n v="70"/>
    <n v="35"/>
    <n v="106"/>
    <n v="28"/>
    <n v="0.26415094339622641"/>
    <n v="13"/>
    <n v="36"/>
    <n v="13"/>
    <x v="2"/>
    <x v="0"/>
    <n v="43"/>
    <n v="106"/>
  </r>
  <r>
    <n v="312"/>
    <n v="39"/>
    <x v="3"/>
    <x v="0"/>
    <x v="0"/>
    <n v="12"/>
    <x v="0"/>
    <x v="0"/>
    <x v="0"/>
    <n v="40"/>
    <n v="96"/>
    <x v="16"/>
    <n v="20"/>
    <n v="40"/>
    <n v="60"/>
    <n v="24"/>
    <n v="96"/>
    <n v="40"/>
    <n v="0.41666666666666669"/>
    <n v="12"/>
    <n v="36"/>
    <n v="19"/>
    <x v="91"/>
    <x v="0"/>
    <n v="39"/>
    <n v="96"/>
  </r>
  <r>
    <n v="530"/>
    <n v="39"/>
    <x v="3"/>
    <x v="0"/>
    <x v="3"/>
    <n v="12"/>
    <x v="0"/>
    <x v="0"/>
    <x v="1"/>
    <n v="39"/>
    <n v="96"/>
    <x v="3"/>
    <n v="20"/>
    <n v="40"/>
    <n v="60"/>
    <n v="25"/>
    <n v="96"/>
    <n v="39"/>
    <n v="0.40625"/>
    <n v="12"/>
    <n v="36"/>
    <n v="19"/>
    <x v="170"/>
    <x v="0"/>
    <n v="39"/>
    <n v="96"/>
  </r>
  <r>
    <n v="505"/>
    <n v="86"/>
    <x v="3"/>
    <x v="1"/>
    <x v="1"/>
    <n v="26"/>
    <x v="1"/>
    <x v="3"/>
    <x v="5"/>
    <n v="-39"/>
    <n v="116"/>
    <x v="17"/>
    <n v="110"/>
    <n v="10"/>
    <n v="150"/>
    <n v="49"/>
    <n v="116"/>
    <n v="-39"/>
    <n v="-0.33620689655172414"/>
    <n v="26"/>
    <n v="-34"/>
    <n v="-24"/>
    <x v="175"/>
    <x v="0"/>
    <n v="86"/>
    <n v="116"/>
  </r>
  <r>
    <n v="318"/>
    <n v="46"/>
    <x v="3"/>
    <x v="1"/>
    <x v="1"/>
    <n v="14"/>
    <x v="1"/>
    <x v="2"/>
    <x v="4"/>
    <n v="45"/>
    <n v="120"/>
    <x v="10"/>
    <n v="20"/>
    <n v="40"/>
    <n v="60"/>
    <n v="37"/>
    <n v="120"/>
    <n v="45"/>
    <n v="0.375"/>
    <n v="14"/>
    <n v="60"/>
    <n v="26"/>
    <x v="93"/>
    <x v="0"/>
    <n v="46"/>
    <n v="120"/>
  </r>
  <r>
    <n v="515"/>
    <n v="31"/>
    <x v="3"/>
    <x v="1"/>
    <x v="0"/>
    <n v="9"/>
    <x v="1"/>
    <x v="3"/>
    <x v="7"/>
    <n v="10"/>
    <n v="72"/>
    <x v="4"/>
    <n v="20"/>
    <n v="30"/>
    <n v="60"/>
    <n v="30"/>
    <n v="72"/>
    <n v="10"/>
    <n v="0.1388888888888889"/>
    <n v="9"/>
    <n v="12"/>
    <n v="11"/>
    <x v="67"/>
    <x v="0"/>
    <n v="31"/>
    <n v="72"/>
  </r>
  <r>
    <n v="505"/>
    <n v="45"/>
    <x v="3"/>
    <x v="1"/>
    <x v="1"/>
    <n v="41"/>
    <x v="1"/>
    <x v="2"/>
    <x v="8"/>
    <n v="-9"/>
    <n v="116"/>
    <x v="17"/>
    <n v="20"/>
    <n v="10"/>
    <n v="60"/>
    <n v="70"/>
    <n v="116"/>
    <n v="-9"/>
    <n v="-7.7586206896551727E-2"/>
    <n v="41"/>
    <n v="56"/>
    <n v="25"/>
    <x v="74"/>
    <x v="0"/>
    <n v="45"/>
    <n v="116"/>
  </r>
  <r>
    <n v="435"/>
    <n v="32"/>
    <x v="3"/>
    <x v="1"/>
    <x v="3"/>
    <n v="8"/>
    <x v="1"/>
    <x v="2"/>
    <x v="9"/>
    <n v="42"/>
    <n v="84"/>
    <x v="8"/>
    <n v="20"/>
    <n v="40"/>
    <n v="60"/>
    <n v="19"/>
    <n v="84"/>
    <n v="42"/>
    <n v="0.5"/>
    <n v="8"/>
    <n v="24"/>
    <n v="12"/>
    <x v="89"/>
    <x v="0"/>
    <n v="32"/>
    <n v="84"/>
  </r>
  <r>
    <n v="505"/>
    <n v="31"/>
    <x v="3"/>
    <x v="1"/>
    <x v="1"/>
    <n v="9"/>
    <x v="0"/>
    <x v="0"/>
    <x v="0"/>
    <n v="9"/>
    <n v="72"/>
    <x v="17"/>
    <n v="10"/>
    <n v="30"/>
    <n v="50"/>
    <n v="31"/>
    <n v="72"/>
    <n v="9"/>
    <n v="0.125"/>
    <n v="9"/>
    <n v="22"/>
    <n v="21"/>
    <x v="174"/>
    <x v="0"/>
    <n v="31"/>
    <n v="72"/>
  </r>
  <r>
    <n v="314"/>
    <n v="39"/>
    <x v="3"/>
    <x v="1"/>
    <x v="0"/>
    <n v="12"/>
    <x v="0"/>
    <x v="1"/>
    <x v="2"/>
    <n v="19"/>
    <n v="98"/>
    <x v="12"/>
    <n v="20"/>
    <n v="30"/>
    <n v="60"/>
    <n v="40"/>
    <n v="98"/>
    <n v="19"/>
    <n v="0.19387755102040816"/>
    <n v="12"/>
    <n v="38"/>
    <n v="19"/>
    <x v="176"/>
    <x v="0"/>
    <n v="39"/>
    <n v="98"/>
  </r>
  <r>
    <n v="203"/>
    <n v="24"/>
    <x v="3"/>
    <x v="1"/>
    <x v="2"/>
    <n v="6"/>
    <x v="0"/>
    <x v="1"/>
    <x v="3"/>
    <n v="27"/>
    <n v="64"/>
    <x v="5"/>
    <n v="20"/>
    <n v="40"/>
    <n v="60"/>
    <n v="18"/>
    <n v="64"/>
    <n v="27"/>
    <n v="0.421875"/>
    <n v="6"/>
    <n v="4"/>
    <n v="4"/>
    <x v="90"/>
    <x v="0"/>
    <n v="24"/>
    <n v="64"/>
  </r>
  <r>
    <n v="603"/>
    <n v="0"/>
    <x v="3"/>
    <x v="1"/>
    <x v="2"/>
    <n v="0"/>
    <x v="0"/>
    <x v="1"/>
    <x v="3"/>
    <n v="47"/>
    <n v="46"/>
    <x v="9"/>
    <n v="0"/>
    <n v="40"/>
    <n v="40"/>
    <n v="11"/>
    <n v="46"/>
    <n v="47"/>
    <n v="1.0217391304347827"/>
    <n v="0"/>
    <n v="6"/>
    <n v="0"/>
    <x v="5"/>
    <x v="0"/>
    <n v="0"/>
    <n v="46"/>
  </r>
  <r>
    <n v="435"/>
    <n v="45"/>
    <x v="3"/>
    <x v="1"/>
    <x v="3"/>
    <n v="41"/>
    <x v="0"/>
    <x v="1"/>
    <x v="2"/>
    <n v="-9"/>
    <n v="116"/>
    <x v="8"/>
    <n v="10"/>
    <n v="20"/>
    <n v="50"/>
    <n v="70"/>
    <n v="116"/>
    <n v="-9"/>
    <n v="-7.7586206896551727E-2"/>
    <n v="41"/>
    <n v="66"/>
    <n v="35"/>
    <x v="74"/>
    <x v="0"/>
    <n v="45"/>
    <n v="116"/>
  </r>
  <r>
    <n v="206"/>
    <n v="60"/>
    <x v="3"/>
    <x v="1"/>
    <x v="3"/>
    <n v="54"/>
    <x v="0"/>
    <x v="1"/>
    <x v="3"/>
    <n v="0"/>
    <n v="153"/>
    <x v="14"/>
    <n v="20"/>
    <n v="10"/>
    <n v="60"/>
    <n v="84"/>
    <n v="153"/>
    <n v="0"/>
    <n v="0"/>
    <n v="54"/>
    <n v="93"/>
    <n v="40"/>
    <x v="121"/>
    <x v="0"/>
    <n v="60"/>
    <n v="153"/>
  </r>
  <r>
    <n v="440"/>
    <n v="32"/>
    <x v="4"/>
    <x v="0"/>
    <x v="0"/>
    <n v="8"/>
    <x v="0"/>
    <x v="0"/>
    <x v="10"/>
    <n v="43"/>
    <n v="85"/>
    <x v="18"/>
    <n v="30"/>
    <n v="30"/>
    <n v="70"/>
    <n v="19"/>
    <n v="85"/>
    <n v="43"/>
    <n v="0.50588235294117645"/>
    <n v="8"/>
    <n v="15"/>
    <n v="2"/>
    <x v="146"/>
    <x v="0"/>
    <n v="32"/>
    <n v="85"/>
  </r>
  <r>
    <n v="561"/>
    <n v="54"/>
    <x v="4"/>
    <x v="0"/>
    <x v="2"/>
    <n v="20"/>
    <x v="0"/>
    <x v="0"/>
    <x v="0"/>
    <n v="19"/>
    <n v="129"/>
    <x v="2"/>
    <n v="40"/>
    <n v="10"/>
    <n v="80"/>
    <n v="54"/>
    <n v="129"/>
    <n v="19"/>
    <n v="0.14728682170542637"/>
    <n v="20"/>
    <n v="49"/>
    <n v="14"/>
    <x v="96"/>
    <x v="0"/>
    <n v="54"/>
    <n v="129"/>
  </r>
  <r>
    <n v="920"/>
    <n v="22"/>
    <x v="4"/>
    <x v="1"/>
    <x v="0"/>
    <n v="7"/>
    <x v="1"/>
    <x v="2"/>
    <x v="4"/>
    <n v="16"/>
    <n v="55"/>
    <x v="13"/>
    <n v="20"/>
    <n v="30"/>
    <n v="60"/>
    <n v="19"/>
    <n v="55"/>
    <n v="16"/>
    <n v="0.29090909090909089"/>
    <n v="7"/>
    <n v="-5"/>
    <n v="2"/>
    <x v="177"/>
    <x v="0"/>
    <n v="22"/>
    <n v="55"/>
  </r>
  <r>
    <n v="505"/>
    <n v="35"/>
    <x v="4"/>
    <x v="1"/>
    <x v="1"/>
    <n v="11"/>
    <x v="1"/>
    <x v="2"/>
    <x v="4"/>
    <n v="12"/>
    <n v="87"/>
    <x v="17"/>
    <n v="20"/>
    <n v="20"/>
    <n v="60"/>
    <n v="39"/>
    <n v="87"/>
    <n v="12"/>
    <n v="0.13793103448275862"/>
    <n v="11"/>
    <n v="27"/>
    <n v="15"/>
    <x v="178"/>
    <x v="0"/>
    <n v="35"/>
    <n v="87"/>
  </r>
  <r>
    <n v="702"/>
    <n v="29"/>
    <x v="4"/>
    <x v="1"/>
    <x v="3"/>
    <n v="8"/>
    <x v="1"/>
    <x v="3"/>
    <x v="5"/>
    <n v="7"/>
    <n v="68"/>
    <x v="7"/>
    <n v="30"/>
    <n v="20"/>
    <n v="70"/>
    <n v="30"/>
    <n v="68"/>
    <n v="7"/>
    <n v="0.10294117647058823"/>
    <n v="8"/>
    <n v="-2"/>
    <n v="-1"/>
    <x v="179"/>
    <x v="0"/>
    <n v="29"/>
    <n v="68"/>
  </r>
  <r>
    <n v="515"/>
    <n v="29"/>
    <x v="4"/>
    <x v="1"/>
    <x v="0"/>
    <n v="8"/>
    <x v="1"/>
    <x v="3"/>
    <x v="7"/>
    <n v="7"/>
    <n v="68"/>
    <x v="4"/>
    <n v="20"/>
    <n v="20"/>
    <n v="60"/>
    <n v="30"/>
    <n v="68"/>
    <n v="7"/>
    <n v="0.10294117647058823"/>
    <n v="8"/>
    <n v="8"/>
    <n v="9"/>
    <x v="179"/>
    <x v="0"/>
    <n v="29"/>
    <n v="68"/>
  </r>
  <r>
    <n v="603"/>
    <n v="34"/>
    <x v="4"/>
    <x v="1"/>
    <x v="2"/>
    <n v="12"/>
    <x v="1"/>
    <x v="2"/>
    <x v="12"/>
    <n v="-4"/>
    <n v="81"/>
    <x v="9"/>
    <n v="30"/>
    <n v="0"/>
    <n v="70"/>
    <n v="45"/>
    <n v="81"/>
    <n v="-4"/>
    <n v="-4.9382716049382713E-2"/>
    <n v="12"/>
    <n v="11"/>
    <n v="4"/>
    <x v="128"/>
    <x v="0"/>
    <n v="34"/>
    <n v="81"/>
  </r>
  <r>
    <n v="580"/>
    <n v="32"/>
    <x v="4"/>
    <x v="1"/>
    <x v="1"/>
    <n v="8"/>
    <x v="1"/>
    <x v="2"/>
    <x v="8"/>
    <n v="43"/>
    <n v="85"/>
    <x v="6"/>
    <n v="20"/>
    <n v="30"/>
    <n v="60"/>
    <n v="19"/>
    <n v="85"/>
    <n v="43"/>
    <n v="0.50588235294117645"/>
    <n v="8"/>
    <n v="25"/>
    <n v="12"/>
    <x v="146"/>
    <x v="0"/>
    <n v="32"/>
    <n v="85"/>
  </r>
  <r>
    <n v="775"/>
    <n v="0"/>
    <x v="4"/>
    <x v="1"/>
    <x v="3"/>
    <n v="0"/>
    <x v="1"/>
    <x v="2"/>
    <x v="9"/>
    <n v="46"/>
    <n v="46"/>
    <x v="7"/>
    <n v="0"/>
    <n v="30"/>
    <n v="40"/>
    <n v="12"/>
    <n v="46"/>
    <n v="46"/>
    <n v="1"/>
    <n v="0"/>
    <n v="6"/>
    <n v="0"/>
    <x v="5"/>
    <x v="0"/>
    <n v="0"/>
    <n v="46"/>
  </r>
  <r>
    <n v="435"/>
    <n v="33"/>
    <x v="4"/>
    <x v="1"/>
    <x v="3"/>
    <n v="9"/>
    <x v="1"/>
    <x v="2"/>
    <x v="9"/>
    <n v="40"/>
    <n v="86"/>
    <x v="8"/>
    <n v="30"/>
    <n v="30"/>
    <n v="70"/>
    <n v="21"/>
    <n v="86"/>
    <n v="40"/>
    <n v="0.46511627906976744"/>
    <n v="9"/>
    <n v="16"/>
    <n v="3"/>
    <x v="88"/>
    <x v="0"/>
    <n v="33"/>
    <n v="86"/>
  </r>
  <r>
    <n v="314"/>
    <n v="82"/>
    <x v="4"/>
    <x v="1"/>
    <x v="0"/>
    <n v="25"/>
    <x v="0"/>
    <x v="0"/>
    <x v="0"/>
    <n v="-13"/>
    <n v="130"/>
    <x v="12"/>
    <n v="70"/>
    <n v="0"/>
    <n v="110"/>
    <n v="49"/>
    <n v="130"/>
    <n v="-13"/>
    <n v="-0.1"/>
    <n v="25"/>
    <n v="20"/>
    <n v="12"/>
    <x v="180"/>
    <x v="0"/>
    <n v="82"/>
    <n v="130"/>
  </r>
  <r>
    <n v="435"/>
    <n v="82"/>
    <x v="4"/>
    <x v="1"/>
    <x v="3"/>
    <n v="25"/>
    <x v="0"/>
    <x v="0"/>
    <x v="1"/>
    <n v="-12"/>
    <n v="130"/>
    <x v="8"/>
    <n v="70"/>
    <n v="0"/>
    <n v="110"/>
    <n v="48"/>
    <n v="130"/>
    <n v="-12"/>
    <n v="-9.2307692307692313E-2"/>
    <n v="25"/>
    <n v="20"/>
    <n v="12"/>
    <x v="147"/>
    <x v="0"/>
    <n v="82"/>
    <n v="130"/>
  </r>
  <r>
    <n v="636"/>
    <n v="35"/>
    <x v="4"/>
    <x v="1"/>
    <x v="0"/>
    <n v="11"/>
    <x v="0"/>
    <x v="1"/>
    <x v="2"/>
    <n v="13"/>
    <n v="87"/>
    <x v="12"/>
    <n v="20"/>
    <n v="10"/>
    <n v="60"/>
    <n v="38"/>
    <n v="87"/>
    <n v="13"/>
    <n v="0.14942528735632185"/>
    <n v="11"/>
    <n v="27"/>
    <n v="15"/>
    <x v="181"/>
    <x v="0"/>
    <n v="35"/>
    <n v="87"/>
  </r>
  <r>
    <n v="573"/>
    <n v="34"/>
    <x v="4"/>
    <x v="1"/>
    <x v="0"/>
    <n v="12"/>
    <x v="0"/>
    <x v="1"/>
    <x v="11"/>
    <n v="-4"/>
    <n v="81"/>
    <x v="12"/>
    <n v="20"/>
    <n v="0"/>
    <n v="60"/>
    <n v="45"/>
    <n v="81"/>
    <n v="-4"/>
    <n v="-4.9382716049382713E-2"/>
    <n v="12"/>
    <n v="21"/>
    <n v="14"/>
    <x v="128"/>
    <x v="0"/>
    <n v="34"/>
    <n v="81"/>
  </r>
  <r>
    <n v="314"/>
    <n v="33"/>
    <x v="4"/>
    <x v="1"/>
    <x v="0"/>
    <n v="12"/>
    <x v="0"/>
    <x v="1"/>
    <x v="3"/>
    <n v="-6"/>
    <n v="79"/>
    <x v="12"/>
    <n v="20"/>
    <n v="0"/>
    <n v="60"/>
    <n v="45"/>
    <n v="79"/>
    <n v="-6"/>
    <n v="-7.5949367088607597E-2"/>
    <n v="12"/>
    <n v="19"/>
    <n v="13"/>
    <x v="149"/>
    <x v="0"/>
    <n v="33"/>
    <n v="79"/>
  </r>
  <r>
    <n v="603"/>
    <n v="0"/>
    <x v="4"/>
    <x v="1"/>
    <x v="2"/>
    <n v="0"/>
    <x v="0"/>
    <x v="1"/>
    <x v="3"/>
    <n v="47"/>
    <n v="46"/>
    <x v="9"/>
    <n v="0"/>
    <n v="30"/>
    <n v="40"/>
    <n v="11"/>
    <n v="46"/>
    <n v="47"/>
    <n v="1.0217391304347827"/>
    <n v="0"/>
    <n v="6"/>
    <n v="0"/>
    <x v="5"/>
    <x v="0"/>
    <n v="0"/>
    <n v="46"/>
  </r>
  <r>
    <n v="435"/>
    <n v="44"/>
    <x v="4"/>
    <x v="1"/>
    <x v="3"/>
    <n v="40"/>
    <x v="0"/>
    <x v="1"/>
    <x v="2"/>
    <n v="-10"/>
    <n v="113"/>
    <x v="8"/>
    <n v="30"/>
    <n v="-10"/>
    <n v="70"/>
    <n v="69"/>
    <n v="113"/>
    <n v="-10"/>
    <n v="-8.8495575221238937E-2"/>
    <n v="40"/>
    <n v="43"/>
    <n v="14"/>
    <x v="72"/>
    <x v="0"/>
    <n v="44"/>
    <n v="113"/>
  </r>
  <r>
    <n v="614"/>
    <n v="29"/>
    <x v="5"/>
    <x v="0"/>
    <x v="0"/>
    <n v="8"/>
    <x v="0"/>
    <x v="0"/>
    <x v="10"/>
    <n v="37"/>
    <n v="78"/>
    <x v="18"/>
    <n v="20"/>
    <n v="30"/>
    <n v="60"/>
    <n v="19"/>
    <n v="78"/>
    <n v="37"/>
    <n v="0.47435897435897434"/>
    <n v="8"/>
    <n v="18"/>
    <n v="9"/>
    <x v="182"/>
    <x v="0"/>
    <n v="29"/>
    <n v="78"/>
  </r>
  <r>
    <n v="440"/>
    <n v="33"/>
    <x v="5"/>
    <x v="0"/>
    <x v="0"/>
    <n v="9"/>
    <x v="0"/>
    <x v="0"/>
    <x v="0"/>
    <n v="43"/>
    <n v="87"/>
    <x v="18"/>
    <n v="30"/>
    <n v="30"/>
    <n v="70"/>
    <n v="20"/>
    <n v="87"/>
    <n v="43"/>
    <n v="0.4942528735632184"/>
    <n v="9"/>
    <n v="17"/>
    <n v="3"/>
    <x v="154"/>
    <x v="0"/>
    <n v="33"/>
    <n v="87"/>
  </r>
  <r>
    <n v="774"/>
    <n v="46"/>
    <x v="5"/>
    <x v="0"/>
    <x v="2"/>
    <n v="17"/>
    <x v="0"/>
    <x v="0"/>
    <x v="0"/>
    <n v="10"/>
    <n v="110"/>
    <x v="15"/>
    <n v="30"/>
    <n v="10"/>
    <n v="70"/>
    <n v="50"/>
    <n v="110"/>
    <n v="10"/>
    <n v="9.0909090909090912E-2"/>
    <n v="17"/>
    <n v="40"/>
    <n v="16"/>
    <x v="183"/>
    <x v="0"/>
    <n v="46"/>
    <n v="110"/>
  </r>
  <r>
    <n v="321"/>
    <n v="30"/>
    <x v="5"/>
    <x v="0"/>
    <x v="2"/>
    <n v="8"/>
    <x v="0"/>
    <x v="1"/>
    <x v="2"/>
    <n v="39"/>
    <n v="80"/>
    <x v="2"/>
    <n v="30"/>
    <n v="30"/>
    <n v="70"/>
    <n v="19"/>
    <n v="80"/>
    <n v="39"/>
    <n v="0.48749999999999999"/>
    <n v="8"/>
    <n v="10"/>
    <n v="0"/>
    <x v="184"/>
    <x v="0"/>
    <n v="30"/>
    <n v="80"/>
  </r>
  <r>
    <n v="774"/>
    <n v="29"/>
    <x v="5"/>
    <x v="0"/>
    <x v="2"/>
    <n v="8"/>
    <x v="0"/>
    <x v="1"/>
    <x v="3"/>
    <n v="37"/>
    <n v="78"/>
    <x v="15"/>
    <n v="30"/>
    <n v="30"/>
    <n v="70"/>
    <n v="19"/>
    <n v="78"/>
    <n v="37"/>
    <n v="0.47435897435897434"/>
    <n v="8"/>
    <n v="8"/>
    <n v="-1"/>
    <x v="182"/>
    <x v="0"/>
    <n v="29"/>
    <n v="78"/>
  </r>
  <r>
    <n v="608"/>
    <n v="24"/>
    <x v="5"/>
    <x v="1"/>
    <x v="0"/>
    <n v="7"/>
    <x v="1"/>
    <x v="2"/>
    <x v="4"/>
    <n v="19"/>
    <n v="60"/>
    <x v="13"/>
    <n v="30"/>
    <n v="30"/>
    <n v="70"/>
    <n v="19"/>
    <n v="60"/>
    <n v="19"/>
    <n v="0.31666666666666665"/>
    <n v="7"/>
    <n v="-10"/>
    <n v="-6"/>
    <x v="21"/>
    <x v="0"/>
    <n v="24"/>
    <n v="60"/>
  </r>
  <r>
    <n v="775"/>
    <n v="0"/>
    <x v="5"/>
    <x v="1"/>
    <x v="3"/>
    <n v="0"/>
    <x v="1"/>
    <x v="2"/>
    <x v="9"/>
    <n v="46"/>
    <n v="46"/>
    <x v="7"/>
    <n v="0"/>
    <n v="30"/>
    <n v="40"/>
    <n v="12"/>
    <n v="46"/>
    <n v="46"/>
    <n v="1"/>
    <n v="0"/>
    <n v="6"/>
    <n v="0"/>
    <x v="5"/>
    <x v="0"/>
    <n v="0"/>
    <n v="46"/>
  </r>
  <r>
    <n v="435"/>
    <n v="31"/>
    <x v="5"/>
    <x v="1"/>
    <x v="3"/>
    <n v="8"/>
    <x v="1"/>
    <x v="2"/>
    <x v="9"/>
    <n v="39"/>
    <n v="82"/>
    <x v="8"/>
    <n v="30"/>
    <n v="30"/>
    <n v="70"/>
    <n v="20"/>
    <n v="82"/>
    <n v="39"/>
    <n v="0.47560975609756095"/>
    <n v="8"/>
    <n v="12"/>
    <n v="1"/>
    <x v="184"/>
    <x v="0"/>
    <n v="31"/>
    <n v="82"/>
  </r>
  <r>
    <n v="715"/>
    <n v="34"/>
    <x v="5"/>
    <x v="1"/>
    <x v="0"/>
    <n v="9"/>
    <x v="0"/>
    <x v="0"/>
    <x v="0"/>
    <n v="45"/>
    <n v="91"/>
    <x v="13"/>
    <n v="30"/>
    <n v="30"/>
    <n v="70"/>
    <n v="21"/>
    <n v="91"/>
    <n v="45"/>
    <n v="0.49450549450549453"/>
    <n v="9"/>
    <n v="21"/>
    <n v="4"/>
    <x v="68"/>
    <x v="0"/>
    <n v="34"/>
    <n v="91"/>
  </r>
  <r>
    <n v="603"/>
    <n v="39"/>
    <x v="5"/>
    <x v="1"/>
    <x v="2"/>
    <n v="14"/>
    <x v="0"/>
    <x v="0"/>
    <x v="0"/>
    <n v="3"/>
    <n v="94"/>
    <x v="9"/>
    <n v="20"/>
    <n v="10"/>
    <n v="60"/>
    <n v="47"/>
    <n v="94"/>
    <n v="3"/>
    <n v="3.1914893617021274E-2"/>
    <n v="14"/>
    <n v="34"/>
    <n v="19"/>
    <x v="185"/>
    <x v="0"/>
    <n v="39"/>
    <n v="94"/>
  </r>
  <r>
    <n v="505"/>
    <n v="31"/>
    <x v="5"/>
    <x v="1"/>
    <x v="1"/>
    <n v="9"/>
    <x v="0"/>
    <x v="0"/>
    <x v="0"/>
    <n v="10"/>
    <n v="74"/>
    <x v="17"/>
    <n v="20"/>
    <n v="20"/>
    <n v="60"/>
    <n v="31"/>
    <n v="74"/>
    <n v="10"/>
    <n v="0.13513513513513514"/>
    <n v="9"/>
    <n v="14"/>
    <n v="11"/>
    <x v="67"/>
    <x v="0"/>
    <n v="31"/>
    <n v="74"/>
  </r>
  <r>
    <n v="314"/>
    <n v="38"/>
    <x v="5"/>
    <x v="1"/>
    <x v="0"/>
    <n v="12"/>
    <x v="0"/>
    <x v="1"/>
    <x v="2"/>
    <n v="16"/>
    <n v="95"/>
    <x v="12"/>
    <n v="30"/>
    <n v="10"/>
    <n v="70"/>
    <n v="40"/>
    <n v="95"/>
    <n v="16"/>
    <n v="0.16842105263157894"/>
    <n v="12"/>
    <n v="25"/>
    <n v="8"/>
    <x v="155"/>
    <x v="0"/>
    <n v="38"/>
    <n v="95"/>
  </r>
  <r>
    <n v="660"/>
    <n v="39"/>
    <x v="5"/>
    <x v="1"/>
    <x v="0"/>
    <n v="14"/>
    <x v="0"/>
    <x v="1"/>
    <x v="3"/>
    <n v="3"/>
    <n v="94"/>
    <x v="12"/>
    <n v="30"/>
    <n v="0"/>
    <n v="70"/>
    <n v="47"/>
    <n v="94"/>
    <n v="3"/>
    <n v="3.1914893617021274E-2"/>
    <n v="14"/>
    <n v="24"/>
    <n v="9"/>
    <x v="185"/>
    <x v="0"/>
    <n v="39"/>
    <n v="94"/>
  </r>
  <r>
    <n v="603"/>
    <n v="0"/>
    <x v="5"/>
    <x v="1"/>
    <x v="2"/>
    <n v="0"/>
    <x v="0"/>
    <x v="1"/>
    <x v="3"/>
    <n v="47"/>
    <n v="46"/>
    <x v="9"/>
    <n v="0"/>
    <n v="30"/>
    <n v="40"/>
    <n v="11"/>
    <n v="46"/>
    <n v="47"/>
    <n v="1.0217391304347827"/>
    <n v="0"/>
    <n v="6"/>
    <n v="0"/>
    <x v="5"/>
    <x v="0"/>
    <n v="0"/>
    <n v="46"/>
  </r>
  <r>
    <n v="253"/>
    <n v="41"/>
    <x v="5"/>
    <x v="1"/>
    <x v="3"/>
    <n v="12"/>
    <x v="0"/>
    <x v="1"/>
    <x v="2"/>
    <n v="45"/>
    <n v="114"/>
    <x v="14"/>
    <n v="30"/>
    <n v="20"/>
    <n v="70"/>
    <n v="36"/>
    <n v="114"/>
    <n v="45"/>
    <n v="0.39473684210526316"/>
    <n v="12"/>
    <n v="44"/>
    <n v="11"/>
    <x v="110"/>
    <x v="0"/>
    <n v="41"/>
    <n v="114"/>
  </r>
  <r>
    <n v="435"/>
    <n v="38"/>
    <x v="5"/>
    <x v="1"/>
    <x v="3"/>
    <n v="12"/>
    <x v="0"/>
    <x v="1"/>
    <x v="11"/>
    <n v="18"/>
    <n v="95"/>
    <x v="8"/>
    <n v="20"/>
    <n v="10"/>
    <n v="60"/>
    <n v="39"/>
    <n v="95"/>
    <n v="18"/>
    <n v="0.18947368421052632"/>
    <n v="12"/>
    <n v="35"/>
    <n v="18"/>
    <x v="186"/>
    <x v="0"/>
    <n v="38"/>
    <n v="95"/>
  </r>
  <r>
    <n v="253"/>
    <n v="43"/>
    <x v="5"/>
    <x v="1"/>
    <x v="3"/>
    <n v="13"/>
    <x v="0"/>
    <x v="1"/>
    <x v="11"/>
    <n v="42"/>
    <n v="113"/>
    <x v="14"/>
    <n v="30"/>
    <n v="20"/>
    <n v="70"/>
    <n v="35"/>
    <n v="113"/>
    <n v="42"/>
    <n v="0.37168141592920356"/>
    <n v="13"/>
    <n v="43"/>
    <n v="13"/>
    <x v="62"/>
    <x v="0"/>
    <n v="43"/>
    <n v="113"/>
  </r>
  <r>
    <n v="216"/>
    <n v="51"/>
    <x v="0"/>
    <x v="0"/>
    <x v="0"/>
    <n v="46"/>
    <x v="1"/>
    <x v="3"/>
    <x v="5"/>
    <n v="-5"/>
    <n v="122"/>
    <x v="18"/>
    <n v="40"/>
    <n v="30"/>
    <n v="110"/>
    <n v="76"/>
    <n v="122"/>
    <n v="-5"/>
    <n v="-4.0983606557377046E-2"/>
    <n v="46"/>
    <n v="12"/>
    <n v="11"/>
    <x v="0"/>
    <x v="0"/>
    <n v="51"/>
    <n v="122"/>
  </r>
  <r>
    <n v="440"/>
    <n v="52"/>
    <x v="0"/>
    <x v="0"/>
    <x v="0"/>
    <n v="17"/>
    <x v="1"/>
    <x v="3"/>
    <x v="6"/>
    <n v="26"/>
    <n v="123"/>
    <x v="18"/>
    <n v="40"/>
    <n v="60"/>
    <n v="110"/>
    <n v="45"/>
    <n v="123"/>
    <n v="26"/>
    <n v="0.21138211382113822"/>
    <n v="17"/>
    <n v="13"/>
    <n v="12"/>
    <x v="1"/>
    <x v="0"/>
    <n v="52"/>
    <n v="123"/>
  </r>
  <r>
    <n v="937"/>
    <n v="43"/>
    <x v="0"/>
    <x v="0"/>
    <x v="0"/>
    <n v="13"/>
    <x v="1"/>
    <x v="3"/>
    <x v="7"/>
    <n v="28"/>
    <n v="107"/>
    <x v="18"/>
    <n v="30"/>
    <n v="60"/>
    <n v="100"/>
    <n v="36"/>
    <n v="107"/>
    <n v="28"/>
    <n v="0.26168224299065418"/>
    <n v="13"/>
    <n v="7"/>
    <n v="13"/>
    <x v="2"/>
    <x v="0"/>
    <n v="43"/>
    <n v="107"/>
  </r>
  <r>
    <n v="774"/>
    <n v="51"/>
    <x v="0"/>
    <x v="0"/>
    <x v="2"/>
    <n v="46"/>
    <x v="1"/>
    <x v="2"/>
    <x v="8"/>
    <n v="-11"/>
    <n v="116"/>
    <x v="15"/>
    <n v="30"/>
    <n v="30"/>
    <n v="100"/>
    <n v="76"/>
    <n v="116"/>
    <n v="-11"/>
    <n v="-9.4827586206896547E-2"/>
    <n v="46"/>
    <n v="16"/>
    <n v="21"/>
    <x v="187"/>
    <x v="0"/>
    <n v="51"/>
    <n v="116"/>
  </r>
  <r>
    <n v="832"/>
    <n v="72"/>
    <x v="0"/>
    <x v="0"/>
    <x v="1"/>
    <n v="23"/>
    <x v="1"/>
    <x v="2"/>
    <x v="9"/>
    <n v="55"/>
    <n v="182"/>
    <x v="1"/>
    <n v="40"/>
    <n v="50"/>
    <n v="110"/>
    <n v="55"/>
    <n v="182"/>
    <n v="55"/>
    <n v="0.30219780219780218"/>
    <n v="23"/>
    <n v="72"/>
    <n v="32"/>
    <x v="188"/>
    <x v="0"/>
    <n v="72"/>
    <n v="182"/>
  </r>
  <r>
    <n v="863"/>
    <n v="48"/>
    <x v="0"/>
    <x v="0"/>
    <x v="2"/>
    <n v="13"/>
    <x v="0"/>
    <x v="1"/>
    <x v="3"/>
    <n v="46"/>
    <n v="118"/>
    <x v="2"/>
    <n v="50"/>
    <n v="60"/>
    <n v="120"/>
    <n v="24"/>
    <n v="118"/>
    <n v="46"/>
    <n v="0.38983050847457629"/>
    <n v="13"/>
    <n v="-2"/>
    <n v="-2"/>
    <x v="189"/>
    <x v="0"/>
    <n v="48"/>
    <n v="118"/>
  </r>
  <r>
    <n v="985"/>
    <n v="60"/>
    <x v="0"/>
    <x v="1"/>
    <x v="1"/>
    <n v="18"/>
    <x v="1"/>
    <x v="2"/>
    <x v="8"/>
    <n v="58"/>
    <n v="159"/>
    <x v="10"/>
    <n v="30"/>
    <n v="70"/>
    <n v="100"/>
    <n v="41"/>
    <n v="159"/>
    <n v="58"/>
    <n v="0.36477987421383645"/>
    <n v="18"/>
    <n v="59"/>
    <n v="30"/>
    <x v="134"/>
    <x v="0"/>
    <n v="60"/>
    <n v="159"/>
  </r>
  <r>
    <n v="971"/>
    <n v="52"/>
    <x v="0"/>
    <x v="1"/>
    <x v="3"/>
    <n v="17"/>
    <x v="1"/>
    <x v="2"/>
    <x v="8"/>
    <n v="27"/>
    <n v="123"/>
    <x v="11"/>
    <n v="30"/>
    <n v="60"/>
    <n v="100"/>
    <n v="44"/>
    <n v="123"/>
    <n v="27"/>
    <n v="0.21951219512195122"/>
    <n v="17"/>
    <n v="23"/>
    <n v="22"/>
    <x v="190"/>
    <x v="0"/>
    <n v="52"/>
    <n v="123"/>
  </r>
  <r>
    <n v="253"/>
    <n v="56"/>
    <x v="0"/>
    <x v="1"/>
    <x v="3"/>
    <n v="21"/>
    <x v="1"/>
    <x v="2"/>
    <x v="8"/>
    <n v="16"/>
    <n v="126"/>
    <x v="14"/>
    <n v="40"/>
    <n v="50"/>
    <n v="110"/>
    <n v="54"/>
    <n v="126"/>
    <n v="16"/>
    <n v="0.12698412698412698"/>
    <n v="21"/>
    <n v="16"/>
    <n v="16"/>
    <x v="191"/>
    <x v="0"/>
    <n v="56"/>
    <n v="126"/>
  </r>
  <r>
    <n v="405"/>
    <n v="56"/>
    <x v="0"/>
    <x v="1"/>
    <x v="1"/>
    <n v="21"/>
    <x v="0"/>
    <x v="0"/>
    <x v="10"/>
    <n v="16"/>
    <n v="126"/>
    <x v="6"/>
    <n v="40"/>
    <n v="50"/>
    <n v="110"/>
    <n v="54"/>
    <n v="126"/>
    <n v="16"/>
    <n v="0.12698412698412698"/>
    <n v="21"/>
    <n v="16"/>
    <n v="16"/>
    <x v="191"/>
    <x v="0"/>
    <n v="56"/>
    <n v="126"/>
  </r>
  <r>
    <n v="435"/>
    <n v="45"/>
    <x v="0"/>
    <x v="1"/>
    <x v="3"/>
    <n v="14"/>
    <x v="0"/>
    <x v="0"/>
    <x v="0"/>
    <n v="23"/>
    <n v="114"/>
    <x v="8"/>
    <n v="20"/>
    <n v="60"/>
    <n v="90"/>
    <n v="46"/>
    <n v="114"/>
    <n v="23"/>
    <n v="0.20175438596491227"/>
    <n v="14"/>
    <n v="24"/>
    <n v="25"/>
    <x v="192"/>
    <x v="0"/>
    <n v="45"/>
    <n v="114"/>
  </r>
  <r>
    <n v="567"/>
    <n v="52"/>
    <x v="1"/>
    <x v="0"/>
    <x v="0"/>
    <n v="47"/>
    <x v="1"/>
    <x v="3"/>
    <x v="5"/>
    <n v="-3"/>
    <n v="125"/>
    <x v="18"/>
    <n v="50"/>
    <n v="10"/>
    <n v="120"/>
    <n v="76"/>
    <n v="125"/>
    <n v="-3"/>
    <n v="-2.4E-2"/>
    <n v="47"/>
    <n v="5"/>
    <n v="2"/>
    <x v="193"/>
    <x v="0"/>
    <n v="52"/>
    <n v="125"/>
  </r>
  <r>
    <n v="614"/>
    <n v="46"/>
    <x v="1"/>
    <x v="0"/>
    <x v="0"/>
    <n v="14"/>
    <x v="1"/>
    <x v="3"/>
    <x v="7"/>
    <n v="32"/>
    <n v="114"/>
    <x v="18"/>
    <n v="40"/>
    <n v="40"/>
    <n v="110"/>
    <n v="36"/>
    <n v="114"/>
    <n v="32"/>
    <n v="0.2807017543859649"/>
    <n v="14"/>
    <n v="4"/>
    <n v="6"/>
    <x v="177"/>
    <x v="0"/>
    <n v="46"/>
    <n v="114"/>
  </r>
  <r>
    <n v="303"/>
    <n v="52"/>
    <x v="1"/>
    <x v="0"/>
    <x v="0"/>
    <n v="47"/>
    <x v="0"/>
    <x v="0"/>
    <x v="0"/>
    <n v="-4"/>
    <n v="125"/>
    <x v="0"/>
    <n v="40"/>
    <n v="10"/>
    <n v="110"/>
    <n v="77"/>
    <n v="125"/>
    <n v="-4"/>
    <n v="-3.2000000000000001E-2"/>
    <n v="47"/>
    <n v="15"/>
    <n v="12"/>
    <x v="194"/>
    <x v="0"/>
    <n v="52"/>
    <n v="125"/>
  </r>
  <r>
    <n v="720"/>
    <n v="59"/>
    <x v="1"/>
    <x v="0"/>
    <x v="0"/>
    <n v="19"/>
    <x v="0"/>
    <x v="0"/>
    <x v="1"/>
    <n v="32"/>
    <n v="138"/>
    <x v="0"/>
    <n v="50"/>
    <n v="40"/>
    <n v="120"/>
    <n v="47"/>
    <n v="138"/>
    <n v="32"/>
    <n v="0.2318840579710145"/>
    <n v="19"/>
    <n v="18"/>
    <n v="9"/>
    <x v="195"/>
    <x v="0"/>
    <n v="59"/>
    <n v="138"/>
  </r>
  <r>
    <n v="713"/>
    <n v="59"/>
    <x v="1"/>
    <x v="0"/>
    <x v="1"/>
    <n v="19"/>
    <x v="0"/>
    <x v="0"/>
    <x v="10"/>
    <n v="32"/>
    <n v="138"/>
    <x v="1"/>
    <n v="50"/>
    <n v="40"/>
    <n v="120"/>
    <n v="47"/>
    <n v="138"/>
    <n v="32"/>
    <n v="0.2318840579710145"/>
    <n v="19"/>
    <n v="18"/>
    <n v="9"/>
    <x v="195"/>
    <x v="0"/>
    <n v="59"/>
    <n v="138"/>
  </r>
  <r>
    <n v="718"/>
    <n v="50"/>
    <x v="1"/>
    <x v="0"/>
    <x v="2"/>
    <n v="14"/>
    <x v="0"/>
    <x v="1"/>
    <x v="3"/>
    <n v="47"/>
    <n v="123"/>
    <x v="19"/>
    <n v="50"/>
    <n v="50"/>
    <n v="120"/>
    <n v="26"/>
    <n v="123"/>
    <n v="47"/>
    <n v="0.38211382113821141"/>
    <n v="14"/>
    <n v="3"/>
    <n v="0"/>
    <x v="124"/>
    <x v="0"/>
    <n v="50"/>
    <n v="123"/>
  </r>
  <r>
    <n v="860"/>
    <n v="53"/>
    <x v="1"/>
    <x v="1"/>
    <x v="2"/>
    <n v="17"/>
    <x v="1"/>
    <x v="2"/>
    <x v="4"/>
    <n v="26"/>
    <n v="124"/>
    <x v="5"/>
    <n v="50"/>
    <n v="40"/>
    <n v="120"/>
    <n v="45"/>
    <n v="124"/>
    <n v="26"/>
    <n v="0.20967741935483872"/>
    <n v="17"/>
    <n v="4"/>
    <n v="3"/>
    <x v="1"/>
    <x v="0"/>
    <n v="53"/>
    <n v="124"/>
  </r>
  <r>
    <n v="435"/>
    <n v="54"/>
    <x v="1"/>
    <x v="1"/>
    <x v="3"/>
    <n v="15"/>
    <x v="1"/>
    <x v="2"/>
    <x v="4"/>
    <n v="52"/>
    <n v="132"/>
    <x v="8"/>
    <n v="50"/>
    <n v="50"/>
    <n v="120"/>
    <n v="26"/>
    <n v="132"/>
    <n v="52"/>
    <n v="0.39393939393939392"/>
    <n v="15"/>
    <n v="12"/>
    <n v="4"/>
    <x v="41"/>
    <x v="0"/>
    <n v="54"/>
    <n v="132"/>
  </r>
  <r>
    <n v="505"/>
    <n v="43"/>
    <x v="1"/>
    <x v="1"/>
    <x v="1"/>
    <n v="14"/>
    <x v="1"/>
    <x v="3"/>
    <x v="7"/>
    <n v="20"/>
    <n v="109"/>
    <x v="17"/>
    <n v="50"/>
    <n v="30"/>
    <n v="120"/>
    <n v="46"/>
    <n v="109"/>
    <n v="20"/>
    <n v="0.1834862385321101"/>
    <n v="14"/>
    <n v="-11"/>
    <n v="-7"/>
    <x v="34"/>
    <x v="0"/>
    <n v="43"/>
    <n v="109"/>
  </r>
  <r>
    <n v="504"/>
    <n v="61"/>
    <x v="1"/>
    <x v="1"/>
    <x v="1"/>
    <n v="55"/>
    <x v="1"/>
    <x v="2"/>
    <x v="9"/>
    <n v="1"/>
    <n v="147"/>
    <x v="10"/>
    <n v="40"/>
    <n v="10"/>
    <n v="110"/>
    <n v="85"/>
    <n v="147"/>
    <n v="1"/>
    <n v="6.8027210884353739E-3"/>
    <n v="55"/>
    <n v="37"/>
    <n v="21"/>
    <x v="40"/>
    <x v="0"/>
    <n v="61"/>
    <n v="147"/>
  </r>
  <r>
    <n v="541"/>
    <n v="55"/>
    <x v="1"/>
    <x v="1"/>
    <x v="3"/>
    <n v="20"/>
    <x v="1"/>
    <x v="2"/>
    <x v="9"/>
    <n v="16"/>
    <n v="124"/>
    <x v="11"/>
    <n v="50"/>
    <n v="30"/>
    <n v="120"/>
    <n v="53"/>
    <n v="124"/>
    <n v="16"/>
    <n v="0.12903225806451613"/>
    <n v="20"/>
    <n v="4"/>
    <n v="5"/>
    <x v="196"/>
    <x v="0"/>
    <n v="55"/>
    <n v="124"/>
  </r>
  <r>
    <n v="860"/>
    <n v="82"/>
    <x v="1"/>
    <x v="1"/>
    <x v="2"/>
    <n v="31"/>
    <x v="0"/>
    <x v="0"/>
    <x v="0"/>
    <n v="38"/>
    <n v="184"/>
    <x v="5"/>
    <n v="60"/>
    <n v="30"/>
    <n v="130"/>
    <n v="64"/>
    <n v="184"/>
    <n v="38"/>
    <n v="0.20652173913043478"/>
    <n v="31"/>
    <n v="54"/>
    <n v="22"/>
    <x v="197"/>
    <x v="0"/>
    <n v="82"/>
    <n v="184"/>
  </r>
  <r>
    <n v="715"/>
    <n v="61"/>
    <x v="1"/>
    <x v="1"/>
    <x v="0"/>
    <n v="55"/>
    <x v="0"/>
    <x v="1"/>
    <x v="11"/>
    <n v="2"/>
    <n v="147"/>
    <x v="13"/>
    <n v="50"/>
    <n v="0"/>
    <n v="120"/>
    <n v="84"/>
    <n v="147"/>
    <n v="2"/>
    <n v="1.3605442176870748E-2"/>
    <n v="55"/>
    <n v="27"/>
    <n v="11"/>
    <x v="198"/>
    <x v="0"/>
    <n v="61"/>
    <n v="147"/>
  </r>
  <r>
    <n v="425"/>
    <n v="53"/>
    <x v="1"/>
    <x v="1"/>
    <x v="3"/>
    <n v="16"/>
    <x v="0"/>
    <x v="1"/>
    <x v="2"/>
    <n v="49"/>
    <n v="141"/>
    <x v="14"/>
    <n v="30"/>
    <n v="50"/>
    <n v="100"/>
    <n v="39"/>
    <n v="141"/>
    <n v="49"/>
    <n v="0.3475177304964539"/>
    <n v="16"/>
    <n v="41"/>
    <n v="23"/>
    <x v="36"/>
    <x v="0"/>
    <n v="53"/>
    <n v="141"/>
  </r>
  <r>
    <n v="419"/>
    <n v="47"/>
    <x v="2"/>
    <x v="0"/>
    <x v="0"/>
    <n v="42"/>
    <x v="1"/>
    <x v="3"/>
    <x v="5"/>
    <n v="-6"/>
    <n v="112"/>
    <x v="18"/>
    <n v="40"/>
    <n v="10"/>
    <n v="110"/>
    <n v="71"/>
    <n v="112"/>
    <n v="-6"/>
    <n v="-5.3571428571428568E-2"/>
    <n v="42"/>
    <n v="2"/>
    <n v="7"/>
    <x v="42"/>
    <x v="0"/>
    <n v="47"/>
    <n v="112"/>
  </r>
  <r>
    <n v="513"/>
    <n v="54"/>
    <x v="2"/>
    <x v="0"/>
    <x v="0"/>
    <n v="17"/>
    <x v="1"/>
    <x v="3"/>
    <x v="6"/>
    <n v="29"/>
    <n v="127"/>
    <x v="18"/>
    <n v="50"/>
    <n v="40"/>
    <n v="120"/>
    <n v="44"/>
    <n v="127"/>
    <n v="29"/>
    <n v="0.2283464566929134"/>
    <n v="17"/>
    <n v="7"/>
    <n v="4"/>
    <x v="29"/>
    <x v="0"/>
    <n v="54"/>
    <n v="127"/>
  </r>
  <r>
    <n v="512"/>
    <n v="67"/>
    <x v="2"/>
    <x v="0"/>
    <x v="1"/>
    <n v="22"/>
    <x v="1"/>
    <x v="2"/>
    <x v="9"/>
    <n v="47"/>
    <n v="168"/>
    <x v="1"/>
    <n v="50"/>
    <n v="30"/>
    <n v="120"/>
    <n v="54"/>
    <n v="168"/>
    <n v="47"/>
    <n v="0.27976190476190477"/>
    <n v="22"/>
    <n v="48"/>
    <n v="17"/>
    <x v="199"/>
    <x v="0"/>
    <n v="67"/>
    <n v="168"/>
  </r>
  <r>
    <n v="309"/>
    <n v="54"/>
    <x v="2"/>
    <x v="0"/>
    <x v="0"/>
    <n v="15"/>
    <x v="0"/>
    <x v="1"/>
    <x v="2"/>
    <n v="53"/>
    <n v="133"/>
    <x v="16"/>
    <n v="40"/>
    <n v="50"/>
    <n v="110"/>
    <n v="26"/>
    <n v="133"/>
    <n v="53"/>
    <n v="0.39849624060150374"/>
    <n v="15"/>
    <n v="23"/>
    <n v="14"/>
    <x v="47"/>
    <x v="0"/>
    <n v="54"/>
    <n v="133"/>
  </r>
  <r>
    <n v="816"/>
    <n v="63"/>
    <x v="2"/>
    <x v="1"/>
    <x v="0"/>
    <n v="19"/>
    <x v="1"/>
    <x v="3"/>
    <x v="5"/>
    <n v="36"/>
    <n v="139"/>
    <x v="12"/>
    <n v="60"/>
    <n v="40"/>
    <n v="130"/>
    <n v="40"/>
    <n v="139"/>
    <n v="36"/>
    <n v="0.25899280575539568"/>
    <n v="19"/>
    <n v="9"/>
    <n v="3"/>
    <x v="58"/>
    <x v="0"/>
    <n v="63"/>
    <n v="139"/>
  </r>
  <r>
    <n v="959"/>
    <n v="49"/>
    <x v="2"/>
    <x v="1"/>
    <x v="2"/>
    <n v="16"/>
    <x v="1"/>
    <x v="2"/>
    <x v="4"/>
    <n v="21"/>
    <n v="114"/>
    <x v="5"/>
    <n v="40"/>
    <n v="40"/>
    <n v="110"/>
    <n v="44"/>
    <n v="114"/>
    <n v="21"/>
    <n v="0.18421052631578946"/>
    <n v="16"/>
    <n v="4"/>
    <n v="9"/>
    <x v="200"/>
    <x v="0"/>
    <n v="49"/>
    <n v="114"/>
  </r>
  <r>
    <n v="435"/>
    <n v="50"/>
    <x v="2"/>
    <x v="1"/>
    <x v="3"/>
    <n v="14"/>
    <x v="1"/>
    <x v="2"/>
    <x v="4"/>
    <n v="47"/>
    <n v="123"/>
    <x v="8"/>
    <n v="40"/>
    <n v="50"/>
    <n v="110"/>
    <n v="26"/>
    <n v="123"/>
    <n v="47"/>
    <n v="0.38211382113821141"/>
    <n v="14"/>
    <n v="13"/>
    <n v="10"/>
    <x v="124"/>
    <x v="0"/>
    <n v="50"/>
    <n v="123"/>
  </r>
  <r>
    <n v="603"/>
    <n v="52"/>
    <x v="2"/>
    <x v="1"/>
    <x v="2"/>
    <n v="16"/>
    <x v="1"/>
    <x v="3"/>
    <x v="6"/>
    <n v="37"/>
    <n v="127"/>
    <x v="9"/>
    <n v="40"/>
    <n v="50"/>
    <n v="110"/>
    <n v="38"/>
    <n v="127"/>
    <n v="37"/>
    <n v="0.29133858267716534"/>
    <n v="16"/>
    <n v="17"/>
    <n v="12"/>
    <x v="201"/>
    <x v="0"/>
    <n v="52"/>
    <n v="127"/>
  </r>
  <r>
    <n v="475"/>
    <n v="55"/>
    <x v="2"/>
    <x v="1"/>
    <x v="2"/>
    <n v="49"/>
    <x v="1"/>
    <x v="2"/>
    <x v="8"/>
    <n v="-2"/>
    <n v="131"/>
    <x v="5"/>
    <n v="50"/>
    <n v="10"/>
    <n v="120"/>
    <n v="78"/>
    <n v="131"/>
    <n v="-2"/>
    <n v="-1.5267175572519083E-2"/>
    <n v="49"/>
    <n v="11"/>
    <n v="5"/>
    <x v="202"/>
    <x v="0"/>
    <n v="55"/>
    <n v="131"/>
  </r>
  <r>
    <n v="603"/>
    <n v="49"/>
    <x v="2"/>
    <x v="1"/>
    <x v="2"/>
    <n v="44"/>
    <x v="1"/>
    <x v="2"/>
    <x v="8"/>
    <n v="-4"/>
    <n v="118"/>
    <x v="9"/>
    <n v="40"/>
    <n v="10"/>
    <n v="110"/>
    <n v="73"/>
    <n v="118"/>
    <n v="-4"/>
    <n v="-3.3898305084745763E-2"/>
    <n v="44"/>
    <n v="8"/>
    <n v="9"/>
    <x v="138"/>
    <x v="0"/>
    <n v="49"/>
    <n v="118"/>
  </r>
  <r>
    <n v="503"/>
    <n v="41"/>
    <x v="2"/>
    <x v="1"/>
    <x v="3"/>
    <n v="13"/>
    <x v="1"/>
    <x v="3"/>
    <x v="7"/>
    <n v="1"/>
    <n v="98"/>
    <x v="11"/>
    <n v="40"/>
    <n v="20"/>
    <n v="110"/>
    <n v="56"/>
    <n v="98"/>
    <n v="1"/>
    <n v="1.020408163265306E-2"/>
    <n v="13"/>
    <n v="-12"/>
    <n v="1"/>
    <x v="203"/>
    <x v="0"/>
    <n v="41"/>
    <n v="98"/>
  </r>
  <r>
    <n v="503"/>
    <n v="54"/>
    <x v="2"/>
    <x v="1"/>
    <x v="3"/>
    <n v="17"/>
    <x v="1"/>
    <x v="2"/>
    <x v="8"/>
    <n v="28"/>
    <n v="127"/>
    <x v="11"/>
    <n v="50"/>
    <n v="40"/>
    <n v="120"/>
    <n v="45"/>
    <n v="127"/>
    <n v="28"/>
    <n v="0.22047244094488189"/>
    <n v="17"/>
    <n v="7"/>
    <n v="4"/>
    <x v="45"/>
    <x v="0"/>
    <n v="54"/>
    <n v="127"/>
  </r>
  <r>
    <n v="405"/>
    <n v="65"/>
    <x v="2"/>
    <x v="1"/>
    <x v="1"/>
    <n v="24"/>
    <x v="0"/>
    <x v="0"/>
    <x v="10"/>
    <n v="22"/>
    <n v="145"/>
    <x v="6"/>
    <n v="60"/>
    <n v="20"/>
    <n v="130"/>
    <n v="58"/>
    <n v="145"/>
    <n v="22"/>
    <n v="0.15172413793103448"/>
    <n v="24"/>
    <n v="15"/>
    <n v="5"/>
    <x v="173"/>
    <x v="0"/>
    <n v="65"/>
    <n v="145"/>
  </r>
  <r>
    <n v="435"/>
    <n v="52"/>
    <x v="2"/>
    <x v="1"/>
    <x v="3"/>
    <n v="16"/>
    <x v="0"/>
    <x v="0"/>
    <x v="10"/>
    <n v="36"/>
    <n v="127"/>
    <x v="8"/>
    <n v="40"/>
    <n v="40"/>
    <n v="110"/>
    <n v="39"/>
    <n v="127"/>
    <n v="36"/>
    <n v="0.28346456692913385"/>
    <n v="16"/>
    <n v="17"/>
    <n v="12"/>
    <x v="115"/>
    <x v="0"/>
    <n v="52"/>
    <n v="127"/>
  </r>
  <r>
    <n v="801"/>
    <n v="48"/>
    <x v="2"/>
    <x v="1"/>
    <x v="3"/>
    <n v="15"/>
    <x v="0"/>
    <x v="0"/>
    <x v="0"/>
    <n v="28"/>
    <n v="122"/>
    <x v="8"/>
    <n v="40"/>
    <n v="40"/>
    <n v="110"/>
    <n v="46"/>
    <n v="122"/>
    <n v="28"/>
    <n v="0.22950819672131148"/>
    <n v="15"/>
    <n v="12"/>
    <n v="8"/>
    <x v="51"/>
    <x v="0"/>
    <n v="48"/>
    <n v="122"/>
  </r>
  <r>
    <n v="425"/>
    <n v="49"/>
    <x v="2"/>
    <x v="1"/>
    <x v="3"/>
    <n v="13"/>
    <x v="0"/>
    <x v="0"/>
    <x v="0"/>
    <n v="46"/>
    <n v="120"/>
    <x v="14"/>
    <n v="40"/>
    <n v="50"/>
    <n v="110"/>
    <n v="25"/>
    <n v="120"/>
    <n v="46"/>
    <n v="0.38333333333333336"/>
    <n v="13"/>
    <n v="10"/>
    <n v="9"/>
    <x v="189"/>
    <x v="0"/>
    <n v="49"/>
    <n v="120"/>
  </r>
  <r>
    <n v="860"/>
    <n v="50"/>
    <x v="2"/>
    <x v="1"/>
    <x v="2"/>
    <n v="14"/>
    <x v="0"/>
    <x v="1"/>
    <x v="2"/>
    <n v="47"/>
    <n v="123"/>
    <x v="5"/>
    <n v="50"/>
    <n v="50"/>
    <n v="120"/>
    <n v="26"/>
    <n v="123"/>
    <n v="47"/>
    <n v="0.38211382113821141"/>
    <n v="14"/>
    <n v="3"/>
    <n v="0"/>
    <x v="124"/>
    <x v="0"/>
    <n v="50"/>
    <n v="123"/>
  </r>
  <r>
    <n v="234"/>
    <n v="51"/>
    <x v="3"/>
    <x v="0"/>
    <x v="0"/>
    <n v="46"/>
    <x v="1"/>
    <x v="3"/>
    <x v="5"/>
    <n v="-7"/>
    <n v="130"/>
    <x v="18"/>
    <n v="40"/>
    <n v="30"/>
    <n v="110"/>
    <n v="76"/>
    <n v="130"/>
    <n v="-7"/>
    <n v="-5.3846153846153849E-2"/>
    <n v="46"/>
    <n v="20"/>
    <n v="11"/>
    <x v="60"/>
    <x v="0"/>
    <n v="51"/>
    <n v="130"/>
  </r>
  <r>
    <n v="614"/>
    <n v="52"/>
    <x v="3"/>
    <x v="0"/>
    <x v="0"/>
    <n v="17"/>
    <x v="1"/>
    <x v="3"/>
    <x v="6"/>
    <n v="39"/>
    <n v="131"/>
    <x v="18"/>
    <n v="40"/>
    <n v="60"/>
    <n v="110"/>
    <n v="45"/>
    <n v="131"/>
    <n v="39"/>
    <n v="0.29770992366412213"/>
    <n v="17"/>
    <n v="21"/>
    <n v="12"/>
    <x v="61"/>
    <x v="0"/>
    <n v="52"/>
    <n v="131"/>
  </r>
  <r>
    <n v="937"/>
    <n v="43"/>
    <x v="3"/>
    <x v="0"/>
    <x v="0"/>
    <n v="13"/>
    <x v="1"/>
    <x v="3"/>
    <x v="7"/>
    <n v="42"/>
    <n v="114"/>
    <x v="18"/>
    <n v="30"/>
    <n v="60"/>
    <n v="100"/>
    <n v="36"/>
    <n v="114"/>
    <n v="42"/>
    <n v="0.36842105263157893"/>
    <n v="13"/>
    <n v="14"/>
    <n v="13"/>
    <x v="62"/>
    <x v="0"/>
    <n v="43"/>
    <n v="114"/>
  </r>
  <r>
    <n v="774"/>
    <n v="51"/>
    <x v="3"/>
    <x v="0"/>
    <x v="2"/>
    <n v="46"/>
    <x v="1"/>
    <x v="2"/>
    <x v="8"/>
    <n v="-16"/>
    <n v="124"/>
    <x v="15"/>
    <n v="30"/>
    <n v="30"/>
    <n v="100"/>
    <n v="76"/>
    <n v="124"/>
    <n v="-16"/>
    <n v="-0.12903225806451613"/>
    <n v="46"/>
    <n v="24"/>
    <n v="21"/>
    <x v="204"/>
    <x v="0"/>
    <n v="51"/>
    <n v="124"/>
  </r>
  <r>
    <n v="682"/>
    <n v="72"/>
    <x v="3"/>
    <x v="0"/>
    <x v="1"/>
    <n v="23"/>
    <x v="1"/>
    <x v="2"/>
    <x v="9"/>
    <n v="82"/>
    <n v="194"/>
    <x v="1"/>
    <n v="40"/>
    <n v="50"/>
    <n v="110"/>
    <n v="55"/>
    <n v="194"/>
    <n v="82"/>
    <n v="0.42268041237113402"/>
    <n v="23"/>
    <n v="84"/>
    <n v="32"/>
    <x v="205"/>
    <x v="0"/>
    <n v="72"/>
    <n v="194"/>
  </r>
  <r>
    <n v="772"/>
    <n v="48"/>
    <x v="3"/>
    <x v="0"/>
    <x v="2"/>
    <n v="13"/>
    <x v="0"/>
    <x v="1"/>
    <x v="3"/>
    <n v="68"/>
    <n v="126"/>
    <x v="2"/>
    <n v="50"/>
    <n v="60"/>
    <n v="120"/>
    <n v="24"/>
    <n v="126"/>
    <n v="68"/>
    <n v="0.53968253968253965"/>
    <n v="13"/>
    <n v="6"/>
    <n v="-2"/>
    <x v="206"/>
    <x v="0"/>
    <n v="48"/>
    <n v="126"/>
  </r>
  <r>
    <n v="225"/>
    <n v="60"/>
    <x v="3"/>
    <x v="1"/>
    <x v="1"/>
    <n v="18"/>
    <x v="1"/>
    <x v="2"/>
    <x v="8"/>
    <n v="86"/>
    <n v="169"/>
    <x v="10"/>
    <n v="30"/>
    <n v="70"/>
    <n v="100"/>
    <n v="41"/>
    <n v="169"/>
    <n v="86"/>
    <n v="0.50887573964497046"/>
    <n v="18"/>
    <n v="69"/>
    <n v="30"/>
    <x v="154"/>
    <x v="0"/>
    <n v="60"/>
    <n v="169"/>
  </r>
  <r>
    <n v="541"/>
    <n v="52"/>
    <x v="3"/>
    <x v="1"/>
    <x v="3"/>
    <n v="17"/>
    <x v="1"/>
    <x v="2"/>
    <x v="8"/>
    <n v="40"/>
    <n v="131"/>
    <x v="11"/>
    <n v="30"/>
    <n v="60"/>
    <n v="100"/>
    <n v="44"/>
    <n v="131"/>
    <n v="40"/>
    <n v="0.30534351145038169"/>
    <n v="17"/>
    <n v="31"/>
    <n v="22"/>
    <x v="207"/>
    <x v="0"/>
    <n v="52"/>
    <n v="131"/>
  </r>
  <r>
    <n v="425"/>
    <n v="56"/>
    <x v="3"/>
    <x v="1"/>
    <x v="3"/>
    <n v="21"/>
    <x v="1"/>
    <x v="2"/>
    <x v="8"/>
    <n v="24"/>
    <n v="134"/>
    <x v="14"/>
    <n v="40"/>
    <n v="50"/>
    <n v="110"/>
    <n v="54"/>
    <n v="134"/>
    <n v="24"/>
    <n v="0.17910447761194029"/>
    <n v="21"/>
    <n v="24"/>
    <n v="16"/>
    <x v="208"/>
    <x v="0"/>
    <n v="56"/>
    <n v="134"/>
  </r>
  <r>
    <n v="580"/>
    <n v="56"/>
    <x v="3"/>
    <x v="1"/>
    <x v="1"/>
    <n v="21"/>
    <x v="0"/>
    <x v="0"/>
    <x v="10"/>
    <n v="24"/>
    <n v="134"/>
    <x v="6"/>
    <n v="40"/>
    <n v="50"/>
    <n v="110"/>
    <n v="54"/>
    <n v="134"/>
    <n v="24"/>
    <n v="0.17910447761194029"/>
    <n v="21"/>
    <n v="24"/>
    <n v="16"/>
    <x v="208"/>
    <x v="0"/>
    <n v="56"/>
    <n v="134"/>
  </r>
  <r>
    <n v="435"/>
    <n v="45"/>
    <x v="3"/>
    <x v="1"/>
    <x v="3"/>
    <n v="14"/>
    <x v="0"/>
    <x v="0"/>
    <x v="0"/>
    <n v="34"/>
    <n v="121"/>
    <x v="8"/>
    <n v="20"/>
    <n v="60"/>
    <n v="90"/>
    <n v="46"/>
    <n v="121"/>
    <n v="34"/>
    <n v="0.28099173553719009"/>
    <n v="14"/>
    <n v="31"/>
    <n v="25"/>
    <x v="209"/>
    <x v="0"/>
    <n v="45"/>
    <n v="121"/>
  </r>
  <r>
    <n v="614"/>
    <n v="52"/>
    <x v="4"/>
    <x v="0"/>
    <x v="0"/>
    <n v="47"/>
    <x v="1"/>
    <x v="3"/>
    <x v="5"/>
    <n v="-4"/>
    <n v="133"/>
    <x v="18"/>
    <n v="50"/>
    <n v="10"/>
    <n v="120"/>
    <n v="76"/>
    <n v="133"/>
    <n v="-4"/>
    <n v="-3.007518796992481E-2"/>
    <n v="47"/>
    <n v="13"/>
    <n v="2"/>
    <x v="194"/>
    <x v="0"/>
    <n v="52"/>
    <n v="133"/>
  </r>
  <r>
    <n v="234"/>
    <n v="46"/>
    <x v="4"/>
    <x v="0"/>
    <x v="0"/>
    <n v="14"/>
    <x v="1"/>
    <x v="3"/>
    <x v="7"/>
    <n v="47"/>
    <n v="121"/>
    <x v="18"/>
    <n v="40"/>
    <n v="40"/>
    <n v="110"/>
    <n v="36"/>
    <n v="121"/>
    <n v="47"/>
    <n v="0.38842975206611569"/>
    <n v="14"/>
    <n v="11"/>
    <n v="6"/>
    <x v="124"/>
    <x v="0"/>
    <n v="46"/>
    <n v="121"/>
  </r>
  <r>
    <n v="970"/>
    <n v="52"/>
    <x v="4"/>
    <x v="0"/>
    <x v="0"/>
    <n v="47"/>
    <x v="0"/>
    <x v="0"/>
    <x v="0"/>
    <n v="-6"/>
    <n v="133"/>
    <x v="0"/>
    <n v="40"/>
    <n v="10"/>
    <n v="110"/>
    <n v="77"/>
    <n v="133"/>
    <n v="-6"/>
    <n v="-4.5112781954887216E-2"/>
    <n v="47"/>
    <n v="23"/>
    <n v="12"/>
    <x v="210"/>
    <x v="0"/>
    <n v="52"/>
    <n v="133"/>
  </r>
  <r>
    <n v="970"/>
    <n v="59"/>
    <x v="4"/>
    <x v="0"/>
    <x v="0"/>
    <n v="19"/>
    <x v="0"/>
    <x v="0"/>
    <x v="1"/>
    <n v="47"/>
    <n v="147"/>
    <x v="0"/>
    <n v="50"/>
    <n v="40"/>
    <n v="120"/>
    <n v="47"/>
    <n v="147"/>
    <n v="47"/>
    <n v="0.31972789115646261"/>
    <n v="19"/>
    <n v="27"/>
    <n v="9"/>
    <x v="211"/>
    <x v="0"/>
    <n v="59"/>
    <n v="147"/>
  </r>
  <r>
    <n v="936"/>
    <n v="59"/>
    <x v="4"/>
    <x v="0"/>
    <x v="1"/>
    <n v="19"/>
    <x v="0"/>
    <x v="0"/>
    <x v="10"/>
    <n v="47"/>
    <n v="147"/>
    <x v="1"/>
    <n v="50"/>
    <n v="40"/>
    <n v="120"/>
    <n v="47"/>
    <n v="147"/>
    <n v="47"/>
    <n v="0.31972789115646261"/>
    <n v="19"/>
    <n v="27"/>
    <n v="9"/>
    <x v="211"/>
    <x v="0"/>
    <n v="59"/>
    <n v="147"/>
  </r>
  <r>
    <n v="914"/>
    <n v="50"/>
    <x v="4"/>
    <x v="0"/>
    <x v="2"/>
    <n v="14"/>
    <x v="0"/>
    <x v="1"/>
    <x v="3"/>
    <n v="70"/>
    <n v="131"/>
    <x v="19"/>
    <n v="50"/>
    <n v="50"/>
    <n v="120"/>
    <n v="26"/>
    <n v="131"/>
    <n v="70"/>
    <n v="0.53435114503816794"/>
    <n v="14"/>
    <n v="11"/>
    <n v="0"/>
    <x v="68"/>
    <x v="0"/>
    <n v="50"/>
    <n v="131"/>
  </r>
  <r>
    <n v="203"/>
    <n v="53"/>
    <x v="4"/>
    <x v="1"/>
    <x v="2"/>
    <n v="17"/>
    <x v="1"/>
    <x v="2"/>
    <x v="4"/>
    <n v="39"/>
    <n v="132"/>
    <x v="5"/>
    <n v="50"/>
    <n v="40"/>
    <n v="120"/>
    <n v="45"/>
    <n v="132"/>
    <n v="39"/>
    <n v="0.29545454545454547"/>
    <n v="17"/>
    <n v="12"/>
    <n v="3"/>
    <x v="61"/>
    <x v="0"/>
    <n v="53"/>
    <n v="132"/>
  </r>
  <r>
    <n v="435"/>
    <n v="54"/>
    <x v="4"/>
    <x v="1"/>
    <x v="3"/>
    <n v="15"/>
    <x v="1"/>
    <x v="2"/>
    <x v="4"/>
    <n v="77"/>
    <n v="141"/>
    <x v="8"/>
    <n v="50"/>
    <n v="50"/>
    <n v="120"/>
    <n v="26"/>
    <n v="141"/>
    <n v="77"/>
    <n v="0.54609929078014185"/>
    <n v="15"/>
    <n v="21"/>
    <n v="4"/>
    <x v="98"/>
    <x v="0"/>
    <n v="54"/>
    <n v="141"/>
  </r>
  <r>
    <n v="505"/>
    <n v="43"/>
    <x v="4"/>
    <x v="1"/>
    <x v="1"/>
    <n v="14"/>
    <x v="1"/>
    <x v="3"/>
    <x v="7"/>
    <n v="30"/>
    <n v="116"/>
    <x v="17"/>
    <n v="50"/>
    <n v="30"/>
    <n v="120"/>
    <n v="46"/>
    <n v="116"/>
    <n v="30"/>
    <n v="0.25862068965517243"/>
    <n v="14"/>
    <n v="-4"/>
    <n v="-7"/>
    <x v="33"/>
    <x v="0"/>
    <n v="43"/>
    <n v="116"/>
  </r>
  <r>
    <n v="318"/>
    <n v="61"/>
    <x v="4"/>
    <x v="1"/>
    <x v="1"/>
    <n v="55"/>
    <x v="1"/>
    <x v="2"/>
    <x v="9"/>
    <n v="1"/>
    <n v="157"/>
    <x v="10"/>
    <n v="40"/>
    <n v="10"/>
    <n v="110"/>
    <n v="85"/>
    <n v="157"/>
    <n v="1"/>
    <n v="6.369426751592357E-3"/>
    <n v="55"/>
    <n v="47"/>
    <n v="21"/>
    <x v="40"/>
    <x v="0"/>
    <n v="61"/>
    <n v="157"/>
  </r>
  <r>
    <n v="503"/>
    <n v="55"/>
    <x v="4"/>
    <x v="1"/>
    <x v="3"/>
    <n v="20"/>
    <x v="1"/>
    <x v="2"/>
    <x v="9"/>
    <n v="24"/>
    <n v="132"/>
    <x v="11"/>
    <n v="50"/>
    <n v="30"/>
    <n v="120"/>
    <n v="53"/>
    <n v="132"/>
    <n v="24"/>
    <n v="0.18181818181818182"/>
    <n v="20"/>
    <n v="12"/>
    <n v="5"/>
    <x v="212"/>
    <x v="0"/>
    <n v="55"/>
    <n v="132"/>
  </r>
  <r>
    <n v="475"/>
    <n v="82"/>
    <x v="4"/>
    <x v="1"/>
    <x v="2"/>
    <n v="31"/>
    <x v="0"/>
    <x v="0"/>
    <x v="0"/>
    <n v="56"/>
    <n v="196"/>
    <x v="5"/>
    <n v="60"/>
    <n v="30"/>
    <n v="130"/>
    <n v="64"/>
    <n v="196"/>
    <n v="56"/>
    <n v="0.2857142857142857"/>
    <n v="31"/>
    <n v="66"/>
    <n v="22"/>
    <x v="213"/>
    <x v="0"/>
    <n v="82"/>
    <n v="196"/>
  </r>
  <r>
    <n v="715"/>
    <n v="61"/>
    <x v="4"/>
    <x v="1"/>
    <x v="0"/>
    <n v="55"/>
    <x v="0"/>
    <x v="1"/>
    <x v="11"/>
    <n v="3"/>
    <n v="157"/>
    <x v="13"/>
    <n v="50"/>
    <n v="0"/>
    <n v="120"/>
    <n v="84"/>
    <n v="157"/>
    <n v="3"/>
    <n v="1.9108280254777069E-2"/>
    <n v="55"/>
    <n v="37"/>
    <n v="11"/>
    <x v="214"/>
    <x v="0"/>
    <n v="61"/>
    <n v="157"/>
  </r>
  <r>
    <n v="509"/>
    <n v="53"/>
    <x v="4"/>
    <x v="1"/>
    <x v="3"/>
    <n v="16"/>
    <x v="0"/>
    <x v="1"/>
    <x v="2"/>
    <n v="73"/>
    <n v="150"/>
    <x v="14"/>
    <n v="30"/>
    <n v="50"/>
    <n v="100"/>
    <n v="39"/>
    <n v="150"/>
    <n v="73"/>
    <n v="0.48666666666666669"/>
    <n v="16"/>
    <n v="50"/>
    <n v="23"/>
    <x v="95"/>
    <x v="0"/>
    <n v="53"/>
    <n v="150"/>
  </r>
  <r>
    <n v="513"/>
    <n v="47"/>
    <x v="5"/>
    <x v="0"/>
    <x v="0"/>
    <n v="42"/>
    <x v="1"/>
    <x v="3"/>
    <x v="5"/>
    <n v="-9"/>
    <n v="119"/>
    <x v="18"/>
    <n v="40"/>
    <n v="10"/>
    <n v="110"/>
    <n v="71"/>
    <n v="119"/>
    <n v="-9"/>
    <n v="-7.5630252100840331E-2"/>
    <n v="42"/>
    <n v="9"/>
    <n v="7"/>
    <x v="99"/>
    <x v="0"/>
    <n v="47"/>
    <n v="119"/>
  </r>
  <r>
    <n v="234"/>
    <n v="54"/>
    <x v="5"/>
    <x v="0"/>
    <x v="0"/>
    <n v="17"/>
    <x v="1"/>
    <x v="3"/>
    <x v="6"/>
    <n v="43"/>
    <n v="135"/>
    <x v="18"/>
    <n v="50"/>
    <n v="40"/>
    <n v="120"/>
    <n v="44"/>
    <n v="135"/>
    <n v="43"/>
    <n v="0.31851851851851853"/>
    <n v="17"/>
    <n v="15"/>
    <n v="4"/>
    <x v="86"/>
    <x v="0"/>
    <n v="54"/>
    <n v="135"/>
  </r>
  <r>
    <n v="361"/>
    <n v="67"/>
    <x v="5"/>
    <x v="0"/>
    <x v="1"/>
    <n v="22"/>
    <x v="1"/>
    <x v="2"/>
    <x v="9"/>
    <n v="70"/>
    <n v="179"/>
    <x v="1"/>
    <n v="50"/>
    <n v="30"/>
    <n v="120"/>
    <n v="54"/>
    <n v="179"/>
    <n v="70"/>
    <n v="0.39106145251396646"/>
    <n v="22"/>
    <n v="59"/>
    <n v="17"/>
    <x v="215"/>
    <x v="0"/>
    <n v="67"/>
    <n v="179"/>
  </r>
  <r>
    <n v="630"/>
    <n v="54"/>
    <x v="5"/>
    <x v="0"/>
    <x v="0"/>
    <n v="15"/>
    <x v="0"/>
    <x v="1"/>
    <x v="2"/>
    <n v="79"/>
    <n v="142"/>
    <x v="16"/>
    <n v="40"/>
    <n v="50"/>
    <n v="110"/>
    <n v="26"/>
    <n v="142"/>
    <n v="79"/>
    <n v="0.55633802816901412"/>
    <n v="15"/>
    <n v="32"/>
    <n v="14"/>
    <x v="104"/>
    <x v="0"/>
    <n v="54"/>
    <n v="142"/>
  </r>
  <r>
    <n v="636"/>
    <n v="63"/>
    <x v="5"/>
    <x v="1"/>
    <x v="0"/>
    <n v="19"/>
    <x v="1"/>
    <x v="3"/>
    <x v="5"/>
    <n v="53"/>
    <n v="148"/>
    <x v="12"/>
    <n v="60"/>
    <n v="40"/>
    <n v="130"/>
    <n v="40"/>
    <n v="148"/>
    <n v="53"/>
    <n v="0.35810810810810811"/>
    <n v="19"/>
    <n v="18"/>
    <n v="3"/>
    <x v="113"/>
    <x v="0"/>
    <n v="63"/>
    <n v="148"/>
  </r>
  <r>
    <n v="203"/>
    <n v="49"/>
    <x v="5"/>
    <x v="1"/>
    <x v="2"/>
    <n v="16"/>
    <x v="1"/>
    <x v="2"/>
    <x v="4"/>
    <n v="31"/>
    <n v="121"/>
    <x v="5"/>
    <n v="40"/>
    <n v="40"/>
    <n v="110"/>
    <n v="44"/>
    <n v="121"/>
    <n v="31"/>
    <n v="0.256198347107438"/>
    <n v="16"/>
    <n v="11"/>
    <n v="9"/>
    <x v="216"/>
    <x v="0"/>
    <n v="49"/>
    <n v="121"/>
  </r>
  <r>
    <n v="435"/>
    <n v="50"/>
    <x v="5"/>
    <x v="1"/>
    <x v="3"/>
    <n v="14"/>
    <x v="1"/>
    <x v="2"/>
    <x v="4"/>
    <n v="70"/>
    <n v="131"/>
    <x v="8"/>
    <n v="40"/>
    <n v="50"/>
    <n v="110"/>
    <n v="26"/>
    <n v="131"/>
    <n v="70"/>
    <n v="0.53435114503816794"/>
    <n v="14"/>
    <n v="21"/>
    <n v="10"/>
    <x v="68"/>
    <x v="0"/>
    <n v="50"/>
    <n v="131"/>
  </r>
  <r>
    <n v="603"/>
    <n v="52"/>
    <x v="5"/>
    <x v="1"/>
    <x v="2"/>
    <n v="16"/>
    <x v="1"/>
    <x v="3"/>
    <x v="6"/>
    <n v="55"/>
    <n v="135"/>
    <x v="9"/>
    <n v="40"/>
    <n v="50"/>
    <n v="110"/>
    <n v="38"/>
    <n v="135"/>
    <n v="55"/>
    <n v="0.40740740740740738"/>
    <n v="16"/>
    <n v="25"/>
    <n v="12"/>
    <x v="217"/>
    <x v="0"/>
    <n v="52"/>
    <n v="135"/>
  </r>
  <r>
    <n v="203"/>
    <n v="55"/>
    <x v="5"/>
    <x v="1"/>
    <x v="2"/>
    <n v="49"/>
    <x v="1"/>
    <x v="2"/>
    <x v="8"/>
    <n v="-3"/>
    <n v="140"/>
    <x v="5"/>
    <n v="50"/>
    <n v="10"/>
    <n v="120"/>
    <n v="78"/>
    <n v="140"/>
    <n v="-3"/>
    <n v="-2.1428571428571429E-2"/>
    <n v="49"/>
    <n v="20"/>
    <n v="5"/>
    <x v="52"/>
    <x v="0"/>
    <n v="55"/>
    <n v="140"/>
  </r>
  <r>
    <n v="603"/>
    <n v="49"/>
    <x v="5"/>
    <x v="1"/>
    <x v="2"/>
    <n v="44"/>
    <x v="1"/>
    <x v="2"/>
    <x v="8"/>
    <n v="-6"/>
    <n v="126"/>
    <x v="9"/>
    <n v="40"/>
    <n v="10"/>
    <n v="110"/>
    <n v="73"/>
    <n v="126"/>
    <n v="-6"/>
    <n v="-4.7619047619047616E-2"/>
    <n v="44"/>
    <n v="16"/>
    <n v="9"/>
    <x v="158"/>
    <x v="0"/>
    <n v="49"/>
    <n v="126"/>
  </r>
  <r>
    <n v="541"/>
    <n v="41"/>
    <x v="5"/>
    <x v="1"/>
    <x v="3"/>
    <n v="13"/>
    <x v="1"/>
    <x v="3"/>
    <x v="7"/>
    <n v="1"/>
    <n v="104"/>
    <x v="11"/>
    <n v="40"/>
    <n v="20"/>
    <n v="110"/>
    <n v="56"/>
    <n v="104"/>
    <n v="1"/>
    <n v="9.6153846153846159E-3"/>
    <n v="13"/>
    <n v="-6"/>
    <n v="1"/>
    <x v="203"/>
    <x v="0"/>
    <n v="41"/>
    <n v="104"/>
  </r>
  <r>
    <n v="503"/>
    <n v="54"/>
    <x v="5"/>
    <x v="1"/>
    <x v="3"/>
    <n v="17"/>
    <x v="1"/>
    <x v="2"/>
    <x v="8"/>
    <n v="42"/>
    <n v="135"/>
    <x v="11"/>
    <n v="50"/>
    <n v="40"/>
    <n v="120"/>
    <n v="45"/>
    <n v="135"/>
    <n v="42"/>
    <n v="0.31111111111111112"/>
    <n v="17"/>
    <n v="15"/>
    <n v="4"/>
    <x v="102"/>
    <x v="0"/>
    <n v="54"/>
    <n v="135"/>
  </r>
  <r>
    <n v="405"/>
    <n v="65"/>
    <x v="5"/>
    <x v="1"/>
    <x v="1"/>
    <n v="24"/>
    <x v="0"/>
    <x v="0"/>
    <x v="10"/>
    <n v="33"/>
    <n v="155"/>
    <x v="6"/>
    <n v="60"/>
    <n v="20"/>
    <n v="130"/>
    <n v="58"/>
    <n v="155"/>
    <n v="33"/>
    <n v="0.2129032258064516"/>
    <n v="24"/>
    <n v="25"/>
    <n v="5"/>
    <x v="218"/>
    <x v="0"/>
    <n v="65"/>
    <n v="155"/>
  </r>
  <r>
    <n v="435"/>
    <n v="52"/>
    <x v="5"/>
    <x v="1"/>
    <x v="3"/>
    <n v="16"/>
    <x v="0"/>
    <x v="0"/>
    <x v="10"/>
    <n v="53"/>
    <n v="135"/>
    <x v="8"/>
    <n v="40"/>
    <n v="40"/>
    <n v="110"/>
    <n v="39"/>
    <n v="135"/>
    <n v="53"/>
    <n v="0.3925925925925926"/>
    <n v="16"/>
    <n v="25"/>
    <n v="12"/>
    <x v="219"/>
    <x v="0"/>
    <n v="52"/>
    <n v="135"/>
  </r>
  <r>
    <n v="435"/>
    <n v="48"/>
    <x v="5"/>
    <x v="1"/>
    <x v="3"/>
    <n v="15"/>
    <x v="0"/>
    <x v="0"/>
    <x v="0"/>
    <n v="42"/>
    <n v="130"/>
    <x v="8"/>
    <n v="40"/>
    <n v="40"/>
    <n v="110"/>
    <n v="46"/>
    <n v="130"/>
    <n v="42"/>
    <n v="0.32307692307692309"/>
    <n v="15"/>
    <n v="20"/>
    <n v="8"/>
    <x v="107"/>
    <x v="0"/>
    <n v="48"/>
    <n v="130"/>
  </r>
  <r>
    <n v="425"/>
    <n v="49"/>
    <x v="5"/>
    <x v="1"/>
    <x v="3"/>
    <n v="13"/>
    <x v="0"/>
    <x v="0"/>
    <x v="0"/>
    <n v="68"/>
    <n v="128"/>
    <x v="14"/>
    <n v="40"/>
    <n v="50"/>
    <n v="110"/>
    <n v="25"/>
    <n v="128"/>
    <n v="68"/>
    <n v="0.53125"/>
    <n v="13"/>
    <n v="18"/>
    <n v="9"/>
    <x v="206"/>
    <x v="0"/>
    <n v="49"/>
    <n v="128"/>
  </r>
  <r>
    <n v="959"/>
    <n v="50"/>
    <x v="5"/>
    <x v="1"/>
    <x v="2"/>
    <n v="14"/>
    <x v="0"/>
    <x v="1"/>
    <x v="2"/>
    <n v="70"/>
    <n v="131"/>
    <x v="5"/>
    <n v="50"/>
    <n v="50"/>
    <n v="120"/>
    <n v="26"/>
    <n v="131"/>
    <n v="70"/>
    <n v="0.53435114503816794"/>
    <n v="14"/>
    <n v="11"/>
    <n v="0"/>
    <x v="68"/>
    <x v="0"/>
    <n v="50"/>
    <n v="131"/>
  </r>
  <r>
    <n v="937"/>
    <n v="21"/>
    <x v="0"/>
    <x v="0"/>
    <x v="0"/>
    <n v="5"/>
    <x v="0"/>
    <x v="0"/>
    <x v="10"/>
    <n v="16"/>
    <n v="53"/>
    <x v="18"/>
    <n v="0"/>
    <n v="30"/>
    <n v="30"/>
    <n v="16"/>
    <n v="53"/>
    <n v="16"/>
    <n v="0.30188679245283018"/>
    <n v="5"/>
    <n v="23"/>
    <n v="21"/>
    <x v="220"/>
    <x v="0"/>
    <n v="21"/>
    <n v="53"/>
  </r>
  <r>
    <n v="513"/>
    <n v="27"/>
    <x v="0"/>
    <x v="0"/>
    <x v="0"/>
    <n v="7"/>
    <x v="0"/>
    <x v="0"/>
    <x v="0"/>
    <n v="20"/>
    <n v="66"/>
    <x v="18"/>
    <n v="10"/>
    <n v="30"/>
    <n v="40"/>
    <n v="19"/>
    <n v="66"/>
    <n v="20"/>
    <n v="0.30303030303030304"/>
    <n v="7"/>
    <n v="26"/>
    <n v="17"/>
    <x v="117"/>
    <x v="0"/>
    <n v="27"/>
    <n v="66"/>
  </r>
  <r>
    <n v="850"/>
    <n v="56"/>
    <x v="0"/>
    <x v="0"/>
    <x v="2"/>
    <n v="21"/>
    <x v="0"/>
    <x v="0"/>
    <x v="0"/>
    <n v="16"/>
    <n v="126"/>
    <x v="2"/>
    <n v="30"/>
    <n v="20"/>
    <n v="60"/>
    <n v="54"/>
    <n v="126"/>
    <n v="16"/>
    <n v="0.12698412698412698"/>
    <n v="21"/>
    <n v="66"/>
    <n v="26"/>
    <x v="191"/>
    <x v="0"/>
    <n v="56"/>
    <n v="126"/>
  </r>
  <r>
    <n v="781"/>
    <n v="54"/>
    <x v="0"/>
    <x v="0"/>
    <x v="2"/>
    <n v="20"/>
    <x v="0"/>
    <x v="0"/>
    <x v="0"/>
    <n v="13"/>
    <n v="120"/>
    <x v="15"/>
    <n v="30"/>
    <n v="20"/>
    <n v="60"/>
    <n v="53"/>
    <n v="120"/>
    <n v="13"/>
    <n v="0.10833333333333334"/>
    <n v="20"/>
    <n v="60"/>
    <n v="24"/>
    <x v="37"/>
    <x v="0"/>
    <n v="54"/>
    <n v="120"/>
  </r>
  <r>
    <n v="413"/>
    <n v="21"/>
    <x v="0"/>
    <x v="0"/>
    <x v="2"/>
    <n v="5"/>
    <x v="0"/>
    <x v="1"/>
    <x v="3"/>
    <n v="15"/>
    <n v="53"/>
    <x v="15"/>
    <n v="20"/>
    <n v="30"/>
    <n v="50"/>
    <n v="17"/>
    <n v="53"/>
    <n v="15"/>
    <n v="0.28301886792452829"/>
    <n v="5"/>
    <n v="3"/>
    <n v="1"/>
    <x v="7"/>
    <x v="0"/>
    <n v="21"/>
    <n v="53"/>
  </r>
  <r>
    <n v="505"/>
    <n v="39"/>
    <x v="0"/>
    <x v="1"/>
    <x v="1"/>
    <n v="12"/>
    <x v="1"/>
    <x v="2"/>
    <x v="4"/>
    <n v="14"/>
    <n v="92"/>
    <x v="17"/>
    <n v="20"/>
    <n v="20"/>
    <n v="50"/>
    <n v="39"/>
    <n v="92"/>
    <n v="14"/>
    <n v="0.15217391304347827"/>
    <n v="12"/>
    <n v="42"/>
    <n v="19"/>
    <x v="221"/>
    <x v="0"/>
    <n v="39"/>
    <n v="92"/>
  </r>
  <r>
    <n v="702"/>
    <n v="23"/>
    <x v="0"/>
    <x v="1"/>
    <x v="3"/>
    <n v="6"/>
    <x v="1"/>
    <x v="2"/>
    <x v="4"/>
    <n v="17"/>
    <n v="58"/>
    <x v="7"/>
    <n v="10"/>
    <n v="30"/>
    <n v="40"/>
    <n v="18"/>
    <n v="58"/>
    <n v="17"/>
    <n v="0.29310344827586204"/>
    <n v="6"/>
    <n v="18"/>
    <n v="13"/>
    <x v="136"/>
    <x v="0"/>
    <n v="23"/>
    <n v="58"/>
  </r>
  <r>
    <n v="563"/>
    <n v="21"/>
    <x v="0"/>
    <x v="1"/>
    <x v="0"/>
    <n v="5"/>
    <x v="1"/>
    <x v="3"/>
    <x v="6"/>
    <n v="15"/>
    <n v="52"/>
    <x v="4"/>
    <n v="10"/>
    <n v="30"/>
    <n v="40"/>
    <n v="16"/>
    <n v="52"/>
    <n v="15"/>
    <n v="0.28846153846153844"/>
    <n v="5"/>
    <n v="12"/>
    <n v="11"/>
    <x v="7"/>
    <x v="0"/>
    <n v="21"/>
    <n v="52"/>
  </r>
  <r>
    <n v="603"/>
    <n v="25"/>
    <x v="0"/>
    <x v="1"/>
    <x v="2"/>
    <n v="9"/>
    <x v="1"/>
    <x v="2"/>
    <x v="12"/>
    <n v="-12"/>
    <n v="56"/>
    <x v="9"/>
    <n v="10"/>
    <n v="10"/>
    <n v="40"/>
    <n v="43"/>
    <n v="56"/>
    <n v="-12"/>
    <n v="-0.21428571428571427"/>
    <n v="9"/>
    <n v="16"/>
    <n v="15"/>
    <x v="222"/>
    <x v="0"/>
    <n v="25"/>
    <n v="56"/>
  </r>
  <r>
    <n v="405"/>
    <n v="21"/>
    <x v="0"/>
    <x v="1"/>
    <x v="1"/>
    <n v="5"/>
    <x v="1"/>
    <x v="2"/>
    <x v="8"/>
    <n v="15"/>
    <n v="53"/>
    <x v="6"/>
    <n v="0"/>
    <n v="30"/>
    <n v="30"/>
    <n v="17"/>
    <n v="53"/>
    <n v="15"/>
    <n v="0.28301886792452829"/>
    <n v="5"/>
    <n v="23"/>
    <n v="21"/>
    <x v="7"/>
    <x v="0"/>
    <n v="21"/>
    <n v="53"/>
  </r>
  <r>
    <n v="702"/>
    <n v="0"/>
    <x v="0"/>
    <x v="1"/>
    <x v="3"/>
    <n v="0"/>
    <x v="1"/>
    <x v="2"/>
    <x v="9"/>
    <n v="32"/>
    <n v="43"/>
    <x v="7"/>
    <n v="0"/>
    <n v="30"/>
    <n v="30"/>
    <n v="11"/>
    <n v="43"/>
    <n v="32"/>
    <n v="0.7441860465116279"/>
    <n v="0"/>
    <n v="13"/>
    <n v="0"/>
    <x v="5"/>
    <x v="0"/>
    <n v="0"/>
    <n v="43"/>
  </r>
  <r>
    <n v="603"/>
    <n v="34"/>
    <x v="0"/>
    <x v="1"/>
    <x v="2"/>
    <n v="12"/>
    <x v="0"/>
    <x v="0"/>
    <x v="0"/>
    <n v="-3"/>
    <n v="77"/>
    <x v="9"/>
    <n v="10"/>
    <n v="20"/>
    <n v="40"/>
    <n v="46"/>
    <n v="77"/>
    <n v="-3"/>
    <n v="-3.896103896103896E-2"/>
    <n v="12"/>
    <n v="37"/>
    <n v="24"/>
    <x v="72"/>
    <x v="0"/>
    <n v="34"/>
    <n v="77"/>
  </r>
  <r>
    <n v="505"/>
    <n v="21"/>
    <x v="0"/>
    <x v="1"/>
    <x v="1"/>
    <n v="5"/>
    <x v="0"/>
    <x v="0"/>
    <x v="10"/>
    <n v="14"/>
    <n v="52"/>
    <x v="17"/>
    <n v="10"/>
    <n v="30"/>
    <n v="40"/>
    <n v="17"/>
    <n v="52"/>
    <n v="14"/>
    <n v="0.26923076923076922"/>
    <n v="5"/>
    <n v="12"/>
    <n v="11"/>
    <x v="107"/>
    <x v="0"/>
    <n v="21"/>
    <n v="52"/>
  </r>
  <r>
    <n v="971"/>
    <n v="25"/>
    <x v="0"/>
    <x v="1"/>
    <x v="3"/>
    <n v="7"/>
    <x v="0"/>
    <x v="0"/>
    <x v="10"/>
    <n v="17"/>
    <n v="61"/>
    <x v="11"/>
    <n v="10"/>
    <n v="30"/>
    <n v="40"/>
    <n v="19"/>
    <n v="61"/>
    <n v="17"/>
    <n v="0.27868852459016391"/>
    <n v="7"/>
    <n v="21"/>
    <n v="15"/>
    <x v="209"/>
    <x v="0"/>
    <n v="25"/>
    <n v="61"/>
  </r>
  <r>
    <n v="314"/>
    <n v="34"/>
    <x v="0"/>
    <x v="1"/>
    <x v="0"/>
    <n v="12"/>
    <x v="0"/>
    <x v="1"/>
    <x v="3"/>
    <n v="-3"/>
    <n v="77"/>
    <x v="12"/>
    <n v="10"/>
    <n v="10"/>
    <n v="40"/>
    <n v="46"/>
    <n v="77"/>
    <n v="-3"/>
    <n v="-3.896103896103896E-2"/>
    <n v="12"/>
    <n v="37"/>
    <n v="24"/>
    <x v="72"/>
    <x v="0"/>
    <n v="34"/>
    <n v="77"/>
  </r>
  <r>
    <n v="603"/>
    <n v="21"/>
    <x v="0"/>
    <x v="1"/>
    <x v="2"/>
    <n v="5"/>
    <x v="0"/>
    <x v="1"/>
    <x v="2"/>
    <n v="14"/>
    <n v="52"/>
    <x v="9"/>
    <n v="20"/>
    <n v="30"/>
    <n v="50"/>
    <n v="17"/>
    <n v="52"/>
    <n v="14"/>
    <n v="0.26923076923076922"/>
    <n v="5"/>
    <n v="2"/>
    <n v="1"/>
    <x v="107"/>
    <x v="0"/>
    <n v="21"/>
    <n v="52"/>
  </r>
  <r>
    <n v="435"/>
    <n v="39"/>
    <x v="0"/>
    <x v="1"/>
    <x v="3"/>
    <n v="12"/>
    <x v="0"/>
    <x v="1"/>
    <x v="11"/>
    <n v="14"/>
    <n v="92"/>
    <x v="8"/>
    <n v="10"/>
    <n v="20"/>
    <n v="40"/>
    <n v="39"/>
    <n v="92"/>
    <n v="14"/>
    <n v="0.15217391304347827"/>
    <n v="12"/>
    <n v="52"/>
    <n v="29"/>
    <x v="221"/>
    <x v="0"/>
    <n v="39"/>
    <n v="92"/>
  </r>
  <r>
    <n v="360"/>
    <n v="46"/>
    <x v="0"/>
    <x v="1"/>
    <x v="3"/>
    <n v="14"/>
    <x v="0"/>
    <x v="1"/>
    <x v="11"/>
    <n v="31"/>
    <n v="113"/>
    <x v="14"/>
    <n v="20"/>
    <n v="30"/>
    <n v="50"/>
    <n v="36"/>
    <n v="113"/>
    <n v="31"/>
    <n v="0.27433628318584069"/>
    <n v="14"/>
    <n v="63"/>
    <n v="26"/>
    <x v="27"/>
    <x v="0"/>
    <n v="46"/>
    <n v="113"/>
  </r>
  <r>
    <n v="775"/>
    <n v="22"/>
    <x v="1"/>
    <x v="1"/>
    <x v="3"/>
    <n v="6"/>
    <x v="1"/>
    <x v="2"/>
    <x v="4"/>
    <n v="17"/>
    <n v="56"/>
    <x v="7"/>
    <n v="20"/>
    <n v="20"/>
    <n v="50"/>
    <n v="17"/>
    <n v="56"/>
    <n v="17"/>
    <n v="0.30357142857142855"/>
    <n v="6"/>
    <n v="6"/>
    <n v="2"/>
    <x v="136"/>
    <x v="0"/>
    <n v="22"/>
    <n v="56"/>
  </r>
  <r>
    <n v="505"/>
    <n v="34"/>
    <x v="1"/>
    <x v="1"/>
    <x v="1"/>
    <n v="12"/>
    <x v="1"/>
    <x v="2"/>
    <x v="9"/>
    <n v="-4"/>
    <n v="76"/>
    <x v="17"/>
    <n v="20"/>
    <n v="-10"/>
    <n v="50"/>
    <n v="46"/>
    <n v="76"/>
    <n v="-4"/>
    <n v="-5.2631578947368418E-2"/>
    <n v="12"/>
    <n v="26"/>
    <n v="14"/>
    <x v="128"/>
    <x v="0"/>
    <n v="34"/>
    <n v="76"/>
  </r>
  <r>
    <n v="253"/>
    <n v="22"/>
    <x v="1"/>
    <x v="1"/>
    <x v="3"/>
    <n v="7"/>
    <x v="1"/>
    <x v="2"/>
    <x v="9"/>
    <n v="11"/>
    <n v="52"/>
    <x v="14"/>
    <n v="20"/>
    <n v="20"/>
    <n v="50"/>
    <n v="19"/>
    <n v="52"/>
    <n v="11"/>
    <n v="0.21153846153846154"/>
    <n v="7"/>
    <n v="2"/>
    <n v="2"/>
    <x v="163"/>
    <x v="0"/>
    <n v="22"/>
    <n v="52"/>
  </r>
  <r>
    <n v="603"/>
    <n v="33"/>
    <x v="1"/>
    <x v="1"/>
    <x v="2"/>
    <n v="12"/>
    <x v="0"/>
    <x v="0"/>
    <x v="0"/>
    <n v="-4"/>
    <n v="74"/>
    <x v="9"/>
    <n v="20"/>
    <n v="0"/>
    <n v="50"/>
    <n v="45"/>
    <n v="74"/>
    <n v="-4"/>
    <n v="-5.4054054054054057E-2"/>
    <n v="12"/>
    <n v="24"/>
    <n v="13"/>
    <x v="128"/>
    <x v="0"/>
    <n v="33"/>
    <n v="74"/>
  </r>
  <r>
    <n v="505"/>
    <n v="29"/>
    <x v="1"/>
    <x v="1"/>
    <x v="1"/>
    <n v="8"/>
    <x v="0"/>
    <x v="0"/>
    <x v="0"/>
    <n v="5"/>
    <n v="64"/>
    <x v="17"/>
    <n v="20"/>
    <n v="10"/>
    <n v="50"/>
    <n v="30"/>
    <n v="64"/>
    <n v="5"/>
    <n v="7.8125E-2"/>
    <n v="8"/>
    <n v="14"/>
    <n v="9"/>
    <x v="165"/>
    <x v="0"/>
    <n v="29"/>
    <n v="64"/>
  </r>
  <r>
    <n v="503"/>
    <n v="25"/>
    <x v="1"/>
    <x v="1"/>
    <x v="3"/>
    <n v="7"/>
    <x v="0"/>
    <x v="0"/>
    <x v="10"/>
    <n v="19"/>
    <n v="63"/>
    <x v="11"/>
    <n v="20"/>
    <n v="20"/>
    <n v="50"/>
    <n v="19"/>
    <n v="63"/>
    <n v="19"/>
    <n v="0.30158730158730157"/>
    <n v="7"/>
    <n v="13"/>
    <n v="5"/>
    <x v="21"/>
    <x v="0"/>
    <n v="25"/>
    <n v="63"/>
  </r>
  <r>
    <n v="603"/>
    <n v="15"/>
    <x v="1"/>
    <x v="1"/>
    <x v="2"/>
    <n v="4"/>
    <x v="0"/>
    <x v="1"/>
    <x v="2"/>
    <n v="8"/>
    <n v="39"/>
    <x v="9"/>
    <n v="10"/>
    <n v="20"/>
    <n v="40"/>
    <n v="16"/>
    <n v="39"/>
    <n v="8"/>
    <n v="0.20512820512820512"/>
    <n v="4"/>
    <n v="-1"/>
    <n v="5"/>
    <x v="22"/>
    <x v="0"/>
    <n v="15"/>
    <n v="39"/>
  </r>
  <r>
    <n v="541"/>
    <n v="32"/>
    <x v="1"/>
    <x v="1"/>
    <x v="3"/>
    <n v="8"/>
    <x v="0"/>
    <x v="1"/>
    <x v="2"/>
    <n v="28"/>
    <n v="80"/>
    <x v="11"/>
    <n v="20"/>
    <n v="30"/>
    <n v="50"/>
    <n v="20"/>
    <n v="80"/>
    <n v="28"/>
    <n v="0.35"/>
    <n v="8"/>
    <n v="30"/>
    <n v="12"/>
    <x v="3"/>
    <x v="0"/>
    <n v="32"/>
    <n v="80"/>
  </r>
  <r>
    <n v="435"/>
    <n v="35"/>
    <x v="1"/>
    <x v="1"/>
    <x v="3"/>
    <n v="11"/>
    <x v="0"/>
    <x v="1"/>
    <x v="11"/>
    <n v="9"/>
    <n v="82"/>
    <x v="8"/>
    <n v="20"/>
    <n v="10"/>
    <n v="50"/>
    <n v="38"/>
    <n v="82"/>
    <n v="9"/>
    <n v="0.10975609756097561"/>
    <n v="11"/>
    <n v="32"/>
    <n v="15"/>
    <x v="167"/>
    <x v="0"/>
    <n v="35"/>
    <n v="82"/>
  </r>
  <r>
    <n v="801"/>
    <n v="34"/>
    <x v="1"/>
    <x v="1"/>
    <x v="3"/>
    <n v="12"/>
    <x v="0"/>
    <x v="1"/>
    <x v="3"/>
    <n v="-3"/>
    <n v="76"/>
    <x v="8"/>
    <n v="20"/>
    <n v="0"/>
    <n v="50"/>
    <n v="45"/>
    <n v="76"/>
    <n v="-3"/>
    <n v="-3.9473684210526314E-2"/>
    <n v="12"/>
    <n v="26"/>
    <n v="14"/>
    <x v="72"/>
    <x v="0"/>
    <n v="34"/>
    <n v="76"/>
  </r>
  <r>
    <n v="772"/>
    <n v="24"/>
    <x v="2"/>
    <x v="0"/>
    <x v="2"/>
    <n v="7"/>
    <x v="0"/>
    <x v="0"/>
    <x v="10"/>
    <n v="12"/>
    <n v="56"/>
    <x v="2"/>
    <n v="10"/>
    <n v="20"/>
    <n v="40"/>
    <n v="20"/>
    <n v="56"/>
    <n v="12"/>
    <n v="0.21428571428571427"/>
    <n v="7"/>
    <n v="16"/>
    <n v="14"/>
    <x v="11"/>
    <x v="0"/>
    <n v="24"/>
    <n v="56"/>
  </r>
  <r>
    <n v="505"/>
    <n v="38"/>
    <x v="2"/>
    <x v="1"/>
    <x v="1"/>
    <n v="12"/>
    <x v="1"/>
    <x v="2"/>
    <x v="4"/>
    <n v="12"/>
    <n v="89"/>
    <x v="17"/>
    <n v="30"/>
    <n v="0"/>
    <n v="60"/>
    <n v="39"/>
    <n v="89"/>
    <n v="12"/>
    <n v="0.1348314606741573"/>
    <n v="12"/>
    <n v="29"/>
    <n v="8"/>
    <x v="174"/>
    <x v="0"/>
    <n v="38"/>
    <n v="89"/>
  </r>
  <r>
    <n v="702"/>
    <n v="23"/>
    <x v="2"/>
    <x v="1"/>
    <x v="3"/>
    <n v="6"/>
    <x v="1"/>
    <x v="2"/>
    <x v="4"/>
    <n v="17"/>
    <n v="58"/>
    <x v="7"/>
    <n v="20"/>
    <n v="20"/>
    <n v="50"/>
    <n v="18"/>
    <n v="58"/>
    <n v="17"/>
    <n v="0.29310344827586204"/>
    <n v="6"/>
    <n v="8"/>
    <n v="3"/>
    <x v="136"/>
    <x v="0"/>
    <n v="23"/>
    <n v="58"/>
  </r>
  <r>
    <n v="641"/>
    <n v="16"/>
    <x v="2"/>
    <x v="1"/>
    <x v="0"/>
    <n v="4"/>
    <x v="1"/>
    <x v="3"/>
    <x v="6"/>
    <n v="10"/>
    <n v="41"/>
    <x v="4"/>
    <n v="10"/>
    <n v="20"/>
    <n v="40"/>
    <n v="15"/>
    <n v="41"/>
    <n v="10"/>
    <n v="0.24390243902439024"/>
    <n v="4"/>
    <n v="1"/>
    <n v="6"/>
    <x v="55"/>
    <x v="0"/>
    <n v="16"/>
    <n v="41"/>
  </r>
  <r>
    <n v="563"/>
    <n v="31"/>
    <x v="2"/>
    <x v="1"/>
    <x v="0"/>
    <n v="9"/>
    <x v="1"/>
    <x v="3"/>
    <x v="7"/>
    <n v="8"/>
    <n v="69"/>
    <x v="4"/>
    <n v="30"/>
    <n v="10"/>
    <n v="60"/>
    <n v="30"/>
    <n v="69"/>
    <n v="8"/>
    <n v="0.11594202898550725"/>
    <n v="9"/>
    <n v="9"/>
    <n v="1"/>
    <x v="135"/>
    <x v="0"/>
    <n v="31"/>
    <n v="69"/>
  </r>
  <r>
    <n v="603"/>
    <n v="20"/>
    <x v="2"/>
    <x v="1"/>
    <x v="2"/>
    <n v="7"/>
    <x v="1"/>
    <x v="2"/>
    <x v="12"/>
    <n v="-16"/>
    <n v="45"/>
    <x v="9"/>
    <n v="10"/>
    <n v="0"/>
    <n v="40"/>
    <n v="41"/>
    <n v="45"/>
    <n v="-16"/>
    <n v="-0.35555555555555557"/>
    <n v="7"/>
    <n v="5"/>
    <n v="10"/>
    <x v="223"/>
    <x v="0"/>
    <n v="20"/>
    <n v="45"/>
  </r>
  <r>
    <n v="580"/>
    <n v="29"/>
    <x v="2"/>
    <x v="1"/>
    <x v="1"/>
    <n v="8"/>
    <x v="1"/>
    <x v="2"/>
    <x v="8"/>
    <n v="24"/>
    <n v="73"/>
    <x v="6"/>
    <n v="20"/>
    <n v="20"/>
    <n v="50"/>
    <n v="20"/>
    <n v="73"/>
    <n v="24"/>
    <n v="0.32876712328767121"/>
    <n v="8"/>
    <n v="23"/>
    <n v="9"/>
    <x v="7"/>
    <x v="0"/>
    <n v="29"/>
    <n v="73"/>
  </r>
  <r>
    <n v="253"/>
    <n v="24"/>
    <x v="2"/>
    <x v="1"/>
    <x v="3"/>
    <n v="7"/>
    <x v="1"/>
    <x v="2"/>
    <x v="9"/>
    <n v="13"/>
    <n v="56"/>
    <x v="14"/>
    <n v="20"/>
    <n v="20"/>
    <n v="50"/>
    <n v="19"/>
    <n v="56"/>
    <n v="13"/>
    <n v="0.23214285714285715"/>
    <n v="7"/>
    <n v="6"/>
    <n v="4"/>
    <x v="171"/>
    <x v="0"/>
    <n v="24"/>
    <n v="56"/>
  </r>
  <r>
    <n v="541"/>
    <n v="24"/>
    <x v="2"/>
    <x v="1"/>
    <x v="3"/>
    <n v="6"/>
    <x v="0"/>
    <x v="0"/>
    <x v="10"/>
    <n v="19"/>
    <n v="60"/>
    <x v="11"/>
    <n v="20"/>
    <n v="20"/>
    <n v="50"/>
    <n v="17"/>
    <n v="60"/>
    <n v="19"/>
    <n v="0.31666666666666665"/>
    <n v="6"/>
    <n v="10"/>
    <n v="4"/>
    <x v="122"/>
    <x v="0"/>
    <n v="24"/>
    <n v="60"/>
  </r>
  <r>
    <n v="603"/>
    <n v="16"/>
    <x v="2"/>
    <x v="1"/>
    <x v="2"/>
    <n v="4"/>
    <x v="0"/>
    <x v="1"/>
    <x v="2"/>
    <n v="10"/>
    <n v="41"/>
    <x v="9"/>
    <n v="10"/>
    <n v="20"/>
    <n v="40"/>
    <n v="15"/>
    <n v="41"/>
    <n v="10"/>
    <n v="0.24390243902439024"/>
    <n v="4"/>
    <n v="1"/>
    <n v="6"/>
    <x v="55"/>
    <x v="0"/>
    <n v="16"/>
    <n v="41"/>
  </r>
  <r>
    <n v="971"/>
    <n v="29"/>
    <x v="2"/>
    <x v="1"/>
    <x v="3"/>
    <n v="8"/>
    <x v="0"/>
    <x v="1"/>
    <x v="2"/>
    <n v="25"/>
    <n v="73"/>
    <x v="11"/>
    <n v="20"/>
    <n v="30"/>
    <n v="50"/>
    <n v="19"/>
    <n v="73"/>
    <n v="25"/>
    <n v="0.34246575342465752"/>
    <n v="8"/>
    <n v="23"/>
    <n v="9"/>
    <x v="168"/>
    <x v="0"/>
    <n v="29"/>
    <n v="73"/>
  </r>
  <r>
    <n v="937"/>
    <n v="21"/>
    <x v="3"/>
    <x v="0"/>
    <x v="0"/>
    <n v="5"/>
    <x v="0"/>
    <x v="0"/>
    <x v="10"/>
    <n v="24"/>
    <n v="56"/>
    <x v="18"/>
    <n v="0"/>
    <n v="30"/>
    <n v="30"/>
    <n v="16"/>
    <n v="56"/>
    <n v="24"/>
    <n v="0.42857142857142855"/>
    <n v="5"/>
    <n v="26"/>
    <n v="21"/>
    <x v="224"/>
    <x v="0"/>
    <n v="21"/>
    <n v="56"/>
  </r>
  <r>
    <n v="937"/>
    <n v="27"/>
    <x v="3"/>
    <x v="0"/>
    <x v="0"/>
    <n v="7"/>
    <x v="0"/>
    <x v="0"/>
    <x v="0"/>
    <n v="30"/>
    <n v="70"/>
    <x v="18"/>
    <n v="10"/>
    <n v="30"/>
    <n v="40"/>
    <n v="19"/>
    <n v="70"/>
    <n v="30"/>
    <n v="0.42857142857142855"/>
    <n v="7"/>
    <n v="30"/>
    <n v="17"/>
    <x v="140"/>
    <x v="0"/>
    <n v="27"/>
    <n v="70"/>
  </r>
  <r>
    <n v="786"/>
    <n v="56"/>
    <x v="3"/>
    <x v="0"/>
    <x v="2"/>
    <n v="21"/>
    <x v="0"/>
    <x v="0"/>
    <x v="0"/>
    <n v="24"/>
    <n v="134"/>
    <x v="2"/>
    <n v="30"/>
    <n v="20"/>
    <n v="60"/>
    <n v="54"/>
    <n v="134"/>
    <n v="24"/>
    <n v="0.17910447761194029"/>
    <n v="21"/>
    <n v="74"/>
    <n v="26"/>
    <x v="208"/>
    <x v="0"/>
    <n v="56"/>
    <n v="134"/>
  </r>
  <r>
    <n v="339"/>
    <n v="54"/>
    <x v="3"/>
    <x v="0"/>
    <x v="2"/>
    <n v="20"/>
    <x v="0"/>
    <x v="0"/>
    <x v="0"/>
    <n v="19"/>
    <n v="128"/>
    <x v="15"/>
    <n v="30"/>
    <n v="20"/>
    <n v="60"/>
    <n v="53"/>
    <n v="128"/>
    <n v="19"/>
    <n v="0.1484375"/>
    <n v="20"/>
    <n v="68"/>
    <n v="24"/>
    <x v="96"/>
    <x v="0"/>
    <n v="54"/>
    <n v="128"/>
  </r>
  <r>
    <n v="781"/>
    <n v="21"/>
    <x v="3"/>
    <x v="0"/>
    <x v="2"/>
    <n v="5"/>
    <x v="0"/>
    <x v="1"/>
    <x v="3"/>
    <n v="22"/>
    <n v="56"/>
    <x v="15"/>
    <n v="20"/>
    <n v="30"/>
    <n v="50"/>
    <n v="17"/>
    <n v="56"/>
    <n v="22"/>
    <n v="0.39285714285714285"/>
    <n v="5"/>
    <n v="6"/>
    <n v="1"/>
    <x v="225"/>
    <x v="0"/>
    <n v="21"/>
    <n v="56"/>
  </r>
  <r>
    <n v="505"/>
    <n v="39"/>
    <x v="3"/>
    <x v="1"/>
    <x v="1"/>
    <n v="12"/>
    <x v="1"/>
    <x v="2"/>
    <x v="4"/>
    <n v="21"/>
    <n v="98"/>
    <x v="17"/>
    <n v="20"/>
    <n v="20"/>
    <n v="50"/>
    <n v="39"/>
    <n v="98"/>
    <n v="21"/>
    <n v="0.21428571428571427"/>
    <n v="12"/>
    <n v="48"/>
    <n v="19"/>
    <x v="120"/>
    <x v="0"/>
    <n v="39"/>
    <n v="98"/>
  </r>
  <r>
    <n v="775"/>
    <n v="23"/>
    <x v="3"/>
    <x v="1"/>
    <x v="3"/>
    <n v="6"/>
    <x v="1"/>
    <x v="2"/>
    <x v="4"/>
    <n v="25"/>
    <n v="62"/>
    <x v="7"/>
    <n v="10"/>
    <n v="30"/>
    <n v="40"/>
    <n v="18"/>
    <n v="62"/>
    <n v="25"/>
    <n v="0.40322580645161288"/>
    <n v="6"/>
    <n v="22"/>
    <n v="13"/>
    <x v="156"/>
    <x v="0"/>
    <n v="23"/>
    <n v="62"/>
  </r>
  <r>
    <n v="515"/>
    <n v="21"/>
    <x v="3"/>
    <x v="1"/>
    <x v="0"/>
    <n v="5"/>
    <x v="1"/>
    <x v="3"/>
    <x v="6"/>
    <n v="22"/>
    <n v="55"/>
    <x v="4"/>
    <n v="10"/>
    <n v="30"/>
    <n v="40"/>
    <n v="16"/>
    <n v="55"/>
    <n v="22"/>
    <n v="0.4"/>
    <n v="5"/>
    <n v="15"/>
    <n v="11"/>
    <x v="225"/>
    <x v="0"/>
    <n v="21"/>
    <n v="55"/>
  </r>
  <r>
    <n v="603"/>
    <n v="25"/>
    <x v="3"/>
    <x v="1"/>
    <x v="2"/>
    <n v="9"/>
    <x v="1"/>
    <x v="2"/>
    <x v="12"/>
    <n v="-18"/>
    <n v="60"/>
    <x v="9"/>
    <n v="10"/>
    <n v="10"/>
    <n v="40"/>
    <n v="43"/>
    <n v="60"/>
    <n v="-18"/>
    <n v="-0.3"/>
    <n v="9"/>
    <n v="20"/>
    <n v="15"/>
    <x v="226"/>
    <x v="0"/>
    <n v="25"/>
    <n v="60"/>
  </r>
  <r>
    <n v="580"/>
    <n v="21"/>
    <x v="3"/>
    <x v="1"/>
    <x v="1"/>
    <n v="5"/>
    <x v="1"/>
    <x v="2"/>
    <x v="8"/>
    <n v="22"/>
    <n v="56"/>
    <x v="6"/>
    <n v="0"/>
    <n v="30"/>
    <n v="30"/>
    <n v="17"/>
    <n v="56"/>
    <n v="22"/>
    <n v="0.39285714285714285"/>
    <n v="5"/>
    <n v="26"/>
    <n v="21"/>
    <x v="225"/>
    <x v="0"/>
    <n v="21"/>
    <n v="56"/>
  </r>
  <r>
    <n v="702"/>
    <n v="0"/>
    <x v="3"/>
    <x v="1"/>
    <x v="3"/>
    <n v="0"/>
    <x v="1"/>
    <x v="2"/>
    <x v="9"/>
    <n v="47"/>
    <n v="46"/>
    <x v="7"/>
    <n v="0"/>
    <n v="30"/>
    <n v="30"/>
    <n v="11"/>
    <n v="46"/>
    <n v="47"/>
    <n v="1.0217391304347827"/>
    <n v="0"/>
    <n v="16"/>
    <n v="0"/>
    <x v="5"/>
    <x v="0"/>
    <n v="0"/>
    <n v="46"/>
  </r>
  <r>
    <n v="603"/>
    <n v="34"/>
    <x v="3"/>
    <x v="1"/>
    <x v="2"/>
    <n v="12"/>
    <x v="0"/>
    <x v="0"/>
    <x v="0"/>
    <n v="-4"/>
    <n v="82"/>
    <x v="9"/>
    <n v="10"/>
    <n v="20"/>
    <n v="40"/>
    <n v="46"/>
    <n v="82"/>
    <n v="-4"/>
    <n v="-4.878048780487805E-2"/>
    <n v="12"/>
    <n v="42"/>
    <n v="24"/>
    <x v="128"/>
    <x v="0"/>
    <n v="34"/>
    <n v="82"/>
  </r>
  <r>
    <n v="505"/>
    <n v="21"/>
    <x v="3"/>
    <x v="1"/>
    <x v="1"/>
    <n v="5"/>
    <x v="0"/>
    <x v="0"/>
    <x v="10"/>
    <n v="21"/>
    <n v="55"/>
    <x v="17"/>
    <n v="10"/>
    <n v="30"/>
    <n v="40"/>
    <n v="17"/>
    <n v="55"/>
    <n v="21"/>
    <n v="0.38181818181818183"/>
    <n v="5"/>
    <n v="15"/>
    <n v="11"/>
    <x v="227"/>
    <x v="0"/>
    <n v="21"/>
    <n v="55"/>
  </r>
  <r>
    <n v="971"/>
    <n v="25"/>
    <x v="3"/>
    <x v="1"/>
    <x v="3"/>
    <n v="7"/>
    <x v="0"/>
    <x v="0"/>
    <x v="10"/>
    <n v="25"/>
    <n v="65"/>
    <x v="11"/>
    <n v="10"/>
    <n v="30"/>
    <n v="40"/>
    <n v="19"/>
    <n v="65"/>
    <n v="25"/>
    <n v="0.38461538461538464"/>
    <n v="7"/>
    <n v="25"/>
    <n v="15"/>
    <x v="228"/>
    <x v="0"/>
    <n v="25"/>
    <n v="65"/>
  </r>
  <r>
    <n v="314"/>
    <n v="34"/>
    <x v="3"/>
    <x v="1"/>
    <x v="0"/>
    <n v="12"/>
    <x v="0"/>
    <x v="1"/>
    <x v="3"/>
    <n v="-4"/>
    <n v="82"/>
    <x v="12"/>
    <n v="10"/>
    <n v="10"/>
    <n v="40"/>
    <n v="46"/>
    <n v="82"/>
    <n v="-4"/>
    <n v="-4.878048780487805E-2"/>
    <n v="12"/>
    <n v="42"/>
    <n v="24"/>
    <x v="128"/>
    <x v="0"/>
    <n v="34"/>
    <n v="82"/>
  </r>
  <r>
    <n v="603"/>
    <n v="21"/>
    <x v="3"/>
    <x v="1"/>
    <x v="2"/>
    <n v="5"/>
    <x v="0"/>
    <x v="1"/>
    <x v="2"/>
    <n v="21"/>
    <n v="55"/>
    <x v="9"/>
    <n v="20"/>
    <n v="30"/>
    <n v="50"/>
    <n v="17"/>
    <n v="55"/>
    <n v="21"/>
    <n v="0.38181818181818183"/>
    <n v="5"/>
    <n v="5"/>
    <n v="1"/>
    <x v="227"/>
    <x v="0"/>
    <n v="21"/>
    <n v="55"/>
  </r>
  <r>
    <n v="435"/>
    <n v="39"/>
    <x v="3"/>
    <x v="1"/>
    <x v="3"/>
    <n v="12"/>
    <x v="0"/>
    <x v="1"/>
    <x v="11"/>
    <n v="21"/>
    <n v="98"/>
    <x v="8"/>
    <n v="10"/>
    <n v="20"/>
    <n v="40"/>
    <n v="39"/>
    <n v="98"/>
    <n v="21"/>
    <n v="0.21428571428571427"/>
    <n v="12"/>
    <n v="58"/>
    <n v="29"/>
    <x v="120"/>
    <x v="0"/>
    <n v="39"/>
    <n v="98"/>
  </r>
  <r>
    <n v="509"/>
    <n v="46"/>
    <x v="3"/>
    <x v="1"/>
    <x v="3"/>
    <n v="14"/>
    <x v="0"/>
    <x v="1"/>
    <x v="11"/>
    <n v="46"/>
    <n v="120"/>
    <x v="14"/>
    <n v="20"/>
    <n v="30"/>
    <n v="50"/>
    <n v="36"/>
    <n v="120"/>
    <n v="46"/>
    <n v="0.38333333333333336"/>
    <n v="14"/>
    <n v="70"/>
    <n v="26"/>
    <x v="84"/>
    <x v="0"/>
    <n v="46"/>
    <n v="120"/>
  </r>
  <r>
    <n v="775"/>
    <n v="22"/>
    <x v="4"/>
    <x v="1"/>
    <x v="3"/>
    <n v="6"/>
    <x v="1"/>
    <x v="2"/>
    <x v="4"/>
    <n v="25"/>
    <n v="60"/>
    <x v="7"/>
    <n v="20"/>
    <n v="20"/>
    <n v="50"/>
    <n v="17"/>
    <n v="60"/>
    <n v="25"/>
    <n v="0.41666666666666669"/>
    <n v="6"/>
    <n v="10"/>
    <n v="2"/>
    <x v="156"/>
    <x v="0"/>
    <n v="22"/>
    <n v="60"/>
  </r>
  <r>
    <n v="505"/>
    <n v="34"/>
    <x v="4"/>
    <x v="1"/>
    <x v="1"/>
    <n v="12"/>
    <x v="1"/>
    <x v="2"/>
    <x v="9"/>
    <n v="-6"/>
    <n v="81"/>
    <x v="17"/>
    <n v="20"/>
    <n v="-10"/>
    <n v="50"/>
    <n v="46"/>
    <n v="81"/>
    <n v="-6"/>
    <n v="-7.407407407407407E-2"/>
    <n v="12"/>
    <n v="31"/>
    <n v="14"/>
    <x v="149"/>
    <x v="0"/>
    <n v="34"/>
    <n v="81"/>
  </r>
  <r>
    <n v="425"/>
    <n v="22"/>
    <x v="4"/>
    <x v="1"/>
    <x v="3"/>
    <n v="7"/>
    <x v="1"/>
    <x v="2"/>
    <x v="9"/>
    <n v="16"/>
    <n v="55"/>
    <x v="14"/>
    <n v="20"/>
    <n v="20"/>
    <n v="50"/>
    <n v="19"/>
    <n v="55"/>
    <n v="16"/>
    <n v="0.29090909090909089"/>
    <n v="7"/>
    <n v="5"/>
    <n v="2"/>
    <x v="177"/>
    <x v="0"/>
    <n v="22"/>
    <n v="55"/>
  </r>
  <r>
    <n v="603"/>
    <n v="33"/>
    <x v="4"/>
    <x v="1"/>
    <x v="2"/>
    <n v="12"/>
    <x v="0"/>
    <x v="0"/>
    <x v="0"/>
    <n v="-6"/>
    <n v="79"/>
    <x v="9"/>
    <n v="20"/>
    <n v="0"/>
    <n v="50"/>
    <n v="45"/>
    <n v="79"/>
    <n v="-6"/>
    <n v="-7.5949367088607597E-2"/>
    <n v="12"/>
    <n v="29"/>
    <n v="13"/>
    <x v="149"/>
    <x v="0"/>
    <n v="33"/>
    <n v="79"/>
  </r>
  <r>
    <n v="505"/>
    <n v="29"/>
    <x v="4"/>
    <x v="1"/>
    <x v="1"/>
    <n v="8"/>
    <x v="0"/>
    <x v="0"/>
    <x v="0"/>
    <n v="7"/>
    <n v="68"/>
    <x v="17"/>
    <n v="20"/>
    <n v="10"/>
    <n v="50"/>
    <n v="30"/>
    <n v="68"/>
    <n v="7"/>
    <n v="0.10294117647058823"/>
    <n v="8"/>
    <n v="18"/>
    <n v="9"/>
    <x v="179"/>
    <x v="0"/>
    <n v="29"/>
    <n v="68"/>
  </r>
  <r>
    <n v="541"/>
    <n v="25"/>
    <x v="4"/>
    <x v="1"/>
    <x v="3"/>
    <n v="7"/>
    <x v="0"/>
    <x v="0"/>
    <x v="10"/>
    <n v="28"/>
    <n v="67"/>
    <x v="11"/>
    <n v="20"/>
    <n v="20"/>
    <n v="50"/>
    <n v="19"/>
    <n v="67"/>
    <n v="28"/>
    <n v="0.41791044776119401"/>
    <n v="7"/>
    <n v="17"/>
    <n v="5"/>
    <x v="148"/>
    <x v="0"/>
    <n v="25"/>
    <n v="67"/>
  </r>
  <r>
    <n v="603"/>
    <n v="15"/>
    <x v="4"/>
    <x v="1"/>
    <x v="2"/>
    <n v="4"/>
    <x v="0"/>
    <x v="1"/>
    <x v="2"/>
    <n v="12"/>
    <n v="42"/>
    <x v="9"/>
    <n v="10"/>
    <n v="20"/>
    <n v="40"/>
    <n v="16"/>
    <n v="42"/>
    <n v="12"/>
    <n v="0.2857142857142857"/>
    <n v="4"/>
    <n v="2"/>
    <n v="5"/>
    <x v="7"/>
    <x v="0"/>
    <n v="15"/>
    <n v="42"/>
  </r>
  <r>
    <n v="503"/>
    <n v="32"/>
    <x v="4"/>
    <x v="1"/>
    <x v="3"/>
    <n v="8"/>
    <x v="0"/>
    <x v="1"/>
    <x v="2"/>
    <n v="42"/>
    <n v="85"/>
    <x v="11"/>
    <n v="20"/>
    <n v="30"/>
    <n v="50"/>
    <n v="20"/>
    <n v="85"/>
    <n v="42"/>
    <n v="0.49411764705882355"/>
    <n v="8"/>
    <n v="35"/>
    <n v="12"/>
    <x v="89"/>
    <x v="0"/>
    <n v="32"/>
    <n v="85"/>
  </r>
  <r>
    <n v="435"/>
    <n v="35"/>
    <x v="4"/>
    <x v="1"/>
    <x v="3"/>
    <n v="11"/>
    <x v="0"/>
    <x v="1"/>
    <x v="11"/>
    <n v="13"/>
    <n v="87"/>
    <x v="8"/>
    <n v="20"/>
    <n v="10"/>
    <n v="50"/>
    <n v="38"/>
    <n v="87"/>
    <n v="13"/>
    <n v="0.14942528735632185"/>
    <n v="11"/>
    <n v="37"/>
    <n v="15"/>
    <x v="181"/>
    <x v="0"/>
    <n v="35"/>
    <n v="87"/>
  </r>
  <r>
    <n v="435"/>
    <n v="34"/>
    <x v="4"/>
    <x v="1"/>
    <x v="3"/>
    <n v="12"/>
    <x v="0"/>
    <x v="1"/>
    <x v="3"/>
    <n v="-4"/>
    <n v="81"/>
    <x v="8"/>
    <n v="20"/>
    <n v="0"/>
    <n v="50"/>
    <n v="45"/>
    <n v="81"/>
    <n v="-4"/>
    <n v="-4.9382716049382713E-2"/>
    <n v="12"/>
    <n v="31"/>
    <n v="14"/>
    <x v="128"/>
    <x v="0"/>
    <n v="34"/>
    <n v="81"/>
  </r>
  <r>
    <n v="904"/>
    <n v="24"/>
    <x v="5"/>
    <x v="0"/>
    <x v="2"/>
    <n v="7"/>
    <x v="0"/>
    <x v="0"/>
    <x v="10"/>
    <n v="18"/>
    <n v="60"/>
    <x v="2"/>
    <n v="10"/>
    <n v="20"/>
    <n v="40"/>
    <n v="20"/>
    <n v="60"/>
    <n v="18"/>
    <n v="0.3"/>
    <n v="7"/>
    <n v="20"/>
    <n v="14"/>
    <x v="70"/>
    <x v="0"/>
    <n v="24"/>
    <n v="60"/>
  </r>
  <r>
    <n v="505"/>
    <n v="38"/>
    <x v="5"/>
    <x v="1"/>
    <x v="1"/>
    <n v="12"/>
    <x v="1"/>
    <x v="2"/>
    <x v="4"/>
    <n v="18"/>
    <n v="95"/>
    <x v="17"/>
    <n v="30"/>
    <n v="0"/>
    <n v="60"/>
    <n v="39"/>
    <n v="95"/>
    <n v="18"/>
    <n v="0.18947368421052632"/>
    <n v="12"/>
    <n v="35"/>
    <n v="8"/>
    <x v="186"/>
    <x v="0"/>
    <n v="38"/>
    <n v="95"/>
  </r>
  <r>
    <n v="775"/>
    <n v="23"/>
    <x v="5"/>
    <x v="1"/>
    <x v="3"/>
    <n v="6"/>
    <x v="1"/>
    <x v="2"/>
    <x v="4"/>
    <n v="25"/>
    <n v="62"/>
    <x v="7"/>
    <n v="20"/>
    <n v="20"/>
    <n v="50"/>
    <n v="18"/>
    <n v="62"/>
    <n v="25"/>
    <n v="0.40322580645161288"/>
    <n v="6"/>
    <n v="12"/>
    <n v="3"/>
    <x v="156"/>
    <x v="0"/>
    <n v="23"/>
    <n v="62"/>
  </r>
  <r>
    <n v="563"/>
    <n v="16"/>
    <x v="5"/>
    <x v="1"/>
    <x v="0"/>
    <n v="4"/>
    <x v="1"/>
    <x v="3"/>
    <x v="6"/>
    <n v="15"/>
    <n v="44"/>
    <x v="4"/>
    <n v="10"/>
    <n v="20"/>
    <n v="40"/>
    <n v="15"/>
    <n v="44"/>
    <n v="15"/>
    <n v="0.34090909090909088"/>
    <n v="4"/>
    <n v="4"/>
    <n v="6"/>
    <x v="110"/>
    <x v="0"/>
    <n v="16"/>
    <n v="44"/>
  </r>
  <r>
    <n v="641"/>
    <n v="31"/>
    <x v="5"/>
    <x v="1"/>
    <x v="0"/>
    <n v="9"/>
    <x v="1"/>
    <x v="3"/>
    <x v="7"/>
    <n v="12"/>
    <n v="74"/>
    <x v="4"/>
    <n v="30"/>
    <n v="10"/>
    <n v="60"/>
    <n v="30"/>
    <n v="74"/>
    <n v="12"/>
    <n v="0.16216216216216217"/>
    <n v="9"/>
    <n v="14"/>
    <n v="1"/>
    <x v="155"/>
    <x v="0"/>
    <n v="31"/>
    <n v="74"/>
  </r>
  <r>
    <n v="603"/>
    <n v="20"/>
    <x v="5"/>
    <x v="1"/>
    <x v="2"/>
    <n v="7"/>
    <x v="1"/>
    <x v="2"/>
    <x v="12"/>
    <n v="-24"/>
    <n v="48"/>
    <x v="9"/>
    <n v="10"/>
    <n v="0"/>
    <n v="40"/>
    <n v="41"/>
    <n v="48"/>
    <n v="-24"/>
    <n v="-0.5"/>
    <n v="7"/>
    <n v="8"/>
    <n v="10"/>
    <x v="229"/>
    <x v="0"/>
    <n v="20"/>
    <n v="48"/>
  </r>
  <r>
    <n v="580"/>
    <n v="29"/>
    <x v="5"/>
    <x v="1"/>
    <x v="1"/>
    <n v="8"/>
    <x v="1"/>
    <x v="2"/>
    <x v="8"/>
    <n v="36"/>
    <n v="78"/>
    <x v="6"/>
    <n v="20"/>
    <n v="20"/>
    <n v="50"/>
    <n v="20"/>
    <n v="78"/>
    <n v="36"/>
    <n v="0.46153846153846156"/>
    <n v="8"/>
    <n v="28"/>
    <n v="9"/>
    <x v="90"/>
    <x v="0"/>
    <n v="29"/>
    <n v="78"/>
  </r>
  <r>
    <n v="206"/>
    <n v="24"/>
    <x v="5"/>
    <x v="1"/>
    <x v="3"/>
    <n v="7"/>
    <x v="1"/>
    <x v="2"/>
    <x v="9"/>
    <n v="19"/>
    <n v="60"/>
    <x v="14"/>
    <n v="20"/>
    <n v="20"/>
    <n v="50"/>
    <n v="19"/>
    <n v="60"/>
    <n v="19"/>
    <n v="0.31666666666666665"/>
    <n v="7"/>
    <n v="10"/>
    <n v="4"/>
    <x v="21"/>
    <x v="0"/>
    <n v="24"/>
    <n v="60"/>
  </r>
  <r>
    <n v="503"/>
    <n v="24"/>
    <x v="5"/>
    <x v="1"/>
    <x v="3"/>
    <n v="6"/>
    <x v="0"/>
    <x v="0"/>
    <x v="10"/>
    <n v="28"/>
    <n v="64"/>
    <x v="11"/>
    <n v="20"/>
    <n v="20"/>
    <n v="50"/>
    <n v="17"/>
    <n v="64"/>
    <n v="28"/>
    <n v="0.4375"/>
    <n v="6"/>
    <n v="14"/>
    <n v="4"/>
    <x v="106"/>
    <x v="0"/>
    <n v="24"/>
    <n v="64"/>
  </r>
  <r>
    <n v="603"/>
    <n v="16"/>
    <x v="5"/>
    <x v="1"/>
    <x v="2"/>
    <n v="4"/>
    <x v="0"/>
    <x v="1"/>
    <x v="2"/>
    <n v="15"/>
    <n v="44"/>
    <x v="9"/>
    <n v="10"/>
    <n v="20"/>
    <n v="40"/>
    <n v="15"/>
    <n v="44"/>
    <n v="15"/>
    <n v="0.34090909090909088"/>
    <n v="4"/>
    <n v="4"/>
    <n v="6"/>
    <x v="110"/>
    <x v="0"/>
    <n v="16"/>
    <n v="44"/>
  </r>
  <r>
    <n v="541"/>
    <n v="29"/>
    <x v="5"/>
    <x v="1"/>
    <x v="3"/>
    <n v="8"/>
    <x v="0"/>
    <x v="1"/>
    <x v="2"/>
    <n v="37"/>
    <n v="78"/>
    <x v="11"/>
    <n v="20"/>
    <n v="30"/>
    <n v="50"/>
    <n v="19"/>
    <n v="78"/>
    <n v="37"/>
    <n v="0.47435897435897434"/>
    <n v="8"/>
    <n v="28"/>
    <n v="9"/>
    <x v="182"/>
    <x v="0"/>
    <n v="29"/>
    <n v="78"/>
  </r>
  <r>
    <n v="915"/>
    <n v="76"/>
    <x v="0"/>
    <x v="0"/>
    <x v="1"/>
    <n v="21"/>
    <x v="1"/>
    <x v="2"/>
    <x v="4"/>
    <n v="78"/>
    <n v="187"/>
    <x v="1"/>
    <n v="40"/>
    <n v="80"/>
    <n v="120"/>
    <n v="33"/>
    <n v="187"/>
    <n v="78"/>
    <n v="0.41711229946524064"/>
    <n v="21"/>
    <n v="67"/>
    <n v="36"/>
    <x v="230"/>
    <x v="0"/>
    <n v="76"/>
    <n v="187"/>
  </r>
  <r>
    <n v="713"/>
    <n v="52"/>
    <x v="0"/>
    <x v="0"/>
    <x v="1"/>
    <n v="17"/>
    <x v="0"/>
    <x v="0"/>
    <x v="10"/>
    <n v="26"/>
    <n v="123"/>
    <x v="1"/>
    <n v="30"/>
    <n v="70"/>
    <n v="110"/>
    <n v="45"/>
    <n v="123"/>
    <n v="26"/>
    <n v="0.21138211382113822"/>
    <n v="17"/>
    <n v="13"/>
    <n v="22"/>
    <x v="1"/>
    <x v="0"/>
    <n v="52"/>
    <n v="123"/>
  </r>
  <r>
    <n v="217"/>
    <n v="76"/>
    <x v="0"/>
    <x v="0"/>
    <x v="0"/>
    <n v="21"/>
    <x v="0"/>
    <x v="1"/>
    <x v="2"/>
    <n v="78"/>
    <n v="187"/>
    <x v="16"/>
    <n v="50"/>
    <n v="80"/>
    <n v="130"/>
    <n v="33"/>
    <n v="187"/>
    <n v="78"/>
    <n v="0.41711229946524064"/>
    <n v="21"/>
    <n v="57"/>
    <n v="26"/>
    <x v="230"/>
    <x v="0"/>
    <n v="76"/>
    <n v="187"/>
  </r>
  <r>
    <n v="847"/>
    <n v="72"/>
    <x v="0"/>
    <x v="0"/>
    <x v="0"/>
    <n v="23"/>
    <x v="0"/>
    <x v="1"/>
    <x v="11"/>
    <n v="55"/>
    <n v="182"/>
    <x v="16"/>
    <n v="50"/>
    <n v="50"/>
    <n v="130"/>
    <n v="55"/>
    <n v="182"/>
    <n v="55"/>
    <n v="0.30219780219780218"/>
    <n v="23"/>
    <n v="52"/>
    <n v="22"/>
    <x v="188"/>
    <x v="0"/>
    <n v="72"/>
    <n v="182"/>
  </r>
  <r>
    <n v="660"/>
    <n v="65"/>
    <x v="0"/>
    <x v="1"/>
    <x v="0"/>
    <n v="20"/>
    <x v="1"/>
    <x v="3"/>
    <x v="5"/>
    <n v="35"/>
    <n v="142"/>
    <x v="12"/>
    <n v="50"/>
    <n v="70"/>
    <n v="130"/>
    <n v="42"/>
    <n v="142"/>
    <n v="35"/>
    <n v="0.24647887323943662"/>
    <n v="20"/>
    <n v="12"/>
    <n v="15"/>
    <x v="120"/>
    <x v="0"/>
    <n v="65"/>
    <n v="142"/>
  </r>
  <r>
    <n v="660"/>
    <n v="32"/>
    <x v="0"/>
    <x v="1"/>
    <x v="0"/>
    <n v="8"/>
    <x v="1"/>
    <x v="2"/>
    <x v="4"/>
    <n v="28"/>
    <n v="79"/>
    <x v="12"/>
    <n v="30"/>
    <n v="80"/>
    <n v="110"/>
    <n v="19"/>
    <n v="79"/>
    <n v="28"/>
    <n v="0.35443037974683544"/>
    <n v="8"/>
    <n v="-31"/>
    <n v="2"/>
    <x v="3"/>
    <x v="0"/>
    <n v="32"/>
    <n v="79"/>
  </r>
  <r>
    <n v="405"/>
    <n v="82"/>
    <x v="0"/>
    <x v="1"/>
    <x v="1"/>
    <n v="27"/>
    <x v="1"/>
    <x v="2"/>
    <x v="4"/>
    <n v="65"/>
    <n v="205"/>
    <x v="6"/>
    <n v="50"/>
    <n v="60"/>
    <n v="130"/>
    <n v="58"/>
    <n v="205"/>
    <n v="65"/>
    <n v="0.31707317073170732"/>
    <n v="27"/>
    <n v="75"/>
    <n v="32"/>
    <x v="231"/>
    <x v="0"/>
    <n v="82"/>
    <n v="205"/>
  </r>
  <r>
    <n v="715"/>
    <n v="56"/>
    <x v="0"/>
    <x v="1"/>
    <x v="0"/>
    <n v="21"/>
    <x v="1"/>
    <x v="3"/>
    <x v="6"/>
    <n v="15"/>
    <n v="126"/>
    <x v="13"/>
    <n v="40"/>
    <n v="50"/>
    <n v="120"/>
    <n v="55"/>
    <n v="126"/>
    <n v="15"/>
    <n v="0.11904761904761904"/>
    <n v="21"/>
    <n v="6"/>
    <n v="16"/>
    <x v="232"/>
    <x v="0"/>
    <n v="56"/>
    <n v="126"/>
  </r>
  <r>
    <n v="405"/>
    <n v="91"/>
    <x v="0"/>
    <x v="1"/>
    <x v="1"/>
    <n v="28"/>
    <x v="1"/>
    <x v="2"/>
    <x v="9"/>
    <n v="76"/>
    <n v="218"/>
    <x v="6"/>
    <n v="50"/>
    <n v="70"/>
    <n v="130"/>
    <n v="51"/>
    <n v="218"/>
    <n v="76"/>
    <n v="0.34862385321100919"/>
    <n v="28"/>
    <n v="88"/>
    <n v="41"/>
    <x v="21"/>
    <x v="0"/>
    <n v="91"/>
    <n v="218"/>
  </r>
  <r>
    <n v="414"/>
    <n v="60"/>
    <x v="0"/>
    <x v="1"/>
    <x v="0"/>
    <n v="18"/>
    <x v="0"/>
    <x v="0"/>
    <x v="10"/>
    <n v="57"/>
    <n v="159"/>
    <x v="13"/>
    <n v="40"/>
    <n v="80"/>
    <n v="120"/>
    <n v="42"/>
    <n v="159"/>
    <n v="57"/>
    <n v="0.35849056603773582"/>
    <n v="18"/>
    <n v="39"/>
    <n v="20"/>
    <x v="122"/>
    <x v="0"/>
    <n v="60"/>
    <n v="159"/>
  </r>
  <r>
    <n v="419"/>
    <n v="55"/>
    <x v="1"/>
    <x v="0"/>
    <x v="0"/>
    <n v="20"/>
    <x v="1"/>
    <x v="2"/>
    <x v="4"/>
    <n v="16"/>
    <n v="124"/>
    <x v="18"/>
    <n v="70"/>
    <n v="40"/>
    <n v="150"/>
    <n v="53"/>
    <n v="124"/>
    <n v="16"/>
    <n v="0.12903225806451613"/>
    <n v="20"/>
    <n v="-26"/>
    <n v="-15"/>
    <x v="196"/>
    <x v="0"/>
    <n v="55"/>
    <n v="124"/>
  </r>
  <r>
    <n v="330"/>
    <n v="59"/>
    <x v="1"/>
    <x v="0"/>
    <x v="0"/>
    <n v="19"/>
    <x v="1"/>
    <x v="3"/>
    <x v="6"/>
    <n v="33"/>
    <n v="138"/>
    <x v="18"/>
    <n v="50"/>
    <n v="50"/>
    <n v="130"/>
    <n v="46"/>
    <n v="138"/>
    <n v="33"/>
    <n v="0.2391304347826087"/>
    <n v="19"/>
    <n v="8"/>
    <n v="9"/>
    <x v="233"/>
    <x v="0"/>
    <n v="59"/>
    <n v="138"/>
  </r>
  <r>
    <n v="650"/>
    <n v="75"/>
    <x v="1"/>
    <x v="0"/>
    <x v="3"/>
    <n v="24"/>
    <x v="0"/>
    <x v="1"/>
    <x v="3"/>
    <n v="59"/>
    <n v="189"/>
    <x v="3"/>
    <n v="50"/>
    <n v="40"/>
    <n v="130"/>
    <n v="55"/>
    <n v="189"/>
    <n v="59"/>
    <n v="0.31216931216931215"/>
    <n v="24"/>
    <n v="59"/>
    <n v="25"/>
    <x v="234"/>
    <x v="0"/>
    <n v="75"/>
    <n v="189"/>
  </r>
  <r>
    <n v="314"/>
    <n v="69"/>
    <x v="1"/>
    <x v="1"/>
    <x v="0"/>
    <n v="21"/>
    <x v="1"/>
    <x v="3"/>
    <x v="5"/>
    <n v="38"/>
    <n v="150"/>
    <x v="12"/>
    <n v="60"/>
    <n v="40"/>
    <n v="140"/>
    <n v="43"/>
    <n v="150"/>
    <n v="38"/>
    <n v="0.25333333333333335"/>
    <n v="21"/>
    <n v="10"/>
    <n v="9"/>
    <x v="129"/>
    <x v="0"/>
    <n v="69"/>
    <n v="150"/>
  </r>
  <r>
    <n v="503"/>
    <n v="46"/>
    <x v="1"/>
    <x v="1"/>
    <x v="3"/>
    <n v="14"/>
    <x v="1"/>
    <x v="3"/>
    <x v="5"/>
    <n v="32"/>
    <n v="114"/>
    <x v="11"/>
    <n v="50"/>
    <n v="50"/>
    <n v="130"/>
    <n v="36"/>
    <n v="114"/>
    <n v="32"/>
    <n v="0.2807017543859649"/>
    <n v="14"/>
    <n v="-16"/>
    <n v="-4"/>
    <x v="177"/>
    <x v="0"/>
    <n v="46"/>
    <n v="114"/>
  </r>
  <r>
    <n v="206"/>
    <n v="75"/>
    <x v="1"/>
    <x v="1"/>
    <x v="3"/>
    <n v="23"/>
    <x v="1"/>
    <x v="2"/>
    <x v="4"/>
    <n v="45"/>
    <n v="164"/>
    <x v="14"/>
    <n v="70"/>
    <n v="40"/>
    <n v="150"/>
    <n v="44"/>
    <n v="164"/>
    <n v="45"/>
    <n v="0.27439024390243905"/>
    <n v="23"/>
    <n v="14"/>
    <n v="5"/>
    <x v="235"/>
    <x v="0"/>
    <n v="75"/>
    <n v="164"/>
  </r>
  <r>
    <n v="203"/>
    <n v="61"/>
    <x v="1"/>
    <x v="1"/>
    <x v="2"/>
    <n v="55"/>
    <x v="1"/>
    <x v="2"/>
    <x v="8"/>
    <n v="2"/>
    <n v="147"/>
    <x v="5"/>
    <n v="60"/>
    <n v="10"/>
    <n v="140"/>
    <n v="84"/>
    <n v="147"/>
    <n v="2"/>
    <n v="1.3605442176870748E-2"/>
    <n v="55"/>
    <n v="7"/>
    <n v="1"/>
    <x v="198"/>
    <x v="0"/>
    <n v="61"/>
    <n v="147"/>
  </r>
  <r>
    <n v="225"/>
    <n v="47"/>
    <x v="1"/>
    <x v="1"/>
    <x v="1"/>
    <n v="13"/>
    <x v="1"/>
    <x v="3"/>
    <x v="7"/>
    <n v="44"/>
    <n v="115"/>
    <x v="10"/>
    <n v="50"/>
    <n v="60"/>
    <n v="130"/>
    <n v="24"/>
    <n v="115"/>
    <n v="44"/>
    <n v="0.38260869565217392"/>
    <n v="13"/>
    <n v="-15"/>
    <n v="-3"/>
    <x v="38"/>
    <x v="0"/>
    <n v="47"/>
    <n v="115"/>
  </r>
  <r>
    <n v="541"/>
    <n v="52"/>
    <x v="1"/>
    <x v="1"/>
    <x v="3"/>
    <n v="47"/>
    <x v="1"/>
    <x v="3"/>
    <x v="6"/>
    <n v="-4"/>
    <n v="125"/>
    <x v="11"/>
    <n v="60"/>
    <n v="10"/>
    <n v="140"/>
    <n v="77"/>
    <n v="125"/>
    <n v="-4"/>
    <n v="-3.2000000000000001E-2"/>
    <n v="47"/>
    <n v="-15"/>
    <n v="-8"/>
    <x v="194"/>
    <x v="0"/>
    <n v="52"/>
    <n v="125"/>
  </r>
  <r>
    <n v="435"/>
    <n v="53"/>
    <x v="1"/>
    <x v="1"/>
    <x v="3"/>
    <n v="17"/>
    <x v="1"/>
    <x v="3"/>
    <x v="7"/>
    <n v="27"/>
    <n v="124"/>
    <x v="8"/>
    <n v="60"/>
    <n v="50"/>
    <n v="140"/>
    <n v="44"/>
    <n v="124"/>
    <n v="27"/>
    <n v="0.21774193548387097"/>
    <n v="17"/>
    <n v="-16"/>
    <n v="-7"/>
    <x v="190"/>
    <x v="0"/>
    <n v="53"/>
    <n v="124"/>
  </r>
  <r>
    <n v="503"/>
    <n v="59"/>
    <x v="1"/>
    <x v="1"/>
    <x v="3"/>
    <n v="19"/>
    <x v="1"/>
    <x v="2"/>
    <x v="8"/>
    <n v="33"/>
    <n v="138"/>
    <x v="11"/>
    <n v="50"/>
    <n v="50"/>
    <n v="130"/>
    <n v="46"/>
    <n v="138"/>
    <n v="33"/>
    <n v="0.2391304347826087"/>
    <n v="19"/>
    <n v="8"/>
    <n v="9"/>
    <x v="233"/>
    <x v="0"/>
    <n v="59"/>
    <n v="138"/>
  </r>
  <r>
    <n v="920"/>
    <n v="53"/>
    <x v="1"/>
    <x v="1"/>
    <x v="0"/>
    <n v="16"/>
    <x v="0"/>
    <x v="0"/>
    <x v="10"/>
    <n v="48"/>
    <n v="141"/>
    <x v="13"/>
    <n v="50"/>
    <n v="50"/>
    <n v="130"/>
    <n v="40"/>
    <n v="141"/>
    <n v="48"/>
    <n v="0.34042553191489361"/>
    <n v="16"/>
    <n v="11"/>
    <n v="3"/>
    <x v="7"/>
    <x v="0"/>
    <n v="53"/>
    <n v="141"/>
  </r>
  <r>
    <n v="959"/>
    <n v="54"/>
    <x v="1"/>
    <x v="1"/>
    <x v="2"/>
    <n v="15"/>
    <x v="0"/>
    <x v="1"/>
    <x v="2"/>
    <n v="51"/>
    <n v="132"/>
    <x v="5"/>
    <n v="50"/>
    <n v="60"/>
    <n v="130"/>
    <n v="27"/>
    <n v="132"/>
    <n v="51"/>
    <n v="0.38636363636363635"/>
    <n v="15"/>
    <n v="2"/>
    <n v="4"/>
    <x v="236"/>
    <x v="0"/>
    <n v="54"/>
    <n v="132"/>
  </r>
  <r>
    <n v="740"/>
    <n v="46"/>
    <x v="2"/>
    <x v="0"/>
    <x v="0"/>
    <n v="17"/>
    <x v="1"/>
    <x v="2"/>
    <x v="4"/>
    <n v="6"/>
    <n v="103"/>
    <x v="18"/>
    <n v="50"/>
    <n v="40"/>
    <n v="130"/>
    <n v="51"/>
    <n v="103"/>
    <n v="6"/>
    <n v="5.8252427184466021E-2"/>
    <n v="17"/>
    <n v="-27"/>
    <n v="-4"/>
    <x v="132"/>
    <x v="0"/>
    <n v="46"/>
    <n v="103"/>
  </r>
  <r>
    <n v="630"/>
    <n v="67"/>
    <x v="2"/>
    <x v="0"/>
    <x v="0"/>
    <n v="22"/>
    <x v="0"/>
    <x v="1"/>
    <x v="11"/>
    <n v="47"/>
    <n v="168"/>
    <x v="16"/>
    <n v="50"/>
    <n v="40"/>
    <n v="130"/>
    <n v="54"/>
    <n v="168"/>
    <n v="47"/>
    <n v="0.27976190476190477"/>
    <n v="22"/>
    <n v="38"/>
    <n v="17"/>
    <x v="199"/>
    <x v="0"/>
    <n v="67"/>
    <n v="168"/>
  </r>
  <r>
    <n v="518"/>
    <n v="54"/>
    <x v="2"/>
    <x v="0"/>
    <x v="2"/>
    <n v="15"/>
    <x v="0"/>
    <x v="1"/>
    <x v="3"/>
    <n v="52"/>
    <n v="133"/>
    <x v="19"/>
    <n v="50"/>
    <n v="60"/>
    <n v="130"/>
    <n v="27"/>
    <n v="133"/>
    <n v="52"/>
    <n v="0.39097744360902253"/>
    <n v="15"/>
    <n v="3"/>
    <n v="4"/>
    <x v="41"/>
    <x v="0"/>
    <n v="54"/>
    <n v="133"/>
  </r>
  <r>
    <n v="213"/>
    <n v="67"/>
    <x v="2"/>
    <x v="0"/>
    <x v="3"/>
    <n v="22"/>
    <x v="0"/>
    <x v="1"/>
    <x v="3"/>
    <n v="47"/>
    <n v="168"/>
    <x v="3"/>
    <n v="40"/>
    <n v="50"/>
    <n v="120"/>
    <n v="54"/>
    <n v="168"/>
    <n v="47"/>
    <n v="0.27976190476190477"/>
    <n v="22"/>
    <n v="48"/>
    <n v="27"/>
    <x v="199"/>
    <x v="0"/>
    <n v="67"/>
    <n v="168"/>
  </r>
  <r>
    <n v="503"/>
    <n v="41"/>
    <x v="2"/>
    <x v="1"/>
    <x v="3"/>
    <n v="13"/>
    <x v="1"/>
    <x v="3"/>
    <x v="5"/>
    <n v="25"/>
    <n v="101"/>
    <x v="11"/>
    <n v="40"/>
    <n v="50"/>
    <n v="120"/>
    <n v="35"/>
    <n v="101"/>
    <n v="25"/>
    <n v="0.24752475247524752"/>
    <n v="13"/>
    <n v="-19"/>
    <n v="1"/>
    <x v="237"/>
    <x v="0"/>
    <n v="41"/>
    <n v="101"/>
  </r>
  <r>
    <n v="715"/>
    <n v="65"/>
    <x v="2"/>
    <x v="1"/>
    <x v="0"/>
    <n v="24"/>
    <x v="1"/>
    <x v="3"/>
    <x v="6"/>
    <n v="22"/>
    <n v="145"/>
    <x v="13"/>
    <n v="60"/>
    <n v="30"/>
    <n v="140"/>
    <n v="58"/>
    <n v="145"/>
    <n v="22"/>
    <n v="0.15172413793103448"/>
    <n v="24"/>
    <n v="5"/>
    <n v="5"/>
    <x v="173"/>
    <x v="0"/>
    <n v="65"/>
    <n v="145"/>
  </r>
  <r>
    <n v="503"/>
    <n v="47"/>
    <x v="2"/>
    <x v="1"/>
    <x v="3"/>
    <n v="42"/>
    <x v="1"/>
    <x v="3"/>
    <x v="6"/>
    <n v="-7"/>
    <n v="112"/>
    <x v="11"/>
    <n v="50"/>
    <n v="20"/>
    <n v="130"/>
    <n v="72"/>
    <n v="112"/>
    <n v="-7"/>
    <n v="-6.25E-2"/>
    <n v="42"/>
    <n v="-18"/>
    <n v="-3"/>
    <x v="14"/>
    <x v="0"/>
    <n v="47"/>
    <n v="112"/>
  </r>
  <r>
    <n v="801"/>
    <n v="49"/>
    <x v="2"/>
    <x v="1"/>
    <x v="3"/>
    <n v="16"/>
    <x v="1"/>
    <x v="3"/>
    <x v="7"/>
    <n v="21"/>
    <n v="114"/>
    <x v="8"/>
    <n v="50"/>
    <n v="50"/>
    <n v="130"/>
    <n v="44"/>
    <n v="114"/>
    <n v="21"/>
    <n v="0.18421052631578946"/>
    <n v="16"/>
    <n v="-16"/>
    <n v="-1"/>
    <x v="200"/>
    <x v="0"/>
    <n v="49"/>
    <n v="114"/>
  </r>
  <r>
    <n v="509"/>
    <n v="65"/>
    <x v="2"/>
    <x v="1"/>
    <x v="3"/>
    <n v="24"/>
    <x v="1"/>
    <x v="2"/>
    <x v="8"/>
    <n v="23"/>
    <n v="145"/>
    <x v="14"/>
    <n v="60"/>
    <n v="30"/>
    <n v="140"/>
    <n v="57"/>
    <n v="145"/>
    <n v="23"/>
    <n v="0.15862068965517243"/>
    <n v="24"/>
    <n v="5"/>
    <n v="5"/>
    <x v="43"/>
    <x v="0"/>
    <n v="65"/>
    <n v="145"/>
  </r>
  <r>
    <n v="985"/>
    <n v="68"/>
    <x v="2"/>
    <x v="1"/>
    <x v="1"/>
    <n v="25"/>
    <x v="0"/>
    <x v="0"/>
    <x v="0"/>
    <n v="26"/>
    <n v="153"/>
    <x v="10"/>
    <n v="60"/>
    <n v="30"/>
    <n v="140"/>
    <n v="59"/>
    <n v="153"/>
    <n v="26"/>
    <n v="0.16993464052287582"/>
    <n v="25"/>
    <n v="13"/>
    <n v="8"/>
    <x v="238"/>
    <x v="0"/>
    <n v="68"/>
    <n v="153"/>
  </r>
  <r>
    <n v="432"/>
    <n v="76"/>
    <x v="3"/>
    <x v="0"/>
    <x v="1"/>
    <n v="21"/>
    <x v="1"/>
    <x v="2"/>
    <x v="4"/>
    <n v="116"/>
    <n v="199"/>
    <x v="1"/>
    <n v="40"/>
    <n v="80"/>
    <n v="120"/>
    <n v="33"/>
    <n v="199"/>
    <n v="116"/>
    <n v="0.58291457286432158"/>
    <n v="21"/>
    <n v="79"/>
    <n v="36"/>
    <x v="239"/>
    <x v="1"/>
    <n v="76"/>
    <n v="199"/>
  </r>
  <r>
    <n v="325"/>
    <n v="52"/>
    <x v="3"/>
    <x v="0"/>
    <x v="1"/>
    <n v="17"/>
    <x v="0"/>
    <x v="0"/>
    <x v="10"/>
    <n v="39"/>
    <n v="131"/>
    <x v="1"/>
    <n v="30"/>
    <n v="70"/>
    <n v="110"/>
    <n v="45"/>
    <n v="131"/>
    <n v="39"/>
    <n v="0.29770992366412213"/>
    <n v="17"/>
    <n v="21"/>
    <n v="22"/>
    <x v="61"/>
    <x v="0"/>
    <n v="52"/>
    <n v="131"/>
  </r>
  <r>
    <n v="815"/>
    <n v="76"/>
    <x v="3"/>
    <x v="0"/>
    <x v="0"/>
    <n v="21"/>
    <x v="0"/>
    <x v="1"/>
    <x v="2"/>
    <n v="116"/>
    <n v="199"/>
    <x v="16"/>
    <n v="50"/>
    <n v="80"/>
    <n v="130"/>
    <n v="33"/>
    <n v="199"/>
    <n v="116"/>
    <n v="0.58291457286432158"/>
    <n v="21"/>
    <n v="69"/>
    <n v="26"/>
    <x v="239"/>
    <x v="1"/>
    <n v="76"/>
    <n v="199"/>
  </r>
  <r>
    <n v="815"/>
    <n v="72"/>
    <x v="3"/>
    <x v="0"/>
    <x v="0"/>
    <n v="23"/>
    <x v="0"/>
    <x v="1"/>
    <x v="11"/>
    <n v="82"/>
    <n v="194"/>
    <x v="16"/>
    <n v="50"/>
    <n v="50"/>
    <n v="130"/>
    <n v="55"/>
    <n v="194"/>
    <n v="82"/>
    <n v="0.42268041237113402"/>
    <n v="23"/>
    <n v="64"/>
    <n v="22"/>
    <x v="205"/>
    <x v="0"/>
    <n v="72"/>
    <n v="194"/>
  </r>
  <r>
    <n v="636"/>
    <n v="65"/>
    <x v="3"/>
    <x v="1"/>
    <x v="0"/>
    <n v="20"/>
    <x v="1"/>
    <x v="3"/>
    <x v="5"/>
    <n v="52"/>
    <n v="151"/>
    <x v="12"/>
    <n v="50"/>
    <n v="70"/>
    <n v="130"/>
    <n v="42"/>
    <n v="151"/>
    <n v="52"/>
    <n v="0.3443708609271523"/>
    <n v="20"/>
    <n v="21"/>
    <n v="15"/>
    <x v="143"/>
    <x v="0"/>
    <n v="65"/>
    <n v="151"/>
  </r>
  <r>
    <n v="417"/>
    <n v="32"/>
    <x v="3"/>
    <x v="1"/>
    <x v="0"/>
    <n v="8"/>
    <x v="1"/>
    <x v="2"/>
    <x v="4"/>
    <n v="42"/>
    <n v="84"/>
    <x v="12"/>
    <n v="30"/>
    <n v="80"/>
    <n v="110"/>
    <n v="19"/>
    <n v="84"/>
    <n v="42"/>
    <n v="0.5"/>
    <n v="8"/>
    <n v="-26"/>
    <n v="2"/>
    <x v="89"/>
    <x v="0"/>
    <n v="32"/>
    <n v="84"/>
  </r>
  <r>
    <n v="405"/>
    <n v="82"/>
    <x v="3"/>
    <x v="1"/>
    <x v="1"/>
    <n v="27"/>
    <x v="1"/>
    <x v="2"/>
    <x v="4"/>
    <n v="96"/>
    <n v="218"/>
    <x v="6"/>
    <n v="50"/>
    <n v="60"/>
    <n v="130"/>
    <n v="58"/>
    <n v="218"/>
    <n v="96"/>
    <n v="0.44036697247706424"/>
    <n v="27"/>
    <n v="88"/>
    <n v="32"/>
    <x v="240"/>
    <x v="0"/>
    <n v="82"/>
    <n v="218"/>
  </r>
  <r>
    <n v="414"/>
    <n v="56"/>
    <x v="3"/>
    <x v="1"/>
    <x v="0"/>
    <n v="21"/>
    <x v="1"/>
    <x v="3"/>
    <x v="6"/>
    <n v="22"/>
    <n v="134"/>
    <x v="13"/>
    <n v="40"/>
    <n v="50"/>
    <n v="120"/>
    <n v="55"/>
    <n v="134"/>
    <n v="22"/>
    <n v="0.16417910447761194"/>
    <n v="21"/>
    <n v="14"/>
    <n v="16"/>
    <x v="241"/>
    <x v="0"/>
    <n v="56"/>
    <n v="134"/>
  </r>
  <r>
    <n v="405"/>
    <n v="91"/>
    <x v="3"/>
    <x v="1"/>
    <x v="1"/>
    <n v="28"/>
    <x v="1"/>
    <x v="2"/>
    <x v="9"/>
    <n v="113"/>
    <n v="232"/>
    <x v="6"/>
    <n v="50"/>
    <n v="70"/>
    <n v="130"/>
    <n v="51"/>
    <n v="232"/>
    <n v="113"/>
    <n v="0.48706896551724138"/>
    <n v="28"/>
    <n v="102"/>
    <n v="41"/>
    <x v="79"/>
    <x v="1"/>
    <n v="91"/>
    <n v="232"/>
  </r>
  <r>
    <n v="715"/>
    <n v="60"/>
    <x v="3"/>
    <x v="1"/>
    <x v="0"/>
    <n v="18"/>
    <x v="0"/>
    <x v="0"/>
    <x v="10"/>
    <n v="85"/>
    <n v="169"/>
    <x v="13"/>
    <n v="40"/>
    <n v="80"/>
    <n v="120"/>
    <n v="42"/>
    <n v="169"/>
    <n v="85"/>
    <n v="0.50295857988165682"/>
    <n v="18"/>
    <n v="49"/>
    <n v="20"/>
    <x v="144"/>
    <x v="0"/>
    <n v="60"/>
    <n v="169"/>
  </r>
  <r>
    <n v="937"/>
    <n v="55"/>
    <x v="4"/>
    <x v="0"/>
    <x v="0"/>
    <n v="20"/>
    <x v="1"/>
    <x v="2"/>
    <x v="4"/>
    <n v="24"/>
    <n v="132"/>
    <x v="18"/>
    <n v="70"/>
    <n v="40"/>
    <n v="150"/>
    <n v="53"/>
    <n v="132"/>
    <n v="24"/>
    <n v="0.18181818181818182"/>
    <n v="20"/>
    <n v="-18"/>
    <n v="-15"/>
    <x v="212"/>
    <x v="0"/>
    <n v="55"/>
    <n v="132"/>
  </r>
  <r>
    <n v="234"/>
    <n v="59"/>
    <x v="4"/>
    <x v="0"/>
    <x v="0"/>
    <n v="19"/>
    <x v="1"/>
    <x v="3"/>
    <x v="6"/>
    <n v="49"/>
    <n v="147"/>
    <x v="18"/>
    <n v="50"/>
    <n v="50"/>
    <n v="130"/>
    <n v="46"/>
    <n v="147"/>
    <n v="49"/>
    <n v="0.33333333333333331"/>
    <n v="19"/>
    <n v="17"/>
    <n v="9"/>
    <x v="242"/>
    <x v="0"/>
    <n v="59"/>
    <n v="147"/>
  </r>
  <r>
    <n v="209"/>
    <n v="75"/>
    <x v="4"/>
    <x v="0"/>
    <x v="3"/>
    <n v="24"/>
    <x v="0"/>
    <x v="1"/>
    <x v="3"/>
    <n v="88"/>
    <n v="201"/>
    <x v="3"/>
    <n v="50"/>
    <n v="40"/>
    <n v="130"/>
    <n v="55"/>
    <n v="201"/>
    <n v="88"/>
    <n v="0.43781094527363185"/>
    <n v="24"/>
    <n v="71"/>
    <n v="25"/>
    <x v="243"/>
    <x v="0"/>
    <n v="75"/>
    <n v="201"/>
  </r>
  <r>
    <n v="417"/>
    <n v="69"/>
    <x v="4"/>
    <x v="1"/>
    <x v="0"/>
    <n v="21"/>
    <x v="1"/>
    <x v="3"/>
    <x v="5"/>
    <n v="56"/>
    <n v="160"/>
    <x v="12"/>
    <n v="60"/>
    <n v="40"/>
    <n v="140"/>
    <n v="43"/>
    <n v="160"/>
    <n v="56"/>
    <n v="0.35"/>
    <n v="21"/>
    <n v="20"/>
    <n v="9"/>
    <x v="126"/>
    <x v="0"/>
    <n v="69"/>
    <n v="160"/>
  </r>
  <r>
    <n v="503"/>
    <n v="46"/>
    <x v="4"/>
    <x v="1"/>
    <x v="3"/>
    <n v="14"/>
    <x v="1"/>
    <x v="3"/>
    <x v="5"/>
    <n v="47"/>
    <n v="121"/>
    <x v="11"/>
    <n v="50"/>
    <n v="50"/>
    <n v="130"/>
    <n v="36"/>
    <n v="121"/>
    <n v="47"/>
    <n v="0.38842975206611569"/>
    <n v="14"/>
    <n v="-9"/>
    <n v="-4"/>
    <x v="124"/>
    <x v="0"/>
    <n v="46"/>
    <n v="121"/>
  </r>
  <r>
    <n v="425"/>
    <n v="75"/>
    <x v="4"/>
    <x v="1"/>
    <x v="3"/>
    <n v="23"/>
    <x v="1"/>
    <x v="2"/>
    <x v="4"/>
    <n v="67"/>
    <n v="175"/>
    <x v="14"/>
    <n v="70"/>
    <n v="40"/>
    <n v="150"/>
    <n v="44"/>
    <n v="175"/>
    <n v="67"/>
    <n v="0.38285714285714284"/>
    <n v="23"/>
    <n v="25"/>
    <n v="5"/>
    <x v="244"/>
    <x v="0"/>
    <n v="75"/>
    <n v="175"/>
  </r>
  <r>
    <n v="475"/>
    <n v="61"/>
    <x v="4"/>
    <x v="1"/>
    <x v="2"/>
    <n v="55"/>
    <x v="1"/>
    <x v="2"/>
    <x v="8"/>
    <n v="3"/>
    <n v="157"/>
    <x v="5"/>
    <n v="60"/>
    <n v="10"/>
    <n v="140"/>
    <n v="84"/>
    <n v="157"/>
    <n v="3"/>
    <n v="1.9108280254777069E-2"/>
    <n v="55"/>
    <n v="17"/>
    <n v="1"/>
    <x v="214"/>
    <x v="0"/>
    <n v="61"/>
    <n v="157"/>
  </r>
  <r>
    <n v="318"/>
    <n v="47"/>
    <x v="4"/>
    <x v="1"/>
    <x v="1"/>
    <n v="13"/>
    <x v="1"/>
    <x v="3"/>
    <x v="7"/>
    <n v="65"/>
    <n v="123"/>
    <x v="10"/>
    <n v="50"/>
    <n v="60"/>
    <n v="130"/>
    <n v="24"/>
    <n v="123"/>
    <n v="65"/>
    <n v="0.52845528455284552"/>
    <n v="13"/>
    <n v="-7"/>
    <n v="-3"/>
    <x v="68"/>
    <x v="0"/>
    <n v="47"/>
    <n v="123"/>
  </r>
  <r>
    <n v="971"/>
    <n v="52"/>
    <x v="4"/>
    <x v="1"/>
    <x v="3"/>
    <n v="47"/>
    <x v="1"/>
    <x v="3"/>
    <x v="6"/>
    <n v="-6"/>
    <n v="133"/>
    <x v="11"/>
    <n v="60"/>
    <n v="10"/>
    <n v="140"/>
    <n v="77"/>
    <n v="133"/>
    <n v="-6"/>
    <n v="-4.5112781954887216E-2"/>
    <n v="47"/>
    <n v="-7"/>
    <n v="-8"/>
    <x v="210"/>
    <x v="0"/>
    <n v="52"/>
    <n v="133"/>
  </r>
  <r>
    <n v="435"/>
    <n v="53"/>
    <x v="4"/>
    <x v="1"/>
    <x v="3"/>
    <n v="17"/>
    <x v="1"/>
    <x v="3"/>
    <x v="7"/>
    <n v="40"/>
    <n v="132"/>
    <x v="8"/>
    <n v="60"/>
    <n v="50"/>
    <n v="140"/>
    <n v="44"/>
    <n v="132"/>
    <n v="40"/>
    <n v="0.30303030303030304"/>
    <n v="17"/>
    <n v="-8"/>
    <n v="-7"/>
    <x v="207"/>
    <x v="0"/>
    <n v="53"/>
    <n v="132"/>
  </r>
  <r>
    <n v="541"/>
    <n v="59"/>
    <x v="4"/>
    <x v="1"/>
    <x v="3"/>
    <n v="19"/>
    <x v="1"/>
    <x v="2"/>
    <x v="8"/>
    <n v="49"/>
    <n v="147"/>
    <x v="11"/>
    <n v="50"/>
    <n v="50"/>
    <n v="130"/>
    <n v="46"/>
    <n v="147"/>
    <n v="49"/>
    <n v="0.33333333333333331"/>
    <n v="19"/>
    <n v="17"/>
    <n v="9"/>
    <x v="242"/>
    <x v="0"/>
    <n v="59"/>
    <n v="147"/>
  </r>
  <r>
    <n v="262"/>
    <n v="53"/>
    <x v="4"/>
    <x v="1"/>
    <x v="0"/>
    <n v="16"/>
    <x v="0"/>
    <x v="0"/>
    <x v="10"/>
    <n v="71"/>
    <n v="150"/>
    <x v="13"/>
    <n v="50"/>
    <n v="50"/>
    <n v="130"/>
    <n v="40"/>
    <n v="150"/>
    <n v="71"/>
    <n v="0.47333333333333333"/>
    <n v="16"/>
    <n v="20"/>
    <n v="3"/>
    <x v="245"/>
    <x v="0"/>
    <n v="53"/>
    <n v="150"/>
  </r>
  <r>
    <n v="860"/>
    <n v="54"/>
    <x v="4"/>
    <x v="1"/>
    <x v="2"/>
    <n v="15"/>
    <x v="0"/>
    <x v="1"/>
    <x v="2"/>
    <n v="76"/>
    <n v="141"/>
    <x v="5"/>
    <n v="50"/>
    <n v="60"/>
    <n v="130"/>
    <n v="27"/>
    <n v="141"/>
    <n v="76"/>
    <n v="0.53900709219858156"/>
    <n v="15"/>
    <n v="11"/>
    <n v="4"/>
    <x v="246"/>
    <x v="0"/>
    <n v="54"/>
    <n v="141"/>
  </r>
  <r>
    <n v="419"/>
    <n v="46"/>
    <x v="5"/>
    <x v="0"/>
    <x v="0"/>
    <n v="17"/>
    <x v="1"/>
    <x v="2"/>
    <x v="4"/>
    <n v="9"/>
    <n v="110"/>
    <x v="18"/>
    <n v="50"/>
    <n v="40"/>
    <n v="130"/>
    <n v="51"/>
    <n v="110"/>
    <n v="9"/>
    <n v="8.1818181818181818E-2"/>
    <n v="17"/>
    <n v="-20"/>
    <n v="-4"/>
    <x v="152"/>
    <x v="0"/>
    <n v="46"/>
    <n v="110"/>
  </r>
  <r>
    <n v="708"/>
    <n v="67"/>
    <x v="5"/>
    <x v="0"/>
    <x v="0"/>
    <n v="22"/>
    <x v="0"/>
    <x v="1"/>
    <x v="11"/>
    <n v="70"/>
    <n v="179"/>
    <x v="16"/>
    <n v="50"/>
    <n v="40"/>
    <n v="130"/>
    <n v="54"/>
    <n v="179"/>
    <n v="70"/>
    <n v="0.39106145251396646"/>
    <n v="22"/>
    <n v="49"/>
    <n v="17"/>
    <x v="215"/>
    <x v="0"/>
    <n v="67"/>
    <n v="179"/>
  </r>
  <r>
    <n v="585"/>
    <n v="54"/>
    <x v="5"/>
    <x v="0"/>
    <x v="2"/>
    <n v="15"/>
    <x v="0"/>
    <x v="1"/>
    <x v="3"/>
    <n v="77"/>
    <n v="142"/>
    <x v="19"/>
    <n v="50"/>
    <n v="60"/>
    <n v="130"/>
    <n v="27"/>
    <n v="142"/>
    <n v="77"/>
    <n v="0.54225352112676062"/>
    <n v="15"/>
    <n v="12"/>
    <n v="4"/>
    <x v="98"/>
    <x v="0"/>
    <n v="54"/>
    <n v="142"/>
  </r>
  <r>
    <n v="510"/>
    <n v="67"/>
    <x v="5"/>
    <x v="0"/>
    <x v="3"/>
    <n v="22"/>
    <x v="0"/>
    <x v="1"/>
    <x v="3"/>
    <n v="70"/>
    <n v="179"/>
    <x v="3"/>
    <n v="40"/>
    <n v="50"/>
    <n v="120"/>
    <n v="54"/>
    <n v="179"/>
    <n v="70"/>
    <n v="0.39106145251396646"/>
    <n v="22"/>
    <n v="59"/>
    <n v="27"/>
    <x v="215"/>
    <x v="0"/>
    <n v="67"/>
    <n v="179"/>
  </r>
  <r>
    <n v="541"/>
    <n v="41"/>
    <x v="5"/>
    <x v="1"/>
    <x v="3"/>
    <n v="13"/>
    <x v="1"/>
    <x v="3"/>
    <x v="5"/>
    <n v="37"/>
    <n v="108"/>
    <x v="11"/>
    <n v="40"/>
    <n v="50"/>
    <n v="120"/>
    <n v="35"/>
    <n v="108"/>
    <n v="37"/>
    <n v="0.34259259259259262"/>
    <n v="13"/>
    <n v="-12"/>
    <n v="1"/>
    <x v="247"/>
    <x v="0"/>
    <n v="41"/>
    <n v="108"/>
  </r>
  <r>
    <n v="920"/>
    <n v="65"/>
    <x v="5"/>
    <x v="1"/>
    <x v="0"/>
    <n v="24"/>
    <x v="1"/>
    <x v="3"/>
    <x v="6"/>
    <n v="33"/>
    <n v="155"/>
    <x v="13"/>
    <n v="60"/>
    <n v="30"/>
    <n v="140"/>
    <n v="58"/>
    <n v="155"/>
    <n v="33"/>
    <n v="0.2129032258064516"/>
    <n v="24"/>
    <n v="15"/>
    <n v="5"/>
    <x v="218"/>
    <x v="0"/>
    <n v="65"/>
    <n v="155"/>
  </r>
  <r>
    <n v="541"/>
    <n v="47"/>
    <x v="5"/>
    <x v="1"/>
    <x v="3"/>
    <n v="42"/>
    <x v="1"/>
    <x v="3"/>
    <x v="6"/>
    <n v="-10"/>
    <n v="119"/>
    <x v="11"/>
    <n v="50"/>
    <n v="20"/>
    <n v="130"/>
    <n v="72"/>
    <n v="119"/>
    <n v="-10"/>
    <n v="-8.4033613445378158E-2"/>
    <n v="42"/>
    <n v="-11"/>
    <n v="-3"/>
    <x v="248"/>
    <x v="0"/>
    <n v="47"/>
    <n v="119"/>
  </r>
  <r>
    <n v="435"/>
    <n v="49"/>
    <x v="5"/>
    <x v="1"/>
    <x v="3"/>
    <n v="16"/>
    <x v="1"/>
    <x v="3"/>
    <x v="7"/>
    <n v="31"/>
    <n v="121"/>
    <x v="8"/>
    <n v="50"/>
    <n v="50"/>
    <n v="130"/>
    <n v="44"/>
    <n v="121"/>
    <n v="31"/>
    <n v="0.256198347107438"/>
    <n v="16"/>
    <n v="-9"/>
    <n v="-1"/>
    <x v="216"/>
    <x v="0"/>
    <n v="49"/>
    <n v="121"/>
  </r>
  <r>
    <n v="509"/>
    <n v="65"/>
    <x v="5"/>
    <x v="1"/>
    <x v="3"/>
    <n v="24"/>
    <x v="1"/>
    <x v="2"/>
    <x v="8"/>
    <n v="34"/>
    <n v="155"/>
    <x v="14"/>
    <n v="60"/>
    <n v="30"/>
    <n v="140"/>
    <n v="57"/>
    <n v="155"/>
    <n v="34"/>
    <n v="0.21935483870967742"/>
    <n v="24"/>
    <n v="15"/>
    <n v="5"/>
    <x v="100"/>
    <x v="0"/>
    <n v="65"/>
    <n v="155"/>
  </r>
  <r>
    <n v="318"/>
    <n v="68"/>
    <x v="5"/>
    <x v="1"/>
    <x v="1"/>
    <n v="25"/>
    <x v="0"/>
    <x v="0"/>
    <x v="0"/>
    <n v="39"/>
    <n v="163"/>
    <x v="10"/>
    <n v="60"/>
    <n v="30"/>
    <n v="140"/>
    <n v="59"/>
    <n v="163"/>
    <n v="39"/>
    <n v="0.2392638036809816"/>
    <n v="25"/>
    <n v="23"/>
    <n v="8"/>
    <x v="249"/>
    <x v="0"/>
    <n v="68"/>
    <n v="163"/>
  </r>
  <r>
    <n v="214"/>
    <n v="39"/>
    <x v="0"/>
    <x v="0"/>
    <x v="1"/>
    <n v="12"/>
    <x v="1"/>
    <x v="3"/>
    <x v="5"/>
    <n v="26"/>
    <n v="90"/>
    <x v="1"/>
    <n v="40"/>
    <n v="80"/>
    <n v="130"/>
    <n v="25"/>
    <n v="90"/>
    <n v="26"/>
    <n v="0.28888888888888886"/>
    <n v="12"/>
    <n v="-40"/>
    <n v="-1"/>
    <x v="159"/>
    <x v="0"/>
    <n v="39"/>
    <n v="90"/>
  </r>
  <r>
    <n v="936"/>
    <n v="239"/>
    <x v="0"/>
    <x v="0"/>
    <x v="1"/>
    <n v="74"/>
    <x v="1"/>
    <x v="3"/>
    <x v="7"/>
    <n v="185"/>
    <n v="520"/>
    <x v="1"/>
    <n v="350"/>
    <n v="340"/>
    <n v="770"/>
    <n v="96"/>
    <n v="520"/>
    <n v="185"/>
    <n v="0.35576923076923078"/>
    <n v="74"/>
    <n v="-250"/>
    <n v="-111"/>
    <x v="55"/>
    <x v="1"/>
    <n v="239"/>
    <n v="520"/>
  </r>
  <r>
    <n v="210"/>
    <n v="123"/>
    <x v="0"/>
    <x v="0"/>
    <x v="1"/>
    <n v="34"/>
    <x v="1"/>
    <x v="2"/>
    <x v="8"/>
    <n v="133"/>
    <n v="302"/>
    <x v="1"/>
    <n v="70"/>
    <n v="100"/>
    <n v="190"/>
    <n v="46"/>
    <n v="302"/>
    <n v="133"/>
    <n v="0.44039735099337746"/>
    <n v="34"/>
    <n v="112"/>
    <n v="53"/>
    <x v="250"/>
    <x v="1"/>
    <n v="123"/>
    <n v="302"/>
  </r>
  <r>
    <n v="225"/>
    <n v="48"/>
    <x v="0"/>
    <x v="1"/>
    <x v="1"/>
    <n v="13"/>
    <x v="1"/>
    <x v="3"/>
    <x v="5"/>
    <n v="45"/>
    <n v="118"/>
    <x v="10"/>
    <n v="70"/>
    <n v="80"/>
    <n v="160"/>
    <n v="25"/>
    <n v="118"/>
    <n v="45"/>
    <n v="0.38135593220338981"/>
    <n v="13"/>
    <n v="-42"/>
    <n v="-22"/>
    <x v="17"/>
    <x v="0"/>
    <n v="48"/>
    <n v="118"/>
  </r>
  <r>
    <n v="225"/>
    <n v="48"/>
    <x v="0"/>
    <x v="1"/>
    <x v="1"/>
    <n v="13"/>
    <x v="1"/>
    <x v="3"/>
    <x v="7"/>
    <n v="47"/>
    <n v="119"/>
    <x v="10"/>
    <n v="70"/>
    <n v="80"/>
    <n v="160"/>
    <n v="24"/>
    <n v="119"/>
    <n v="47"/>
    <n v="0.3949579831932773"/>
    <n v="13"/>
    <n v="-41"/>
    <n v="-22"/>
    <x v="18"/>
    <x v="0"/>
    <n v="48"/>
    <n v="119"/>
  </r>
  <r>
    <n v="505"/>
    <n v="45"/>
    <x v="0"/>
    <x v="1"/>
    <x v="1"/>
    <n v="14"/>
    <x v="1"/>
    <x v="3"/>
    <x v="7"/>
    <n v="23"/>
    <n v="114"/>
    <x v="17"/>
    <n v="50"/>
    <n v="80"/>
    <n v="160"/>
    <n v="46"/>
    <n v="114"/>
    <n v="23"/>
    <n v="0.20175438596491227"/>
    <n v="14"/>
    <n v="-46"/>
    <n v="-5"/>
    <x v="192"/>
    <x v="0"/>
    <n v="45"/>
    <n v="114"/>
  </r>
  <r>
    <n v="918"/>
    <n v="90"/>
    <x v="0"/>
    <x v="1"/>
    <x v="1"/>
    <n v="29"/>
    <x v="1"/>
    <x v="3"/>
    <x v="7"/>
    <n v="74"/>
    <n v="205"/>
    <x v="6"/>
    <n v="130"/>
    <n v="140"/>
    <n v="290"/>
    <n v="41"/>
    <n v="205"/>
    <n v="74"/>
    <n v="0.36097560975609755"/>
    <n v="29"/>
    <n v="-85"/>
    <n v="-40"/>
    <x v="251"/>
    <x v="0"/>
    <n v="90"/>
    <n v="205"/>
  </r>
  <r>
    <n v="505"/>
    <n v="25"/>
    <x v="0"/>
    <x v="1"/>
    <x v="1"/>
    <n v="9"/>
    <x v="1"/>
    <x v="2"/>
    <x v="9"/>
    <n v="-12"/>
    <n v="56"/>
    <x v="17"/>
    <n v="10"/>
    <n v="10"/>
    <n v="30"/>
    <n v="43"/>
    <n v="56"/>
    <n v="-12"/>
    <n v="-0.21428571428571427"/>
    <n v="9"/>
    <n v="26"/>
    <n v="15"/>
    <x v="222"/>
    <x v="0"/>
    <n v="25"/>
    <n v="56"/>
  </r>
  <r>
    <n v="225"/>
    <n v="103"/>
    <x v="0"/>
    <x v="1"/>
    <x v="1"/>
    <n v="33"/>
    <x v="0"/>
    <x v="0"/>
    <x v="10"/>
    <n v="87"/>
    <n v="236"/>
    <x v="10"/>
    <n v="80"/>
    <n v="110"/>
    <n v="210"/>
    <n v="46"/>
    <n v="236"/>
    <n v="87"/>
    <n v="0.36864406779661019"/>
    <n v="33"/>
    <n v="26"/>
    <n v="23"/>
    <x v="252"/>
    <x v="0"/>
    <n v="103"/>
    <n v="236"/>
  </r>
  <r>
    <n v="504"/>
    <n v="79"/>
    <x v="0"/>
    <x v="1"/>
    <x v="1"/>
    <n v="30"/>
    <x v="0"/>
    <x v="0"/>
    <x v="0"/>
    <n v="34"/>
    <n v="177"/>
    <x v="10"/>
    <n v="60"/>
    <n v="60"/>
    <n v="150"/>
    <n v="64"/>
    <n v="177"/>
    <n v="34"/>
    <n v="0.19209039548022599"/>
    <n v="30"/>
    <n v="27"/>
    <n v="19"/>
    <x v="119"/>
    <x v="0"/>
    <n v="79"/>
    <n v="177"/>
  </r>
  <r>
    <n v="405"/>
    <n v="96"/>
    <x v="0"/>
    <x v="1"/>
    <x v="1"/>
    <n v="87"/>
    <x v="0"/>
    <x v="0"/>
    <x v="0"/>
    <n v="17"/>
    <n v="230"/>
    <x v="6"/>
    <n v="80"/>
    <n v="40"/>
    <n v="200"/>
    <n v="117"/>
    <n v="230"/>
    <n v="17"/>
    <n v="7.3913043478260873E-2"/>
    <n v="87"/>
    <n v="30"/>
    <n v="16"/>
    <x v="253"/>
    <x v="0"/>
    <n v="96"/>
    <n v="230"/>
  </r>
  <r>
    <n v="956"/>
    <n v="225"/>
    <x v="1"/>
    <x v="0"/>
    <x v="1"/>
    <n v="69"/>
    <x v="1"/>
    <x v="3"/>
    <x v="7"/>
    <n v="174"/>
    <n v="490"/>
    <x v="1"/>
    <n v="260"/>
    <n v="230"/>
    <n v="580"/>
    <n v="91"/>
    <n v="490"/>
    <n v="174"/>
    <n v="0.35510204081632651"/>
    <n v="69"/>
    <n v="-90"/>
    <n v="-35"/>
    <x v="254"/>
    <x v="1"/>
    <n v="225"/>
    <n v="490"/>
  </r>
  <r>
    <n v="817"/>
    <n v="75"/>
    <x v="1"/>
    <x v="0"/>
    <x v="1"/>
    <n v="24"/>
    <x v="1"/>
    <x v="2"/>
    <x v="9"/>
    <n v="59"/>
    <n v="189"/>
    <x v="1"/>
    <n v="50"/>
    <n v="40"/>
    <n v="140"/>
    <n v="55"/>
    <n v="189"/>
    <n v="59"/>
    <n v="0.31216931216931215"/>
    <n v="24"/>
    <n v="49"/>
    <n v="25"/>
    <x v="234"/>
    <x v="0"/>
    <n v="75"/>
    <n v="189"/>
  </r>
  <r>
    <n v="409"/>
    <n v="118"/>
    <x v="1"/>
    <x v="0"/>
    <x v="1"/>
    <n v="33"/>
    <x v="1"/>
    <x v="2"/>
    <x v="8"/>
    <n v="127"/>
    <n v="290"/>
    <x v="1"/>
    <n v="90"/>
    <n v="100"/>
    <n v="220"/>
    <n v="45"/>
    <n v="290"/>
    <n v="127"/>
    <n v="0.43793103448275861"/>
    <n v="33"/>
    <n v="70"/>
    <n v="28"/>
    <x v="255"/>
    <x v="1"/>
    <n v="118"/>
    <n v="290"/>
  </r>
  <r>
    <n v="918"/>
    <n v="78"/>
    <x v="1"/>
    <x v="1"/>
    <x v="1"/>
    <n v="25"/>
    <x v="1"/>
    <x v="2"/>
    <x v="4"/>
    <n v="62"/>
    <n v="197"/>
    <x v="6"/>
    <n v="60"/>
    <n v="40"/>
    <n v="150"/>
    <n v="57"/>
    <n v="197"/>
    <n v="62"/>
    <n v="0.31472081218274112"/>
    <n v="25"/>
    <n v="47"/>
    <n v="18"/>
    <x v="256"/>
    <x v="0"/>
    <n v="78"/>
    <n v="197"/>
  </r>
  <r>
    <n v="918"/>
    <n v="88"/>
    <x v="1"/>
    <x v="1"/>
    <x v="1"/>
    <n v="29"/>
    <x v="1"/>
    <x v="3"/>
    <x v="7"/>
    <n v="71"/>
    <n v="200"/>
    <x v="6"/>
    <n v="100"/>
    <n v="90"/>
    <n v="230"/>
    <n v="41"/>
    <n v="200"/>
    <n v="71"/>
    <n v="0.35499999999999998"/>
    <n v="29"/>
    <n v="-30"/>
    <n v="-12"/>
    <x v="257"/>
    <x v="0"/>
    <n v="88"/>
    <n v="200"/>
  </r>
  <r>
    <n v="918"/>
    <n v="102"/>
    <x v="1"/>
    <x v="1"/>
    <x v="1"/>
    <n v="31"/>
    <x v="1"/>
    <x v="2"/>
    <x v="9"/>
    <n v="89"/>
    <n v="245"/>
    <x v="6"/>
    <n v="80"/>
    <n v="60"/>
    <n v="180"/>
    <n v="54"/>
    <n v="245"/>
    <n v="89"/>
    <n v="0.36326530612244901"/>
    <n v="31"/>
    <n v="65"/>
    <n v="22"/>
    <x v="258"/>
    <x v="0"/>
    <n v="102"/>
    <n v="245"/>
  </r>
  <r>
    <n v="337"/>
    <n v="101"/>
    <x v="1"/>
    <x v="1"/>
    <x v="1"/>
    <n v="33"/>
    <x v="0"/>
    <x v="0"/>
    <x v="10"/>
    <n v="85"/>
    <n v="231"/>
    <x v="10"/>
    <n v="90"/>
    <n v="80"/>
    <n v="210"/>
    <n v="45"/>
    <n v="231"/>
    <n v="85"/>
    <n v="0.36796536796536794"/>
    <n v="33"/>
    <n v="21"/>
    <n v="11"/>
    <x v="259"/>
    <x v="0"/>
    <n v="101"/>
    <n v="231"/>
  </r>
  <r>
    <n v="505"/>
    <n v="15"/>
    <x v="1"/>
    <x v="1"/>
    <x v="1"/>
    <n v="4"/>
    <x v="0"/>
    <x v="0"/>
    <x v="10"/>
    <n v="9"/>
    <n v="39"/>
    <x v="17"/>
    <n v="10"/>
    <n v="10"/>
    <n v="30"/>
    <n v="15"/>
    <n v="39"/>
    <n v="9"/>
    <n v="0.23076923076923078"/>
    <n v="4"/>
    <n v="9"/>
    <n v="5"/>
    <x v="115"/>
    <x v="0"/>
    <n v="15"/>
    <n v="39"/>
  </r>
  <r>
    <n v="337"/>
    <n v="82"/>
    <x v="1"/>
    <x v="1"/>
    <x v="1"/>
    <n v="31"/>
    <x v="0"/>
    <x v="0"/>
    <x v="0"/>
    <n v="38"/>
    <n v="184"/>
    <x v="10"/>
    <n v="70"/>
    <n v="40"/>
    <n v="170"/>
    <n v="64"/>
    <n v="184"/>
    <n v="38"/>
    <n v="0.20652173913043478"/>
    <n v="31"/>
    <n v="14"/>
    <n v="12"/>
    <x v="197"/>
    <x v="0"/>
    <n v="82"/>
    <n v="184"/>
  </r>
  <r>
    <n v="580"/>
    <n v="94"/>
    <x v="1"/>
    <x v="1"/>
    <x v="1"/>
    <n v="85"/>
    <x v="0"/>
    <x v="0"/>
    <x v="0"/>
    <n v="15"/>
    <n v="224"/>
    <x v="6"/>
    <n v="80"/>
    <n v="20"/>
    <n v="200"/>
    <n v="115"/>
    <n v="224"/>
    <n v="15"/>
    <n v="6.6964285714285712E-2"/>
    <n v="85"/>
    <n v="24"/>
    <n v="14"/>
    <x v="260"/>
    <x v="0"/>
    <n v="94"/>
    <n v="224"/>
  </r>
  <r>
    <n v="972"/>
    <n v="241"/>
    <x v="2"/>
    <x v="0"/>
    <x v="1"/>
    <n v="74"/>
    <x v="1"/>
    <x v="3"/>
    <x v="7"/>
    <n v="188"/>
    <n v="525"/>
    <x v="1"/>
    <n v="280"/>
    <n v="240"/>
    <n v="620"/>
    <n v="96"/>
    <n v="525"/>
    <n v="188"/>
    <n v="0.35809523809523808"/>
    <n v="74"/>
    <n v="-95"/>
    <n v="-39"/>
    <x v="261"/>
    <x v="1"/>
    <n v="241"/>
    <n v="525"/>
  </r>
  <r>
    <n v="972"/>
    <n v="123"/>
    <x v="2"/>
    <x v="0"/>
    <x v="1"/>
    <n v="34"/>
    <x v="1"/>
    <x v="2"/>
    <x v="8"/>
    <n v="133"/>
    <n v="302"/>
    <x v="1"/>
    <n v="90"/>
    <n v="110"/>
    <n v="230"/>
    <n v="46"/>
    <n v="302"/>
    <n v="133"/>
    <n v="0.44039735099337746"/>
    <n v="34"/>
    <n v="72"/>
    <n v="33"/>
    <x v="250"/>
    <x v="1"/>
    <n v="123"/>
    <n v="302"/>
  </r>
  <r>
    <n v="505"/>
    <n v="92"/>
    <x v="2"/>
    <x v="1"/>
    <x v="1"/>
    <n v="28"/>
    <x v="1"/>
    <x v="3"/>
    <x v="5"/>
    <n v="16"/>
    <n v="160"/>
    <x v="17"/>
    <n v="100"/>
    <n v="40"/>
    <n v="190"/>
    <n v="52"/>
    <n v="160"/>
    <n v="16"/>
    <n v="0.1"/>
    <n v="28"/>
    <n v="-30"/>
    <n v="-8"/>
    <x v="56"/>
    <x v="0"/>
    <n v="92"/>
    <n v="160"/>
  </r>
  <r>
    <n v="405"/>
    <n v="88"/>
    <x v="2"/>
    <x v="1"/>
    <x v="1"/>
    <n v="29"/>
    <x v="1"/>
    <x v="2"/>
    <x v="4"/>
    <n v="72"/>
    <n v="221"/>
    <x v="6"/>
    <n v="60"/>
    <n v="60"/>
    <n v="170"/>
    <n v="61"/>
    <n v="221"/>
    <n v="72"/>
    <n v="0.32579185520361992"/>
    <n v="29"/>
    <n v="51"/>
    <n v="28"/>
    <x v="262"/>
    <x v="0"/>
    <n v="88"/>
    <n v="221"/>
  </r>
  <r>
    <n v="318"/>
    <n v="49"/>
    <x v="2"/>
    <x v="1"/>
    <x v="1"/>
    <n v="13"/>
    <x v="1"/>
    <x v="3"/>
    <x v="7"/>
    <n v="46"/>
    <n v="120"/>
    <x v="10"/>
    <n v="50"/>
    <n v="70"/>
    <n v="140"/>
    <n v="25"/>
    <n v="120"/>
    <n v="46"/>
    <n v="0.38333333333333336"/>
    <n v="13"/>
    <n v="-20"/>
    <n v="-1"/>
    <x v="189"/>
    <x v="0"/>
    <n v="49"/>
    <n v="120"/>
  </r>
  <r>
    <n v="505"/>
    <n v="48"/>
    <x v="2"/>
    <x v="1"/>
    <x v="1"/>
    <n v="15"/>
    <x v="1"/>
    <x v="3"/>
    <x v="7"/>
    <n v="27"/>
    <n v="122"/>
    <x v="17"/>
    <n v="50"/>
    <n v="50"/>
    <n v="140"/>
    <n v="47"/>
    <n v="122"/>
    <n v="27"/>
    <n v="0.22131147540983606"/>
    <n v="15"/>
    <n v="-18"/>
    <n v="-2"/>
    <x v="263"/>
    <x v="0"/>
    <n v="48"/>
    <n v="122"/>
  </r>
  <r>
    <n v="405"/>
    <n v="81"/>
    <x v="2"/>
    <x v="1"/>
    <x v="1"/>
    <n v="26"/>
    <x v="1"/>
    <x v="3"/>
    <x v="7"/>
    <n v="66"/>
    <n v="185"/>
    <x v="6"/>
    <n v="90"/>
    <n v="100"/>
    <n v="220"/>
    <n v="38"/>
    <n v="185"/>
    <n v="66"/>
    <n v="0.35675675675675678"/>
    <n v="26"/>
    <n v="-35"/>
    <n v="-9"/>
    <x v="264"/>
    <x v="0"/>
    <n v="81"/>
    <n v="185"/>
  </r>
  <r>
    <n v="505"/>
    <n v="20"/>
    <x v="2"/>
    <x v="1"/>
    <x v="1"/>
    <n v="7"/>
    <x v="1"/>
    <x v="2"/>
    <x v="9"/>
    <n v="-15"/>
    <n v="45"/>
    <x v="17"/>
    <n v="10"/>
    <n v="-10"/>
    <n v="30"/>
    <n v="40"/>
    <n v="45"/>
    <n v="-15"/>
    <n v="-0.33333333333333331"/>
    <n v="7"/>
    <n v="15"/>
    <n v="10"/>
    <x v="265"/>
    <x v="0"/>
    <n v="20"/>
    <n v="45"/>
  </r>
  <r>
    <n v="918"/>
    <n v="134"/>
    <x v="2"/>
    <x v="1"/>
    <x v="1"/>
    <n v="41"/>
    <x v="1"/>
    <x v="2"/>
    <x v="9"/>
    <n v="121"/>
    <n v="320"/>
    <x v="6"/>
    <n v="100"/>
    <n v="90"/>
    <n v="240"/>
    <n v="65"/>
    <n v="320"/>
    <n v="121"/>
    <n v="0.37812499999999999"/>
    <n v="41"/>
    <n v="80"/>
    <n v="34"/>
    <x v="266"/>
    <x v="1"/>
    <n v="134"/>
    <n v="320"/>
  </r>
  <r>
    <n v="225"/>
    <n v="94"/>
    <x v="2"/>
    <x v="1"/>
    <x v="1"/>
    <n v="31"/>
    <x v="0"/>
    <x v="0"/>
    <x v="10"/>
    <n v="77"/>
    <n v="214"/>
    <x v="10"/>
    <n v="80"/>
    <n v="70"/>
    <n v="190"/>
    <n v="43"/>
    <n v="214"/>
    <n v="77"/>
    <n v="0.35981308411214952"/>
    <n v="31"/>
    <n v="24"/>
    <n v="14"/>
    <x v="267"/>
    <x v="0"/>
    <n v="94"/>
    <n v="214"/>
  </r>
  <r>
    <n v="505"/>
    <n v="16"/>
    <x v="2"/>
    <x v="1"/>
    <x v="1"/>
    <n v="4"/>
    <x v="0"/>
    <x v="0"/>
    <x v="10"/>
    <n v="9"/>
    <n v="41"/>
    <x v="17"/>
    <n v="10"/>
    <n v="10"/>
    <n v="30"/>
    <n v="16"/>
    <n v="41"/>
    <n v="9"/>
    <n v="0.21951219512195122"/>
    <n v="4"/>
    <n v="11"/>
    <n v="6"/>
    <x v="115"/>
    <x v="0"/>
    <n v="16"/>
    <n v="41"/>
  </r>
  <r>
    <n v="580"/>
    <n v="105"/>
    <x v="2"/>
    <x v="1"/>
    <x v="1"/>
    <n v="95"/>
    <x v="0"/>
    <x v="0"/>
    <x v="0"/>
    <n v="20"/>
    <n v="250"/>
    <x v="6"/>
    <n v="90"/>
    <n v="30"/>
    <n v="230"/>
    <n v="125"/>
    <n v="250"/>
    <n v="20"/>
    <n v="0.08"/>
    <n v="95"/>
    <n v="20"/>
    <n v="15"/>
    <x v="268"/>
    <x v="0"/>
    <n v="105"/>
    <n v="250"/>
  </r>
  <r>
    <n v="281"/>
    <n v="39"/>
    <x v="3"/>
    <x v="0"/>
    <x v="1"/>
    <n v="12"/>
    <x v="1"/>
    <x v="3"/>
    <x v="5"/>
    <n v="39"/>
    <n v="96"/>
    <x v="1"/>
    <n v="40"/>
    <n v="80"/>
    <n v="130"/>
    <n v="25"/>
    <n v="96"/>
    <n v="39"/>
    <n v="0.40625"/>
    <n v="12"/>
    <n v="-34"/>
    <n v="-1"/>
    <x v="170"/>
    <x v="0"/>
    <n v="39"/>
    <n v="96"/>
  </r>
  <r>
    <n v="432"/>
    <n v="239"/>
    <x v="3"/>
    <x v="0"/>
    <x v="1"/>
    <n v="74"/>
    <x v="1"/>
    <x v="3"/>
    <x v="7"/>
    <n v="275"/>
    <n v="554"/>
    <x v="1"/>
    <n v="350"/>
    <n v="340"/>
    <n v="770"/>
    <n v="96"/>
    <n v="554"/>
    <n v="275"/>
    <n v="0.49638989169675091"/>
    <n v="74"/>
    <n v="-216"/>
    <n v="-111"/>
    <x v="269"/>
    <x v="1"/>
    <n v="239"/>
    <n v="554"/>
  </r>
  <r>
    <n v="817"/>
    <n v="123"/>
    <x v="3"/>
    <x v="0"/>
    <x v="1"/>
    <n v="34"/>
    <x v="1"/>
    <x v="2"/>
    <x v="8"/>
    <n v="197"/>
    <n v="322"/>
    <x v="1"/>
    <n v="70"/>
    <n v="100"/>
    <n v="190"/>
    <n v="46"/>
    <n v="322"/>
    <n v="197"/>
    <n v="0.61180124223602483"/>
    <n v="34"/>
    <n v="132"/>
    <n v="53"/>
    <x v="270"/>
    <x v="1"/>
    <n v="123"/>
    <n v="322"/>
  </r>
  <r>
    <n v="985"/>
    <n v="48"/>
    <x v="3"/>
    <x v="1"/>
    <x v="1"/>
    <n v="13"/>
    <x v="1"/>
    <x v="3"/>
    <x v="5"/>
    <n v="67"/>
    <n v="126"/>
    <x v="10"/>
    <n v="70"/>
    <n v="80"/>
    <n v="160"/>
    <n v="25"/>
    <n v="126"/>
    <n v="67"/>
    <n v="0.53174603174603174"/>
    <n v="13"/>
    <n v="-34"/>
    <n v="-22"/>
    <x v="75"/>
    <x v="0"/>
    <n v="48"/>
    <n v="126"/>
  </r>
  <r>
    <n v="337"/>
    <n v="48"/>
    <x v="3"/>
    <x v="1"/>
    <x v="1"/>
    <n v="13"/>
    <x v="1"/>
    <x v="3"/>
    <x v="7"/>
    <n v="70"/>
    <n v="127"/>
    <x v="10"/>
    <n v="70"/>
    <n v="80"/>
    <n v="160"/>
    <n v="24"/>
    <n v="127"/>
    <n v="70"/>
    <n v="0.55118110236220474"/>
    <n v="13"/>
    <n v="-33"/>
    <n v="-22"/>
    <x v="76"/>
    <x v="0"/>
    <n v="48"/>
    <n v="127"/>
  </r>
  <r>
    <n v="505"/>
    <n v="45"/>
    <x v="3"/>
    <x v="1"/>
    <x v="1"/>
    <n v="14"/>
    <x v="1"/>
    <x v="3"/>
    <x v="7"/>
    <n v="34"/>
    <n v="121"/>
    <x v="17"/>
    <n v="50"/>
    <n v="80"/>
    <n v="160"/>
    <n v="46"/>
    <n v="121"/>
    <n v="34"/>
    <n v="0.28099173553719009"/>
    <n v="14"/>
    <n v="-39"/>
    <n v="-5"/>
    <x v="209"/>
    <x v="0"/>
    <n v="45"/>
    <n v="121"/>
  </r>
  <r>
    <n v="918"/>
    <n v="90"/>
    <x v="3"/>
    <x v="1"/>
    <x v="1"/>
    <n v="29"/>
    <x v="1"/>
    <x v="3"/>
    <x v="7"/>
    <n v="110"/>
    <n v="218"/>
    <x v="6"/>
    <n v="130"/>
    <n v="140"/>
    <n v="290"/>
    <n v="41"/>
    <n v="218"/>
    <n v="110"/>
    <n v="0.50458715596330272"/>
    <n v="29"/>
    <n v="-72"/>
    <n v="-40"/>
    <x v="271"/>
    <x v="1"/>
    <n v="90"/>
    <n v="218"/>
  </r>
  <r>
    <n v="505"/>
    <n v="25"/>
    <x v="3"/>
    <x v="1"/>
    <x v="1"/>
    <n v="9"/>
    <x v="1"/>
    <x v="2"/>
    <x v="9"/>
    <n v="-18"/>
    <n v="60"/>
    <x v="17"/>
    <n v="10"/>
    <n v="10"/>
    <n v="30"/>
    <n v="43"/>
    <n v="60"/>
    <n v="-18"/>
    <n v="-0.3"/>
    <n v="9"/>
    <n v="30"/>
    <n v="15"/>
    <x v="226"/>
    <x v="0"/>
    <n v="25"/>
    <n v="60"/>
  </r>
  <r>
    <n v="318"/>
    <n v="103"/>
    <x v="3"/>
    <x v="1"/>
    <x v="1"/>
    <n v="33"/>
    <x v="0"/>
    <x v="0"/>
    <x v="10"/>
    <n v="129"/>
    <n v="251"/>
    <x v="10"/>
    <n v="80"/>
    <n v="110"/>
    <n v="210"/>
    <n v="46"/>
    <n v="251"/>
    <n v="129"/>
    <n v="0.51394422310756971"/>
    <n v="33"/>
    <n v="41"/>
    <n v="23"/>
    <x v="272"/>
    <x v="1"/>
    <n v="103"/>
    <n v="251"/>
  </r>
  <r>
    <n v="225"/>
    <n v="79"/>
    <x v="3"/>
    <x v="1"/>
    <x v="1"/>
    <n v="30"/>
    <x v="0"/>
    <x v="0"/>
    <x v="0"/>
    <n v="50"/>
    <n v="189"/>
    <x v="10"/>
    <n v="60"/>
    <n v="60"/>
    <n v="150"/>
    <n v="64"/>
    <n v="189"/>
    <n v="50"/>
    <n v="0.26455026455026454"/>
    <n v="30"/>
    <n v="39"/>
    <n v="19"/>
    <x v="142"/>
    <x v="0"/>
    <n v="79"/>
    <n v="189"/>
  </r>
  <r>
    <n v="918"/>
    <n v="96"/>
    <x v="3"/>
    <x v="1"/>
    <x v="1"/>
    <n v="87"/>
    <x v="0"/>
    <x v="0"/>
    <x v="0"/>
    <n v="25"/>
    <n v="245"/>
    <x v="6"/>
    <n v="80"/>
    <n v="40"/>
    <n v="200"/>
    <n v="117"/>
    <n v="245"/>
    <n v="25"/>
    <n v="0.10204081632653061"/>
    <n v="87"/>
    <n v="45"/>
    <n v="16"/>
    <x v="273"/>
    <x v="0"/>
    <n v="96"/>
    <n v="245"/>
  </r>
  <r>
    <n v="432"/>
    <n v="225"/>
    <x v="4"/>
    <x v="0"/>
    <x v="1"/>
    <n v="69"/>
    <x v="1"/>
    <x v="3"/>
    <x v="7"/>
    <n v="258"/>
    <n v="522"/>
    <x v="1"/>
    <n v="260"/>
    <n v="230"/>
    <n v="580"/>
    <n v="91"/>
    <n v="522"/>
    <n v="258"/>
    <n v="0.4942528735632184"/>
    <n v="69"/>
    <n v="-58"/>
    <n v="-35"/>
    <x v="274"/>
    <x v="1"/>
    <n v="225"/>
    <n v="522"/>
  </r>
  <r>
    <n v="806"/>
    <n v="75"/>
    <x v="4"/>
    <x v="0"/>
    <x v="1"/>
    <n v="24"/>
    <x v="1"/>
    <x v="2"/>
    <x v="9"/>
    <n v="88"/>
    <n v="201"/>
    <x v="1"/>
    <n v="50"/>
    <n v="40"/>
    <n v="140"/>
    <n v="55"/>
    <n v="201"/>
    <n v="88"/>
    <n v="0.43781094527363185"/>
    <n v="24"/>
    <n v="61"/>
    <n v="25"/>
    <x v="243"/>
    <x v="0"/>
    <n v="75"/>
    <n v="201"/>
  </r>
  <r>
    <n v="915"/>
    <n v="118"/>
    <x v="4"/>
    <x v="0"/>
    <x v="1"/>
    <n v="33"/>
    <x v="1"/>
    <x v="2"/>
    <x v="8"/>
    <n v="188"/>
    <n v="309"/>
    <x v="1"/>
    <n v="90"/>
    <n v="100"/>
    <n v="220"/>
    <n v="45"/>
    <n v="309"/>
    <n v="188"/>
    <n v="0.60841423948220064"/>
    <n v="33"/>
    <n v="89"/>
    <n v="28"/>
    <x v="275"/>
    <x v="1"/>
    <n v="118"/>
    <n v="309"/>
  </r>
  <r>
    <n v="580"/>
    <n v="78"/>
    <x v="4"/>
    <x v="1"/>
    <x v="1"/>
    <n v="25"/>
    <x v="1"/>
    <x v="2"/>
    <x v="4"/>
    <n v="92"/>
    <n v="210"/>
    <x v="6"/>
    <n v="60"/>
    <n v="40"/>
    <n v="150"/>
    <n v="57"/>
    <n v="210"/>
    <n v="92"/>
    <n v="0.43809523809523809"/>
    <n v="25"/>
    <n v="60"/>
    <n v="18"/>
    <x v="276"/>
    <x v="0"/>
    <n v="78"/>
    <n v="210"/>
  </r>
  <r>
    <n v="918"/>
    <n v="88"/>
    <x v="4"/>
    <x v="1"/>
    <x v="1"/>
    <n v="29"/>
    <x v="1"/>
    <x v="3"/>
    <x v="7"/>
    <n v="105"/>
    <n v="213"/>
    <x v="6"/>
    <n v="100"/>
    <n v="90"/>
    <n v="230"/>
    <n v="41"/>
    <n v="213"/>
    <n v="105"/>
    <n v="0.49295774647887325"/>
    <n v="29"/>
    <n v="-17"/>
    <n v="-12"/>
    <x v="277"/>
    <x v="1"/>
    <n v="88"/>
    <n v="213"/>
  </r>
  <r>
    <n v="405"/>
    <n v="102"/>
    <x v="4"/>
    <x v="1"/>
    <x v="1"/>
    <n v="31"/>
    <x v="1"/>
    <x v="2"/>
    <x v="9"/>
    <n v="132"/>
    <n v="261"/>
    <x v="6"/>
    <n v="80"/>
    <n v="60"/>
    <n v="180"/>
    <n v="54"/>
    <n v="261"/>
    <n v="132"/>
    <n v="0.50574712643678166"/>
    <n v="31"/>
    <n v="81"/>
    <n v="22"/>
    <x v="278"/>
    <x v="1"/>
    <n v="102"/>
    <n v="261"/>
  </r>
  <r>
    <n v="985"/>
    <n v="101"/>
    <x v="4"/>
    <x v="1"/>
    <x v="1"/>
    <n v="33"/>
    <x v="0"/>
    <x v="0"/>
    <x v="10"/>
    <n v="126"/>
    <n v="246"/>
    <x v="10"/>
    <n v="90"/>
    <n v="80"/>
    <n v="210"/>
    <n v="45"/>
    <n v="246"/>
    <n v="126"/>
    <n v="0.51219512195121952"/>
    <n v="33"/>
    <n v="36"/>
    <n v="11"/>
    <x v="279"/>
    <x v="1"/>
    <n v="101"/>
    <n v="246"/>
  </r>
  <r>
    <n v="505"/>
    <n v="15"/>
    <x v="4"/>
    <x v="1"/>
    <x v="1"/>
    <n v="4"/>
    <x v="0"/>
    <x v="0"/>
    <x v="10"/>
    <n v="13"/>
    <n v="42"/>
    <x v="17"/>
    <n v="10"/>
    <n v="10"/>
    <n v="30"/>
    <n v="15"/>
    <n v="42"/>
    <n v="13"/>
    <n v="0.30952380952380953"/>
    <n v="4"/>
    <n v="12"/>
    <n v="5"/>
    <x v="170"/>
    <x v="0"/>
    <n v="15"/>
    <n v="42"/>
  </r>
  <r>
    <n v="337"/>
    <n v="82"/>
    <x v="4"/>
    <x v="1"/>
    <x v="1"/>
    <n v="31"/>
    <x v="0"/>
    <x v="0"/>
    <x v="0"/>
    <n v="56"/>
    <n v="196"/>
    <x v="10"/>
    <n v="70"/>
    <n v="40"/>
    <n v="170"/>
    <n v="64"/>
    <n v="196"/>
    <n v="56"/>
    <n v="0.2857142857142857"/>
    <n v="31"/>
    <n v="26"/>
    <n v="12"/>
    <x v="213"/>
    <x v="0"/>
    <n v="82"/>
    <n v="196"/>
  </r>
  <r>
    <n v="405"/>
    <n v="94"/>
    <x v="4"/>
    <x v="1"/>
    <x v="1"/>
    <n v="85"/>
    <x v="0"/>
    <x v="0"/>
    <x v="0"/>
    <n v="22"/>
    <n v="239"/>
    <x v="6"/>
    <n v="80"/>
    <n v="20"/>
    <n v="200"/>
    <n v="115"/>
    <n v="239"/>
    <n v="22"/>
    <n v="9.2050209205020925E-2"/>
    <n v="85"/>
    <n v="39"/>
    <n v="14"/>
    <x v="280"/>
    <x v="0"/>
    <n v="94"/>
    <n v="239"/>
  </r>
  <r>
    <n v="409"/>
    <n v="241"/>
    <x v="5"/>
    <x v="0"/>
    <x v="1"/>
    <n v="74"/>
    <x v="1"/>
    <x v="3"/>
    <x v="7"/>
    <n v="279"/>
    <n v="559"/>
    <x v="1"/>
    <n v="280"/>
    <n v="240"/>
    <n v="620"/>
    <n v="96"/>
    <n v="559"/>
    <n v="279"/>
    <n v="0.49910554561717352"/>
    <n v="74"/>
    <n v="-61"/>
    <n v="-39"/>
    <x v="281"/>
    <x v="1"/>
    <n v="241"/>
    <n v="559"/>
  </r>
  <r>
    <n v="254"/>
    <n v="123"/>
    <x v="5"/>
    <x v="0"/>
    <x v="1"/>
    <n v="34"/>
    <x v="1"/>
    <x v="2"/>
    <x v="8"/>
    <n v="197"/>
    <n v="322"/>
    <x v="1"/>
    <n v="90"/>
    <n v="110"/>
    <n v="230"/>
    <n v="46"/>
    <n v="322"/>
    <n v="197"/>
    <n v="0.61180124223602483"/>
    <n v="34"/>
    <n v="92"/>
    <n v="33"/>
    <x v="270"/>
    <x v="1"/>
    <n v="123"/>
    <n v="322"/>
  </r>
  <r>
    <n v="505"/>
    <n v="92"/>
    <x v="5"/>
    <x v="1"/>
    <x v="1"/>
    <n v="28"/>
    <x v="1"/>
    <x v="3"/>
    <x v="5"/>
    <n v="24"/>
    <n v="171"/>
    <x v="17"/>
    <n v="100"/>
    <n v="40"/>
    <n v="190"/>
    <n v="52"/>
    <n v="171"/>
    <n v="24"/>
    <n v="0.14035087719298245"/>
    <n v="28"/>
    <n v="-19"/>
    <n v="-8"/>
    <x v="111"/>
    <x v="0"/>
    <n v="92"/>
    <n v="171"/>
  </r>
  <r>
    <n v="918"/>
    <n v="88"/>
    <x v="5"/>
    <x v="1"/>
    <x v="1"/>
    <n v="29"/>
    <x v="1"/>
    <x v="2"/>
    <x v="4"/>
    <n v="107"/>
    <n v="236"/>
    <x v="6"/>
    <n v="60"/>
    <n v="60"/>
    <n v="170"/>
    <n v="61"/>
    <n v="236"/>
    <n v="107"/>
    <n v="0.45338983050847459"/>
    <n v="29"/>
    <n v="66"/>
    <n v="28"/>
    <x v="282"/>
    <x v="1"/>
    <n v="88"/>
    <n v="236"/>
  </r>
  <r>
    <n v="985"/>
    <n v="49"/>
    <x v="5"/>
    <x v="1"/>
    <x v="1"/>
    <n v="13"/>
    <x v="1"/>
    <x v="3"/>
    <x v="7"/>
    <n v="68"/>
    <n v="128"/>
    <x v="10"/>
    <n v="50"/>
    <n v="70"/>
    <n v="140"/>
    <n v="25"/>
    <n v="128"/>
    <n v="68"/>
    <n v="0.53125"/>
    <n v="13"/>
    <n v="-12"/>
    <n v="-1"/>
    <x v="206"/>
    <x v="0"/>
    <n v="49"/>
    <n v="128"/>
  </r>
  <r>
    <n v="505"/>
    <n v="48"/>
    <x v="5"/>
    <x v="1"/>
    <x v="1"/>
    <n v="15"/>
    <x v="1"/>
    <x v="3"/>
    <x v="7"/>
    <n v="40"/>
    <n v="130"/>
    <x v="17"/>
    <n v="50"/>
    <n v="50"/>
    <n v="140"/>
    <n v="47"/>
    <n v="130"/>
    <n v="40"/>
    <n v="0.30769230769230771"/>
    <n v="15"/>
    <n v="-10"/>
    <n v="-2"/>
    <x v="126"/>
    <x v="0"/>
    <n v="48"/>
    <n v="130"/>
  </r>
  <r>
    <n v="580"/>
    <n v="81"/>
    <x v="5"/>
    <x v="1"/>
    <x v="1"/>
    <n v="26"/>
    <x v="1"/>
    <x v="3"/>
    <x v="7"/>
    <n v="98"/>
    <n v="197"/>
    <x v="6"/>
    <n v="90"/>
    <n v="100"/>
    <n v="220"/>
    <n v="38"/>
    <n v="197"/>
    <n v="98"/>
    <n v="0.49746192893401014"/>
    <n v="26"/>
    <n v="-23"/>
    <n v="-9"/>
    <x v="283"/>
    <x v="0"/>
    <n v="81"/>
    <n v="197"/>
  </r>
  <r>
    <n v="505"/>
    <n v="20"/>
    <x v="5"/>
    <x v="1"/>
    <x v="1"/>
    <n v="7"/>
    <x v="1"/>
    <x v="2"/>
    <x v="9"/>
    <n v="-22"/>
    <n v="48"/>
    <x v="17"/>
    <n v="10"/>
    <n v="-10"/>
    <n v="30"/>
    <n v="40"/>
    <n v="48"/>
    <n v="-22"/>
    <n v="-0.45833333333333331"/>
    <n v="7"/>
    <n v="18"/>
    <n v="10"/>
    <x v="284"/>
    <x v="0"/>
    <n v="20"/>
    <n v="48"/>
  </r>
  <r>
    <n v="918"/>
    <n v="134"/>
    <x v="5"/>
    <x v="1"/>
    <x v="1"/>
    <n v="41"/>
    <x v="1"/>
    <x v="2"/>
    <x v="9"/>
    <n v="180"/>
    <n v="341"/>
    <x v="6"/>
    <n v="100"/>
    <n v="90"/>
    <n v="240"/>
    <n v="65"/>
    <n v="341"/>
    <n v="180"/>
    <n v="0.52785923753665687"/>
    <n v="41"/>
    <n v="101"/>
    <n v="34"/>
    <x v="285"/>
    <x v="1"/>
    <n v="134"/>
    <n v="341"/>
  </r>
  <r>
    <n v="985"/>
    <n v="94"/>
    <x v="5"/>
    <x v="1"/>
    <x v="1"/>
    <n v="31"/>
    <x v="0"/>
    <x v="0"/>
    <x v="10"/>
    <n v="114"/>
    <n v="228"/>
    <x v="10"/>
    <n v="80"/>
    <n v="70"/>
    <n v="190"/>
    <n v="43"/>
    <n v="228"/>
    <n v="114"/>
    <n v="0.5"/>
    <n v="31"/>
    <n v="38"/>
    <n v="14"/>
    <x v="286"/>
    <x v="1"/>
    <n v="94"/>
    <n v="228"/>
  </r>
  <r>
    <n v="505"/>
    <n v="16"/>
    <x v="5"/>
    <x v="1"/>
    <x v="1"/>
    <n v="4"/>
    <x v="0"/>
    <x v="0"/>
    <x v="10"/>
    <n v="13"/>
    <n v="44"/>
    <x v="17"/>
    <n v="10"/>
    <n v="10"/>
    <n v="30"/>
    <n v="16"/>
    <n v="44"/>
    <n v="13"/>
    <n v="0.29545454545454547"/>
    <n v="4"/>
    <n v="14"/>
    <n v="6"/>
    <x v="170"/>
    <x v="0"/>
    <n v="16"/>
    <n v="44"/>
  </r>
  <r>
    <n v="580"/>
    <n v="105"/>
    <x v="5"/>
    <x v="1"/>
    <x v="1"/>
    <n v="95"/>
    <x v="0"/>
    <x v="0"/>
    <x v="0"/>
    <n v="30"/>
    <n v="266"/>
    <x v="6"/>
    <n v="90"/>
    <n v="30"/>
    <n v="230"/>
    <n v="125"/>
    <n v="266"/>
    <n v="30"/>
    <n v="0.11278195488721804"/>
    <n v="95"/>
    <n v="36"/>
    <n v="15"/>
    <x v="287"/>
    <x v="0"/>
    <n v="105"/>
    <n v="266"/>
  </r>
  <r>
    <n v="860"/>
    <n v="125"/>
    <x v="0"/>
    <x v="1"/>
    <x v="2"/>
    <n v="41"/>
    <x v="1"/>
    <x v="3"/>
    <x v="7"/>
    <n v="115"/>
    <n v="313"/>
    <x v="5"/>
    <n v="100"/>
    <n v="130"/>
    <n v="260"/>
    <n v="73"/>
    <n v="313"/>
    <n v="115"/>
    <n v="0.36741214057507987"/>
    <n v="41"/>
    <n v="53"/>
    <n v="25"/>
    <x v="288"/>
    <x v="1"/>
    <n v="125"/>
    <n v="313"/>
  </r>
  <r>
    <n v="203"/>
    <n v="60"/>
    <x v="0"/>
    <x v="1"/>
    <x v="2"/>
    <n v="54"/>
    <x v="1"/>
    <x v="2"/>
    <x v="8"/>
    <n v="1"/>
    <n v="144"/>
    <x v="5"/>
    <n v="40"/>
    <n v="40"/>
    <n v="130"/>
    <n v="83"/>
    <n v="144"/>
    <n v="1"/>
    <n v="6.9444444444444441E-3"/>
    <n v="54"/>
    <n v="14"/>
    <n v="20"/>
    <x v="13"/>
    <x v="0"/>
    <n v="60"/>
    <n v="144"/>
  </r>
  <r>
    <n v="203"/>
    <n v="130"/>
    <x v="1"/>
    <x v="1"/>
    <x v="2"/>
    <n v="42"/>
    <x v="1"/>
    <x v="3"/>
    <x v="7"/>
    <n v="122"/>
    <n v="325"/>
    <x v="5"/>
    <n v="110"/>
    <n v="130"/>
    <n v="290"/>
    <n v="73"/>
    <n v="325"/>
    <n v="122"/>
    <n v="0.37538461538461537"/>
    <n v="42"/>
    <n v="35"/>
    <n v="20"/>
    <x v="289"/>
    <x v="1"/>
    <n v="130"/>
    <n v="325"/>
  </r>
  <r>
    <n v="203"/>
    <n v="115"/>
    <x v="2"/>
    <x v="1"/>
    <x v="2"/>
    <n v="37"/>
    <x v="1"/>
    <x v="3"/>
    <x v="7"/>
    <n v="105"/>
    <n v="289"/>
    <x v="5"/>
    <n v="100"/>
    <n v="110"/>
    <n v="260"/>
    <n v="69"/>
    <n v="289"/>
    <n v="105"/>
    <n v="0.36332179930795849"/>
    <n v="37"/>
    <n v="29"/>
    <n v="15"/>
    <x v="290"/>
    <x v="1"/>
    <n v="115"/>
    <n v="289"/>
  </r>
  <r>
    <n v="203"/>
    <n v="125"/>
    <x v="3"/>
    <x v="1"/>
    <x v="2"/>
    <n v="41"/>
    <x v="1"/>
    <x v="3"/>
    <x v="7"/>
    <n v="171"/>
    <n v="334"/>
    <x v="5"/>
    <n v="100"/>
    <n v="130"/>
    <n v="260"/>
    <n v="73"/>
    <n v="334"/>
    <n v="171"/>
    <n v="0.5119760479041916"/>
    <n v="41"/>
    <n v="74"/>
    <n v="25"/>
    <x v="291"/>
    <x v="1"/>
    <n v="125"/>
    <n v="334"/>
  </r>
  <r>
    <n v="959"/>
    <n v="60"/>
    <x v="3"/>
    <x v="1"/>
    <x v="2"/>
    <n v="54"/>
    <x v="1"/>
    <x v="2"/>
    <x v="8"/>
    <n v="1"/>
    <n v="153"/>
    <x v="5"/>
    <n v="40"/>
    <n v="40"/>
    <n v="130"/>
    <n v="83"/>
    <n v="153"/>
    <n v="1"/>
    <n v="6.5359477124183009E-3"/>
    <n v="54"/>
    <n v="23"/>
    <n v="20"/>
    <x v="13"/>
    <x v="0"/>
    <n v="60"/>
    <n v="153"/>
  </r>
  <r>
    <n v="203"/>
    <n v="130"/>
    <x v="4"/>
    <x v="1"/>
    <x v="2"/>
    <n v="42"/>
    <x v="1"/>
    <x v="3"/>
    <x v="7"/>
    <n v="181"/>
    <n v="346"/>
    <x v="5"/>
    <n v="110"/>
    <n v="130"/>
    <n v="290"/>
    <n v="73"/>
    <n v="346"/>
    <n v="181"/>
    <n v="0.52312138728323698"/>
    <n v="42"/>
    <n v="56"/>
    <n v="20"/>
    <x v="292"/>
    <x v="1"/>
    <n v="130"/>
    <n v="346"/>
  </r>
  <r>
    <n v="959"/>
    <n v="115"/>
    <x v="5"/>
    <x v="1"/>
    <x v="2"/>
    <n v="37"/>
    <x v="1"/>
    <x v="3"/>
    <x v="7"/>
    <n v="156"/>
    <n v="308"/>
    <x v="5"/>
    <n v="100"/>
    <n v="110"/>
    <n v="260"/>
    <n v="69"/>
    <n v="308"/>
    <n v="156"/>
    <n v="0.50649350649350644"/>
    <n v="37"/>
    <n v="48"/>
    <n v="15"/>
    <x v="293"/>
    <x v="1"/>
    <n v="115"/>
    <n v="308"/>
  </r>
  <r>
    <n v="561"/>
    <n v="91"/>
    <x v="0"/>
    <x v="0"/>
    <x v="2"/>
    <n v="28"/>
    <x v="1"/>
    <x v="3"/>
    <x v="5"/>
    <n v="76"/>
    <n v="218"/>
    <x v="2"/>
    <n v="70"/>
    <n v="90"/>
    <n v="180"/>
    <n v="51"/>
    <n v="218"/>
    <n v="76"/>
    <n v="0.34862385321100919"/>
    <n v="28"/>
    <n v="38"/>
    <n v="21"/>
    <x v="21"/>
    <x v="0"/>
    <n v="91"/>
    <n v="218"/>
  </r>
  <r>
    <n v="239"/>
    <n v="86"/>
    <x v="0"/>
    <x v="0"/>
    <x v="2"/>
    <n v="28"/>
    <x v="1"/>
    <x v="2"/>
    <x v="4"/>
    <n v="60"/>
    <n v="202"/>
    <x v="2"/>
    <n v="70"/>
    <n v="90"/>
    <n v="180"/>
    <n v="56"/>
    <n v="202"/>
    <n v="60"/>
    <n v="0.29702970297029702"/>
    <n v="28"/>
    <n v="22"/>
    <n v="16"/>
    <x v="33"/>
    <x v="0"/>
    <n v="86"/>
    <n v="202"/>
  </r>
  <r>
    <n v="407"/>
    <n v="82"/>
    <x v="0"/>
    <x v="0"/>
    <x v="2"/>
    <n v="27"/>
    <x v="1"/>
    <x v="3"/>
    <x v="7"/>
    <n v="64"/>
    <n v="205"/>
    <x v="2"/>
    <n v="60"/>
    <n v="90"/>
    <n v="170"/>
    <n v="59"/>
    <n v="205"/>
    <n v="64"/>
    <n v="0.31219512195121951"/>
    <n v="27"/>
    <n v="35"/>
    <n v="22"/>
    <x v="20"/>
    <x v="0"/>
    <n v="82"/>
    <n v="205"/>
  </r>
  <r>
    <n v="857"/>
    <n v="72"/>
    <x v="0"/>
    <x v="0"/>
    <x v="2"/>
    <n v="23"/>
    <x v="1"/>
    <x v="3"/>
    <x v="7"/>
    <n v="348"/>
    <n v="474"/>
    <x v="15"/>
    <n v="50"/>
    <n v="330"/>
    <n v="400"/>
    <n v="54"/>
    <n v="474"/>
    <n v="348"/>
    <n v="0.73417721518987344"/>
    <n v="23"/>
    <n v="74"/>
    <n v="22"/>
    <x v="294"/>
    <x v="1"/>
    <n v="72"/>
    <n v="474"/>
  </r>
  <r>
    <n v="315"/>
    <n v="260"/>
    <x v="0"/>
    <x v="0"/>
    <x v="2"/>
    <n v="91"/>
    <x v="1"/>
    <x v="3"/>
    <x v="7"/>
    <n v="247"/>
    <n v="650"/>
    <x v="19"/>
    <n v="210"/>
    <n v="230"/>
    <n v="540"/>
    <n v="143"/>
    <n v="650"/>
    <n v="247"/>
    <n v="0.38"/>
    <n v="91"/>
    <n v="110"/>
    <n v="50"/>
    <x v="21"/>
    <x v="1"/>
    <n v="260"/>
    <n v="650"/>
  </r>
  <r>
    <n v="239"/>
    <n v="96"/>
    <x v="0"/>
    <x v="0"/>
    <x v="2"/>
    <n v="87"/>
    <x v="1"/>
    <x v="2"/>
    <x v="8"/>
    <n v="18"/>
    <n v="230"/>
    <x v="2"/>
    <n v="80"/>
    <n v="50"/>
    <n v="210"/>
    <n v="116"/>
    <n v="230"/>
    <n v="18"/>
    <n v="7.8260869565217397E-2"/>
    <n v="87"/>
    <n v="20"/>
    <n v="16"/>
    <x v="295"/>
    <x v="0"/>
    <n v="96"/>
    <n v="230"/>
  </r>
  <r>
    <n v="845"/>
    <n v="125"/>
    <x v="0"/>
    <x v="0"/>
    <x v="2"/>
    <n v="113"/>
    <x v="1"/>
    <x v="2"/>
    <x v="8"/>
    <n v="-202"/>
    <n v="69"/>
    <x v="19"/>
    <n v="110"/>
    <n v="-170"/>
    <n v="50"/>
    <n v="146"/>
    <n v="69"/>
    <n v="-202"/>
    <n v="-2.9275362318840581"/>
    <n v="113"/>
    <n v="19"/>
    <n v="15"/>
    <x v="296"/>
    <x v="0"/>
    <n v="125"/>
    <n v="69"/>
  </r>
  <r>
    <n v="781"/>
    <n v="161"/>
    <x v="0"/>
    <x v="0"/>
    <x v="2"/>
    <n v="45"/>
    <x v="1"/>
    <x v="2"/>
    <x v="12"/>
    <n v="92"/>
    <n v="322"/>
    <x v="15"/>
    <n v="140"/>
    <n v="120"/>
    <n v="300"/>
    <n v="69"/>
    <n v="322"/>
    <n v="92"/>
    <n v="0.2857142857142857"/>
    <n v="45"/>
    <n v="22"/>
    <n v="21"/>
    <x v="297"/>
    <x v="0"/>
    <n v="161"/>
    <n v="322"/>
  </r>
  <r>
    <n v="718"/>
    <n v="239"/>
    <x v="0"/>
    <x v="0"/>
    <x v="2"/>
    <n v="66"/>
    <x v="1"/>
    <x v="2"/>
    <x v="12"/>
    <n v="435"/>
    <n v="765"/>
    <x v="19"/>
    <n v="210"/>
    <n v="450"/>
    <n v="720"/>
    <n v="91"/>
    <n v="765"/>
    <n v="435"/>
    <n v="0.56862745098039214"/>
    <n v="66"/>
    <n v="45"/>
    <n v="29"/>
    <x v="298"/>
    <x v="1"/>
    <n v="239"/>
    <n v="765"/>
  </r>
  <r>
    <n v="386"/>
    <n v="22"/>
    <x v="0"/>
    <x v="0"/>
    <x v="2"/>
    <n v="7"/>
    <x v="0"/>
    <x v="0"/>
    <x v="10"/>
    <n v="10"/>
    <n v="51"/>
    <x v="2"/>
    <n v="0"/>
    <n v="20"/>
    <n v="20"/>
    <n v="19"/>
    <n v="51"/>
    <n v="10"/>
    <n v="0.19607843137254902"/>
    <n v="7"/>
    <n v="31"/>
    <n v="22"/>
    <x v="34"/>
    <x v="0"/>
    <n v="22"/>
    <n v="51"/>
  </r>
  <r>
    <n v="845"/>
    <n v="255"/>
    <x v="0"/>
    <x v="0"/>
    <x v="2"/>
    <n v="96"/>
    <x v="0"/>
    <x v="0"/>
    <x v="0"/>
    <n v="129"/>
    <n v="513"/>
    <x v="19"/>
    <n v="140"/>
    <n v="70"/>
    <n v="290"/>
    <n v="129"/>
    <n v="513"/>
    <n v="129"/>
    <n v="0.25146198830409355"/>
    <n v="96"/>
    <n v="223"/>
    <n v="115"/>
    <x v="299"/>
    <x v="1"/>
    <n v="255"/>
    <n v="513"/>
  </r>
  <r>
    <n v="315"/>
    <n v="239"/>
    <x v="0"/>
    <x v="0"/>
    <x v="2"/>
    <n v="74"/>
    <x v="0"/>
    <x v="0"/>
    <x v="1"/>
    <n v="-170"/>
    <n v="164"/>
    <x v="19"/>
    <n v="130"/>
    <n v="-100"/>
    <n v="80"/>
    <n v="95"/>
    <n v="164"/>
    <n v="-170"/>
    <n v="-1.0365853658536586"/>
    <n v="74"/>
    <n v="84"/>
    <n v="109"/>
    <x v="300"/>
    <x v="0"/>
    <n v="239"/>
    <n v="164"/>
  </r>
  <r>
    <n v="516"/>
    <n v="108"/>
    <x v="0"/>
    <x v="0"/>
    <x v="2"/>
    <n v="30"/>
    <x v="0"/>
    <x v="1"/>
    <x v="2"/>
    <n v="115"/>
    <n v="265"/>
    <x v="19"/>
    <n v="110"/>
    <n v="140"/>
    <n v="280"/>
    <n v="42"/>
    <n v="265"/>
    <n v="115"/>
    <n v="0.43396226415094341"/>
    <n v="30"/>
    <n v="-15"/>
    <n v="-2"/>
    <x v="157"/>
    <x v="1"/>
    <n v="108"/>
    <n v="265"/>
  </r>
  <r>
    <n v="716"/>
    <n v="123"/>
    <x v="0"/>
    <x v="0"/>
    <x v="2"/>
    <n v="34"/>
    <x v="0"/>
    <x v="1"/>
    <x v="11"/>
    <n v="134"/>
    <n v="302"/>
    <x v="19"/>
    <n v="130"/>
    <n v="160"/>
    <n v="320"/>
    <n v="45"/>
    <n v="302"/>
    <n v="134"/>
    <n v="0.44370860927152317"/>
    <n v="34"/>
    <n v="-18"/>
    <n v="-7"/>
    <x v="301"/>
    <x v="1"/>
    <n v="123"/>
    <n v="302"/>
  </r>
  <r>
    <n v="518"/>
    <n v="76"/>
    <x v="0"/>
    <x v="0"/>
    <x v="2"/>
    <n v="21"/>
    <x v="0"/>
    <x v="1"/>
    <x v="3"/>
    <n v="78"/>
    <n v="187"/>
    <x v="19"/>
    <n v="80"/>
    <n v="100"/>
    <n v="200"/>
    <n v="33"/>
    <n v="187"/>
    <n v="78"/>
    <n v="0.41711229946524064"/>
    <n v="21"/>
    <n v="-13"/>
    <n v="-4"/>
    <x v="230"/>
    <x v="0"/>
    <n v="76"/>
    <n v="187"/>
  </r>
  <r>
    <n v="772"/>
    <n v="102"/>
    <x v="1"/>
    <x v="0"/>
    <x v="2"/>
    <n v="31"/>
    <x v="1"/>
    <x v="3"/>
    <x v="5"/>
    <n v="89"/>
    <n v="245"/>
    <x v="2"/>
    <n v="90"/>
    <n v="90"/>
    <n v="220"/>
    <n v="54"/>
    <n v="245"/>
    <n v="89"/>
    <n v="0.36326530612244901"/>
    <n v="31"/>
    <n v="25"/>
    <n v="12"/>
    <x v="258"/>
    <x v="0"/>
    <n v="102"/>
    <n v="245"/>
  </r>
  <r>
    <n v="561"/>
    <n v="77"/>
    <x v="1"/>
    <x v="0"/>
    <x v="2"/>
    <n v="25"/>
    <x v="1"/>
    <x v="2"/>
    <x v="4"/>
    <n v="51"/>
    <n v="180"/>
    <x v="2"/>
    <n v="70"/>
    <n v="60"/>
    <n v="170"/>
    <n v="52"/>
    <n v="180"/>
    <n v="51"/>
    <n v="0.28333333333333333"/>
    <n v="25"/>
    <n v="10"/>
    <n v="7"/>
    <x v="302"/>
    <x v="0"/>
    <n v="77"/>
    <n v="180"/>
  </r>
  <r>
    <n v="754"/>
    <n v="78"/>
    <x v="1"/>
    <x v="0"/>
    <x v="2"/>
    <n v="25"/>
    <x v="1"/>
    <x v="3"/>
    <x v="7"/>
    <n v="63"/>
    <n v="197"/>
    <x v="2"/>
    <n v="70"/>
    <n v="60"/>
    <n v="170"/>
    <n v="56"/>
    <n v="197"/>
    <n v="63"/>
    <n v="0.31979695431472083"/>
    <n v="25"/>
    <n v="27"/>
    <n v="8"/>
    <x v="303"/>
    <x v="0"/>
    <n v="78"/>
    <n v="197"/>
  </r>
  <r>
    <n v="978"/>
    <n v="75"/>
    <x v="1"/>
    <x v="0"/>
    <x v="2"/>
    <n v="24"/>
    <x v="1"/>
    <x v="3"/>
    <x v="7"/>
    <n v="324"/>
    <n v="454"/>
    <x v="15"/>
    <n v="60"/>
    <n v="300"/>
    <n v="400"/>
    <n v="55"/>
    <n v="454"/>
    <n v="324"/>
    <n v="0.71365638766519823"/>
    <n v="24"/>
    <n v="54"/>
    <n v="15"/>
    <x v="304"/>
    <x v="1"/>
    <n v="75"/>
    <n v="454"/>
  </r>
  <r>
    <n v="347"/>
    <n v="249"/>
    <x v="1"/>
    <x v="0"/>
    <x v="2"/>
    <n v="87"/>
    <x v="1"/>
    <x v="3"/>
    <x v="7"/>
    <n v="236"/>
    <n v="623"/>
    <x v="19"/>
    <n v="220"/>
    <n v="230"/>
    <n v="560"/>
    <n v="138"/>
    <n v="623"/>
    <n v="236"/>
    <n v="0.37881219903691815"/>
    <n v="87"/>
    <n v="63"/>
    <n v="29"/>
    <x v="305"/>
    <x v="1"/>
    <n v="249"/>
    <n v="623"/>
  </r>
  <r>
    <n v="754"/>
    <n v="94"/>
    <x v="1"/>
    <x v="0"/>
    <x v="2"/>
    <n v="85"/>
    <x v="1"/>
    <x v="2"/>
    <x v="8"/>
    <n v="15"/>
    <n v="224"/>
    <x v="2"/>
    <n v="90"/>
    <n v="20"/>
    <n v="210"/>
    <n v="115"/>
    <n v="224"/>
    <n v="15"/>
    <n v="6.6964285714285712E-2"/>
    <n v="85"/>
    <n v="14"/>
    <n v="4"/>
    <x v="260"/>
    <x v="0"/>
    <n v="94"/>
    <n v="224"/>
  </r>
  <r>
    <n v="347"/>
    <n v="121"/>
    <x v="1"/>
    <x v="0"/>
    <x v="2"/>
    <n v="109"/>
    <x v="1"/>
    <x v="2"/>
    <x v="8"/>
    <n v="-202"/>
    <n v="61"/>
    <x v="19"/>
    <n v="110"/>
    <n v="-190"/>
    <n v="50"/>
    <n v="142"/>
    <n v="61"/>
    <n v="-202"/>
    <n v="-3.3114754098360657"/>
    <n v="109"/>
    <n v="11"/>
    <n v="11"/>
    <x v="306"/>
    <x v="0"/>
    <n v="121"/>
    <n v="61"/>
  </r>
  <r>
    <n v="508"/>
    <n v="181"/>
    <x v="1"/>
    <x v="0"/>
    <x v="2"/>
    <n v="50"/>
    <x v="1"/>
    <x v="2"/>
    <x v="12"/>
    <n v="108"/>
    <n v="363"/>
    <x v="15"/>
    <n v="170"/>
    <n v="120"/>
    <n v="350"/>
    <n v="74"/>
    <n v="363"/>
    <n v="108"/>
    <n v="0.2975206611570248"/>
    <n v="50"/>
    <n v="13"/>
    <n v="11"/>
    <x v="307"/>
    <x v="1"/>
    <n v="181"/>
    <n v="363"/>
  </r>
  <r>
    <n v="646"/>
    <n v="211"/>
    <x v="1"/>
    <x v="0"/>
    <x v="2"/>
    <n v="59"/>
    <x v="1"/>
    <x v="2"/>
    <x v="12"/>
    <n v="381"/>
    <n v="675"/>
    <x v="19"/>
    <n v="200"/>
    <n v="390"/>
    <n v="660"/>
    <n v="83"/>
    <n v="675"/>
    <n v="381"/>
    <n v="0.56444444444444442"/>
    <n v="59"/>
    <n v="15"/>
    <n v="11"/>
    <x v="308"/>
    <x v="1"/>
    <n v="211"/>
    <n v="675"/>
  </r>
  <r>
    <n v="561"/>
    <n v="22"/>
    <x v="1"/>
    <x v="0"/>
    <x v="2"/>
    <n v="7"/>
    <x v="0"/>
    <x v="0"/>
    <x v="10"/>
    <n v="11"/>
    <n v="52"/>
    <x v="2"/>
    <n v="10"/>
    <n v="10"/>
    <n v="30"/>
    <n v="19"/>
    <n v="52"/>
    <n v="11"/>
    <n v="0.21153846153846154"/>
    <n v="7"/>
    <n v="22"/>
    <n v="12"/>
    <x v="163"/>
    <x v="0"/>
    <n v="22"/>
    <n v="52"/>
  </r>
  <r>
    <n v="631"/>
    <n v="245"/>
    <x v="1"/>
    <x v="0"/>
    <x v="2"/>
    <n v="93"/>
    <x v="0"/>
    <x v="0"/>
    <x v="0"/>
    <n v="204"/>
    <n v="576"/>
    <x v="19"/>
    <n v="180"/>
    <n v="140"/>
    <n v="420"/>
    <n v="127"/>
    <n v="576"/>
    <n v="204"/>
    <n v="0.35416666666666669"/>
    <n v="93"/>
    <n v="156"/>
    <n v="65"/>
    <x v="309"/>
    <x v="1"/>
    <n v="245"/>
    <n v="576"/>
  </r>
  <r>
    <n v="914"/>
    <n v="225"/>
    <x v="1"/>
    <x v="0"/>
    <x v="2"/>
    <n v="69"/>
    <x v="0"/>
    <x v="0"/>
    <x v="1"/>
    <n v="-156"/>
    <n v="160"/>
    <x v="19"/>
    <n v="160"/>
    <n v="-120"/>
    <n v="110"/>
    <n v="91"/>
    <n v="160"/>
    <n v="-156"/>
    <n v="-0.97499999999999998"/>
    <n v="69"/>
    <n v="50"/>
    <n v="65"/>
    <x v="310"/>
    <x v="0"/>
    <n v="225"/>
    <n v="160"/>
  </r>
  <r>
    <n v="518"/>
    <n v="81"/>
    <x v="1"/>
    <x v="0"/>
    <x v="2"/>
    <n v="22"/>
    <x v="0"/>
    <x v="1"/>
    <x v="2"/>
    <n v="84"/>
    <n v="198"/>
    <x v="19"/>
    <n v="80"/>
    <n v="90"/>
    <n v="200"/>
    <n v="33"/>
    <n v="198"/>
    <n v="84"/>
    <n v="0.42424242424242425"/>
    <n v="22"/>
    <n v="-2"/>
    <n v="1"/>
    <x v="279"/>
    <x v="0"/>
    <n v="81"/>
    <n v="198"/>
  </r>
  <r>
    <n v="315"/>
    <n v="118"/>
    <x v="1"/>
    <x v="0"/>
    <x v="2"/>
    <n v="33"/>
    <x v="0"/>
    <x v="1"/>
    <x v="11"/>
    <n v="127"/>
    <n v="290"/>
    <x v="19"/>
    <n v="120"/>
    <n v="130"/>
    <n v="290"/>
    <n v="45"/>
    <n v="290"/>
    <n v="127"/>
    <n v="0.43793103448275861"/>
    <n v="33"/>
    <n v="0"/>
    <n v="-2"/>
    <x v="255"/>
    <x v="1"/>
    <n v="118"/>
    <n v="290"/>
  </r>
  <r>
    <n v="813"/>
    <n v="134"/>
    <x v="2"/>
    <x v="0"/>
    <x v="2"/>
    <n v="41"/>
    <x v="1"/>
    <x v="3"/>
    <x v="5"/>
    <n v="122"/>
    <n v="320"/>
    <x v="2"/>
    <n v="120"/>
    <n v="110"/>
    <n v="280"/>
    <n v="64"/>
    <n v="320"/>
    <n v="122"/>
    <n v="0.38124999999999998"/>
    <n v="41"/>
    <n v="40"/>
    <n v="14"/>
    <x v="311"/>
    <x v="1"/>
    <n v="134"/>
    <n v="320"/>
  </r>
  <r>
    <n v="407"/>
    <n v="83"/>
    <x v="2"/>
    <x v="0"/>
    <x v="2"/>
    <n v="27"/>
    <x v="1"/>
    <x v="2"/>
    <x v="4"/>
    <n v="58"/>
    <n v="195"/>
    <x v="2"/>
    <n v="80"/>
    <n v="70"/>
    <n v="190"/>
    <n v="54"/>
    <n v="195"/>
    <n v="58"/>
    <n v="0.29743589743589743"/>
    <n v="27"/>
    <n v="5"/>
    <n v="3"/>
    <x v="312"/>
    <x v="0"/>
    <n v="83"/>
    <n v="195"/>
  </r>
  <r>
    <n v="754"/>
    <n v="88"/>
    <x v="2"/>
    <x v="0"/>
    <x v="2"/>
    <n v="29"/>
    <x v="1"/>
    <x v="3"/>
    <x v="7"/>
    <n v="73"/>
    <n v="221"/>
    <x v="2"/>
    <n v="70"/>
    <n v="80"/>
    <n v="190"/>
    <n v="60"/>
    <n v="221"/>
    <n v="73"/>
    <n v="0.33031674208144796"/>
    <n v="29"/>
    <n v="31"/>
    <n v="18"/>
    <x v="313"/>
    <x v="0"/>
    <n v="88"/>
    <n v="221"/>
  </r>
  <r>
    <n v="351"/>
    <n v="67"/>
    <x v="2"/>
    <x v="0"/>
    <x v="2"/>
    <n v="22"/>
    <x v="1"/>
    <x v="3"/>
    <x v="7"/>
    <n v="390"/>
    <n v="510"/>
    <x v="15"/>
    <n v="60"/>
    <n v="360"/>
    <n v="450"/>
    <n v="53"/>
    <n v="510"/>
    <n v="390"/>
    <n v="0.76470588235294112"/>
    <n v="22"/>
    <n v="60"/>
    <n v="7"/>
    <x v="314"/>
    <x v="1"/>
    <n v="67"/>
    <n v="510"/>
  </r>
  <r>
    <n v="845"/>
    <n v="279"/>
    <x v="2"/>
    <x v="0"/>
    <x v="2"/>
    <n v="97"/>
    <x v="1"/>
    <x v="3"/>
    <x v="7"/>
    <n v="271"/>
    <n v="699"/>
    <x v="19"/>
    <n v="250"/>
    <n v="250"/>
    <n v="620"/>
    <n v="149"/>
    <n v="699"/>
    <n v="271"/>
    <n v="0.38769670958512159"/>
    <n v="97"/>
    <n v="79"/>
    <n v="29"/>
    <x v="315"/>
    <x v="1"/>
    <n v="279"/>
    <n v="699"/>
  </r>
  <r>
    <n v="305"/>
    <n v="105"/>
    <x v="2"/>
    <x v="0"/>
    <x v="2"/>
    <n v="95"/>
    <x v="1"/>
    <x v="2"/>
    <x v="8"/>
    <n v="21"/>
    <n v="250"/>
    <x v="2"/>
    <n v="100"/>
    <n v="30"/>
    <n v="240"/>
    <n v="124"/>
    <n v="250"/>
    <n v="21"/>
    <n v="8.4000000000000005E-2"/>
    <n v="95"/>
    <n v="10"/>
    <n v="5"/>
    <x v="316"/>
    <x v="0"/>
    <n v="105"/>
    <n v="250"/>
  </r>
  <r>
    <n v="212"/>
    <n v="135"/>
    <x v="2"/>
    <x v="0"/>
    <x v="2"/>
    <n v="122"/>
    <x v="1"/>
    <x v="2"/>
    <x v="8"/>
    <n v="-224"/>
    <n v="66"/>
    <x v="19"/>
    <n v="130"/>
    <n v="-210"/>
    <n v="60"/>
    <n v="155"/>
    <n v="66"/>
    <n v="-224"/>
    <n v="-3.393939393939394"/>
    <n v="122"/>
    <n v="6"/>
    <n v="5"/>
    <x v="317"/>
    <x v="0"/>
    <n v="135"/>
    <n v="66"/>
  </r>
  <r>
    <n v="351"/>
    <n v="153"/>
    <x v="2"/>
    <x v="0"/>
    <x v="2"/>
    <n v="42"/>
    <x v="1"/>
    <x v="2"/>
    <x v="12"/>
    <n v="87"/>
    <n v="306"/>
    <x v="15"/>
    <n v="150"/>
    <n v="80"/>
    <n v="290"/>
    <n v="66"/>
    <n v="306"/>
    <n v="87"/>
    <n v="0.28431372549019607"/>
    <n v="42"/>
    <n v="16"/>
    <n v="3"/>
    <x v="130"/>
    <x v="0"/>
    <n v="153"/>
    <n v="306"/>
  </r>
  <r>
    <n v="718"/>
    <n v="250"/>
    <x v="2"/>
    <x v="0"/>
    <x v="2"/>
    <n v="70"/>
    <x v="1"/>
    <x v="2"/>
    <x v="12"/>
    <n v="312"/>
    <n v="657"/>
    <x v="19"/>
    <n v="240"/>
    <n v="320"/>
    <n v="640"/>
    <n v="95"/>
    <n v="657"/>
    <n v="312"/>
    <n v="0.47488584474885842"/>
    <n v="70"/>
    <n v="17"/>
    <n v="10"/>
    <x v="318"/>
    <x v="1"/>
    <n v="250"/>
    <n v="657"/>
  </r>
  <r>
    <n v="607"/>
    <n v="294"/>
    <x v="2"/>
    <x v="0"/>
    <x v="2"/>
    <n v="111"/>
    <x v="0"/>
    <x v="0"/>
    <x v="0"/>
    <n v="309"/>
    <n v="747"/>
    <x v="19"/>
    <n v="220"/>
    <n v="210"/>
    <n v="540"/>
    <n v="144"/>
    <n v="747"/>
    <n v="309"/>
    <n v="0.41365461847389556"/>
    <n v="111"/>
    <n v="207"/>
    <n v="74"/>
    <x v="319"/>
    <x v="1"/>
    <n v="294"/>
    <n v="747"/>
  </r>
  <r>
    <n v="716"/>
    <n v="241"/>
    <x v="2"/>
    <x v="0"/>
    <x v="2"/>
    <n v="74"/>
    <x v="0"/>
    <x v="0"/>
    <x v="1"/>
    <n v="-189"/>
    <n v="148"/>
    <x v="19"/>
    <n v="180"/>
    <n v="-150"/>
    <n v="100"/>
    <n v="96"/>
    <n v="148"/>
    <n v="-189"/>
    <n v="-1.277027027027027"/>
    <n v="74"/>
    <n v="48"/>
    <n v="61"/>
    <x v="320"/>
    <x v="0"/>
    <n v="241"/>
    <n v="148"/>
  </r>
  <r>
    <n v="716"/>
    <n v="86"/>
    <x v="2"/>
    <x v="0"/>
    <x v="2"/>
    <n v="24"/>
    <x v="0"/>
    <x v="1"/>
    <x v="2"/>
    <n v="89"/>
    <n v="210"/>
    <x v="19"/>
    <n v="90"/>
    <n v="90"/>
    <n v="210"/>
    <n v="35"/>
    <n v="210"/>
    <n v="89"/>
    <n v="0.4238095238095238"/>
    <n v="24"/>
    <n v="0"/>
    <n v="-4"/>
    <x v="321"/>
    <x v="0"/>
    <n v="86"/>
    <n v="210"/>
  </r>
  <r>
    <n v="718"/>
    <n v="123"/>
    <x v="2"/>
    <x v="0"/>
    <x v="2"/>
    <n v="34"/>
    <x v="0"/>
    <x v="1"/>
    <x v="11"/>
    <n v="133"/>
    <n v="302"/>
    <x v="19"/>
    <n v="120"/>
    <n v="150"/>
    <n v="310"/>
    <n v="46"/>
    <n v="302"/>
    <n v="133"/>
    <n v="0.44039735099337746"/>
    <n v="34"/>
    <n v="-8"/>
    <n v="3"/>
    <x v="250"/>
    <x v="1"/>
    <n v="123"/>
    <n v="302"/>
  </r>
  <r>
    <n v="772"/>
    <n v="91"/>
    <x v="3"/>
    <x v="0"/>
    <x v="2"/>
    <n v="28"/>
    <x v="1"/>
    <x v="3"/>
    <x v="5"/>
    <n v="113"/>
    <n v="232"/>
    <x v="2"/>
    <n v="70"/>
    <n v="90"/>
    <n v="180"/>
    <n v="51"/>
    <n v="232"/>
    <n v="113"/>
    <n v="0.48706896551724138"/>
    <n v="28"/>
    <n v="52"/>
    <n v="21"/>
    <x v="79"/>
    <x v="1"/>
    <n v="91"/>
    <n v="232"/>
  </r>
  <r>
    <n v="321"/>
    <n v="86"/>
    <x v="3"/>
    <x v="0"/>
    <x v="2"/>
    <n v="28"/>
    <x v="1"/>
    <x v="2"/>
    <x v="4"/>
    <n v="89"/>
    <n v="215"/>
    <x v="2"/>
    <n v="70"/>
    <n v="90"/>
    <n v="180"/>
    <n v="56"/>
    <n v="215"/>
    <n v="89"/>
    <n v="0.413953488372093"/>
    <n v="28"/>
    <n v="35"/>
    <n v="16"/>
    <x v="322"/>
    <x v="0"/>
    <n v="86"/>
    <n v="215"/>
  </r>
  <r>
    <n v="954"/>
    <n v="82"/>
    <x v="3"/>
    <x v="0"/>
    <x v="2"/>
    <n v="27"/>
    <x v="1"/>
    <x v="3"/>
    <x v="7"/>
    <n v="95"/>
    <n v="218"/>
    <x v="2"/>
    <n v="60"/>
    <n v="90"/>
    <n v="170"/>
    <n v="59"/>
    <n v="218"/>
    <n v="95"/>
    <n v="0.43577981651376146"/>
    <n v="27"/>
    <n v="48"/>
    <n v="22"/>
    <x v="78"/>
    <x v="0"/>
    <n v="82"/>
    <n v="218"/>
  </r>
  <r>
    <n v="857"/>
    <n v="72"/>
    <x v="3"/>
    <x v="0"/>
    <x v="2"/>
    <n v="23"/>
    <x v="1"/>
    <x v="3"/>
    <x v="7"/>
    <n v="516"/>
    <n v="505"/>
    <x v="15"/>
    <n v="50"/>
    <n v="330"/>
    <n v="400"/>
    <n v="54"/>
    <n v="505"/>
    <n v="516"/>
    <n v="1.0217821782178218"/>
    <n v="23"/>
    <n v="105"/>
    <n v="22"/>
    <x v="323"/>
    <x v="1"/>
    <n v="72"/>
    <n v="505"/>
  </r>
  <r>
    <n v="716"/>
    <n v="260"/>
    <x v="3"/>
    <x v="0"/>
    <x v="2"/>
    <n v="91"/>
    <x v="1"/>
    <x v="3"/>
    <x v="7"/>
    <n v="367"/>
    <n v="693"/>
    <x v="19"/>
    <n v="210"/>
    <n v="230"/>
    <n v="540"/>
    <n v="143"/>
    <n v="693"/>
    <n v="367"/>
    <n v="0.5295815295815296"/>
    <n v="91"/>
    <n v="153"/>
    <n v="50"/>
    <x v="324"/>
    <x v="1"/>
    <n v="260"/>
    <n v="693"/>
  </r>
  <r>
    <n v="727"/>
    <n v="96"/>
    <x v="3"/>
    <x v="0"/>
    <x v="2"/>
    <n v="87"/>
    <x v="1"/>
    <x v="2"/>
    <x v="8"/>
    <n v="27"/>
    <n v="245"/>
    <x v="2"/>
    <n v="80"/>
    <n v="50"/>
    <n v="210"/>
    <n v="116"/>
    <n v="245"/>
    <n v="27"/>
    <n v="0.11020408163265306"/>
    <n v="87"/>
    <n v="35"/>
    <n v="16"/>
    <x v="325"/>
    <x v="0"/>
    <n v="96"/>
    <n v="245"/>
  </r>
  <r>
    <n v="914"/>
    <n v="125"/>
    <x v="3"/>
    <x v="0"/>
    <x v="2"/>
    <n v="113"/>
    <x v="1"/>
    <x v="2"/>
    <x v="8"/>
    <n v="-300"/>
    <n v="74"/>
    <x v="19"/>
    <n v="110"/>
    <n v="-170"/>
    <n v="50"/>
    <n v="146"/>
    <n v="74"/>
    <n v="-300"/>
    <n v="-4.0540540540540544"/>
    <n v="113"/>
    <n v="24"/>
    <n v="15"/>
    <x v="326"/>
    <x v="0"/>
    <n v="125"/>
    <n v="74"/>
  </r>
  <r>
    <n v="508"/>
    <n v="161"/>
    <x v="3"/>
    <x v="0"/>
    <x v="2"/>
    <n v="45"/>
    <x v="1"/>
    <x v="2"/>
    <x v="12"/>
    <n v="137"/>
    <n v="343"/>
    <x v="15"/>
    <n v="140"/>
    <n v="120"/>
    <n v="300"/>
    <n v="69"/>
    <n v="343"/>
    <n v="137"/>
    <n v="0.39941690962099125"/>
    <n v="45"/>
    <n v="43"/>
    <n v="21"/>
    <x v="327"/>
    <x v="1"/>
    <n v="161"/>
    <n v="343"/>
  </r>
  <r>
    <n v="212"/>
    <n v="239"/>
    <x v="3"/>
    <x v="0"/>
    <x v="2"/>
    <n v="66"/>
    <x v="1"/>
    <x v="2"/>
    <x v="12"/>
    <n v="646"/>
    <n v="815"/>
    <x v="19"/>
    <n v="210"/>
    <n v="450"/>
    <n v="720"/>
    <n v="91"/>
    <n v="815"/>
    <n v="646"/>
    <n v="0.79263803680981593"/>
    <n v="66"/>
    <n v="95"/>
    <n v="29"/>
    <x v="328"/>
    <x v="1"/>
    <n v="239"/>
    <n v="815"/>
  </r>
  <r>
    <n v="904"/>
    <n v="22"/>
    <x v="3"/>
    <x v="0"/>
    <x v="2"/>
    <n v="7"/>
    <x v="0"/>
    <x v="0"/>
    <x v="10"/>
    <n v="15"/>
    <n v="54"/>
    <x v="2"/>
    <n v="0"/>
    <n v="20"/>
    <n v="20"/>
    <n v="19"/>
    <n v="54"/>
    <n v="15"/>
    <n v="0.27777777777777779"/>
    <n v="7"/>
    <n v="34"/>
    <n v="22"/>
    <x v="33"/>
    <x v="0"/>
    <n v="22"/>
    <n v="54"/>
  </r>
  <r>
    <n v="585"/>
    <n v="255"/>
    <x v="3"/>
    <x v="0"/>
    <x v="2"/>
    <n v="96"/>
    <x v="0"/>
    <x v="0"/>
    <x v="0"/>
    <n v="191"/>
    <n v="547"/>
    <x v="19"/>
    <n v="140"/>
    <n v="70"/>
    <n v="290"/>
    <n v="129"/>
    <n v="547"/>
    <n v="191"/>
    <n v="0.34917733089579522"/>
    <n v="96"/>
    <n v="257"/>
    <n v="115"/>
    <x v="329"/>
    <x v="1"/>
    <n v="255"/>
    <n v="547"/>
  </r>
  <r>
    <n v="631"/>
    <n v="239"/>
    <x v="3"/>
    <x v="0"/>
    <x v="2"/>
    <n v="74"/>
    <x v="0"/>
    <x v="0"/>
    <x v="1"/>
    <n v="-252"/>
    <n v="175"/>
    <x v="19"/>
    <n v="130"/>
    <n v="-100"/>
    <n v="80"/>
    <n v="95"/>
    <n v="175"/>
    <n v="-252"/>
    <n v="-1.44"/>
    <n v="74"/>
    <n v="95"/>
    <n v="109"/>
    <x v="330"/>
    <x v="0"/>
    <n v="239"/>
    <n v="175"/>
  </r>
  <r>
    <n v="585"/>
    <n v="108"/>
    <x v="3"/>
    <x v="0"/>
    <x v="2"/>
    <n v="30"/>
    <x v="0"/>
    <x v="1"/>
    <x v="2"/>
    <n v="171"/>
    <n v="282"/>
    <x v="19"/>
    <n v="110"/>
    <n v="140"/>
    <n v="280"/>
    <n v="42"/>
    <n v="282"/>
    <n v="171"/>
    <n v="0.6063829787234043"/>
    <n v="30"/>
    <n v="2"/>
    <n v="-2"/>
    <x v="331"/>
    <x v="1"/>
    <n v="108"/>
    <n v="282"/>
  </r>
  <r>
    <n v="718"/>
    <n v="123"/>
    <x v="3"/>
    <x v="0"/>
    <x v="2"/>
    <n v="34"/>
    <x v="0"/>
    <x v="1"/>
    <x v="11"/>
    <n v="199"/>
    <n v="322"/>
    <x v="19"/>
    <n v="130"/>
    <n v="160"/>
    <n v="320"/>
    <n v="45"/>
    <n v="322"/>
    <n v="199"/>
    <n v="0.61801242236024845"/>
    <n v="34"/>
    <n v="2"/>
    <n v="-7"/>
    <x v="332"/>
    <x v="1"/>
    <n v="123"/>
    <n v="322"/>
  </r>
  <r>
    <n v="607"/>
    <n v="76"/>
    <x v="3"/>
    <x v="0"/>
    <x v="2"/>
    <n v="21"/>
    <x v="0"/>
    <x v="1"/>
    <x v="3"/>
    <n v="116"/>
    <n v="199"/>
    <x v="19"/>
    <n v="80"/>
    <n v="100"/>
    <n v="200"/>
    <n v="33"/>
    <n v="199"/>
    <n v="116"/>
    <n v="0.58291457286432158"/>
    <n v="21"/>
    <n v="-1"/>
    <n v="-4"/>
    <x v="239"/>
    <x v="1"/>
    <n v="76"/>
    <n v="199"/>
  </r>
  <r>
    <n v="904"/>
    <n v="102"/>
    <x v="4"/>
    <x v="0"/>
    <x v="2"/>
    <n v="31"/>
    <x v="1"/>
    <x v="3"/>
    <x v="5"/>
    <n v="132"/>
    <n v="261"/>
    <x v="2"/>
    <n v="90"/>
    <n v="90"/>
    <n v="220"/>
    <n v="54"/>
    <n v="261"/>
    <n v="132"/>
    <n v="0.50574712643678166"/>
    <n v="31"/>
    <n v="41"/>
    <n v="12"/>
    <x v="278"/>
    <x v="1"/>
    <n v="102"/>
    <n v="261"/>
  </r>
  <r>
    <n v="772"/>
    <n v="77"/>
    <x v="4"/>
    <x v="0"/>
    <x v="2"/>
    <n v="25"/>
    <x v="1"/>
    <x v="2"/>
    <x v="4"/>
    <n v="76"/>
    <n v="192"/>
    <x v="2"/>
    <n v="70"/>
    <n v="60"/>
    <n v="170"/>
    <n v="52"/>
    <n v="192"/>
    <n v="76"/>
    <n v="0.39583333333333331"/>
    <n v="25"/>
    <n v="22"/>
    <n v="7"/>
    <x v="333"/>
    <x v="0"/>
    <n v="77"/>
    <n v="192"/>
  </r>
  <r>
    <n v="786"/>
    <n v="78"/>
    <x v="4"/>
    <x v="0"/>
    <x v="2"/>
    <n v="25"/>
    <x v="1"/>
    <x v="3"/>
    <x v="7"/>
    <n v="93"/>
    <n v="210"/>
    <x v="2"/>
    <n v="70"/>
    <n v="60"/>
    <n v="170"/>
    <n v="56"/>
    <n v="210"/>
    <n v="93"/>
    <n v="0.44285714285714284"/>
    <n v="25"/>
    <n v="40"/>
    <n v="8"/>
    <x v="334"/>
    <x v="0"/>
    <n v="78"/>
    <n v="210"/>
  </r>
  <r>
    <n v="857"/>
    <n v="75"/>
    <x v="4"/>
    <x v="0"/>
    <x v="2"/>
    <n v="24"/>
    <x v="1"/>
    <x v="3"/>
    <x v="7"/>
    <n v="481"/>
    <n v="484"/>
    <x v="15"/>
    <n v="60"/>
    <n v="300"/>
    <n v="400"/>
    <n v="55"/>
    <n v="484"/>
    <n v="481"/>
    <n v="0.99380165289256195"/>
    <n v="24"/>
    <n v="84"/>
    <n v="15"/>
    <x v="335"/>
    <x v="1"/>
    <n v="75"/>
    <n v="484"/>
  </r>
  <r>
    <n v="607"/>
    <n v="249"/>
    <x v="4"/>
    <x v="0"/>
    <x v="2"/>
    <n v="87"/>
    <x v="1"/>
    <x v="3"/>
    <x v="7"/>
    <n v="350"/>
    <n v="664"/>
    <x v="19"/>
    <n v="220"/>
    <n v="230"/>
    <n v="560"/>
    <n v="138"/>
    <n v="664"/>
    <n v="350"/>
    <n v="0.52710843373493976"/>
    <n v="87"/>
    <n v="104"/>
    <n v="29"/>
    <x v="336"/>
    <x v="1"/>
    <n v="249"/>
    <n v="664"/>
  </r>
  <r>
    <n v="813"/>
    <n v="94"/>
    <x v="4"/>
    <x v="0"/>
    <x v="2"/>
    <n v="85"/>
    <x v="1"/>
    <x v="2"/>
    <x v="8"/>
    <n v="22"/>
    <n v="239"/>
    <x v="2"/>
    <n v="90"/>
    <n v="20"/>
    <n v="210"/>
    <n v="115"/>
    <n v="239"/>
    <n v="22"/>
    <n v="9.2050209205020925E-2"/>
    <n v="85"/>
    <n v="29"/>
    <n v="4"/>
    <x v="280"/>
    <x v="0"/>
    <n v="94"/>
    <n v="239"/>
  </r>
  <r>
    <n v="914"/>
    <n v="121"/>
    <x v="4"/>
    <x v="0"/>
    <x v="2"/>
    <n v="109"/>
    <x v="1"/>
    <x v="2"/>
    <x v="8"/>
    <n v="-300"/>
    <n v="65"/>
    <x v="19"/>
    <n v="110"/>
    <n v="-190"/>
    <n v="50"/>
    <n v="142"/>
    <n v="65"/>
    <n v="-300"/>
    <n v="-4.615384615384615"/>
    <n v="109"/>
    <n v="15"/>
    <n v="11"/>
    <x v="337"/>
    <x v="0"/>
    <n v="121"/>
    <n v="65"/>
  </r>
  <r>
    <n v="617"/>
    <n v="181"/>
    <x v="4"/>
    <x v="0"/>
    <x v="2"/>
    <n v="50"/>
    <x v="1"/>
    <x v="2"/>
    <x v="12"/>
    <n v="160"/>
    <n v="387"/>
    <x v="15"/>
    <n v="170"/>
    <n v="120"/>
    <n v="350"/>
    <n v="74"/>
    <n v="387"/>
    <n v="160"/>
    <n v="0.41343669250645992"/>
    <n v="50"/>
    <n v="37"/>
    <n v="11"/>
    <x v="220"/>
    <x v="1"/>
    <n v="181"/>
    <n v="387"/>
  </r>
  <r>
    <n v="917"/>
    <n v="211"/>
    <x v="4"/>
    <x v="0"/>
    <x v="2"/>
    <n v="59"/>
    <x v="1"/>
    <x v="2"/>
    <x v="12"/>
    <n v="565"/>
    <n v="719"/>
    <x v="19"/>
    <n v="200"/>
    <n v="390"/>
    <n v="660"/>
    <n v="83"/>
    <n v="719"/>
    <n v="565"/>
    <n v="0.78581363004172466"/>
    <n v="59"/>
    <n v="59"/>
    <n v="11"/>
    <x v="338"/>
    <x v="1"/>
    <n v="211"/>
    <n v="719"/>
  </r>
  <r>
    <n v="727"/>
    <n v="22"/>
    <x v="4"/>
    <x v="0"/>
    <x v="2"/>
    <n v="7"/>
    <x v="0"/>
    <x v="0"/>
    <x v="10"/>
    <n v="16"/>
    <n v="55"/>
    <x v="2"/>
    <n v="10"/>
    <n v="10"/>
    <n v="30"/>
    <n v="19"/>
    <n v="55"/>
    <n v="16"/>
    <n v="0.29090909090909089"/>
    <n v="7"/>
    <n v="25"/>
    <n v="12"/>
    <x v="177"/>
    <x v="0"/>
    <n v="22"/>
    <n v="55"/>
  </r>
  <r>
    <n v="585"/>
    <n v="245"/>
    <x v="4"/>
    <x v="0"/>
    <x v="2"/>
    <n v="93"/>
    <x v="0"/>
    <x v="0"/>
    <x v="0"/>
    <n v="303"/>
    <n v="614"/>
    <x v="19"/>
    <n v="180"/>
    <n v="140"/>
    <n v="420"/>
    <n v="127"/>
    <n v="614"/>
    <n v="303"/>
    <n v="0.49348534201954397"/>
    <n v="93"/>
    <n v="194"/>
    <n v="65"/>
    <x v="339"/>
    <x v="1"/>
    <n v="245"/>
    <n v="614"/>
  </r>
  <r>
    <n v="518"/>
    <n v="225"/>
    <x v="4"/>
    <x v="0"/>
    <x v="2"/>
    <n v="69"/>
    <x v="0"/>
    <x v="0"/>
    <x v="1"/>
    <n v="-232"/>
    <n v="171"/>
    <x v="19"/>
    <n v="160"/>
    <n v="-120"/>
    <n v="110"/>
    <n v="91"/>
    <n v="171"/>
    <n v="-232"/>
    <n v="-1.3567251461988303"/>
    <n v="69"/>
    <n v="61"/>
    <n v="65"/>
    <x v="340"/>
    <x v="0"/>
    <n v="225"/>
    <n v="171"/>
  </r>
  <r>
    <n v="516"/>
    <n v="81"/>
    <x v="4"/>
    <x v="0"/>
    <x v="2"/>
    <n v="22"/>
    <x v="0"/>
    <x v="1"/>
    <x v="2"/>
    <n v="125"/>
    <n v="211"/>
    <x v="19"/>
    <n v="80"/>
    <n v="90"/>
    <n v="200"/>
    <n v="33"/>
    <n v="211"/>
    <n v="125"/>
    <n v="0.59241706161137442"/>
    <n v="22"/>
    <n v="11"/>
    <n v="1"/>
    <x v="341"/>
    <x v="1"/>
    <n v="81"/>
    <n v="211"/>
  </r>
  <r>
    <n v="914"/>
    <n v="118"/>
    <x v="4"/>
    <x v="0"/>
    <x v="2"/>
    <n v="33"/>
    <x v="0"/>
    <x v="1"/>
    <x v="11"/>
    <n v="188"/>
    <n v="309"/>
    <x v="19"/>
    <n v="120"/>
    <n v="130"/>
    <n v="290"/>
    <n v="45"/>
    <n v="309"/>
    <n v="188"/>
    <n v="0.60841423948220064"/>
    <n v="33"/>
    <n v="19"/>
    <n v="-2"/>
    <x v="275"/>
    <x v="1"/>
    <n v="118"/>
    <n v="309"/>
  </r>
  <r>
    <n v="727"/>
    <n v="134"/>
    <x v="5"/>
    <x v="0"/>
    <x v="2"/>
    <n v="41"/>
    <x v="1"/>
    <x v="3"/>
    <x v="5"/>
    <n v="181"/>
    <n v="341"/>
    <x v="2"/>
    <n v="120"/>
    <n v="110"/>
    <n v="280"/>
    <n v="64"/>
    <n v="341"/>
    <n v="181"/>
    <n v="0.53079178885630496"/>
    <n v="41"/>
    <n v="61"/>
    <n v="14"/>
    <x v="342"/>
    <x v="1"/>
    <n v="134"/>
    <n v="341"/>
  </r>
  <r>
    <n v="386"/>
    <n v="83"/>
    <x v="5"/>
    <x v="0"/>
    <x v="2"/>
    <n v="27"/>
    <x v="1"/>
    <x v="2"/>
    <x v="4"/>
    <n v="86"/>
    <n v="208"/>
    <x v="2"/>
    <n v="80"/>
    <n v="70"/>
    <n v="190"/>
    <n v="54"/>
    <n v="208"/>
    <n v="86"/>
    <n v="0.41346153846153844"/>
    <n v="27"/>
    <n v="18"/>
    <n v="3"/>
    <x v="343"/>
    <x v="0"/>
    <n v="83"/>
    <n v="208"/>
  </r>
  <r>
    <n v="407"/>
    <n v="88"/>
    <x v="5"/>
    <x v="0"/>
    <x v="2"/>
    <n v="29"/>
    <x v="1"/>
    <x v="3"/>
    <x v="7"/>
    <n v="108"/>
    <n v="236"/>
    <x v="2"/>
    <n v="70"/>
    <n v="80"/>
    <n v="190"/>
    <n v="60"/>
    <n v="236"/>
    <n v="108"/>
    <n v="0.4576271186440678"/>
    <n v="29"/>
    <n v="46"/>
    <n v="18"/>
    <x v="344"/>
    <x v="1"/>
    <n v="88"/>
    <n v="236"/>
  </r>
  <r>
    <n v="351"/>
    <n v="67"/>
    <x v="5"/>
    <x v="0"/>
    <x v="2"/>
    <n v="22"/>
    <x v="1"/>
    <x v="3"/>
    <x v="7"/>
    <n v="579"/>
    <n v="543"/>
    <x v="15"/>
    <n v="60"/>
    <n v="360"/>
    <n v="450"/>
    <n v="53"/>
    <n v="543"/>
    <n v="579"/>
    <n v="1.0662983425414365"/>
    <n v="22"/>
    <n v="93"/>
    <n v="7"/>
    <x v="345"/>
    <x v="1"/>
    <n v="67"/>
    <n v="543"/>
  </r>
  <r>
    <n v="315"/>
    <n v="279"/>
    <x v="5"/>
    <x v="0"/>
    <x v="2"/>
    <n v="97"/>
    <x v="1"/>
    <x v="3"/>
    <x v="7"/>
    <n v="402"/>
    <n v="745"/>
    <x v="19"/>
    <n v="250"/>
    <n v="250"/>
    <n v="620"/>
    <n v="149"/>
    <n v="745"/>
    <n v="402"/>
    <n v="0.53959731543624156"/>
    <n v="97"/>
    <n v="125"/>
    <n v="29"/>
    <x v="346"/>
    <x v="1"/>
    <n v="279"/>
    <n v="745"/>
  </r>
  <r>
    <n v="305"/>
    <n v="105"/>
    <x v="5"/>
    <x v="0"/>
    <x v="2"/>
    <n v="95"/>
    <x v="1"/>
    <x v="2"/>
    <x v="8"/>
    <n v="31"/>
    <n v="266"/>
    <x v="2"/>
    <n v="100"/>
    <n v="30"/>
    <n v="240"/>
    <n v="124"/>
    <n v="266"/>
    <n v="31"/>
    <n v="0.11654135338345864"/>
    <n v="95"/>
    <n v="26"/>
    <n v="5"/>
    <x v="347"/>
    <x v="0"/>
    <n v="105"/>
    <n v="266"/>
  </r>
  <r>
    <n v="845"/>
    <n v="135"/>
    <x v="5"/>
    <x v="0"/>
    <x v="2"/>
    <n v="122"/>
    <x v="1"/>
    <x v="2"/>
    <x v="8"/>
    <n v="-332"/>
    <n v="70"/>
    <x v="19"/>
    <n v="130"/>
    <n v="-210"/>
    <n v="60"/>
    <n v="155"/>
    <n v="70"/>
    <n v="-332"/>
    <n v="-4.7428571428571429"/>
    <n v="122"/>
    <n v="10"/>
    <n v="5"/>
    <x v="348"/>
    <x v="0"/>
    <n v="135"/>
    <n v="70"/>
  </r>
  <r>
    <n v="857"/>
    <n v="153"/>
    <x v="5"/>
    <x v="0"/>
    <x v="2"/>
    <n v="42"/>
    <x v="1"/>
    <x v="2"/>
    <x v="12"/>
    <n v="129"/>
    <n v="326"/>
    <x v="15"/>
    <n v="150"/>
    <n v="80"/>
    <n v="290"/>
    <n v="66"/>
    <n v="326"/>
    <n v="129"/>
    <n v="0.39570552147239263"/>
    <n v="42"/>
    <n v="36"/>
    <n v="3"/>
    <x v="150"/>
    <x v="1"/>
    <n v="153"/>
    <n v="326"/>
  </r>
  <r>
    <n v="518"/>
    <n v="250"/>
    <x v="5"/>
    <x v="0"/>
    <x v="2"/>
    <n v="70"/>
    <x v="1"/>
    <x v="2"/>
    <x v="12"/>
    <n v="463"/>
    <n v="700"/>
    <x v="19"/>
    <n v="240"/>
    <n v="320"/>
    <n v="640"/>
    <n v="95"/>
    <n v="700"/>
    <n v="463"/>
    <n v="0.66142857142857148"/>
    <n v="70"/>
    <n v="60"/>
    <n v="10"/>
    <x v="349"/>
    <x v="1"/>
    <n v="250"/>
    <n v="700"/>
  </r>
  <r>
    <n v="631"/>
    <n v="294"/>
    <x v="5"/>
    <x v="0"/>
    <x v="2"/>
    <n v="111"/>
    <x v="0"/>
    <x v="0"/>
    <x v="0"/>
    <n v="459"/>
    <n v="796"/>
    <x v="19"/>
    <n v="220"/>
    <n v="210"/>
    <n v="540"/>
    <n v="144"/>
    <n v="796"/>
    <n v="459"/>
    <n v="0.5766331658291457"/>
    <n v="111"/>
    <n v="256"/>
    <n v="74"/>
    <x v="350"/>
    <x v="1"/>
    <n v="294"/>
    <n v="796"/>
  </r>
  <r>
    <n v="716"/>
    <n v="241"/>
    <x v="5"/>
    <x v="0"/>
    <x v="2"/>
    <n v="74"/>
    <x v="0"/>
    <x v="0"/>
    <x v="1"/>
    <n v="-280"/>
    <n v="158"/>
    <x v="19"/>
    <n v="180"/>
    <n v="-150"/>
    <n v="100"/>
    <n v="96"/>
    <n v="158"/>
    <n v="-280"/>
    <n v="-1.7721518987341771"/>
    <n v="74"/>
    <n v="58"/>
    <n v="61"/>
    <x v="351"/>
    <x v="0"/>
    <n v="241"/>
    <n v="158"/>
  </r>
  <r>
    <n v="718"/>
    <n v="86"/>
    <x v="5"/>
    <x v="0"/>
    <x v="2"/>
    <n v="24"/>
    <x v="0"/>
    <x v="1"/>
    <x v="2"/>
    <n v="132"/>
    <n v="224"/>
    <x v="19"/>
    <n v="90"/>
    <n v="90"/>
    <n v="210"/>
    <n v="35"/>
    <n v="224"/>
    <n v="132"/>
    <n v="0.5892857142857143"/>
    <n v="24"/>
    <n v="14"/>
    <n v="-4"/>
    <x v="352"/>
    <x v="1"/>
    <n v="86"/>
    <n v="224"/>
  </r>
  <r>
    <n v="518"/>
    <n v="123"/>
    <x v="5"/>
    <x v="0"/>
    <x v="2"/>
    <n v="34"/>
    <x v="0"/>
    <x v="1"/>
    <x v="11"/>
    <n v="197"/>
    <n v="322"/>
    <x v="19"/>
    <n v="120"/>
    <n v="150"/>
    <n v="310"/>
    <n v="46"/>
    <n v="322"/>
    <n v="197"/>
    <n v="0.61180124223602483"/>
    <n v="34"/>
    <n v="12"/>
    <n v="3"/>
    <x v="270"/>
    <x v="1"/>
    <n v="123"/>
    <n v="322"/>
  </r>
  <r>
    <n v="719"/>
    <n v="108"/>
    <x v="0"/>
    <x v="0"/>
    <x v="0"/>
    <n v="30"/>
    <x v="1"/>
    <x v="3"/>
    <x v="5"/>
    <n v="116"/>
    <n v="265"/>
    <x v="0"/>
    <n v="100"/>
    <n v="150"/>
    <n v="260"/>
    <n v="41"/>
    <n v="265"/>
    <n v="116"/>
    <n v="0.43773584905660379"/>
    <n v="30"/>
    <n v="5"/>
    <n v="8"/>
    <x v="353"/>
    <x v="1"/>
    <n v="108"/>
    <n v="265"/>
  </r>
  <r>
    <n v="815"/>
    <n v="122"/>
    <x v="0"/>
    <x v="0"/>
    <x v="0"/>
    <n v="39"/>
    <x v="1"/>
    <x v="3"/>
    <x v="5"/>
    <n v="115"/>
    <n v="298"/>
    <x v="16"/>
    <n v="110"/>
    <n v="160"/>
    <n v="300"/>
    <n v="61"/>
    <n v="298"/>
    <n v="115"/>
    <n v="0.38590604026845637"/>
    <n v="39"/>
    <n v="-2"/>
    <n v="12"/>
    <x v="354"/>
    <x v="1"/>
    <n v="122"/>
    <n v="298"/>
  </r>
  <r>
    <n v="303"/>
    <n v="72"/>
    <x v="0"/>
    <x v="0"/>
    <x v="0"/>
    <n v="23"/>
    <x v="1"/>
    <x v="2"/>
    <x v="4"/>
    <n v="56"/>
    <n v="182"/>
    <x v="0"/>
    <n v="100"/>
    <n v="130"/>
    <n v="260"/>
    <n v="54"/>
    <n v="182"/>
    <n v="56"/>
    <n v="0.30769230769230771"/>
    <n v="23"/>
    <n v="-78"/>
    <n v="-28"/>
    <x v="4"/>
    <x v="0"/>
    <n v="72"/>
    <n v="182"/>
  </r>
  <r>
    <n v="312"/>
    <n v="239"/>
    <x v="0"/>
    <x v="0"/>
    <x v="0"/>
    <n v="66"/>
    <x v="1"/>
    <x v="2"/>
    <x v="4"/>
    <n v="149"/>
    <n v="478"/>
    <x v="16"/>
    <n v="340"/>
    <n v="300"/>
    <n v="710"/>
    <n v="90"/>
    <n v="478"/>
    <n v="149"/>
    <n v="0.31171548117154813"/>
    <n v="66"/>
    <n v="-232"/>
    <n v="-101"/>
    <x v="355"/>
    <x v="1"/>
    <n v="239"/>
    <n v="478"/>
  </r>
  <r>
    <n v="614"/>
    <n v="54"/>
    <x v="0"/>
    <x v="0"/>
    <x v="0"/>
    <n v="20"/>
    <x v="1"/>
    <x v="2"/>
    <x v="4"/>
    <n v="12"/>
    <n v="120"/>
    <x v="18"/>
    <n v="70"/>
    <n v="70"/>
    <n v="170"/>
    <n v="54"/>
    <n v="120"/>
    <n v="12"/>
    <n v="0.1"/>
    <n v="20"/>
    <n v="-50"/>
    <n v="-16"/>
    <x v="15"/>
    <x v="0"/>
    <n v="54"/>
    <n v="120"/>
  </r>
  <r>
    <n v="970"/>
    <n v="123"/>
    <x v="0"/>
    <x v="0"/>
    <x v="0"/>
    <n v="34"/>
    <x v="1"/>
    <x v="3"/>
    <x v="6"/>
    <n v="133"/>
    <n v="302"/>
    <x v="0"/>
    <n v="120"/>
    <n v="160"/>
    <n v="300"/>
    <n v="46"/>
    <n v="302"/>
    <n v="133"/>
    <n v="0.44039735099337746"/>
    <n v="34"/>
    <n v="2"/>
    <n v="3"/>
    <x v="250"/>
    <x v="1"/>
    <n v="123"/>
    <n v="302"/>
  </r>
  <r>
    <n v="815"/>
    <n v="154"/>
    <x v="0"/>
    <x v="0"/>
    <x v="0"/>
    <n v="50"/>
    <x v="1"/>
    <x v="3"/>
    <x v="7"/>
    <n v="120"/>
    <n v="367"/>
    <x v="16"/>
    <n v="150"/>
    <n v="160"/>
    <n v="370"/>
    <n v="93"/>
    <n v="367"/>
    <n v="120"/>
    <n v="0.32697547683923706"/>
    <n v="50"/>
    <n v="-3"/>
    <n v="4"/>
    <x v="356"/>
    <x v="1"/>
    <n v="154"/>
    <n v="367"/>
  </r>
  <r>
    <n v="303"/>
    <n v="76"/>
    <x v="0"/>
    <x v="0"/>
    <x v="0"/>
    <n v="21"/>
    <x v="1"/>
    <x v="2"/>
    <x v="8"/>
    <n v="79"/>
    <n v="187"/>
    <x v="0"/>
    <n v="100"/>
    <n v="170"/>
    <n v="280"/>
    <n v="32"/>
    <n v="187"/>
    <n v="79"/>
    <n v="0.42245989304812837"/>
    <n v="21"/>
    <n v="-93"/>
    <n v="-24"/>
    <x v="118"/>
    <x v="0"/>
    <n v="76"/>
    <n v="187"/>
  </r>
  <r>
    <n v="815"/>
    <n v="257"/>
    <x v="0"/>
    <x v="0"/>
    <x v="0"/>
    <n v="84"/>
    <x v="1"/>
    <x v="2"/>
    <x v="8"/>
    <n v="224"/>
    <n v="598"/>
    <x v="16"/>
    <n v="370"/>
    <n v="420"/>
    <n v="890"/>
    <n v="117"/>
    <n v="598"/>
    <n v="224"/>
    <n v="0.37458193979933108"/>
    <n v="84"/>
    <n v="-292"/>
    <n v="-113"/>
    <x v="126"/>
    <x v="1"/>
    <n v="257"/>
    <n v="598"/>
  </r>
  <r>
    <n v="567"/>
    <n v="161"/>
    <x v="0"/>
    <x v="0"/>
    <x v="0"/>
    <n v="45"/>
    <x v="1"/>
    <x v="2"/>
    <x v="8"/>
    <n v="92"/>
    <n v="322"/>
    <x v="18"/>
    <n v="230"/>
    <n v="190"/>
    <n v="470"/>
    <n v="69"/>
    <n v="322"/>
    <n v="92"/>
    <n v="0.2857142857142857"/>
    <n v="45"/>
    <n v="-148"/>
    <n v="-69"/>
    <x v="297"/>
    <x v="0"/>
    <n v="161"/>
    <n v="322"/>
  </r>
  <r>
    <n v="719"/>
    <n v="161"/>
    <x v="0"/>
    <x v="0"/>
    <x v="0"/>
    <n v="45"/>
    <x v="0"/>
    <x v="0"/>
    <x v="10"/>
    <n v="92"/>
    <n v="322"/>
    <x v="0"/>
    <n v="120"/>
    <n v="110"/>
    <n v="260"/>
    <n v="69"/>
    <n v="322"/>
    <n v="92"/>
    <n v="0.2857142857142857"/>
    <n v="45"/>
    <n v="62"/>
    <n v="41"/>
    <x v="297"/>
    <x v="0"/>
    <n v="161"/>
    <n v="322"/>
  </r>
  <r>
    <n v="708"/>
    <n v="123"/>
    <x v="0"/>
    <x v="0"/>
    <x v="0"/>
    <n v="34"/>
    <x v="0"/>
    <x v="0"/>
    <x v="10"/>
    <n v="133"/>
    <n v="302"/>
    <x v="16"/>
    <n v="90"/>
    <n v="140"/>
    <n v="240"/>
    <n v="46"/>
    <n v="302"/>
    <n v="133"/>
    <n v="0.44039735099337746"/>
    <n v="34"/>
    <n v="62"/>
    <n v="33"/>
    <x v="250"/>
    <x v="1"/>
    <n v="123"/>
    <n v="302"/>
  </r>
  <r>
    <n v="815"/>
    <n v="108"/>
    <x v="0"/>
    <x v="0"/>
    <x v="0"/>
    <n v="30"/>
    <x v="0"/>
    <x v="0"/>
    <x v="1"/>
    <n v="116"/>
    <n v="265"/>
    <x v="16"/>
    <n v="80"/>
    <n v="120"/>
    <n v="210"/>
    <n v="41"/>
    <n v="265"/>
    <n v="116"/>
    <n v="0.43773584905660379"/>
    <n v="30"/>
    <n v="55"/>
    <n v="28"/>
    <x v="353"/>
    <x v="1"/>
    <n v="108"/>
    <n v="265"/>
  </r>
  <r>
    <n v="234"/>
    <n v="82"/>
    <x v="0"/>
    <x v="0"/>
    <x v="0"/>
    <n v="27"/>
    <x v="0"/>
    <x v="1"/>
    <x v="2"/>
    <n v="65"/>
    <n v="205"/>
    <x v="18"/>
    <n v="50"/>
    <n v="60"/>
    <n v="140"/>
    <n v="58"/>
    <n v="205"/>
    <n v="65"/>
    <n v="0.31707317073170732"/>
    <n v="27"/>
    <n v="65"/>
    <n v="32"/>
    <x v="231"/>
    <x v="0"/>
    <n v="82"/>
    <n v="205"/>
  </r>
  <r>
    <n v="614"/>
    <n v="91"/>
    <x v="0"/>
    <x v="0"/>
    <x v="0"/>
    <n v="28"/>
    <x v="0"/>
    <x v="1"/>
    <x v="11"/>
    <n v="76"/>
    <n v="218"/>
    <x v="18"/>
    <n v="50"/>
    <n v="80"/>
    <n v="150"/>
    <n v="51"/>
    <n v="218"/>
    <n v="76"/>
    <n v="0.34862385321100919"/>
    <n v="28"/>
    <n v="68"/>
    <n v="41"/>
    <x v="21"/>
    <x v="0"/>
    <n v="91"/>
    <n v="218"/>
  </r>
  <r>
    <n v="720"/>
    <n v="90"/>
    <x v="0"/>
    <x v="0"/>
    <x v="0"/>
    <n v="29"/>
    <x v="0"/>
    <x v="1"/>
    <x v="3"/>
    <n v="74"/>
    <n v="205"/>
    <x v="0"/>
    <n v="50"/>
    <n v="80"/>
    <n v="140"/>
    <n v="41"/>
    <n v="205"/>
    <n v="74"/>
    <n v="0.36097560975609755"/>
    <n v="29"/>
    <n v="65"/>
    <n v="40"/>
    <x v="251"/>
    <x v="0"/>
    <n v="90"/>
    <n v="205"/>
  </r>
  <r>
    <n v="641"/>
    <n v="10"/>
    <x v="0"/>
    <x v="1"/>
    <x v="0"/>
    <n v="3"/>
    <x v="1"/>
    <x v="3"/>
    <x v="5"/>
    <n v="-2"/>
    <n v="23"/>
    <x v="4"/>
    <n v="0"/>
    <n v="10"/>
    <n v="10"/>
    <n v="15"/>
    <n v="23"/>
    <n v="-2"/>
    <n v="-8.6956521739130432E-2"/>
    <n v="3"/>
    <n v="13"/>
    <n v="10"/>
    <x v="357"/>
    <x v="0"/>
    <n v="10"/>
    <n v="23"/>
  </r>
  <r>
    <n v="715"/>
    <n v="86"/>
    <x v="0"/>
    <x v="1"/>
    <x v="0"/>
    <n v="28"/>
    <x v="1"/>
    <x v="3"/>
    <x v="5"/>
    <n v="61"/>
    <n v="202"/>
    <x v="13"/>
    <n v="80"/>
    <n v="100"/>
    <n v="200"/>
    <n v="55"/>
    <n v="202"/>
    <n v="61"/>
    <n v="0.30198019801980197"/>
    <n v="28"/>
    <n v="2"/>
    <n v="6"/>
    <x v="358"/>
    <x v="0"/>
    <n v="86"/>
    <n v="202"/>
  </r>
  <r>
    <n v="816"/>
    <n v="79"/>
    <x v="0"/>
    <x v="1"/>
    <x v="0"/>
    <n v="30"/>
    <x v="1"/>
    <x v="3"/>
    <x v="7"/>
    <n v="35"/>
    <n v="177"/>
    <x v="12"/>
    <n v="70"/>
    <n v="70"/>
    <n v="170"/>
    <n v="63"/>
    <n v="177"/>
    <n v="35"/>
    <n v="0.19774011299435029"/>
    <n v="30"/>
    <n v="7"/>
    <n v="9"/>
    <x v="221"/>
    <x v="0"/>
    <n v="79"/>
    <n v="177"/>
  </r>
  <r>
    <n v="715"/>
    <n v="96"/>
    <x v="0"/>
    <x v="1"/>
    <x v="0"/>
    <n v="87"/>
    <x v="1"/>
    <x v="3"/>
    <x v="7"/>
    <n v="18"/>
    <n v="230"/>
    <x v="13"/>
    <n v="90"/>
    <n v="60"/>
    <n v="230"/>
    <n v="116"/>
    <n v="230"/>
    <n v="18"/>
    <n v="7.8260869565217397E-2"/>
    <n v="87"/>
    <n v="0"/>
    <n v="6"/>
    <x v="295"/>
    <x v="0"/>
    <n v="96"/>
    <n v="230"/>
  </r>
  <r>
    <n v="314"/>
    <n v="40"/>
    <x v="0"/>
    <x v="1"/>
    <x v="0"/>
    <n v="11"/>
    <x v="1"/>
    <x v="2"/>
    <x v="8"/>
    <n v="36"/>
    <n v="99"/>
    <x v="12"/>
    <n v="50"/>
    <n v="90"/>
    <n v="140"/>
    <n v="23"/>
    <n v="99"/>
    <n v="36"/>
    <n v="0.36363636363636365"/>
    <n v="11"/>
    <n v="-41"/>
    <n v="-10"/>
    <x v="19"/>
    <x v="0"/>
    <n v="40"/>
    <n v="99"/>
  </r>
  <r>
    <n v="608"/>
    <n v="80"/>
    <x v="0"/>
    <x v="1"/>
    <x v="0"/>
    <n v="24"/>
    <x v="1"/>
    <x v="2"/>
    <x v="8"/>
    <n v="48"/>
    <n v="174"/>
    <x v="13"/>
    <n v="110"/>
    <n v="120"/>
    <n v="250"/>
    <n v="46"/>
    <n v="174"/>
    <n v="48"/>
    <n v="0.27586206896551724"/>
    <n v="24"/>
    <n v="-76"/>
    <n v="-30"/>
    <x v="22"/>
    <x v="0"/>
    <n v="80"/>
    <n v="174"/>
  </r>
  <r>
    <n v="712"/>
    <n v="257"/>
    <x v="0"/>
    <x v="1"/>
    <x v="0"/>
    <n v="84"/>
    <x v="0"/>
    <x v="0"/>
    <x v="10"/>
    <n v="224"/>
    <n v="598"/>
    <x v="4"/>
    <n v="200"/>
    <n v="210"/>
    <n v="480"/>
    <n v="117"/>
    <n v="598"/>
    <n v="224"/>
    <n v="0.37458193979933108"/>
    <n v="84"/>
    <n v="118"/>
    <n v="57"/>
    <x v="126"/>
    <x v="1"/>
    <n v="257"/>
    <n v="598"/>
  </r>
  <r>
    <n v="641"/>
    <n v="122"/>
    <x v="0"/>
    <x v="1"/>
    <x v="0"/>
    <n v="39"/>
    <x v="0"/>
    <x v="0"/>
    <x v="0"/>
    <n v="114"/>
    <n v="298"/>
    <x v="4"/>
    <n v="90"/>
    <n v="130"/>
    <n v="240"/>
    <n v="62"/>
    <n v="298"/>
    <n v="114"/>
    <n v="0.3825503355704698"/>
    <n v="39"/>
    <n v="58"/>
    <n v="32"/>
    <x v="359"/>
    <x v="1"/>
    <n v="122"/>
    <n v="298"/>
  </r>
  <r>
    <n v="573"/>
    <n v="86"/>
    <x v="0"/>
    <x v="1"/>
    <x v="0"/>
    <n v="26"/>
    <x v="0"/>
    <x v="0"/>
    <x v="0"/>
    <n v="-26"/>
    <n v="109"/>
    <x v="12"/>
    <n v="60"/>
    <n v="10"/>
    <n v="80"/>
    <n v="49"/>
    <n v="109"/>
    <n v="-26"/>
    <n v="-0.23853211009174313"/>
    <n v="26"/>
    <n v="29"/>
    <n v="26"/>
    <x v="160"/>
    <x v="0"/>
    <n v="86"/>
    <n v="109"/>
  </r>
  <r>
    <n v="563"/>
    <n v="239"/>
    <x v="0"/>
    <x v="1"/>
    <x v="0"/>
    <n v="66"/>
    <x v="0"/>
    <x v="1"/>
    <x v="2"/>
    <n v="149"/>
    <n v="478"/>
    <x v="4"/>
    <n v="170"/>
    <n v="110"/>
    <n v="340"/>
    <n v="90"/>
    <n v="478"/>
    <n v="149"/>
    <n v="0.31171548117154813"/>
    <n v="66"/>
    <n v="138"/>
    <n v="69"/>
    <x v="355"/>
    <x v="1"/>
    <n v="239"/>
    <n v="478"/>
  </r>
  <r>
    <n v="563"/>
    <n v="255"/>
    <x v="0"/>
    <x v="1"/>
    <x v="0"/>
    <n v="96"/>
    <x v="0"/>
    <x v="1"/>
    <x v="11"/>
    <n v="183"/>
    <n v="567"/>
    <x v="4"/>
    <n v="170"/>
    <n v="130"/>
    <n v="400"/>
    <n v="129"/>
    <n v="567"/>
    <n v="183"/>
    <n v="0.32275132275132273"/>
    <n v="96"/>
    <n v="167"/>
    <n v="85"/>
    <x v="360"/>
    <x v="1"/>
    <n v="255"/>
    <n v="567"/>
  </r>
  <r>
    <n v="417"/>
    <n v="25"/>
    <x v="0"/>
    <x v="1"/>
    <x v="0"/>
    <n v="9"/>
    <x v="0"/>
    <x v="1"/>
    <x v="11"/>
    <n v="-11"/>
    <n v="56"/>
    <x v="12"/>
    <n v="10"/>
    <n v="0"/>
    <n v="30"/>
    <n v="42"/>
    <n v="56"/>
    <n v="-11"/>
    <n v="-0.19642857142857142"/>
    <n v="9"/>
    <n v="26"/>
    <n v="15"/>
    <x v="361"/>
    <x v="0"/>
    <n v="25"/>
    <n v="56"/>
  </r>
  <r>
    <n v="970"/>
    <n v="81"/>
    <x v="1"/>
    <x v="0"/>
    <x v="0"/>
    <n v="22"/>
    <x v="1"/>
    <x v="3"/>
    <x v="5"/>
    <n v="84"/>
    <n v="198"/>
    <x v="0"/>
    <n v="80"/>
    <n v="80"/>
    <n v="190"/>
    <n v="33"/>
    <n v="198"/>
    <n v="84"/>
    <n v="0.42424242424242425"/>
    <n v="22"/>
    <n v="8"/>
    <n v="1"/>
    <x v="279"/>
    <x v="0"/>
    <n v="81"/>
    <n v="198"/>
  </r>
  <r>
    <n v="815"/>
    <n v="113"/>
    <x v="1"/>
    <x v="0"/>
    <x v="0"/>
    <n v="36"/>
    <x v="1"/>
    <x v="3"/>
    <x v="5"/>
    <n v="106"/>
    <n v="278"/>
    <x v="16"/>
    <n v="110"/>
    <n v="110"/>
    <n v="270"/>
    <n v="59"/>
    <n v="278"/>
    <n v="106"/>
    <n v="0.38129496402877699"/>
    <n v="36"/>
    <n v="8"/>
    <n v="3"/>
    <x v="362"/>
    <x v="1"/>
    <n v="113"/>
    <n v="278"/>
  </r>
  <r>
    <n v="303"/>
    <n v="75"/>
    <x v="1"/>
    <x v="0"/>
    <x v="0"/>
    <n v="24"/>
    <x v="1"/>
    <x v="2"/>
    <x v="4"/>
    <n v="58"/>
    <n v="189"/>
    <x v="0"/>
    <n v="90"/>
    <n v="100"/>
    <n v="240"/>
    <n v="56"/>
    <n v="189"/>
    <n v="58"/>
    <n v="0.30687830687830686"/>
    <n v="24"/>
    <n v="-51"/>
    <n v="-15"/>
    <x v="363"/>
    <x v="0"/>
    <n v="75"/>
    <n v="189"/>
  </r>
  <r>
    <n v="847"/>
    <n v="211"/>
    <x v="1"/>
    <x v="0"/>
    <x v="0"/>
    <n v="59"/>
    <x v="1"/>
    <x v="2"/>
    <x v="4"/>
    <n v="129"/>
    <n v="423"/>
    <x v="16"/>
    <n v="270"/>
    <n v="200"/>
    <n v="540"/>
    <n v="83"/>
    <n v="423"/>
    <n v="129"/>
    <n v="0.30496453900709219"/>
    <n v="59"/>
    <n v="-117"/>
    <n v="-59"/>
    <x v="364"/>
    <x v="1"/>
    <n v="211"/>
    <n v="423"/>
  </r>
  <r>
    <n v="970"/>
    <n v="118"/>
    <x v="1"/>
    <x v="0"/>
    <x v="0"/>
    <n v="33"/>
    <x v="1"/>
    <x v="3"/>
    <x v="6"/>
    <n v="128"/>
    <n v="290"/>
    <x v="0"/>
    <n v="110"/>
    <n v="130"/>
    <n v="280"/>
    <n v="44"/>
    <n v="290"/>
    <n v="128"/>
    <n v="0.44137931034482758"/>
    <n v="33"/>
    <n v="10"/>
    <n v="8"/>
    <x v="365"/>
    <x v="1"/>
    <n v="118"/>
    <n v="290"/>
  </r>
  <r>
    <n v="815"/>
    <n v="173"/>
    <x v="1"/>
    <x v="0"/>
    <x v="0"/>
    <n v="57"/>
    <x v="1"/>
    <x v="3"/>
    <x v="7"/>
    <n v="139"/>
    <n v="412"/>
    <x v="16"/>
    <n v="170"/>
    <n v="140"/>
    <n v="400"/>
    <n v="100"/>
    <n v="412"/>
    <n v="139"/>
    <n v="0.33737864077669905"/>
    <n v="57"/>
    <n v="12"/>
    <n v="3"/>
    <x v="366"/>
    <x v="1"/>
    <n v="173"/>
    <n v="412"/>
  </r>
  <r>
    <n v="303"/>
    <n v="50"/>
    <x v="1"/>
    <x v="0"/>
    <x v="0"/>
    <n v="14"/>
    <x v="1"/>
    <x v="2"/>
    <x v="8"/>
    <n v="48"/>
    <n v="123"/>
    <x v="0"/>
    <n v="60"/>
    <n v="70"/>
    <n v="150"/>
    <n v="25"/>
    <n v="123"/>
    <n v="48"/>
    <n v="0.3902439024390244"/>
    <n v="14"/>
    <n v="-27"/>
    <n v="-10"/>
    <x v="23"/>
    <x v="0"/>
    <n v="50"/>
    <n v="123"/>
  </r>
  <r>
    <n v="224"/>
    <n v="228"/>
    <x v="1"/>
    <x v="0"/>
    <x v="0"/>
    <n v="75"/>
    <x v="1"/>
    <x v="2"/>
    <x v="8"/>
    <n v="196"/>
    <n v="532"/>
    <x v="16"/>
    <n v="290"/>
    <n v="290"/>
    <n v="680"/>
    <n v="108"/>
    <n v="532"/>
    <n v="196"/>
    <n v="0.36842105263157893"/>
    <n v="75"/>
    <n v="-148"/>
    <n v="-62"/>
    <x v="367"/>
    <x v="1"/>
    <n v="228"/>
    <n v="532"/>
  </r>
  <r>
    <n v="440"/>
    <n v="181"/>
    <x v="1"/>
    <x v="0"/>
    <x v="0"/>
    <n v="50"/>
    <x v="1"/>
    <x v="2"/>
    <x v="8"/>
    <n v="107"/>
    <n v="363"/>
    <x v="18"/>
    <n v="230"/>
    <n v="170"/>
    <n v="460"/>
    <n v="75"/>
    <n v="363"/>
    <n v="107"/>
    <n v="0.29476584022038566"/>
    <n v="50"/>
    <n v="-97"/>
    <n v="-49"/>
    <x v="368"/>
    <x v="1"/>
    <n v="181"/>
    <n v="363"/>
  </r>
  <r>
    <n v="970"/>
    <n v="181"/>
    <x v="1"/>
    <x v="0"/>
    <x v="0"/>
    <n v="50"/>
    <x v="0"/>
    <x v="0"/>
    <x v="10"/>
    <n v="107"/>
    <n v="363"/>
    <x v="0"/>
    <n v="170"/>
    <n v="100"/>
    <n v="330"/>
    <n v="75"/>
    <n v="363"/>
    <n v="107"/>
    <n v="0.29476584022038566"/>
    <n v="50"/>
    <n v="33"/>
    <n v="11"/>
    <x v="368"/>
    <x v="1"/>
    <n v="181"/>
    <n v="363"/>
  </r>
  <r>
    <n v="312"/>
    <n v="118"/>
    <x v="1"/>
    <x v="0"/>
    <x v="0"/>
    <n v="33"/>
    <x v="0"/>
    <x v="0"/>
    <x v="10"/>
    <n v="127"/>
    <n v="290"/>
    <x v="16"/>
    <n v="110"/>
    <n v="110"/>
    <n v="260"/>
    <n v="45"/>
    <n v="290"/>
    <n v="127"/>
    <n v="0.43793103448275861"/>
    <n v="33"/>
    <n v="30"/>
    <n v="8"/>
    <x v="255"/>
    <x v="1"/>
    <n v="118"/>
    <n v="290"/>
  </r>
  <r>
    <n v="630"/>
    <n v="81"/>
    <x v="1"/>
    <x v="0"/>
    <x v="0"/>
    <n v="22"/>
    <x v="0"/>
    <x v="0"/>
    <x v="1"/>
    <n v="84"/>
    <n v="198"/>
    <x v="16"/>
    <n v="70"/>
    <n v="80"/>
    <n v="180"/>
    <n v="33"/>
    <n v="198"/>
    <n v="84"/>
    <n v="0.42424242424242425"/>
    <n v="22"/>
    <n v="18"/>
    <n v="11"/>
    <x v="279"/>
    <x v="0"/>
    <n v="81"/>
    <n v="198"/>
  </r>
  <r>
    <n v="330"/>
    <n v="78"/>
    <x v="1"/>
    <x v="0"/>
    <x v="0"/>
    <n v="25"/>
    <x v="0"/>
    <x v="1"/>
    <x v="2"/>
    <n v="62"/>
    <n v="197"/>
    <x v="18"/>
    <n v="60"/>
    <n v="60"/>
    <n v="160"/>
    <n v="57"/>
    <n v="197"/>
    <n v="62"/>
    <n v="0.31472081218274112"/>
    <n v="25"/>
    <n v="37"/>
    <n v="18"/>
    <x v="256"/>
    <x v="0"/>
    <n v="78"/>
    <n v="197"/>
  </r>
  <r>
    <n v="630"/>
    <n v="75"/>
    <x v="1"/>
    <x v="0"/>
    <x v="0"/>
    <n v="24"/>
    <x v="0"/>
    <x v="1"/>
    <x v="11"/>
    <n v="59"/>
    <n v="189"/>
    <x v="16"/>
    <n v="60"/>
    <n v="50"/>
    <n v="150"/>
    <n v="55"/>
    <n v="189"/>
    <n v="59"/>
    <n v="0.31216931216931215"/>
    <n v="24"/>
    <n v="39"/>
    <n v="15"/>
    <x v="234"/>
    <x v="0"/>
    <n v="75"/>
    <n v="189"/>
  </r>
  <r>
    <n v="419"/>
    <n v="102"/>
    <x v="1"/>
    <x v="0"/>
    <x v="0"/>
    <n v="31"/>
    <x v="0"/>
    <x v="1"/>
    <x v="11"/>
    <n v="89"/>
    <n v="245"/>
    <x v="18"/>
    <n v="80"/>
    <n v="70"/>
    <n v="200"/>
    <n v="54"/>
    <n v="245"/>
    <n v="89"/>
    <n v="0.36326530612244901"/>
    <n v="31"/>
    <n v="45"/>
    <n v="22"/>
    <x v="258"/>
    <x v="0"/>
    <n v="102"/>
    <n v="245"/>
  </r>
  <r>
    <n v="719"/>
    <n v="88"/>
    <x v="1"/>
    <x v="0"/>
    <x v="0"/>
    <n v="29"/>
    <x v="0"/>
    <x v="1"/>
    <x v="3"/>
    <n v="70"/>
    <n v="200"/>
    <x v="0"/>
    <n v="70"/>
    <n v="60"/>
    <n v="160"/>
    <n v="42"/>
    <n v="200"/>
    <n v="70"/>
    <n v="0.35"/>
    <n v="29"/>
    <n v="40"/>
    <n v="18"/>
    <x v="369"/>
    <x v="0"/>
    <n v="88"/>
    <n v="200"/>
  </r>
  <r>
    <n v="641"/>
    <n v="10"/>
    <x v="1"/>
    <x v="1"/>
    <x v="0"/>
    <n v="3"/>
    <x v="1"/>
    <x v="3"/>
    <x v="5"/>
    <n v="-3"/>
    <n v="23"/>
    <x v="4"/>
    <n v="0"/>
    <n v="10"/>
    <n v="20"/>
    <n v="16"/>
    <n v="23"/>
    <n v="-3"/>
    <n v="-0.13043478260869565"/>
    <n v="3"/>
    <n v="3"/>
    <n v="10"/>
    <x v="160"/>
    <x v="0"/>
    <n v="10"/>
    <n v="23"/>
  </r>
  <r>
    <n v="262"/>
    <n v="77"/>
    <x v="1"/>
    <x v="1"/>
    <x v="0"/>
    <n v="25"/>
    <x v="1"/>
    <x v="3"/>
    <x v="5"/>
    <n v="51"/>
    <n v="180"/>
    <x v="13"/>
    <n v="70"/>
    <n v="60"/>
    <n v="170"/>
    <n v="52"/>
    <n v="180"/>
    <n v="51"/>
    <n v="0.28333333333333333"/>
    <n v="25"/>
    <n v="10"/>
    <n v="7"/>
    <x v="302"/>
    <x v="0"/>
    <n v="77"/>
    <n v="180"/>
  </r>
  <r>
    <n v="563"/>
    <n v="15"/>
    <x v="1"/>
    <x v="1"/>
    <x v="0"/>
    <n v="4"/>
    <x v="1"/>
    <x v="3"/>
    <x v="6"/>
    <n v="8"/>
    <n v="39"/>
    <x v="4"/>
    <n v="10"/>
    <n v="10"/>
    <n v="30"/>
    <n v="16"/>
    <n v="39"/>
    <n v="8"/>
    <n v="0.20512820512820512"/>
    <n v="4"/>
    <n v="9"/>
    <n v="5"/>
    <x v="22"/>
    <x v="0"/>
    <n v="15"/>
    <n v="39"/>
  </r>
  <r>
    <n v="573"/>
    <n v="82"/>
    <x v="1"/>
    <x v="1"/>
    <x v="0"/>
    <n v="31"/>
    <x v="1"/>
    <x v="3"/>
    <x v="7"/>
    <n v="38"/>
    <n v="184"/>
    <x v="12"/>
    <n v="80"/>
    <n v="40"/>
    <n v="180"/>
    <n v="64"/>
    <n v="184"/>
    <n v="38"/>
    <n v="0.20652173913043478"/>
    <n v="31"/>
    <n v="4"/>
    <n v="2"/>
    <x v="197"/>
    <x v="0"/>
    <n v="82"/>
    <n v="184"/>
  </r>
  <r>
    <n v="262"/>
    <n v="94"/>
    <x v="1"/>
    <x v="1"/>
    <x v="0"/>
    <n v="85"/>
    <x v="1"/>
    <x v="3"/>
    <x v="7"/>
    <n v="16"/>
    <n v="224"/>
    <x v="13"/>
    <n v="90"/>
    <n v="30"/>
    <n v="220"/>
    <n v="114"/>
    <n v="224"/>
    <n v="16"/>
    <n v="7.1428571428571425E-2"/>
    <n v="85"/>
    <n v="4"/>
    <n v="4"/>
    <x v="370"/>
    <x v="0"/>
    <n v="94"/>
    <n v="224"/>
  </r>
  <r>
    <n v="314"/>
    <n v="54"/>
    <x v="1"/>
    <x v="1"/>
    <x v="0"/>
    <n v="15"/>
    <x v="1"/>
    <x v="2"/>
    <x v="8"/>
    <n v="51"/>
    <n v="132"/>
    <x v="12"/>
    <n v="60"/>
    <n v="80"/>
    <n v="160"/>
    <n v="27"/>
    <n v="132"/>
    <n v="51"/>
    <n v="0.38636363636363635"/>
    <n v="15"/>
    <n v="-28"/>
    <n v="-6"/>
    <x v="236"/>
    <x v="0"/>
    <n v="54"/>
    <n v="132"/>
  </r>
  <r>
    <n v="920"/>
    <n v="75"/>
    <x v="1"/>
    <x v="1"/>
    <x v="0"/>
    <n v="23"/>
    <x v="1"/>
    <x v="2"/>
    <x v="8"/>
    <n v="45"/>
    <n v="164"/>
    <x v="13"/>
    <n v="90"/>
    <n v="70"/>
    <n v="200"/>
    <n v="44"/>
    <n v="164"/>
    <n v="45"/>
    <n v="0.27439024390243905"/>
    <n v="23"/>
    <n v="-36"/>
    <n v="-15"/>
    <x v="235"/>
    <x v="0"/>
    <n v="75"/>
    <n v="164"/>
  </r>
  <r>
    <n v="712"/>
    <n v="228"/>
    <x v="1"/>
    <x v="1"/>
    <x v="0"/>
    <n v="75"/>
    <x v="0"/>
    <x v="0"/>
    <x v="10"/>
    <n v="196"/>
    <n v="532"/>
    <x v="4"/>
    <n v="210"/>
    <n v="180"/>
    <n v="490"/>
    <n v="108"/>
    <n v="532"/>
    <n v="196"/>
    <n v="0.36842105263157893"/>
    <n v="75"/>
    <n v="42"/>
    <n v="18"/>
    <x v="367"/>
    <x v="1"/>
    <n v="228"/>
    <n v="532"/>
  </r>
  <r>
    <n v="712"/>
    <n v="113"/>
    <x v="1"/>
    <x v="1"/>
    <x v="0"/>
    <n v="36"/>
    <x v="0"/>
    <x v="0"/>
    <x v="0"/>
    <n v="107"/>
    <n v="278"/>
    <x v="4"/>
    <n v="100"/>
    <n v="100"/>
    <n v="250"/>
    <n v="58"/>
    <n v="278"/>
    <n v="107"/>
    <n v="0.38489208633093525"/>
    <n v="36"/>
    <n v="28"/>
    <n v="13"/>
    <x v="371"/>
    <x v="1"/>
    <n v="113"/>
    <n v="278"/>
  </r>
  <r>
    <n v="712"/>
    <n v="211"/>
    <x v="1"/>
    <x v="1"/>
    <x v="0"/>
    <n v="59"/>
    <x v="0"/>
    <x v="1"/>
    <x v="2"/>
    <n v="129"/>
    <n v="423"/>
    <x v="4"/>
    <n v="170"/>
    <n v="110"/>
    <n v="350"/>
    <n v="83"/>
    <n v="423"/>
    <n v="129"/>
    <n v="0.30496453900709219"/>
    <n v="59"/>
    <n v="73"/>
    <n v="41"/>
    <x v="364"/>
    <x v="1"/>
    <n v="211"/>
    <n v="423"/>
  </r>
  <r>
    <n v="319"/>
    <n v="245"/>
    <x v="1"/>
    <x v="1"/>
    <x v="0"/>
    <n v="93"/>
    <x v="0"/>
    <x v="1"/>
    <x v="11"/>
    <n v="173"/>
    <n v="545"/>
    <x v="4"/>
    <n v="200"/>
    <n v="130"/>
    <n v="450"/>
    <n v="127"/>
    <n v="545"/>
    <n v="173"/>
    <n v="0.31743119266055048"/>
    <n v="93"/>
    <n v="95"/>
    <n v="45"/>
    <x v="372"/>
    <x v="1"/>
    <n v="245"/>
    <n v="545"/>
  </r>
  <r>
    <n v="720"/>
    <n v="86"/>
    <x v="2"/>
    <x v="0"/>
    <x v="0"/>
    <n v="24"/>
    <x v="1"/>
    <x v="3"/>
    <x v="5"/>
    <n v="88"/>
    <n v="210"/>
    <x v="0"/>
    <n v="80"/>
    <n v="90"/>
    <n v="200"/>
    <n v="36"/>
    <n v="210"/>
    <n v="88"/>
    <n v="0.41904761904761906"/>
    <n v="24"/>
    <n v="10"/>
    <n v="6"/>
    <x v="243"/>
    <x v="0"/>
    <n v="86"/>
    <n v="210"/>
  </r>
  <r>
    <n v="630"/>
    <n v="127"/>
    <x v="2"/>
    <x v="0"/>
    <x v="0"/>
    <n v="40"/>
    <x v="1"/>
    <x v="3"/>
    <x v="5"/>
    <n v="122"/>
    <n v="312"/>
    <x v="16"/>
    <n v="120"/>
    <n v="130"/>
    <n v="300"/>
    <n v="63"/>
    <n v="312"/>
    <n v="122"/>
    <n v="0.39102564102564102"/>
    <n v="40"/>
    <n v="12"/>
    <n v="7"/>
    <x v="373"/>
    <x v="1"/>
    <n v="127"/>
    <n v="312"/>
  </r>
  <r>
    <n v="970"/>
    <n v="67"/>
    <x v="2"/>
    <x v="0"/>
    <x v="0"/>
    <n v="22"/>
    <x v="1"/>
    <x v="2"/>
    <x v="4"/>
    <n v="47"/>
    <n v="168"/>
    <x v="0"/>
    <n v="80"/>
    <n v="80"/>
    <n v="210"/>
    <n v="54"/>
    <n v="168"/>
    <n v="47"/>
    <n v="0.27976190476190477"/>
    <n v="22"/>
    <n v="-42"/>
    <n v="-13"/>
    <x v="199"/>
    <x v="0"/>
    <n v="67"/>
    <n v="168"/>
  </r>
  <r>
    <n v="630"/>
    <n v="250"/>
    <x v="2"/>
    <x v="0"/>
    <x v="0"/>
    <n v="70"/>
    <x v="1"/>
    <x v="2"/>
    <x v="4"/>
    <n v="157"/>
    <n v="501"/>
    <x v="16"/>
    <n v="320"/>
    <n v="240"/>
    <n v="640"/>
    <n v="94"/>
    <n v="501"/>
    <n v="157"/>
    <n v="0.31337325349301398"/>
    <n v="70"/>
    <n v="-139"/>
    <n v="-70"/>
    <x v="374"/>
    <x v="1"/>
    <n v="250"/>
    <n v="501"/>
  </r>
  <r>
    <n v="719"/>
    <n v="123"/>
    <x v="2"/>
    <x v="0"/>
    <x v="0"/>
    <n v="34"/>
    <x v="1"/>
    <x v="3"/>
    <x v="6"/>
    <n v="134"/>
    <n v="302"/>
    <x v="0"/>
    <n v="120"/>
    <n v="130"/>
    <n v="290"/>
    <n v="45"/>
    <n v="302"/>
    <n v="134"/>
    <n v="0.44370860927152317"/>
    <n v="34"/>
    <n v="12"/>
    <n v="3"/>
    <x v="301"/>
    <x v="1"/>
    <n v="123"/>
    <n v="302"/>
  </r>
  <r>
    <n v="847"/>
    <n v="224"/>
    <x v="2"/>
    <x v="0"/>
    <x v="0"/>
    <n v="73"/>
    <x v="1"/>
    <x v="3"/>
    <x v="7"/>
    <n v="194"/>
    <n v="534"/>
    <x v="16"/>
    <n v="220"/>
    <n v="190"/>
    <n v="520"/>
    <n v="116"/>
    <n v="534"/>
    <n v="194"/>
    <n v="0.36329588014981273"/>
    <n v="73"/>
    <n v="14"/>
    <n v="4"/>
    <x v="375"/>
    <x v="1"/>
    <n v="224"/>
    <n v="534"/>
  </r>
  <r>
    <n v="970"/>
    <n v="54"/>
    <x v="2"/>
    <x v="0"/>
    <x v="0"/>
    <n v="15"/>
    <x v="1"/>
    <x v="2"/>
    <x v="8"/>
    <n v="53"/>
    <n v="133"/>
    <x v="0"/>
    <n v="60"/>
    <n v="90"/>
    <n v="170"/>
    <n v="26"/>
    <n v="133"/>
    <n v="53"/>
    <n v="0.39849624060150374"/>
    <n v="15"/>
    <n v="-37"/>
    <n v="-6"/>
    <x v="47"/>
    <x v="0"/>
    <n v="54"/>
    <n v="133"/>
  </r>
  <r>
    <n v="815"/>
    <n v="247"/>
    <x v="2"/>
    <x v="0"/>
    <x v="0"/>
    <n v="81"/>
    <x v="1"/>
    <x v="2"/>
    <x v="8"/>
    <n v="216"/>
    <n v="576"/>
    <x v="16"/>
    <n v="310"/>
    <n v="320"/>
    <n v="730"/>
    <n v="113"/>
    <n v="576"/>
    <n v="216"/>
    <n v="0.375"/>
    <n v="81"/>
    <n v="-154"/>
    <n v="-63"/>
    <x v="126"/>
    <x v="1"/>
    <n v="247"/>
    <n v="576"/>
  </r>
  <r>
    <n v="740"/>
    <n v="153"/>
    <x v="2"/>
    <x v="0"/>
    <x v="0"/>
    <n v="42"/>
    <x v="1"/>
    <x v="2"/>
    <x v="8"/>
    <n v="87"/>
    <n v="306"/>
    <x v="18"/>
    <n v="190"/>
    <n v="140"/>
    <n v="390"/>
    <n v="66"/>
    <n v="306"/>
    <n v="87"/>
    <n v="0.28431372549019607"/>
    <n v="42"/>
    <n v="-84"/>
    <n v="-37"/>
    <x v="130"/>
    <x v="0"/>
    <n v="153"/>
    <n v="306"/>
  </r>
  <r>
    <n v="303"/>
    <n v="153"/>
    <x v="2"/>
    <x v="0"/>
    <x v="0"/>
    <n v="42"/>
    <x v="0"/>
    <x v="0"/>
    <x v="10"/>
    <n v="87"/>
    <n v="306"/>
    <x v="0"/>
    <n v="140"/>
    <n v="80"/>
    <n v="280"/>
    <n v="66"/>
    <n v="306"/>
    <n v="87"/>
    <n v="0.28431372549019607"/>
    <n v="42"/>
    <n v="26"/>
    <n v="13"/>
    <x v="130"/>
    <x v="0"/>
    <n v="153"/>
    <n v="306"/>
  </r>
  <r>
    <n v="309"/>
    <n v="123"/>
    <x v="2"/>
    <x v="0"/>
    <x v="0"/>
    <n v="34"/>
    <x v="0"/>
    <x v="0"/>
    <x v="10"/>
    <n v="133"/>
    <n v="302"/>
    <x v="16"/>
    <n v="110"/>
    <n v="130"/>
    <n v="280"/>
    <n v="46"/>
    <n v="302"/>
    <n v="133"/>
    <n v="0.44039735099337746"/>
    <n v="34"/>
    <n v="22"/>
    <n v="13"/>
    <x v="250"/>
    <x v="1"/>
    <n v="123"/>
    <n v="302"/>
  </r>
  <r>
    <n v="630"/>
    <n v="86"/>
    <x v="2"/>
    <x v="0"/>
    <x v="0"/>
    <n v="24"/>
    <x v="0"/>
    <x v="0"/>
    <x v="1"/>
    <n v="88"/>
    <n v="210"/>
    <x v="16"/>
    <n v="80"/>
    <n v="80"/>
    <n v="190"/>
    <n v="36"/>
    <n v="210"/>
    <n v="88"/>
    <n v="0.41904761904761906"/>
    <n v="24"/>
    <n v="20"/>
    <n v="6"/>
    <x v="243"/>
    <x v="0"/>
    <n v="86"/>
    <n v="210"/>
  </r>
  <r>
    <n v="513"/>
    <n v="88"/>
    <x v="2"/>
    <x v="0"/>
    <x v="0"/>
    <n v="29"/>
    <x v="0"/>
    <x v="1"/>
    <x v="2"/>
    <n v="72"/>
    <n v="221"/>
    <x v="18"/>
    <n v="70"/>
    <n v="70"/>
    <n v="180"/>
    <n v="61"/>
    <n v="221"/>
    <n v="72"/>
    <n v="0.32579185520361992"/>
    <n v="29"/>
    <n v="41"/>
    <n v="18"/>
    <x v="262"/>
    <x v="0"/>
    <n v="88"/>
    <n v="221"/>
  </r>
  <r>
    <n v="740"/>
    <n v="134"/>
    <x v="2"/>
    <x v="0"/>
    <x v="0"/>
    <n v="41"/>
    <x v="0"/>
    <x v="1"/>
    <x v="11"/>
    <n v="121"/>
    <n v="320"/>
    <x v="18"/>
    <n v="110"/>
    <n v="90"/>
    <n v="260"/>
    <n v="65"/>
    <n v="320"/>
    <n v="121"/>
    <n v="0.37812499999999999"/>
    <n v="41"/>
    <n v="60"/>
    <n v="24"/>
    <x v="266"/>
    <x v="1"/>
    <n v="134"/>
    <n v="320"/>
  </r>
  <r>
    <n v="719"/>
    <n v="81"/>
    <x v="2"/>
    <x v="0"/>
    <x v="0"/>
    <n v="26"/>
    <x v="0"/>
    <x v="1"/>
    <x v="3"/>
    <n v="66"/>
    <n v="185"/>
    <x v="0"/>
    <n v="60"/>
    <n v="60"/>
    <n v="150"/>
    <n v="38"/>
    <n v="185"/>
    <n v="66"/>
    <n v="0.35675675675675678"/>
    <n v="26"/>
    <n v="35"/>
    <n v="21"/>
    <x v="264"/>
    <x v="0"/>
    <n v="81"/>
    <n v="185"/>
  </r>
  <r>
    <n v="319"/>
    <n v="10"/>
    <x v="2"/>
    <x v="1"/>
    <x v="0"/>
    <n v="3"/>
    <x v="1"/>
    <x v="3"/>
    <x v="5"/>
    <n v="-1"/>
    <n v="24"/>
    <x v="4"/>
    <n v="0"/>
    <n v="10"/>
    <n v="20"/>
    <n v="15"/>
    <n v="24"/>
    <n v="-1"/>
    <n v="-4.1666666666666664E-2"/>
    <n v="3"/>
    <n v="4"/>
    <n v="10"/>
    <x v="128"/>
    <x v="0"/>
    <n v="10"/>
    <n v="24"/>
  </r>
  <r>
    <n v="715"/>
    <n v="83"/>
    <x v="2"/>
    <x v="1"/>
    <x v="0"/>
    <n v="27"/>
    <x v="1"/>
    <x v="3"/>
    <x v="5"/>
    <n v="57"/>
    <n v="195"/>
    <x v="13"/>
    <n v="80"/>
    <n v="70"/>
    <n v="190"/>
    <n v="55"/>
    <n v="195"/>
    <n v="57"/>
    <n v="0.29230769230769232"/>
    <n v="27"/>
    <n v="5"/>
    <n v="3"/>
    <x v="376"/>
    <x v="0"/>
    <n v="83"/>
    <n v="195"/>
  </r>
  <r>
    <n v="573"/>
    <n v="68"/>
    <x v="2"/>
    <x v="1"/>
    <x v="0"/>
    <n v="25"/>
    <x v="1"/>
    <x v="3"/>
    <x v="7"/>
    <n v="26"/>
    <n v="153"/>
    <x v="12"/>
    <n v="60"/>
    <n v="40"/>
    <n v="150"/>
    <n v="59"/>
    <n v="153"/>
    <n v="26"/>
    <n v="0.16993464052287582"/>
    <n v="25"/>
    <n v="3"/>
    <n v="8"/>
    <x v="238"/>
    <x v="0"/>
    <n v="68"/>
    <n v="153"/>
  </r>
  <r>
    <n v="715"/>
    <n v="105"/>
    <x v="2"/>
    <x v="1"/>
    <x v="0"/>
    <n v="95"/>
    <x v="1"/>
    <x v="3"/>
    <x v="7"/>
    <n v="20"/>
    <n v="250"/>
    <x v="13"/>
    <n v="100"/>
    <n v="30"/>
    <n v="240"/>
    <n v="125"/>
    <n v="250"/>
    <n v="20"/>
    <n v="0.08"/>
    <n v="95"/>
    <n v="10"/>
    <n v="5"/>
    <x v="268"/>
    <x v="0"/>
    <n v="105"/>
    <n v="250"/>
  </r>
  <r>
    <n v="314"/>
    <n v="50"/>
    <x v="2"/>
    <x v="1"/>
    <x v="0"/>
    <n v="14"/>
    <x v="1"/>
    <x v="2"/>
    <x v="8"/>
    <n v="48"/>
    <n v="123"/>
    <x v="12"/>
    <n v="60"/>
    <n v="70"/>
    <n v="150"/>
    <n v="25"/>
    <n v="123"/>
    <n v="48"/>
    <n v="0.3902439024390244"/>
    <n v="14"/>
    <n v="-27"/>
    <n v="-10"/>
    <x v="23"/>
    <x v="0"/>
    <n v="50"/>
    <n v="123"/>
  </r>
  <r>
    <n v="715"/>
    <n v="80"/>
    <x v="2"/>
    <x v="1"/>
    <x v="0"/>
    <n v="24"/>
    <x v="1"/>
    <x v="2"/>
    <x v="8"/>
    <n v="50"/>
    <n v="176"/>
    <x v="13"/>
    <n v="100"/>
    <n v="80"/>
    <n v="220"/>
    <n v="46"/>
    <n v="176"/>
    <n v="50"/>
    <n v="0.28409090909090912"/>
    <n v="24"/>
    <n v="-44"/>
    <n v="-20"/>
    <x v="44"/>
    <x v="0"/>
    <n v="80"/>
    <n v="176"/>
  </r>
  <r>
    <n v="641"/>
    <n v="247"/>
    <x v="2"/>
    <x v="1"/>
    <x v="0"/>
    <n v="81"/>
    <x v="0"/>
    <x v="0"/>
    <x v="10"/>
    <n v="216"/>
    <n v="576"/>
    <x v="4"/>
    <n v="230"/>
    <n v="200"/>
    <n v="530"/>
    <n v="113"/>
    <n v="576"/>
    <n v="216"/>
    <n v="0.375"/>
    <n v="81"/>
    <n v="46"/>
    <n v="17"/>
    <x v="126"/>
    <x v="1"/>
    <n v="247"/>
    <n v="576"/>
  </r>
  <r>
    <n v="319"/>
    <n v="127"/>
    <x v="2"/>
    <x v="1"/>
    <x v="0"/>
    <n v="40"/>
    <x v="0"/>
    <x v="0"/>
    <x v="0"/>
    <n v="123"/>
    <n v="312"/>
    <x v="4"/>
    <n v="120"/>
    <n v="120"/>
    <n v="290"/>
    <n v="62"/>
    <n v="312"/>
    <n v="123"/>
    <n v="0.39423076923076922"/>
    <n v="40"/>
    <n v="22"/>
    <n v="7"/>
    <x v="377"/>
    <x v="1"/>
    <n v="127"/>
    <n v="312"/>
  </r>
  <r>
    <n v="641"/>
    <n v="250"/>
    <x v="2"/>
    <x v="1"/>
    <x v="0"/>
    <n v="70"/>
    <x v="0"/>
    <x v="1"/>
    <x v="2"/>
    <n v="156"/>
    <n v="501"/>
    <x v="4"/>
    <n v="210"/>
    <n v="120"/>
    <n v="410"/>
    <n v="95"/>
    <n v="501"/>
    <n v="156"/>
    <n v="0.31137724550898205"/>
    <n v="70"/>
    <n v="91"/>
    <n v="40"/>
    <x v="378"/>
    <x v="1"/>
    <n v="250"/>
    <n v="501"/>
  </r>
  <r>
    <n v="641"/>
    <n v="294"/>
    <x v="2"/>
    <x v="1"/>
    <x v="0"/>
    <n v="111"/>
    <x v="0"/>
    <x v="1"/>
    <x v="11"/>
    <n v="216"/>
    <n v="654"/>
    <x v="4"/>
    <n v="240"/>
    <n v="170"/>
    <n v="540"/>
    <n v="144"/>
    <n v="654"/>
    <n v="216"/>
    <n v="0.33027522935779818"/>
    <n v="111"/>
    <n v="114"/>
    <n v="54"/>
    <x v="379"/>
    <x v="1"/>
    <n v="294"/>
    <n v="654"/>
  </r>
  <r>
    <n v="573"/>
    <n v="20"/>
    <x v="2"/>
    <x v="1"/>
    <x v="0"/>
    <n v="7"/>
    <x v="0"/>
    <x v="1"/>
    <x v="11"/>
    <n v="-16"/>
    <n v="45"/>
    <x v="12"/>
    <n v="10"/>
    <n v="-10"/>
    <n v="30"/>
    <n v="41"/>
    <n v="45"/>
    <n v="-16"/>
    <n v="-0.35555555555555557"/>
    <n v="7"/>
    <n v="15"/>
    <n v="10"/>
    <x v="223"/>
    <x v="0"/>
    <n v="20"/>
    <n v="45"/>
  </r>
  <r>
    <n v="719"/>
    <n v="108"/>
    <x v="3"/>
    <x v="0"/>
    <x v="0"/>
    <n v="30"/>
    <x v="1"/>
    <x v="3"/>
    <x v="5"/>
    <n v="172"/>
    <n v="282"/>
    <x v="0"/>
    <n v="100"/>
    <n v="150"/>
    <n v="260"/>
    <n v="41"/>
    <n v="282"/>
    <n v="172"/>
    <n v="0.60992907801418439"/>
    <n v="30"/>
    <n v="22"/>
    <n v="8"/>
    <x v="380"/>
    <x v="1"/>
    <n v="108"/>
    <n v="282"/>
  </r>
  <r>
    <n v="815"/>
    <n v="122"/>
    <x v="3"/>
    <x v="0"/>
    <x v="0"/>
    <n v="39"/>
    <x v="1"/>
    <x v="3"/>
    <x v="5"/>
    <n v="171"/>
    <n v="318"/>
    <x v="16"/>
    <n v="110"/>
    <n v="160"/>
    <n v="300"/>
    <n v="61"/>
    <n v="318"/>
    <n v="171"/>
    <n v="0.53773584905660377"/>
    <n v="39"/>
    <n v="18"/>
    <n v="12"/>
    <x v="381"/>
    <x v="1"/>
    <n v="122"/>
    <n v="318"/>
  </r>
  <r>
    <n v="970"/>
    <n v="72"/>
    <x v="3"/>
    <x v="0"/>
    <x v="0"/>
    <n v="23"/>
    <x v="1"/>
    <x v="2"/>
    <x v="4"/>
    <n v="83"/>
    <n v="194"/>
    <x v="0"/>
    <n v="100"/>
    <n v="130"/>
    <n v="260"/>
    <n v="54"/>
    <n v="194"/>
    <n v="83"/>
    <n v="0.42783505154639173"/>
    <n v="23"/>
    <n v="-66"/>
    <n v="-28"/>
    <x v="64"/>
    <x v="0"/>
    <n v="72"/>
    <n v="194"/>
  </r>
  <r>
    <n v="773"/>
    <n v="239"/>
    <x v="3"/>
    <x v="0"/>
    <x v="0"/>
    <n v="66"/>
    <x v="1"/>
    <x v="2"/>
    <x v="4"/>
    <n v="221"/>
    <n v="509"/>
    <x v="16"/>
    <n v="340"/>
    <n v="300"/>
    <n v="710"/>
    <n v="90"/>
    <n v="509"/>
    <n v="221"/>
    <n v="0.43418467583497056"/>
    <n v="66"/>
    <n v="-201"/>
    <n v="-101"/>
    <x v="382"/>
    <x v="1"/>
    <n v="239"/>
    <n v="509"/>
  </r>
  <r>
    <n v="419"/>
    <n v="54"/>
    <x v="3"/>
    <x v="0"/>
    <x v="0"/>
    <n v="20"/>
    <x v="1"/>
    <x v="2"/>
    <x v="4"/>
    <n v="18"/>
    <n v="128"/>
    <x v="18"/>
    <n v="70"/>
    <n v="70"/>
    <n v="170"/>
    <n v="54"/>
    <n v="128"/>
    <n v="18"/>
    <n v="0.140625"/>
    <n v="20"/>
    <n v="-42"/>
    <n v="-16"/>
    <x v="73"/>
    <x v="0"/>
    <n v="54"/>
    <n v="128"/>
  </r>
  <r>
    <n v="719"/>
    <n v="123"/>
    <x v="3"/>
    <x v="0"/>
    <x v="0"/>
    <n v="34"/>
    <x v="1"/>
    <x v="3"/>
    <x v="6"/>
    <n v="197"/>
    <n v="322"/>
    <x v="0"/>
    <n v="120"/>
    <n v="160"/>
    <n v="300"/>
    <n v="46"/>
    <n v="322"/>
    <n v="197"/>
    <n v="0.61180124223602483"/>
    <n v="34"/>
    <n v="22"/>
    <n v="3"/>
    <x v="270"/>
    <x v="1"/>
    <n v="123"/>
    <n v="322"/>
  </r>
  <r>
    <n v="815"/>
    <n v="154"/>
    <x v="3"/>
    <x v="0"/>
    <x v="0"/>
    <n v="50"/>
    <x v="1"/>
    <x v="3"/>
    <x v="7"/>
    <n v="178"/>
    <n v="391"/>
    <x v="16"/>
    <n v="150"/>
    <n v="160"/>
    <n v="370"/>
    <n v="93"/>
    <n v="391"/>
    <n v="178"/>
    <n v="0.45524296675191817"/>
    <n v="50"/>
    <n v="21"/>
    <n v="4"/>
    <x v="383"/>
    <x v="1"/>
    <n v="154"/>
    <n v="391"/>
  </r>
  <r>
    <n v="970"/>
    <n v="76"/>
    <x v="3"/>
    <x v="0"/>
    <x v="0"/>
    <n v="21"/>
    <x v="1"/>
    <x v="2"/>
    <x v="8"/>
    <n v="117"/>
    <n v="199"/>
    <x v="0"/>
    <n v="100"/>
    <n v="170"/>
    <n v="280"/>
    <n v="32"/>
    <n v="199"/>
    <n v="117"/>
    <n v="0.5879396984924623"/>
    <n v="21"/>
    <n v="-81"/>
    <n v="-24"/>
    <x v="141"/>
    <x v="1"/>
    <n v="76"/>
    <n v="199"/>
  </r>
  <r>
    <n v="312"/>
    <n v="257"/>
    <x v="3"/>
    <x v="0"/>
    <x v="0"/>
    <n v="84"/>
    <x v="1"/>
    <x v="2"/>
    <x v="8"/>
    <n v="332"/>
    <n v="637"/>
    <x v="16"/>
    <n v="370"/>
    <n v="420"/>
    <n v="890"/>
    <n v="117"/>
    <n v="637"/>
    <n v="332"/>
    <n v="0.52119309262166402"/>
    <n v="84"/>
    <n v="-253"/>
    <n v="-113"/>
    <x v="384"/>
    <x v="1"/>
    <n v="257"/>
    <n v="637"/>
  </r>
  <r>
    <n v="513"/>
    <n v="161"/>
    <x v="3"/>
    <x v="0"/>
    <x v="0"/>
    <n v="45"/>
    <x v="1"/>
    <x v="2"/>
    <x v="8"/>
    <n v="137"/>
    <n v="343"/>
    <x v="18"/>
    <n v="230"/>
    <n v="190"/>
    <n v="470"/>
    <n v="69"/>
    <n v="343"/>
    <n v="137"/>
    <n v="0.39941690962099125"/>
    <n v="45"/>
    <n v="-127"/>
    <n v="-69"/>
    <x v="327"/>
    <x v="1"/>
    <n v="161"/>
    <n v="343"/>
  </r>
  <r>
    <n v="720"/>
    <n v="161"/>
    <x v="3"/>
    <x v="0"/>
    <x v="0"/>
    <n v="45"/>
    <x v="0"/>
    <x v="0"/>
    <x v="10"/>
    <n v="137"/>
    <n v="343"/>
    <x v="0"/>
    <n v="120"/>
    <n v="110"/>
    <n v="260"/>
    <n v="69"/>
    <n v="343"/>
    <n v="137"/>
    <n v="0.39941690962099125"/>
    <n v="45"/>
    <n v="83"/>
    <n v="41"/>
    <x v="327"/>
    <x v="1"/>
    <n v="161"/>
    <n v="343"/>
  </r>
  <r>
    <n v="708"/>
    <n v="123"/>
    <x v="3"/>
    <x v="0"/>
    <x v="0"/>
    <n v="34"/>
    <x v="0"/>
    <x v="0"/>
    <x v="10"/>
    <n v="197"/>
    <n v="322"/>
    <x v="16"/>
    <n v="90"/>
    <n v="140"/>
    <n v="240"/>
    <n v="46"/>
    <n v="322"/>
    <n v="197"/>
    <n v="0.61180124223602483"/>
    <n v="34"/>
    <n v="82"/>
    <n v="33"/>
    <x v="270"/>
    <x v="1"/>
    <n v="123"/>
    <n v="322"/>
  </r>
  <r>
    <n v="815"/>
    <n v="108"/>
    <x v="3"/>
    <x v="0"/>
    <x v="0"/>
    <n v="30"/>
    <x v="0"/>
    <x v="0"/>
    <x v="1"/>
    <n v="172"/>
    <n v="282"/>
    <x v="16"/>
    <n v="80"/>
    <n v="120"/>
    <n v="210"/>
    <n v="41"/>
    <n v="282"/>
    <n v="172"/>
    <n v="0.60992907801418439"/>
    <n v="30"/>
    <n v="72"/>
    <n v="28"/>
    <x v="380"/>
    <x v="1"/>
    <n v="108"/>
    <n v="282"/>
  </r>
  <r>
    <n v="419"/>
    <n v="82"/>
    <x v="3"/>
    <x v="0"/>
    <x v="0"/>
    <n v="27"/>
    <x v="0"/>
    <x v="1"/>
    <x v="2"/>
    <n v="96"/>
    <n v="218"/>
    <x v="18"/>
    <n v="50"/>
    <n v="60"/>
    <n v="140"/>
    <n v="58"/>
    <n v="218"/>
    <n v="96"/>
    <n v="0.44036697247706424"/>
    <n v="27"/>
    <n v="78"/>
    <n v="32"/>
    <x v="240"/>
    <x v="0"/>
    <n v="82"/>
    <n v="218"/>
  </r>
  <r>
    <n v="419"/>
    <n v="91"/>
    <x v="3"/>
    <x v="0"/>
    <x v="0"/>
    <n v="28"/>
    <x v="0"/>
    <x v="1"/>
    <x v="11"/>
    <n v="113"/>
    <n v="232"/>
    <x v="18"/>
    <n v="50"/>
    <n v="80"/>
    <n v="150"/>
    <n v="51"/>
    <n v="232"/>
    <n v="113"/>
    <n v="0.48706896551724138"/>
    <n v="28"/>
    <n v="82"/>
    <n v="41"/>
    <x v="79"/>
    <x v="1"/>
    <n v="91"/>
    <n v="232"/>
  </r>
  <r>
    <n v="970"/>
    <n v="90"/>
    <x v="3"/>
    <x v="0"/>
    <x v="0"/>
    <n v="29"/>
    <x v="0"/>
    <x v="1"/>
    <x v="3"/>
    <n v="110"/>
    <n v="218"/>
    <x v="0"/>
    <n v="50"/>
    <n v="80"/>
    <n v="140"/>
    <n v="41"/>
    <n v="218"/>
    <n v="110"/>
    <n v="0.50458715596330272"/>
    <n v="29"/>
    <n v="78"/>
    <n v="40"/>
    <x v="271"/>
    <x v="1"/>
    <n v="90"/>
    <n v="218"/>
  </r>
  <r>
    <n v="641"/>
    <n v="10"/>
    <x v="3"/>
    <x v="1"/>
    <x v="0"/>
    <n v="3"/>
    <x v="1"/>
    <x v="3"/>
    <x v="5"/>
    <n v="-3"/>
    <n v="25"/>
    <x v="4"/>
    <n v="0"/>
    <n v="10"/>
    <n v="10"/>
    <n v="15"/>
    <n v="25"/>
    <n v="-3"/>
    <n v="-0.12"/>
    <n v="3"/>
    <n v="15"/>
    <n v="10"/>
    <x v="160"/>
    <x v="0"/>
    <n v="10"/>
    <n v="25"/>
  </r>
  <r>
    <n v="920"/>
    <n v="86"/>
    <x v="3"/>
    <x v="1"/>
    <x v="0"/>
    <n v="28"/>
    <x v="1"/>
    <x v="3"/>
    <x v="5"/>
    <n v="91"/>
    <n v="215"/>
    <x v="13"/>
    <n v="80"/>
    <n v="100"/>
    <n v="200"/>
    <n v="55"/>
    <n v="215"/>
    <n v="91"/>
    <n v="0.42325581395348838"/>
    <n v="28"/>
    <n v="15"/>
    <n v="6"/>
    <x v="170"/>
    <x v="0"/>
    <n v="86"/>
    <n v="215"/>
  </r>
  <r>
    <n v="573"/>
    <n v="79"/>
    <x v="3"/>
    <x v="1"/>
    <x v="0"/>
    <n v="30"/>
    <x v="1"/>
    <x v="3"/>
    <x v="7"/>
    <n v="52"/>
    <n v="189"/>
    <x v="12"/>
    <n v="70"/>
    <n v="70"/>
    <n v="170"/>
    <n v="63"/>
    <n v="189"/>
    <n v="52"/>
    <n v="0.27513227513227512"/>
    <n v="30"/>
    <n v="19"/>
    <n v="9"/>
    <x v="385"/>
    <x v="0"/>
    <n v="79"/>
    <n v="189"/>
  </r>
  <r>
    <n v="414"/>
    <n v="96"/>
    <x v="3"/>
    <x v="1"/>
    <x v="0"/>
    <n v="87"/>
    <x v="1"/>
    <x v="3"/>
    <x v="7"/>
    <n v="27"/>
    <n v="245"/>
    <x v="13"/>
    <n v="90"/>
    <n v="60"/>
    <n v="230"/>
    <n v="116"/>
    <n v="245"/>
    <n v="27"/>
    <n v="0.11020408163265306"/>
    <n v="87"/>
    <n v="15"/>
    <n v="6"/>
    <x v="325"/>
    <x v="0"/>
    <n v="96"/>
    <n v="245"/>
  </r>
  <r>
    <n v="573"/>
    <n v="40"/>
    <x v="3"/>
    <x v="1"/>
    <x v="0"/>
    <n v="11"/>
    <x v="1"/>
    <x v="2"/>
    <x v="8"/>
    <n v="53"/>
    <n v="106"/>
    <x v="12"/>
    <n v="50"/>
    <n v="90"/>
    <n v="140"/>
    <n v="23"/>
    <n v="106"/>
    <n v="53"/>
    <n v="0.5"/>
    <n v="11"/>
    <n v="-34"/>
    <n v="-10"/>
    <x v="77"/>
    <x v="0"/>
    <n v="40"/>
    <n v="106"/>
  </r>
  <r>
    <n v="262"/>
    <n v="80"/>
    <x v="3"/>
    <x v="1"/>
    <x v="0"/>
    <n v="24"/>
    <x v="1"/>
    <x v="2"/>
    <x v="8"/>
    <n v="71"/>
    <n v="185"/>
    <x v="13"/>
    <n v="110"/>
    <n v="120"/>
    <n v="250"/>
    <n v="46"/>
    <n v="185"/>
    <n v="71"/>
    <n v="0.38378378378378381"/>
    <n v="24"/>
    <n v="-65"/>
    <n v="-30"/>
    <x v="139"/>
    <x v="0"/>
    <n v="80"/>
    <n v="185"/>
  </r>
  <r>
    <n v="319"/>
    <n v="257"/>
    <x v="3"/>
    <x v="1"/>
    <x v="0"/>
    <n v="84"/>
    <x v="0"/>
    <x v="0"/>
    <x v="10"/>
    <n v="332"/>
    <n v="637"/>
    <x v="4"/>
    <n v="200"/>
    <n v="210"/>
    <n v="480"/>
    <n v="117"/>
    <n v="637"/>
    <n v="332"/>
    <n v="0.52119309262166402"/>
    <n v="84"/>
    <n v="157"/>
    <n v="57"/>
    <x v="384"/>
    <x v="1"/>
    <n v="257"/>
    <n v="637"/>
  </r>
  <r>
    <n v="515"/>
    <n v="122"/>
    <x v="3"/>
    <x v="1"/>
    <x v="0"/>
    <n v="39"/>
    <x v="0"/>
    <x v="0"/>
    <x v="0"/>
    <n v="169"/>
    <n v="318"/>
    <x v="4"/>
    <n v="90"/>
    <n v="130"/>
    <n v="240"/>
    <n v="62"/>
    <n v="318"/>
    <n v="169"/>
    <n v="0.53144654088050314"/>
    <n v="39"/>
    <n v="78"/>
    <n v="32"/>
    <x v="386"/>
    <x v="1"/>
    <n v="122"/>
    <n v="318"/>
  </r>
  <r>
    <n v="417"/>
    <n v="86"/>
    <x v="3"/>
    <x v="1"/>
    <x v="0"/>
    <n v="26"/>
    <x v="0"/>
    <x v="0"/>
    <x v="0"/>
    <n v="-39"/>
    <n v="116"/>
    <x v="12"/>
    <n v="60"/>
    <n v="10"/>
    <n v="80"/>
    <n v="49"/>
    <n v="116"/>
    <n v="-39"/>
    <n v="-0.33620689655172414"/>
    <n v="26"/>
    <n v="36"/>
    <n v="26"/>
    <x v="175"/>
    <x v="0"/>
    <n v="86"/>
    <n v="116"/>
  </r>
  <r>
    <n v="515"/>
    <n v="239"/>
    <x v="3"/>
    <x v="1"/>
    <x v="0"/>
    <n v="66"/>
    <x v="0"/>
    <x v="1"/>
    <x v="2"/>
    <n v="221"/>
    <n v="509"/>
    <x v="4"/>
    <n v="170"/>
    <n v="110"/>
    <n v="340"/>
    <n v="90"/>
    <n v="509"/>
    <n v="221"/>
    <n v="0.43418467583497056"/>
    <n v="66"/>
    <n v="169"/>
    <n v="69"/>
    <x v="382"/>
    <x v="1"/>
    <n v="239"/>
    <n v="509"/>
  </r>
  <r>
    <n v="515"/>
    <n v="255"/>
    <x v="3"/>
    <x v="1"/>
    <x v="0"/>
    <n v="96"/>
    <x v="0"/>
    <x v="1"/>
    <x v="11"/>
    <n v="272"/>
    <n v="604"/>
    <x v="4"/>
    <n v="170"/>
    <n v="130"/>
    <n v="400"/>
    <n v="129"/>
    <n v="604"/>
    <n v="272"/>
    <n v="0.45033112582781459"/>
    <n v="96"/>
    <n v="204"/>
    <n v="85"/>
    <x v="136"/>
    <x v="1"/>
    <n v="255"/>
    <n v="604"/>
  </r>
  <r>
    <n v="573"/>
    <n v="25"/>
    <x v="3"/>
    <x v="1"/>
    <x v="0"/>
    <n v="9"/>
    <x v="0"/>
    <x v="1"/>
    <x v="11"/>
    <n v="-16"/>
    <n v="60"/>
    <x v="12"/>
    <n v="10"/>
    <n v="0"/>
    <n v="30"/>
    <n v="42"/>
    <n v="60"/>
    <n v="-16"/>
    <n v="-0.26666666666666666"/>
    <n v="9"/>
    <n v="30"/>
    <n v="15"/>
    <x v="387"/>
    <x v="0"/>
    <n v="25"/>
    <n v="60"/>
  </r>
  <r>
    <n v="720"/>
    <n v="81"/>
    <x v="4"/>
    <x v="0"/>
    <x v="0"/>
    <n v="22"/>
    <x v="1"/>
    <x v="3"/>
    <x v="5"/>
    <n v="125"/>
    <n v="211"/>
    <x v="0"/>
    <n v="80"/>
    <n v="80"/>
    <n v="190"/>
    <n v="33"/>
    <n v="211"/>
    <n v="125"/>
    <n v="0.59241706161137442"/>
    <n v="22"/>
    <n v="21"/>
    <n v="1"/>
    <x v="341"/>
    <x v="1"/>
    <n v="81"/>
    <n v="211"/>
  </r>
  <r>
    <n v="847"/>
    <n v="113"/>
    <x v="4"/>
    <x v="0"/>
    <x v="0"/>
    <n v="36"/>
    <x v="1"/>
    <x v="3"/>
    <x v="5"/>
    <n v="157"/>
    <n v="296"/>
    <x v="16"/>
    <n v="110"/>
    <n v="110"/>
    <n v="270"/>
    <n v="59"/>
    <n v="296"/>
    <n v="157"/>
    <n v="0.53040540540540537"/>
    <n v="36"/>
    <n v="26"/>
    <n v="3"/>
    <x v="388"/>
    <x v="1"/>
    <n v="113"/>
    <n v="296"/>
  </r>
  <r>
    <n v="970"/>
    <n v="75"/>
    <x v="4"/>
    <x v="0"/>
    <x v="0"/>
    <n v="24"/>
    <x v="1"/>
    <x v="2"/>
    <x v="4"/>
    <n v="86"/>
    <n v="201"/>
    <x v="0"/>
    <n v="90"/>
    <n v="100"/>
    <n v="240"/>
    <n v="56"/>
    <n v="201"/>
    <n v="86"/>
    <n v="0.42786069651741293"/>
    <n v="24"/>
    <n v="-39"/>
    <n v="-15"/>
    <x v="389"/>
    <x v="0"/>
    <n v="75"/>
    <n v="201"/>
  </r>
  <r>
    <n v="847"/>
    <n v="211"/>
    <x v="4"/>
    <x v="0"/>
    <x v="0"/>
    <n v="59"/>
    <x v="1"/>
    <x v="2"/>
    <x v="4"/>
    <n v="191"/>
    <n v="451"/>
    <x v="16"/>
    <n v="270"/>
    <n v="200"/>
    <n v="540"/>
    <n v="83"/>
    <n v="451"/>
    <n v="191"/>
    <n v="0.42350332594235035"/>
    <n v="59"/>
    <n v="-89"/>
    <n v="-59"/>
    <x v="390"/>
    <x v="1"/>
    <n v="211"/>
    <n v="451"/>
  </r>
  <r>
    <n v="719"/>
    <n v="118"/>
    <x v="4"/>
    <x v="0"/>
    <x v="0"/>
    <n v="33"/>
    <x v="1"/>
    <x v="3"/>
    <x v="6"/>
    <n v="190"/>
    <n v="309"/>
    <x v="0"/>
    <n v="110"/>
    <n v="130"/>
    <n v="280"/>
    <n v="44"/>
    <n v="309"/>
    <n v="190"/>
    <n v="0.61488673139158578"/>
    <n v="33"/>
    <n v="29"/>
    <n v="8"/>
    <x v="391"/>
    <x v="1"/>
    <n v="118"/>
    <n v="309"/>
  </r>
  <r>
    <n v="815"/>
    <n v="173"/>
    <x v="4"/>
    <x v="0"/>
    <x v="0"/>
    <n v="57"/>
    <x v="1"/>
    <x v="3"/>
    <x v="7"/>
    <n v="206"/>
    <n v="439"/>
    <x v="16"/>
    <n v="170"/>
    <n v="140"/>
    <n v="400"/>
    <n v="100"/>
    <n v="439"/>
    <n v="206"/>
    <n v="0.46924829157175396"/>
    <n v="57"/>
    <n v="39"/>
    <n v="3"/>
    <x v="392"/>
    <x v="1"/>
    <n v="173"/>
    <n v="439"/>
  </r>
  <r>
    <n v="303"/>
    <n v="50"/>
    <x v="4"/>
    <x v="0"/>
    <x v="0"/>
    <n v="14"/>
    <x v="1"/>
    <x v="2"/>
    <x v="8"/>
    <n v="71"/>
    <n v="131"/>
    <x v="0"/>
    <n v="60"/>
    <n v="70"/>
    <n v="150"/>
    <n v="25"/>
    <n v="131"/>
    <n v="71"/>
    <n v="0.5419847328244275"/>
    <n v="14"/>
    <n v="-19"/>
    <n v="-10"/>
    <x v="80"/>
    <x v="0"/>
    <n v="50"/>
    <n v="131"/>
  </r>
  <r>
    <n v="630"/>
    <n v="228"/>
    <x v="4"/>
    <x v="0"/>
    <x v="0"/>
    <n v="75"/>
    <x v="1"/>
    <x v="2"/>
    <x v="8"/>
    <n v="291"/>
    <n v="567"/>
    <x v="16"/>
    <n v="290"/>
    <n v="290"/>
    <n v="680"/>
    <n v="108"/>
    <n v="567"/>
    <n v="291"/>
    <n v="0.51322751322751325"/>
    <n v="75"/>
    <n v="-113"/>
    <n v="-62"/>
    <x v="393"/>
    <x v="1"/>
    <n v="228"/>
    <n v="567"/>
  </r>
  <r>
    <n v="234"/>
    <n v="181"/>
    <x v="4"/>
    <x v="0"/>
    <x v="0"/>
    <n v="50"/>
    <x v="1"/>
    <x v="2"/>
    <x v="8"/>
    <n v="159"/>
    <n v="387"/>
    <x v="18"/>
    <n v="230"/>
    <n v="170"/>
    <n v="460"/>
    <n v="75"/>
    <n v="387"/>
    <n v="159"/>
    <n v="0.41085271317829458"/>
    <n v="50"/>
    <n v="-73"/>
    <n v="-49"/>
    <x v="394"/>
    <x v="1"/>
    <n v="181"/>
    <n v="387"/>
  </r>
  <r>
    <n v="970"/>
    <n v="181"/>
    <x v="4"/>
    <x v="0"/>
    <x v="0"/>
    <n v="50"/>
    <x v="0"/>
    <x v="0"/>
    <x v="10"/>
    <n v="159"/>
    <n v="387"/>
    <x v="0"/>
    <n v="170"/>
    <n v="100"/>
    <n v="330"/>
    <n v="75"/>
    <n v="387"/>
    <n v="159"/>
    <n v="0.41085271317829458"/>
    <n v="50"/>
    <n v="57"/>
    <n v="11"/>
    <x v="394"/>
    <x v="1"/>
    <n v="181"/>
    <n v="387"/>
  </r>
  <r>
    <n v="708"/>
    <n v="118"/>
    <x v="4"/>
    <x v="0"/>
    <x v="0"/>
    <n v="33"/>
    <x v="0"/>
    <x v="0"/>
    <x v="10"/>
    <n v="188"/>
    <n v="309"/>
    <x v="16"/>
    <n v="110"/>
    <n v="110"/>
    <n v="260"/>
    <n v="45"/>
    <n v="309"/>
    <n v="188"/>
    <n v="0.60841423948220064"/>
    <n v="33"/>
    <n v="49"/>
    <n v="8"/>
    <x v="275"/>
    <x v="1"/>
    <n v="118"/>
    <n v="309"/>
  </r>
  <r>
    <n v="708"/>
    <n v="81"/>
    <x v="4"/>
    <x v="0"/>
    <x v="0"/>
    <n v="22"/>
    <x v="0"/>
    <x v="0"/>
    <x v="1"/>
    <n v="125"/>
    <n v="211"/>
    <x v="16"/>
    <n v="70"/>
    <n v="80"/>
    <n v="180"/>
    <n v="33"/>
    <n v="211"/>
    <n v="125"/>
    <n v="0.59241706161137442"/>
    <n v="22"/>
    <n v="31"/>
    <n v="11"/>
    <x v="341"/>
    <x v="1"/>
    <n v="81"/>
    <n v="211"/>
  </r>
  <r>
    <n v="614"/>
    <n v="78"/>
    <x v="4"/>
    <x v="0"/>
    <x v="0"/>
    <n v="25"/>
    <x v="0"/>
    <x v="1"/>
    <x v="2"/>
    <n v="92"/>
    <n v="210"/>
    <x v="18"/>
    <n v="60"/>
    <n v="60"/>
    <n v="160"/>
    <n v="57"/>
    <n v="210"/>
    <n v="92"/>
    <n v="0.43809523809523809"/>
    <n v="25"/>
    <n v="50"/>
    <n v="18"/>
    <x v="276"/>
    <x v="0"/>
    <n v="78"/>
    <n v="210"/>
  </r>
  <r>
    <n v="309"/>
    <n v="75"/>
    <x v="4"/>
    <x v="0"/>
    <x v="0"/>
    <n v="24"/>
    <x v="0"/>
    <x v="1"/>
    <x v="11"/>
    <n v="88"/>
    <n v="201"/>
    <x v="16"/>
    <n v="60"/>
    <n v="50"/>
    <n v="150"/>
    <n v="55"/>
    <n v="201"/>
    <n v="88"/>
    <n v="0.43781094527363185"/>
    <n v="24"/>
    <n v="51"/>
    <n v="15"/>
    <x v="243"/>
    <x v="0"/>
    <n v="75"/>
    <n v="201"/>
  </r>
  <r>
    <n v="740"/>
    <n v="102"/>
    <x v="4"/>
    <x v="0"/>
    <x v="0"/>
    <n v="31"/>
    <x v="0"/>
    <x v="1"/>
    <x v="11"/>
    <n v="132"/>
    <n v="261"/>
    <x v="18"/>
    <n v="80"/>
    <n v="70"/>
    <n v="200"/>
    <n v="54"/>
    <n v="261"/>
    <n v="132"/>
    <n v="0.50574712643678166"/>
    <n v="31"/>
    <n v="61"/>
    <n v="22"/>
    <x v="278"/>
    <x v="1"/>
    <n v="102"/>
    <n v="261"/>
  </r>
  <r>
    <n v="970"/>
    <n v="88"/>
    <x v="4"/>
    <x v="0"/>
    <x v="0"/>
    <n v="29"/>
    <x v="0"/>
    <x v="1"/>
    <x v="3"/>
    <n v="104"/>
    <n v="213"/>
    <x v="0"/>
    <n v="70"/>
    <n v="60"/>
    <n v="160"/>
    <n v="42"/>
    <n v="213"/>
    <n v="104"/>
    <n v="0.48826291079812206"/>
    <n v="29"/>
    <n v="53"/>
    <n v="18"/>
    <x v="395"/>
    <x v="1"/>
    <n v="88"/>
    <n v="213"/>
  </r>
  <r>
    <n v="319"/>
    <n v="10"/>
    <x v="4"/>
    <x v="1"/>
    <x v="0"/>
    <n v="3"/>
    <x v="1"/>
    <x v="3"/>
    <x v="5"/>
    <n v="-4"/>
    <n v="25"/>
    <x v="4"/>
    <n v="0"/>
    <n v="10"/>
    <n v="20"/>
    <n v="16"/>
    <n v="25"/>
    <n v="-4"/>
    <n v="-0.16"/>
    <n v="3"/>
    <n v="5"/>
    <n v="10"/>
    <x v="222"/>
    <x v="0"/>
    <n v="10"/>
    <n v="25"/>
  </r>
  <r>
    <n v="920"/>
    <n v="77"/>
    <x v="4"/>
    <x v="1"/>
    <x v="0"/>
    <n v="25"/>
    <x v="1"/>
    <x v="3"/>
    <x v="5"/>
    <n v="76"/>
    <n v="192"/>
    <x v="13"/>
    <n v="70"/>
    <n v="60"/>
    <n v="170"/>
    <n v="52"/>
    <n v="192"/>
    <n v="76"/>
    <n v="0.39583333333333331"/>
    <n v="25"/>
    <n v="22"/>
    <n v="7"/>
    <x v="333"/>
    <x v="0"/>
    <n v="77"/>
    <n v="192"/>
  </r>
  <r>
    <n v="712"/>
    <n v="15"/>
    <x v="4"/>
    <x v="1"/>
    <x v="0"/>
    <n v="4"/>
    <x v="1"/>
    <x v="3"/>
    <x v="6"/>
    <n v="12"/>
    <n v="42"/>
    <x v="4"/>
    <n v="10"/>
    <n v="10"/>
    <n v="30"/>
    <n v="16"/>
    <n v="42"/>
    <n v="12"/>
    <n v="0.2857142857142857"/>
    <n v="4"/>
    <n v="12"/>
    <n v="5"/>
    <x v="7"/>
    <x v="0"/>
    <n v="15"/>
    <n v="42"/>
  </r>
  <r>
    <n v="573"/>
    <n v="82"/>
    <x v="4"/>
    <x v="1"/>
    <x v="0"/>
    <n v="31"/>
    <x v="1"/>
    <x v="3"/>
    <x v="7"/>
    <n v="56"/>
    <n v="196"/>
    <x v="12"/>
    <n v="80"/>
    <n v="40"/>
    <n v="180"/>
    <n v="64"/>
    <n v="196"/>
    <n v="56"/>
    <n v="0.2857142857142857"/>
    <n v="31"/>
    <n v="16"/>
    <n v="2"/>
    <x v="213"/>
    <x v="0"/>
    <n v="82"/>
    <n v="196"/>
  </r>
  <r>
    <n v="608"/>
    <n v="94"/>
    <x v="4"/>
    <x v="1"/>
    <x v="0"/>
    <n v="85"/>
    <x v="1"/>
    <x v="3"/>
    <x v="7"/>
    <n v="24"/>
    <n v="239"/>
    <x v="13"/>
    <n v="90"/>
    <n v="30"/>
    <n v="220"/>
    <n v="114"/>
    <n v="239"/>
    <n v="24"/>
    <n v="0.100418410041841"/>
    <n v="85"/>
    <n v="19"/>
    <n v="4"/>
    <x v="396"/>
    <x v="0"/>
    <n v="94"/>
    <n v="239"/>
  </r>
  <r>
    <n v="573"/>
    <n v="54"/>
    <x v="4"/>
    <x v="1"/>
    <x v="0"/>
    <n v="15"/>
    <x v="1"/>
    <x v="2"/>
    <x v="8"/>
    <n v="76"/>
    <n v="141"/>
    <x v="12"/>
    <n v="60"/>
    <n v="80"/>
    <n v="160"/>
    <n v="27"/>
    <n v="141"/>
    <n v="76"/>
    <n v="0.53900709219858156"/>
    <n v="15"/>
    <n v="-19"/>
    <n v="-6"/>
    <x v="246"/>
    <x v="0"/>
    <n v="54"/>
    <n v="141"/>
  </r>
  <r>
    <n v="715"/>
    <n v="75"/>
    <x v="4"/>
    <x v="1"/>
    <x v="0"/>
    <n v="23"/>
    <x v="1"/>
    <x v="2"/>
    <x v="8"/>
    <n v="67"/>
    <n v="175"/>
    <x v="13"/>
    <n v="90"/>
    <n v="70"/>
    <n v="200"/>
    <n v="44"/>
    <n v="175"/>
    <n v="67"/>
    <n v="0.38285714285714284"/>
    <n v="23"/>
    <n v="-25"/>
    <n v="-15"/>
    <x v="244"/>
    <x v="0"/>
    <n v="75"/>
    <n v="175"/>
  </r>
  <r>
    <n v="641"/>
    <n v="228"/>
    <x v="4"/>
    <x v="1"/>
    <x v="0"/>
    <n v="75"/>
    <x v="0"/>
    <x v="0"/>
    <x v="10"/>
    <n v="291"/>
    <n v="567"/>
    <x v="4"/>
    <n v="210"/>
    <n v="180"/>
    <n v="490"/>
    <n v="108"/>
    <n v="567"/>
    <n v="291"/>
    <n v="0.51322751322751325"/>
    <n v="75"/>
    <n v="77"/>
    <n v="18"/>
    <x v="393"/>
    <x v="1"/>
    <n v="228"/>
    <n v="567"/>
  </r>
  <r>
    <n v="641"/>
    <n v="113"/>
    <x v="4"/>
    <x v="1"/>
    <x v="0"/>
    <n v="36"/>
    <x v="0"/>
    <x v="0"/>
    <x v="0"/>
    <n v="159"/>
    <n v="296"/>
    <x v="4"/>
    <n v="100"/>
    <n v="100"/>
    <n v="250"/>
    <n v="58"/>
    <n v="296"/>
    <n v="159"/>
    <n v="0.53716216216216217"/>
    <n v="36"/>
    <n v="46"/>
    <n v="13"/>
    <x v="397"/>
    <x v="1"/>
    <n v="113"/>
    <n v="296"/>
  </r>
  <r>
    <n v="563"/>
    <n v="211"/>
    <x v="4"/>
    <x v="1"/>
    <x v="0"/>
    <n v="59"/>
    <x v="0"/>
    <x v="1"/>
    <x v="2"/>
    <n v="191"/>
    <n v="451"/>
    <x v="4"/>
    <n v="170"/>
    <n v="110"/>
    <n v="350"/>
    <n v="83"/>
    <n v="451"/>
    <n v="191"/>
    <n v="0.42350332594235035"/>
    <n v="59"/>
    <n v="101"/>
    <n v="41"/>
    <x v="390"/>
    <x v="1"/>
    <n v="211"/>
    <n v="451"/>
  </r>
  <r>
    <n v="641"/>
    <n v="245"/>
    <x v="4"/>
    <x v="1"/>
    <x v="0"/>
    <n v="93"/>
    <x v="0"/>
    <x v="1"/>
    <x v="11"/>
    <n v="257"/>
    <n v="581"/>
    <x v="4"/>
    <n v="200"/>
    <n v="130"/>
    <n v="450"/>
    <n v="127"/>
    <n v="581"/>
    <n v="257"/>
    <n v="0.44234079173838209"/>
    <n v="93"/>
    <n v="131"/>
    <n v="45"/>
    <x v="398"/>
    <x v="1"/>
    <n v="245"/>
    <n v="581"/>
  </r>
  <r>
    <n v="720"/>
    <n v="86"/>
    <x v="5"/>
    <x v="0"/>
    <x v="0"/>
    <n v="24"/>
    <x v="1"/>
    <x v="3"/>
    <x v="5"/>
    <n v="131"/>
    <n v="224"/>
    <x v="0"/>
    <n v="80"/>
    <n v="90"/>
    <n v="200"/>
    <n v="36"/>
    <n v="224"/>
    <n v="131"/>
    <n v="0.5848214285714286"/>
    <n v="24"/>
    <n v="24"/>
    <n v="6"/>
    <x v="399"/>
    <x v="1"/>
    <n v="86"/>
    <n v="224"/>
  </r>
  <r>
    <n v="312"/>
    <n v="127"/>
    <x v="5"/>
    <x v="0"/>
    <x v="0"/>
    <n v="40"/>
    <x v="1"/>
    <x v="3"/>
    <x v="5"/>
    <n v="181"/>
    <n v="332"/>
    <x v="16"/>
    <n v="120"/>
    <n v="130"/>
    <n v="300"/>
    <n v="63"/>
    <n v="332"/>
    <n v="181"/>
    <n v="0.54518072289156627"/>
    <n v="40"/>
    <n v="32"/>
    <n v="7"/>
    <x v="400"/>
    <x v="1"/>
    <n v="127"/>
    <n v="332"/>
  </r>
  <r>
    <n v="720"/>
    <n v="67"/>
    <x v="5"/>
    <x v="0"/>
    <x v="0"/>
    <n v="22"/>
    <x v="1"/>
    <x v="2"/>
    <x v="4"/>
    <n v="70"/>
    <n v="179"/>
    <x v="0"/>
    <n v="80"/>
    <n v="80"/>
    <n v="210"/>
    <n v="54"/>
    <n v="179"/>
    <n v="70"/>
    <n v="0.39106145251396646"/>
    <n v="22"/>
    <n v="-31"/>
    <n v="-13"/>
    <x v="215"/>
    <x v="0"/>
    <n v="67"/>
    <n v="179"/>
  </r>
  <r>
    <n v="773"/>
    <n v="250"/>
    <x v="5"/>
    <x v="0"/>
    <x v="0"/>
    <n v="70"/>
    <x v="1"/>
    <x v="2"/>
    <x v="4"/>
    <n v="233"/>
    <n v="534"/>
    <x v="16"/>
    <n v="320"/>
    <n v="240"/>
    <n v="640"/>
    <n v="94"/>
    <n v="534"/>
    <n v="233"/>
    <n v="0.43632958801498128"/>
    <n v="70"/>
    <n v="-106"/>
    <n v="-70"/>
    <x v="401"/>
    <x v="1"/>
    <n v="250"/>
    <n v="534"/>
  </r>
  <r>
    <n v="303"/>
    <n v="123"/>
    <x v="5"/>
    <x v="0"/>
    <x v="0"/>
    <n v="34"/>
    <x v="1"/>
    <x v="3"/>
    <x v="6"/>
    <n v="199"/>
    <n v="322"/>
    <x v="0"/>
    <n v="120"/>
    <n v="130"/>
    <n v="290"/>
    <n v="45"/>
    <n v="322"/>
    <n v="199"/>
    <n v="0.61801242236024845"/>
    <n v="34"/>
    <n v="32"/>
    <n v="3"/>
    <x v="332"/>
    <x v="1"/>
    <n v="123"/>
    <n v="322"/>
  </r>
  <r>
    <n v="312"/>
    <n v="224"/>
    <x v="5"/>
    <x v="0"/>
    <x v="0"/>
    <n v="73"/>
    <x v="1"/>
    <x v="3"/>
    <x v="7"/>
    <n v="288"/>
    <n v="569"/>
    <x v="16"/>
    <n v="220"/>
    <n v="190"/>
    <n v="520"/>
    <n v="116"/>
    <n v="569"/>
    <n v="288"/>
    <n v="0.5061511423550088"/>
    <n v="73"/>
    <n v="49"/>
    <n v="4"/>
    <x v="402"/>
    <x v="1"/>
    <n v="224"/>
    <n v="569"/>
  </r>
  <r>
    <n v="970"/>
    <n v="54"/>
    <x v="5"/>
    <x v="0"/>
    <x v="0"/>
    <n v="15"/>
    <x v="1"/>
    <x v="2"/>
    <x v="8"/>
    <n v="79"/>
    <n v="142"/>
    <x v="0"/>
    <n v="60"/>
    <n v="90"/>
    <n v="170"/>
    <n v="26"/>
    <n v="142"/>
    <n v="79"/>
    <n v="0.55633802816901412"/>
    <n v="15"/>
    <n v="-28"/>
    <n v="-6"/>
    <x v="104"/>
    <x v="0"/>
    <n v="54"/>
    <n v="142"/>
  </r>
  <r>
    <n v="708"/>
    <n v="247"/>
    <x v="5"/>
    <x v="0"/>
    <x v="0"/>
    <n v="81"/>
    <x v="1"/>
    <x v="2"/>
    <x v="8"/>
    <n v="321"/>
    <n v="614"/>
    <x v="16"/>
    <n v="310"/>
    <n v="320"/>
    <n v="730"/>
    <n v="113"/>
    <n v="614"/>
    <n v="321"/>
    <n v="0.5228013029315961"/>
    <n v="81"/>
    <n v="-116"/>
    <n v="-63"/>
    <x v="403"/>
    <x v="1"/>
    <n v="247"/>
    <n v="614"/>
  </r>
  <r>
    <n v="937"/>
    <n v="153"/>
    <x v="5"/>
    <x v="0"/>
    <x v="0"/>
    <n v="42"/>
    <x v="1"/>
    <x v="2"/>
    <x v="8"/>
    <n v="129"/>
    <n v="326"/>
    <x v="18"/>
    <n v="190"/>
    <n v="140"/>
    <n v="390"/>
    <n v="66"/>
    <n v="326"/>
    <n v="129"/>
    <n v="0.39570552147239263"/>
    <n v="42"/>
    <n v="-64"/>
    <n v="-37"/>
    <x v="150"/>
    <x v="1"/>
    <n v="153"/>
    <n v="326"/>
  </r>
  <r>
    <n v="970"/>
    <n v="153"/>
    <x v="5"/>
    <x v="0"/>
    <x v="0"/>
    <n v="42"/>
    <x v="0"/>
    <x v="0"/>
    <x v="10"/>
    <n v="129"/>
    <n v="326"/>
    <x v="0"/>
    <n v="140"/>
    <n v="80"/>
    <n v="280"/>
    <n v="66"/>
    <n v="326"/>
    <n v="129"/>
    <n v="0.39570552147239263"/>
    <n v="42"/>
    <n v="46"/>
    <n v="13"/>
    <x v="150"/>
    <x v="1"/>
    <n v="153"/>
    <n v="326"/>
  </r>
  <r>
    <n v="618"/>
    <n v="123"/>
    <x v="5"/>
    <x v="0"/>
    <x v="0"/>
    <n v="34"/>
    <x v="0"/>
    <x v="0"/>
    <x v="10"/>
    <n v="197"/>
    <n v="322"/>
    <x v="16"/>
    <n v="110"/>
    <n v="130"/>
    <n v="280"/>
    <n v="46"/>
    <n v="322"/>
    <n v="197"/>
    <n v="0.61180124223602483"/>
    <n v="34"/>
    <n v="42"/>
    <n v="13"/>
    <x v="270"/>
    <x v="1"/>
    <n v="123"/>
    <n v="322"/>
  </r>
  <r>
    <n v="312"/>
    <n v="86"/>
    <x v="5"/>
    <x v="0"/>
    <x v="0"/>
    <n v="24"/>
    <x v="0"/>
    <x v="0"/>
    <x v="1"/>
    <n v="131"/>
    <n v="224"/>
    <x v="16"/>
    <n v="80"/>
    <n v="80"/>
    <n v="190"/>
    <n v="36"/>
    <n v="224"/>
    <n v="131"/>
    <n v="0.5848214285714286"/>
    <n v="24"/>
    <n v="34"/>
    <n v="6"/>
    <x v="399"/>
    <x v="1"/>
    <n v="86"/>
    <n v="224"/>
  </r>
  <r>
    <n v="513"/>
    <n v="88"/>
    <x v="5"/>
    <x v="0"/>
    <x v="0"/>
    <n v="29"/>
    <x v="0"/>
    <x v="1"/>
    <x v="2"/>
    <n v="107"/>
    <n v="236"/>
    <x v="18"/>
    <n v="70"/>
    <n v="70"/>
    <n v="180"/>
    <n v="61"/>
    <n v="236"/>
    <n v="107"/>
    <n v="0.45338983050847459"/>
    <n v="29"/>
    <n v="56"/>
    <n v="18"/>
    <x v="282"/>
    <x v="1"/>
    <n v="88"/>
    <n v="236"/>
  </r>
  <r>
    <n v="513"/>
    <n v="134"/>
    <x v="5"/>
    <x v="0"/>
    <x v="0"/>
    <n v="41"/>
    <x v="0"/>
    <x v="1"/>
    <x v="11"/>
    <n v="180"/>
    <n v="341"/>
    <x v="18"/>
    <n v="110"/>
    <n v="90"/>
    <n v="260"/>
    <n v="65"/>
    <n v="341"/>
    <n v="180"/>
    <n v="0.52785923753665687"/>
    <n v="41"/>
    <n v="81"/>
    <n v="24"/>
    <x v="285"/>
    <x v="1"/>
    <n v="134"/>
    <n v="341"/>
  </r>
  <r>
    <n v="719"/>
    <n v="81"/>
    <x v="5"/>
    <x v="0"/>
    <x v="0"/>
    <n v="26"/>
    <x v="0"/>
    <x v="1"/>
    <x v="3"/>
    <n v="98"/>
    <n v="197"/>
    <x v="0"/>
    <n v="60"/>
    <n v="60"/>
    <n v="150"/>
    <n v="38"/>
    <n v="197"/>
    <n v="98"/>
    <n v="0.49746192893401014"/>
    <n v="26"/>
    <n v="47"/>
    <n v="21"/>
    <x v="283"/>
    <x v="0"/>
    <n v="81"/>
    <n v="197"/>
  </r>
  <r>
    <n v="712"/>
    <n v="10"/>
    <x v="5"/>
    <x v="1"/>
    <x v="0"/>
    <n v="3"/>
    <x v="1"/>
    <x v="3"/>
    <x v="5"/>
    <n v="-1"/>
    <n v="26"/>
    <x v="4"/>
    <n v="0"/>
    <n v="10"/>
    <n v="20"/>
    <n v="15"/>
    <n v="26"/>
    <n v="-1"/>
    <n v="-3.8461538461538464E-2"/>
    <n v="3"/>
    <n v="6"/>
    <n v="10"/>
    <x v="128"/>
    <x v="0"/>
    <n v="10"/>
    <n v="26"/>
  </r>
  <r>
    <n v="414"/>
    <n v="83"/>
    <x v="5"/>
    <x v="1"/>
    <x v="0"/>
    <n v="27"/>
    <x v="1"/>
    <x v="3"/>
    <x v="5"/>
    <n v="85"/>
    <n v="208"/>
    <x v="13"/>
    <n v="80"/>
    <n v="70"/>
    <n v="190"/>
    <n v="55"/>
    <n v="208"/>
    <n v="85"/>
    <n v="0.40865384615384615"/>
    <n v="27"/>
    <n v="18"/>
    <n v="3"/>
    <x v="404"/>
    <x v="0"/>
    <n v="83"/>
    <n v="208"/>
  </r>
  <r>
    <n v="573"/>
    <n v="68"/>
    <x v="5"/>
    <x v="1"/>
    <x v="0"/>
    <n v="25"/>
    <x v="1"/>
    <x v="3"/>
    <x v="7"/>
    <n v="39"/>
    <n v="163"/>
    <x v="12"/>
    <n v="60"/>
    <n v="40"/>
    <n v="150"/>
    <n v="59"/>
    <n v="163"/>
    <n v="39"/>
    <n v="0.2392638036809816"/>
    <n v="25"/>
    <n v="13"/>
    <n v="8"/>
    <x v="249"/>
    <x v="0"/>
    <n v="68"/>
    <n v="163"/>
  </r>
  <r>
    <n v="262"/>
    <n v="105"/>
    <x v="5"/>
    <x v="1"/>
    <x v="0"/>
    <n v="95"/>
    <x v="1"/>
    <x v="3"/>
    <x v="7"/>
    <n v="30"/>
    <n v="266"/>
    <x v="13"/>
    <n v="100"/>
    <n v="30"/>
    <n v="240"/>
    <n v="125"/>
    <n v="266"/>
    <n v="30"/>
    <n v="0.11278195488721804"/>
    <n v="95"/>
    <n v="26"/>
    <n v="5"/>
    <x v="287"/>
    <x v="0"/>
    <n v="105"/>
    <n v="266"/>
  </r>
  <r>
    <n v="573"/>
    <n v="50"/>
    <x v="5"/>
    <x v="1"/>
    <x v="0"/>
    <n v="14"/>
    <x v="1"/>
    <x v="2"/>
    <x v="8"/>
    <n v="71"/>
    <n v="131"/>
    <x v="12"/>
    <n v="60"/>
    <n v="70"/>
    <n v="150"/>
    <n v="25"/>
    <n v="131"/>
    <n v="71"/>
    <n v="0.5419847328244275"/>
    <n v="14"/>
    <n v="-19"/>
    <n v="-10"/>
    <x v="80"/>
    <x v="0"/>
    <n v="50"/>
    <n v="131"/>
  </r>
  <r>
    <n v="262"/>
    <n v="80"/>
    <x v="5"/>
    <x v="1"/>
    <x v="0"/>
    <n v="24"/>
    <x v="1"/>
    <x v="2"/>
    <x v="8"/>
    <n v="74"/>
    <n v="188"/>
    <x v="13"/>
    <n v="100"/>
    <n v="80"/>
    <n v="220"/>
    <n v="46"/>
    <n v="188"/>
    <n v="74"/>
    <n v="0.39361702127659576"/>
    <n v="24"/>
    <n v="-32"/>
    <n v="-20"/>
    <x v="101"/>
    <x v="0"/>
    <n v="80"/>
    <n v="188"/>
  </r>
  <r>
    <n v="515"/>
    <n v="247"/>
    <x v="5"/>
    <x v="1"/>
    <x v="0"/>
    <n v="81"/>
    <x v="0"/>
    <x v="0"/>
    <x v="10"/>
    <n v="321"/>
    <n v="614"/>
    <x v="4"/>
    <n v="230"/>
    <n v="200"/>
    <n v="530"/>
    <n v="113"/>
    <n v="614"/>
    <n v="321"/>
    <n v="0.5228013029315961"/>
    <n v="81"/>
    <n v="84"/>
    <n v="17"/>
    <x v="403"/>
    <x v="1"/>
    <n v="247"/>
    <n v="614"/>
  </r>
  <r>
    <n v="515"/>
    <n v="127"/>
    <x v="5"/>
    <x v="1"/>
    <x v="0"/>
    <n v="40"/>
    <x v="0"/>
    <x v="0"/>
    <x v="0"/>
    <n v="183"/>
    <n v="332"/>
    <x v="4"/>
    <n v="120"/>
    <n v="120"/>
    <n v="290"/>
    <n v="62"/>
    <n v="332"/>
    <n v="183"/>
    <n v="0.5512048192771084"/>
    <n v="40"/>
    <n v="42"/>
    <n v="7"/>
    <x v="405"/>
    <x v="1"/>
    <n v="127"/>
    <n v="332"/>
  </r>
  <r>
    <n v="641"/>
    <n v="250"/>
    <x v="5"/>
    <x v="1"/>
    <x v="0"/>
    <n v="70"/>
    <x v="0"/>
    <x v="1"/>
    <x v="2"/>
    <n v="232"/>
    <n v="534"/>
    <x v="4"/>
    <n v="210"/>
    <n v="120"/>
    <n v="410"/>
    <n v="95"/>
    <n v="534"/>
    <n v="232"/>
    <n v="0.43445692883895132"/>
    <n v="70"/>
    <n v="124"/>
    <n v="40"/>
    <x v="406"/>
    <x v="1"/>
    <n v="250"/>
    <n v="534"/>
  </r>
  <r>
    <n v="563"/>
    <n v="294"/>
    <x v="5"/>
    <x v="1"/>
    <x v="0"/>
    <n v="111"/>
    <x v="0"/>
    <x v="1"/>
    <x v="11"/>
    <n v="321"/>
    <n v="697"/>
    <x v="4"/>
    <n v="240"/>
    <n v="170"/>
    <n v="540"/>
    <n v="144"/>
    <n v="697"/>
    <n v="321"/>
    <n v="0.46054519368723101"/>
    <n v="111"/>
    <n v="157"/>
    <n v="54"/>
    <x v="407"/>
    <x v="1"/>
    <n v="294"/>
    <n v="697"/>
  </r>
  <r>
    <n v="816"/>
    <n v="20"/>
    <x v="5"/>
    <x v="1"/>
    <x v="0"/>
    <n v="7"/>
    <x v="0"/>
    <x v="1"/>
    <x v="11"/>
    <n v="-24"/>
    <n v="48"/>
    <x v="12"/>
    <n v="10"/>
    <n v="-10"/>
    <n v="30"/>
    <n v="41"/>
    <n v="48"/>
    <n v="-24"/>
    <n v="-0.5"/>
    <n v="7"/>
    <n v="18"/>
    <n v="10"/>
    <x v="229"/>
    <x v="0"/>
    <n v="20"/>
    <n v="48"/>
  </r>
  <r>
    <n v="951"/>
    <n v="154"/>
    <x v="0"/>
    <x v="0"/>
    <x v="3"/>
    <n v="50"/>
    <x v="1"/>
    <x v="3"/>
    <x v="5"/>
    <n v="-117"/>
    <n v="130"/>
    <x v="3"/>
    <n v="220"/>
    <n v="-100"/>
    <n v="190"/>
    <n v="93"/>
    <n v="130"/>
    <n v="-117"/>
    <n v="-0.9"/>
    <n v="50"/>
    <n v="-60"/>
    <n v="-66"/>
    <x v="408"/>
    <x v="0"/>
    <n v="154"/>
    <n v="130"/>
  </r>
  <r>
    <n v="714"/>
    <n v="257"/>
    <x v="0"/>
    <x v="0"/>
    <x v="3"/>
    <n v="84"/>
    <x v="1"/>
    <x v="2"/>
    <x v="4"/>
    <n v="225"/>
    <n v="598"/>
    <x v="3"/>
    <n v="230"/>
    <n v="240"/>
    <n v="550"/>
    <n v="116"/>
    <n v="598"/>
    <n v="225"/>
    <n v="0.37625418060200672"/>
    <n v="84"/>
    <n v="48"/>
    <n v="27"/>
    <x v="409"/>
    <x v="1"/>
    <n v="257"/>
    <n v="598"/>
  </r>
  <r>
    <n v="818"/>
    <n v="122"/>
    <x v="0"/>
    <x v="0"/>
    <x v="3"/>
    <n v="39"/>
    <x v="1"/>
    <x v="3"/>
    <x v="6"/>
    <n v="-74"/>
    <n v="109"/>
    <x v="3"/>
    <n v="170"/>
    <n v="-60"/>
    <n v="150"/>
    <n v="61"/>
    <n v="109"/>
    <n v="-74"/>
    <n v="-0.67889908256880738"/>
    <n v="39"/>
    <n v="-41"/>
    <n v="-48"/>
    <x v="410"/>
    <x v="0"/>
    <n v="122"/>
    <n v="109"/>
  </r>
  <r>
    <n v="626"/>
    <n v="260"/>
    <x v="0"/>
    <x v="0"/>
    <x v="3"/>
    <n v="91"/>
    <x v="1"/>
    <x v="3"/>
    <x v="7"/>
    <n v="247"/>
    <n v="650"/>
    <x v="3"/>
    <n v="380"/>
    <n v="470"/>
    <n v="960"/>
    <n v="143"/>
    <n v="650"/>
    <n v="247"/>
    <n v="0.38"/>
    <n v="91"/>
    <n v="-310"/>
    <n v="-120"/>
    <x v="21"/>
    <x v="1"/>
    <n v="260"/>
    <n v="650"/>
  </r>
  <r>
    <n v="562"/>
    <n v="239"/>
    <x v="0"/>
    <x v="0"/>
    <x v="3"/>
    <n v="66"/>
    <x v="1"/>
    <x v="2"/>
    <x v="9"/>
    <n v="149"/>
    <n v="478"/>
    <x v="3"/>
    <n v="210"/>
    <n v="160"/>
    <n v="430"/>
    <n v="90"/>
    <n v="478"/>
    <n v="149"/>
    <n v="0.31171548117154813"/>
    <n v="66"/>
    <n v="48"/>
    <n v="29"/>
    <x v="355"/>
    <x v="1"/>
    <n v="239"/>
    <n v="478"/>
  </r>
  <r>
    <n v="562"/>
    <n v="125"/>
    <x v="0"/>
    <x v="0"/>
    <x v="3"/>
    <n v="113"/>
    <x v="1"/>
    <x v="2"/>
    <x v="8"/>
    <n v="27"/>
    <n v="298"/>
    <x v="3"/>
    <n v="110"/>
    <n v="50"/>
    <n v="270"/>
    <n v="146"/>
    <n v="298"/>
    <n v="27"/>
    <n v="9.0604026845637578E-2"/>
    <n v="113"/>
    <n v="28"/>
    <n v="15"/>
    <x v="411"/>
    <x v="0"/>
    <n v="125"/>
    <n v="298"/>
  </r>
  <r>
    <n v="661"/>
    <n v="108"/>
    <x v="0"/>
    <x v="0"/>
    <x v="3"/>
    <n v="30"/>
    <x v="0"/>
    <x v="0"/>
    <x v="10"/>
    <n v="115"/>
    <n v="265"/>
    <x v="3"/>
    <n v="80"/>
    <n v="120"/>
    <n v="210"/>
    <n v="42"/>
    <n v="265"/>
    <n v="115"/>
    <n v="0.43396226415094341"/>
    <n v="30"/>
    <n v="55"/>
    <n v="28"/>
    <x v="157"/>
    <x v="1"/>
    <n v="108"/>
    <n v="265"/>
  </r>
  <r>
    <n v="562"/>
    <n v="239"/>
    <x v="0"/>
    <x v="0"/>
    <x v="3"/>
    <n v="74"/>
    <x v="0"/>
    <x v="0"/>
    <x v="0"/>
    <n v="186"/>
    <n v="520"/>
    <x v="3"/>
    <n v="190"/>
    <n v="170"/>
    <n v="410"/>
    <n v="95"/>
    <n v="520"/>
    <n v="186"/>
    <n v="0.3576923076923077"/>
    <n v="74"/>
    <n v="110"/>
    <n v="49"/>
    <x v="412"/>
    <x v="1"/>
    <n v="239"/>
    <n v="520"/>
  </r>
  <r>
    <n v="562"/>
    <n v="123"/>
    <x v="0"/>
    <x v="0"/>
    <x v="3"/>
    <n v="34"/>
    <x v="0"/>
    <x v="1"/>
    <x v="2"/>
    <n v="134"/>
    <n v="302"/>
    <x v="3"/>
    <n v="50"/>
    <n v="80"/>
    <n v="140"/>
    <n v="45"/>
    <n v="302"/>
    <n v="134"/>
    <n v="0.44370860927152317"/>
    <n v="34"/>
    <n v="162"/>
    <n v="73"/>
    <x v="301"/>
    <x v="1"/>
    <n v="123"/>
    <n v="302"/>
  </r>
  <r>
    <n v="971"/>
    <n v="43"/>
    <x v="0"/>
    <x v="1"/>
    <x v="3"/>
    <n v="13"/>
    <x v="1"/>
    <x v="3"/>
    <x v="5"/>
    <n v="29"/>
    <n v="107"/>
    <x v="11"/>
    <n v="50"/>
    <n v="80"/>
    <n v="150"/>
    <n v="35"/>
    <n v="107"/>
    <n v="29"/>
    <n v="0.27102803738317754"/>
    <n v="13"/>
    <n v="-43"/>
    <n v="-7"/>
    <x v="413"/>
    <x v="0"/>
    <n v="43"/>
    <n v="107"/>
  </r>
  <r>
    <n v="435"/>
    <n v="79"/>
    <x v="0"/>
    <x v="1"/>
    <x v="3"/>
    <n v="30"/>
    <x v="1"/>
    <x v="3"/>
    <x v="5"/>
    <n v="34"/>
    <n v="177"/>
    <x v="8"/>
    <n v="100"/>
    <n v="120"/>
    <n v="260"/>
    <n v="64"/>
    <n v="177"/>
    <n v="34"/>
    <n v="0.19209039548022599"/>
    <n v="30"/>
    <n v="-83"/>
    <n v="-21"/>
    <x v="119"/>
    <x v="0"/>
    <n v="79"/>
    <n v="177"/>
  </r>
  <r>
    <n v="425"/>
    <n v="96"/>
    <x v="0"/>
    <x v="1"/>
    <x v="3"/>
    <n v="87"/>
    <x v="1"/>
    <x v="3"/>
    <x v="5"/>
    <n v="17"/>
    <n v="230"/>
    <x v="14"/>
    <n v="140"/>
    <n v="100"/>
    <n v="330"/>
    <n v="117"/>
    <n v="230"/>
    <n v="17"/>
    <n v="7.3913043478260873E-2"/>
    <n v="87"/>
    <n v="-100"/>
    <n v="-44"/>
    <x v="253"/>
    <x v="0"/>
    <n v="96"/>
    <n v="230"/>
  </r>
  <r>
    <n v="503"/>
    <n v="161"/>
    <x v="0"/>
    <x v="1"/>
    <x v="3"/>
    <n v="45"/>
    <x v="1"/>
    <x v="2"/>
    <x v="4"/>
    <n v="91"/>
    <n v="322"/>
    <x v="11"/>
    <n v="140"/>
    <n v="110"/>
    <n v="290"/>
    <n v="70"/>
    <n v="322"/>
    <n v="91"/>
    <n v="0.28260869565217389"/>
    <n v="45"/>
    <n v="32"/>
    <n v="21"/>
    <x v="414"/>
    <x v="0"/>
    <n v="161"/>
    <n v="322"/>
  </r>
  <r>
    <n v="253"/>
    <n v="80"/>
    <x v="0"/>
    <x v="1"/>
    <x v="3"/>
    <n v="24"/>
    <x v="1"/>
    <x v="2"/>
    <x v="4"/>
    <n v="48"/>
    <n v="174"/>
    <x v="14"/>
    <n v="60"/>
    <n v="80"/>
    <n v="150"/>
    <n v="46"/>
    <n v="174"/>
    <n v="48"/>
    <n v="0.27586206896551724"/>
    <n v="24"/>
    <n v="24"/>
    <n v="20"/>
    <x v="22"/>
    <x v="0"/>
    <n v="80"/>
    <n v="174"/>
  </r>
  <r>
    <n v="971"/>
    <n v="51"/>
    <x v="0"/>
    <x v="1"/>
    <x v="3"/>
    <n v="46"/>
    <x v="1"/>
    <x v="3"/>
    <x v="6"/>
    <n v="-5"/>
    <n v="122"/>
    <x v="11"/>
    <n v="70"/>
    <n v="50"/>
    <n v="170"/>
    <n v="76"/>
    <n v="122"/>
    <n v="-5"/>
    <n v="-4.0983606557377046E-2"/>
    <n v="46"/>
    <n v="-48"/>
    <n v="-19"/>
    <x v="0"/>
    <x v="0"/>
    <n v="51"/>
    <n v="122"/>
  </r>
  <r>
    <n v="435"/>
    <n v="65"/>
    <x v="0"/>
    <x v="1"/>
    <x v="3"/>
    <n v="20"/>
    <x v="1"/>
    <x v="3"/>
    <x v="6"/>
    <n v="36"/>
    <n v="142"/>
    <x v="8"/>
    <n v="90"/>
    <n v="90"/>
    <n v="200"/>
    <n v="41"/>
    <n v="142"/>
    <n v="36"/>
    <n v="0.25352112676056338"/>
    <n v="20"/>
    <n v="-58"/>
    <n v="-25"/>
    <x v="263"/>
    <x v="0"/>
    <n v="65"/>
    <n v="142"/>
  </r>
  <r>
    <n v="971"/>
    <n v="60"/>
    <x v="0"/>
    <x v="1"/>
    <x v="3"/>
    <n v="19"/>
    <x v="1"/>
    <x v="3"/>
    <x v="7"/>
    <n v="21"/>
    <n v="144"/>
    <x v="11"/>
    <n v="80"/>
    <n v="90"/>
    <n v="210"/>
    <n v="63"/>
    <n v="144"/>
    <n v="21"/>
    <n v="0.14583333333333334"/>
    <n v="19"/>
    <n v="-66"/>
    <n v="-20"/>
    <x v="415"/>
    <x v="0"/>
    <n v="60"/>
    <n v="144"/>
  </r>
  <r>
    <n v="435"/>
    <n v="47"/>
    <x v="0"/>
    <x v="1"/>
    <x v="3"/>
    <n v="15"/>
    <x v="1"/>
    <x v="3"/>
    <x v="7"/>
    <n v="22"/>
    <n v="111"/>
    <x v="8"/>
    <n v="50"/>
    <n v="80"/>
    <n v="150"/>
    <n v="42"/>
    <n v="111"/>
    <n v="22"/>
    <n v="0.1981981981981982"/>
    <n v="15"/>
    <n v="-39"/>
    <n v="-3"/>
    <x v="416"/>
    <x v="0"/>
    <n v="47"/>
    <n v="111"/>
  </r>
  <r>
    <n v="206"/>
    <n v="68"/>
    <x v="0"/>
    <x v="1"/>
    <x v="3"/>
    <n v="21"/>
    <x v="1"/>
    <x v="3"/>
    <x v="7"/>
    <n v="56"/>
    <n v="167"/>
    <x v="14"/>
    <n v="90"/>
    <n v="110"/>
    <n v="230"/>
    <n v="43"/>
    <n v="167"/>
    <n v="56"/>
    <n v="0.33532934131736525"/>
    <n v="21"/>
    <n v="-63"/>
    <n v="-22"/>
    <x v="126"/>
    <x v="0"/>
    <n v="68"/>
    <n v="167"/>
  </r>
  <r>
    <n v="206"/>
    <n v="22"/>
    <x v="0"/>
    <x v="1"/>
    <x v="3"/>
    <n v="7"/>
    <x v="1"/>
    <x v="2"/>
    <x v="9"/>
    <n v="10"/>
    <n v="51"/>
    <x v="14"/>
    <n v="10"/>
    <n v="20"/>
    <n v="30"/>
    <n v="19"/>
    <n v="51"/>
    <n v="10"/>
    <n v="0.19607843137254902"/>
    <n v="7"/>
    <n v="21"/>
    <n v="12"/>
    <x v="34"/>
    <x v="0"/>
    <n v="22"/>
    <n v="51"/>
  </r>
  <r>
    <n v="702"/>
    <n v="21"/>
    <x v="0"/>
    <x v="1"/>
    <x v="3"/>
    <n v="5"/>
    <x v="1"/>
    <x v="2"/>
    <x v="8"/>
    <n v="14"/>
    <n v="52"/>
    <x v="7"/>
    <n v="10"/>
    <n v="20"/>
    <n v="30"/>
    <n v="17"/>
    <n v="52"/>
    <n v="14"/>
    <n v="0.26923076923076922"/>
    <n v="5"/>
    <n v="22"/>
    <n v="11"/>
    <x v="107"/>
    <x v="0"/>
    <n v="21"/>
    <n v="52"/>
  </r>
  <r>
    <n v="801"/>
    <n v="103"/>
    <x v="0"/>
    <x v="1"/>
    <x v="3"/>
    <n v="33"/>
    <x v="1"/>
    <x v="2"/>
    <x v="8"/>
    <n v="87"/>
    <n v="236"/>
    <x v="8"/>
    <n v="80"/>
    <n v="110"/>
    <n v="210"/>
    <n v="46"/>
    <n v="236"/>
    <n v="87"/>
    <n v="0.36864406779661019"/>
    <n v="33"/>
    <n v="26"/>
    <n v="23"/>
    <x v="252"/>
    <x v="0"/>
    <n v="103"/>
    <n v="236"/>
  </r>
  <r>
    <n v="775"/>
    <n v="125"/>
    <x v="0"/>
    <x v="1"/>
    <x v="3"/>
    <n v="113"/>
    <x v="0"/>
    <x v="0"/>
    <x v="10"/>
    <n v="26"/>
    <n v="298"/>
    <x v="7"/>
    <n v="90"/>
    <n v="60"/>
    <n v="240"/>
    <n v="147"/>
    <n v="298"/>
    <n v="26"/>
    <n v="8.7248322147651006E-2"/>
    <n v="113"/>
    <n v="58"/>
    <n v="35"/>
    <x v="417"/>
    <x v="0"/>
    <n v="125"/>
    <n v="298"/>
  </r>
  <r>
    <n v="206"/>
    <n v="125"/>
    <x v="0"/>
    <x v="1"/>
    <x v="3"/>
    <n v="41"/>
    <x v="0"/>
    <x v="0"/>
    <x v="10"/>
    <n v="115"/>
    <n v="313"/>
    <x v="14"/>
    <n v="90"/>
    <n v="130"/>
    <n v="250"/>
    <n v="73"/>
    <n v="313"/>
    <n v="115"/>
    <n v="0.36741214057507987"/>
    <n v="41"/>
    <n v="63"/>
    <n v="35"/>
    <x v="288"/>
    <x v="1"/>
    <n v="125"/>
    <n v="313"/>
  </r>
  <r>
    <n v="702"/>
    <n v="154"/>
    <x v="0"/>
    <x v="1"/>
    <x v="3"/>
    <n v="50"/>
    <x v="0"/>
    <x v="0"/>
    <x v="0"/>
    <n v="120"/>
    <n v="367"/>
    <x v="7"/>
    <n v="120"/>
    <n v="120"/>
    <n v="290"/>
    <n v="93"/>
    <n v="367"/>
    <n v="120"/>
    <n v="0.32697547683923706"/>
    <n v="50"/>
    <n v="77"/>
    <n v="34"/>
    <x v="356"/>
    <x v="1"/>
    <n v="154"/>
    <n v="367"/>
  </r>
  <r>
    <n v="971"/>
    <n v="90"/>
    <x v="0"/>
    <x v="1"/>
    <x v="3"/>
    <n v="29"/>
    <x v="0"/>
    <x v="0"/>
    <x v="0"/>
    <n v="73"/>
    <n v="205"/>
    <x v="11"/>
    <n v="60"/>
    <n v="90"/>
    <n v="160"/>
    <n v="42"/>
    <n v="205"/>
    <n v="73"/>
    <n v="0.35609756097560974"/>
    <n v="29"/>
    <n v="45"/>
    <n v="30"/>
    <x v="313"/>
    <x v="0"/>
    <n v="90"/>
    <n v="205"/>
  </r>
  <r>
    <n v="702"/>
    <n v="122"/>
    <x v="0"/>
    <x v="1"/>
    <x v="3"/>
    <n v="39"/>
    <x v="0"/>
    <x v="0"/>
    <x v="1"/>
    <n v="114"/>
    <n v="298"/>
    <x v="7"/>
    <n v="90"/>
    <n v="130"/>
    <n v="240"/>
    <n v="62"/>
    <n v="298"/>
    <n v="114"/>
    <n v="0.3825503355704698"/>
    <n v="39"/>
    <n v="58"/>
    <n v="32"/>
    <x v="359"/>
    <x v="1"/>
    <n v="122"/>
    <n v="298"/>
  </r>
  <r>
    <n v="435"/>
    <n v="86"/>
    <x v="0"/>
    <x v="1"/>
    <x v="3"/>
    <n v="26"/>
    <x v="0"/>
    <x v="0"/>
    <x v="1"/>
    <n v="-27"/>
    <n v="109"/>
    <x v="8"/>
    <n v="60"/>
    <n v="0"/>
    <n v="80"/>
    <n v="50"/>
    <n v="109"/>
    <n v="-27"/>
    <n v="-0.24770642201834864"/>
    <n v="26"/>
    <n v="29"/>
    <n v="26"/>
    <x v="418"/>
    <x v="0"/>
    <n v="86"/>
    <n v="109"/>
  </r>
  <r>
    <n v="702"/>
    <n v="257"/>
    <x v="0"/>
    <x v="1"/>
    <x v="3"/>
    <n v="84"/>
    <x v="0"/>
    <x v="1"/>
    <x v="2"/>
    <n v="224"/>
    <n v="598"/>
    <x v="7"/>
    <n v="110"/>
    <n v="130"/>
    <n v="290"/>
    <n v="117"/>
    <n v="598"/>
    <n v="224"/>
    <n v="0.37458193979933108"/>
    <n v="84"/>
    <n v="308"/>
    <n v="147"/>
    <x v="126"/>
    <x v="1"/>
    <n v="257"/>
    <n v="598"/>
  </r>
  <r>
    <n v="541"/>
    <n v="21"/>
    <x v="0"/>
    <x v="1"/>
    <x v="3"/>
    <n v="5"/>
    <x v="0"/>
    <x v="1"/>
    <x v="2"/>
    <n v="16"/>
    <n v="53"/>
    <x v="11"/>
    <n v="0"/>
    <n v="20"/>
    <n v="20"/>
    <n v="16"/>
    <n v="53"/>
    <n v="16"/>
    <n v="0.30188679245283018"/>
    <n v="5"/>
    <n v="33"/>
    <n v="21"/>
    <x v="220"/>
    <x v="0"/>
    <n v="21"/>
    <n v="53"/>
  </r>
  <r>
    <n v="775"/>
    <n v="239"/>
    <x v="0"/>
    <x v="1"/>
    <x v="3"/>
    <n v="66"/>
    <x v="0"/>
    <x v="1"/>
    <x v="11"/>
    <n v="149"/>
    <n v="478"/>
    <x v="7"/>
    <n v="110"/>
    <n v="80"/>
    <n v="230"/>
    <n v="90"/>
    <n v="478"/>
    <n v="149"/>
    <n v="0.31171548117154813"/>
    <n v="66"/>
    <n v="248"/>
    <n v="129"/>
    <x v="355"/>
    <x v="1"/>
    <n v="239"/>
    <n v="478"/>
  </r>
  <r>
    <n v="702"/>
    <n v="255"/>
    <x v="0"/>
    <x v="1"/>
    <x v="3"/>
    <n v="96"/>
    <x v="0"/>
    <x v="1"/>
    <x v="3"/>
    <n v="-363"/>
    <n v="21"/>
    <x v="7"/>
    <n v="110"/>
    <n v="-170"/>
    <n v="0"/>
    <n v="129"/>
    <n v="21"/>
    <n v="-363"/>
    <n v="-17.285714285714285"/>
    <n v="96"/>
    <n v="21"/>
    <n v="145"/>
    <x v="419"/>
    <x v="0"/>
    <n v="255"/>
    <n v="21"/>
  </r>
  <r>
    <n v="435"/>
    <n v="25"/>
    <x v="0"/>
    <x v="1"/>
    <x v="3"/>
    <n v="9"/>
    <x v="0"/>
    <x v="1"/>
    <x v="3"/>
    <n v="-12"/>
    <n v="56"/>
    <x v="8"/>
    <n v="0"/>
    <n v="10"/>
    <n v="20"/>
    <n v="43"/>
    <n v="56"/>
    <n v="-12"/>
    <n v="-0.21428571428571427"/>
    <n v="9"/>
    <n v="36"/>
    <n v="25"/>
    <x v="222"/>
    <x v="0"/>
    <n v="25"/>
    <n v="56"/>
  </r>
  <r>
    <n v="909"/>
    <n v="173"/>
    <x v="1"/>
    <x v="0"/>
    <x v="3"/>
    <n v="57"/>
    <x v="1"/>
    <x v="3"/>
    <x v="5"/>
    <n v="-127"/>
    <n v="146"/>
    <x v="3"/>
    <n v="200"/>
    <n v="-130"/>
    <n v="170"/>
    <n v="100"/>
    <n v="146"/>
    <n v="-127"/>
    <n v="-0.86986301369863017"/>
    <n v="57"/>
    <n v="-24"/>
    <n v="-27"/>
    <x v="420"/>
    <x v="0"/>
    <n v="173"/>
    <n v="146"/>
  </r>
  <r>
    <n v="707"/>
    <n v="228"/>
    <x v="1"/>
    <x v="0"/>
    <x v="3"/>
    <n v="75"/>
    <x v="1"/>
    <x v="2"/>
    <x v="4"/>
    <n v="197"/>
    <n v="532"/>
    <x v="3"/>
    <n v="220"/>
    <n v="190"/>
    <n v="510"/>
    <n v="107"/>
    <n v="532"/>
    <n v="197"/>
    <n v="0.37030075187969924"/>
    <n v="75"/>
    <n v="22"/>
    <n v="8"/>
    <x v="421"/>
    <x v="1"/>
    <n v="228"/>
    <n v="532"/>
  </r>
  <r>
    <n v="619"/>
    <n v="113"/>
    <x v="1"/>
    <x v="0"/>
    <x v="3"/>
    <n v="36"/>
    <x v="1"/>
    <x v="3"/>
    <x v="6"/>
    <n v="-56"/>
    <n v="116"/>
    <x v="3"/>
    <n v="130"/>
    <n v="-50"/>
    <n v="130"/>
    <n v="59"/>
    <n v="116"/>
    <n v="-56"/>
    <n v="-0.48275862068965519"/>
    <n v="36"/>
    <n v="-14"/>
    <n v="-17"/>
    <x v="422"/>
    <x v="0"/>
    <n v="113"/>
    <n v="116"/>
  </r>
  <r>
    <n v="951"/>
    <n v="249"/>
    <x v="1"/>
    <x v="0"/>
    <x v="3"/>
    <n v="87"/>
    <x v="1"/>
    <x v="3"/>
    <x v="7"/>
    <n v="235"/>
    <n v="623"/>
    <x v="3"/>
    <n v="290"/>
    <n v="310"/>
    <n v="740"/>
    <n v="139"/>
    <n v="623"/>
    <n v="235"/>
    <n v="0.37720706260032105"/>
    <n v="87"/>
    <n v="-117"/>
    <n v="-41"/>
    <x v="423"/>
    <x v="1"/>
    <n v="249"/>
    <n v="623"/>
  </r>
  <r>
    <n v="559"/>
    <n v="211"/>
    <x v="1"/>
    <x v="0"/>
    <x v="3"/>
    <n v="59"/>
    <x v="1"/>
    <x v="2"/>
    <x v="9"/>
    <n v="129"/>
    <n v="423"/>
    <x v="3"/>
    <n v="200"/>
    <n v="140"/>
    <n v="410"/>
    <n v="83"/>
    <n v="423"/>
    <n v="129"/>
    <n v="0.30496453900709219"/>
    <n v="59"/>
    <n v="13"/>
    <n v="11"/>
    <x v="364"/>
    <x v="1"/>
    <n v="211"/>
    <n v="423"/>
  </r>
  <r>
    <n v="818"/>
    <n v="121"/>
    <x v="1"/>
    <x v="0"/>
    <x v="3"/>
    <n v="109"/>
    <x v="1"/>
    <x v="2"/>
    <x v="8"/>
    <n v="26"/>
    <n v="289"/>
    <x v="3"/>
    <n v="110"/>
    <n v="40"/>
    <n v="280"/>
    <n v="142"/>
    <n v="289"/>
    <n v="26"/>
    <n v="8.9965397923875437E-2"/>
    <n v="109"/>
    <n v="9"/>
    <n v="11"/>
    <x v="424"/>
    <x v="0"/>
    <n v="121"/>
    <n v="289"/>
  </r>
  <r>
    <n v="213"/>
    <n v="81"/>
    <x v="1"/>
    <x v="0"/>
    <x v="3"/>
    <n v="22"/>
    <x v="0"/>
    <x v="0"/>
    <x v="10"/>
    <n v="84"/>
    <n v="198"/>
    <x v="3"/>
    <n v="70"/>
    <n v="80"/>
    <n v="180"/>
    <n v="33"/>
    <n v="198"/>
    <n v="84"/>
    <n v="0.42424242424242425"/>
    <n v="22"/>
    <n v="18"/>
    <n v="11"/>
    <x v="279"/>
    <x v="0"/>
    <n v="81"/>
    <n v="198"/>
  </r>
  <r>
    <n v="213"/>
    <n v="225"/>
    <x v="1"/>
    <x v="0"/>
    <x v="3"/>
    <n v="69"/>
    <x v="0"/>
    <x v="0"/>
    <x v="0"/>
    <n v="174"/>
    <n v="490"/>
    <x v="3"/>
    <n v="210"/>
    <n v="160"/>
    <n v="450"/>
    <n v="91"/>
    <n v="490"/>
    <n v="174"/>
    <n v="0.35510204081632651"/>
    <n v="69"/>
    <n v="40"/>
    <n v="15"/>
    <x v="254"/>
    <x v="1"/>
    <n v="225"/>
    <n v="490"/>
  </r>
  <r>
    <n v="213"/>
    <n v="118"/>
    <x v="1"/>
    <x v="0"/>
    <x v="3"/>
    <n v="33"/>
    <x v="0"/>
    <x v="1"/>
    <x v="2"/>
    <n v="128"/>
    <n v="290"/>
    <x v="3"/>
    <n v="80"/>
    <n v="110"/>
    <n v="210"/>
    <n v="44"/>
    <n v="290"/>
    <n v="128"/>
    <n v="0.44137931034482758"/>
    <n v="33"/>
    <n v="80"/>
    <n v="38"/>
    <x v="365"/>
    <x v="1"/>
    <n v="118"/>
    <n v="290"/>
  </r>
  <r>
    <n v="801"/>
    <n v="82"/>
    <x v="1"/>
    <x v="1"/>
    <x v="3"/>
    <n v="31"/>
    <x v="1"/>
    <x v="3"/>
    <x v="5"/>
    <n v="38"/>
    <n v="184"/>
    <x v="8"/>
    <n v="90"/>
    <n v="60"/>
    <n v="210"/>
    <n v="64"/>
    <n v="184"/>
    <n v="38"/>
    <n v="0.20652173913043478"/>
    <n v="31"/>
    <n v="-26"/>
    <n v="-8"/>
    <x v="197"/>
    <x v="0"/>
    <n v="82"/>
    <n v="184"/>
  </r>
  <r>
    <n v="253"/>
    <n v="94"/>
    <x v="1"/>
    <x v="1"/>
    <x v="3"/>
    <n v="85"/>
    <x v="1"/>
    <x v="3"/>
    <x v="5"/>
    <n v="16"/>
    <n v="224"/>
    <x v="14"/>
    <n v="110"/>
    <n v="40"/>
    <n v="260"/>
    <n v="114"/>
    <n v="224"/>
    <n v="16"/>
    <n v="7.1428571428571425E-2"/>
    <n v="85"/>
    <n v="-36"/>
    <n v="-16"/>
    <x v="370"/>
    <x v="0"/>
    <n v="94"/>
    <n v="224"/>
  </r>
  <r>
    <n v="503"/>
    <n v="181"/>
    <x v="1"/>
    <x v="1"/>
    <x v="3"/>
    <n v="50"/>
    <x v="1"/>
    <x v="2"/>
    <x v="4"/>
    <n v="108"/>
    <n v="363"/>
    <x v="11"/>
    <n v="170"/>
    <n v="120"/>
    <n v="350"/>
    <n v="74"/>
    <n v="363"/>
    <n v="108"/>
    <n v="0.2975206611570248"/>
    <n v="50"/>
    <n v="13"/>
    <n v="11"/>
    <x v="307"/>
    <x v="1"/>
    <n v="181"/>
    <n v="363"/>
  </r>
  <r>
    <n v="801"/>
    <n v="69"/>
    <x v="1"/>
    <x v="1"/>
    <x v="3"/>
    <n v="21"/>
    <x v="1"/>
    <x v="3"/>
    <x v="6"/>
    <n v="39"/>
    <n v="150"/>
    <x v="8"/>
    <n v="80"/>
    <n v="50"/>
    <n v="170"/>
    <n v="42"/>
    <n v="150"/>
    <n v="39"/>
    <n v="0.26"/>
    <n v="21"/>
    <n v="-20"/>
    <n v="-11"/>
    <x v="171"/>
    <x v="0"/>
    <n v="69"/>
    <n v="150"/>
  </r>
  <r>
    <n v="971"/>
    <n v="53"/>
    <x v="1"/>
    <x v="1"/>
    <x v="3"/>
    <n v="17"/>
    <x v="1"/>
    <x v="3"/>
    <x v="7"/>
    <n v="14"/>
    <n v="128"/>
    <x v="11"/>
    <n v="60"/>
    <n v="40"/>
    <n v="150"/>
    <n v="61"/>
    <n v="128"/>
    <n v="14"/>
    <n v="0.109375"/>
    <n v="17"/>
    <n v="-22"/>
    <n v="-7"/>
    <x v="425"/>
    <x v="0"/>
    <n v="53"/>
    <n v="128"/>
  </r>
  <r>
    <n v="425"/>
    <n v="63"/>
    <x v="1"/>
    <x v="1"/>
    <x v="3"/>
    <n v="20"/>
    <x v="1"/>
    <x v="3"/>
    <x v="7"/>
    <n v="50"/>
    <n v="156"/>
    <x v="14"/>
    <n v="70"/>
    <n v="70"/>
    <n v="180"/>
    <n v="43"/>
    <n v="156"/>
    <n v="50"/>
    <n v="0.32051282051282054"/>
    <n v="20"/>
    <n v="-24"/>
    <n v="-7"/>
    <x v="55"/>
    <x v="0"/>
    <n v="63"/>
    <n v="156"/>
  </r>
  <r>
    <n v="775"/>
    <n v="15"/>
    <x v="1"/>
    <x v="1"/>
    <x v="3"/>
    <n v="4"/>
    <x v="1"/>
    <x v="2"/>
    <x v="8"/>
    <n v="9"/>
    <n v="39"/>
    <x v="7"/>
    <n v="10"/>
    <n v="10"/>
    <n v="30"/>
    <n v="15"/>
    <n v="39"/>
    <n v="9"/>
    <n v="0.23076923076923078"/>
    <n v="4"/>
    <n v="9"/>
    <n v="5"/>
    <x v="115"/>
    <x v="0"/>
    <n v="15"/>
    <n v="39"/>
  </r>
  <r>
    <n v="435"/>
    <n v="101"/>
    <x v="1"/>
    <x v="1"/>
    <x v="3"/>
    <n v="33"/>
    <x v="1"/>
    <x v="2"/>
    <x v="8"/>
    <n v="85"/>
    <n v="231"/>
    <x v="8"/>
    <n v="90"/>
    <n v="90"/>
    <n v="220"/>
    <n v="45"/>
    <n v="231"/>
    <n v="85"/>
    <n v="0.36796536796536794"/>
    <n v="33"/>
    <n v="11"/>
    <n v="11"/>
    <x v="259"/>
    <x v="0"/>
    <n v="101"/>
    <n v="231"/>
  </r>
  <r>
    <n v="775"/>
    <n v="121"/>
    <x v="1"/>
    <x v="1"/>
    <x v="3"/>
    <n v="109"/>
    <x v="0"/>
    <x v="0"/>
    <x v="10"/>
    <n v="26"/>
    <n v="289"/>
    <x v="7"/>
    <n v="110"/>
    <n v="20"/>
    <n v="260"/>
    <n v="142"/>
    <n v="289"/>
    <n v="26"/>
    <n v="8.9965397923875437E-2"/>
    <n v="109"/>
    <n v="29"/>
    <n v="11"/>
    <x v="424"/>
    <x v="0"/>
    <n v="121"/>
    <n v="289"/>
  </r>
  <r>
    <n v="206"/>
    <n v="130"/>
    <x v="1"/>
    <x v="1"/>
    <x v="3"/>
    <n v="42"/>
    <x v="0"/>
    <x v="0"/>
    <x v="10"/>
    <n v="122"/>
    <n v="325"/>
    <x v="14"/>
    <n v="120"/>
    <n v="120"/>
    <n v="300"/>
    <n v="73"/>
    <n v="325"/>
    <n v="122"/>
    <n v="0.37538461538461537"/>
    <n v="42"/>
    <n v="25"/>
    <n v="10"/>
    <x v="289"/>
    <x v="1"/>
    <n v="130"/>
    <n v="325"/>
  </r>
  <r>
    <n v="702"/>
    <n v="173"/>
    <x v="1"/>
    <x v="1"/>
    <x v="3"/>
    <n v="57"/>
    <x v="0"/>
    <x v="0"/>
    <x v="0"/>
    <n v="138"/>
    <n v="412"/>
    <x v="7"/>
    <n v="160"/>
    <n v="130"/>
    <n v="380"/>
    <n v="101"/>
    <n v="412"/>
    <n v="138"/>
    <n v="0.33495145631067963"/>
    <n v="57"/>
    <n v="32"/>
    <n v="13"/>
    <x v="426"/>
    <x v="1"/>
    <n v="173"/>
    <n v="412"/>
  </r>
  <r>
    <n v="971"/>
    <n v="88"/>
    <x v="1"/>
    <x v="1"/>
    <x v="3"/>
    <n v="29"/>
    <x v="0"/>
    <x v="0"/>
    <x v="0"/>
    <n v="70"/>
    <n v="200"/>
    <x v="11"/>
    <n v="80"/>
    <n v="70"/>
    <n v="180"/>
    <n v="42"/>
    <n v="200"/>
    <n v="70"/>
    <n v="0.35"/>
    <n v="29"/>
    <n v="20"/>
    <n v="8"/>
    <x v="369"/>
    <x v="0"/>
    <n v="88"/>
    <n v="200"/>
  </r>
  <r>
    <n v="702"/>
    <n v="113"/>
    <x v="1"/>
    <x v="1"/>
    <x v="3"/>
    <n v="36"/>
    <x v="0"/>
    <x v="0"/>
    <x v="1"/>
    <n v="107"/>
    <n v="278"/>
    <x v="7"/>
    <n v="100"/>
    <n v="100"/>
    <n v="250"/>
    <n v="58"/>
    <n v="278"/>
    <n v="107"/>
    <n v="0.38489208633093525"/>
    <n v="36"/>
    <n v="28"/>
    <n v="13"/>
    <x v="371"/>
    <x v="1"/>
    <n v="113"/>
    <n v="278"/>
  </r>
  <r>
    <n v="702"/>
    <n v="228"/>
    <x v="1"/>
    <x v="1"/>
    <x v="3"/>
    <n v="75"/>
    <x v="0"/>
    <x v="1"/>
    <x v="2"/>
    <n v="196"/>
    <n v="532"/>
    <x v="7"/>
    <n v="160"/>
    <n v="140"/>
    <n v="380"/>
    <n v="108"/>
    <n v="532"/>
    <n v="196"/>
    <n v="0.36842105263157893"/>
    <n v="75"/>
    <n v="152"/>
    <n v="68"/>
    <x v="367"/>
    <x v="1"/>
    <n v="228"/>
    <n v="532"/>
  </r>
  <r>
    <n v="702"/>
    <n v="211"/>
    <x v="1"/>
    <x v="1"/>
    <x v="3"/>
    <n v="59"/>
    <x v="0"/>
    <x v="1"/>
    <x v="11"/>
    <n v="128"/>
    <n v="423"/>
    <x v="7"/>
    <n v="150"/>
    <n v="80"/>
    <n v="300"/>
    <n v="84"/>
    <n v="423"/>
    <n v="128"/>
    <n v="0.30260047281323876"/>
    <n v="59"/>
    <n v="123"/>
    <n v="61"/>
    <x v="427"/>
    <x v="1"/>
    <n v="211"/>
    <n v="423"/>
  </r>
  <r>
    <n v="971"/>
    <n v="78"/>
    <x v="1"/>
    <x v="1"/>
    <x v="3"/>
    <n v="25"/>
    <x v="0"/>
    <x v="1"/>
    <x v="11"/>
    <n v="62"/>
    <n v="197"/>
    <x v="11"/>
    <n v="50"/>
    <n v="50"/>
    <n v="140"/>
    <n v="57"/>
    <n v="197"/>
    <n v="62"/>
    <n v="0.31472081218274112"/>
    <n v="25"/>
    <n v="57"/>
    <n v="28"/>
    <x v="256"/>
    <x v="0"/>
    <n v="78"/>
    <n v="197"/>
  </r>
  <r>
    <n v="702"/>
    <n v="245"/>
    <x v="1"/>
    <x v="1"/>
    <x v="3"/>
    <n v="93"/>
    <x v="0"/>
    <x v="1"/>
    <x v="3"/>
    <n v="-340"/>
    <n v="32"/>
    <x v="7"/>
    <n v="180"/>
    <n v="-280"/>
    <n v="0"/>
    <n v="127"/>
    <n v="32"/>
    <n v="-340"/>
    <n v="-10.625"/>
    <n v="93"/>
    <n v="32"/>
    <n v="65"/>
    <x v="428"/>
    <x v="0"/>
    <n v="245"/>
    <n v="32"/>
  </r>
  <r>
    <n v="971"/>
    <n v="102"/>
    <x v="1"/>
    <x v="1"/>
    <x v="3"/>
    <n v="31"/>
    <x v="0"/>
    <x v="1"/>
    <x v="3"/>
    <n v="89"/>
    <n v="245"/>
    <x v="11"/>
    <n v="70"/>
    <n v="70"/>
    <n v="170"/>
    <n v="54"/>
    <n v="245"/>
    <n v="89"/>
    <n v="0.36326530612244901"/>
    <n v="31"/>
    <n v="75"/>
    <n v="32"/>
    <x v="258"/>
    <x v="0"/>
    <n v="102"/>
    <n v="245"/>
  </r>
  <r>
    <n v="714"/>
    <n v="224"/>
    <x v="2"/>
    <x v="0"/>
    <x v="3"/>
    <n v="73"/>
    <x v="1"/>
    <x v="3"/>
    <x v="5"/>
    <n v="-149"/>
    <n v="192"/>
    <x v="3"/>
    <n v="260"/>
    <n v="-150"/>
    <n v="220"/>
    <n v="117"/>
    <n v="192"/>
    <n v="-149"/>
    <n v="-0.77604166666666663"/>
    <n v="73"/>
    <n v="-28"/>
    <n v="-36"/>
    <x v="429"/>
    <x v="0"/>
    <n v="224"/>
    <n v="192"/>
  </r>
  <r>
    <n v="209"/>
    <n v="247"/>
    <x v="2"/>
    <x v="0"/>
    <x v="3"/>
    <n v="81"/>
    <x v="1"/>
    <x v="2"/>
    <x v="4"/>
    <n v="216"/>
    <n v="576"/>
    <x v="3"/>
    <n v="240"/>
    <n v="210"/>
    <n v="550"/>
    <n v="113"/>
    <n v="576"/>
    <n v="216"/>
    <n v="0.375"/>
    <n v="81"/>
    <n v="26"/>
    <n v="7"/>
    <x v="126"/>
    <x v="1"/>
    <n v="247"/>
    <n v="576"/>
  </r>
  <r>
    <n v="951"/>
    <n v="127"/>
    <x v="2"/>
    <x v="0"/>
    <x v="3"/>
    <n v="40"/>
    <x v="1"/>
    <x v="3"/>
    <x v="6"/>
    <n v="-88"/>
    <n v="102"/>
    <x v="3"/>
    <n v="150"/>
    <n v="-90"/>
    <n v="120"/>
    <n v="63"/>
    <n v="102"/>
    <n v="-88"/>
    <n v="-0.86274509803921573"/>
    <n v="40"/>
    <n v="-18"/>
    <n v="-23"/>
    <x v="430"/>
    <x v="0"/>
    <n v="127"/>
    <n v="102"/>
  </r>
  <r>
    <n v="707"/>
    <n v="279"/>
    <x v="2"/>
    <x v="0"/>
    <x v="3"/>
    <n v="97"/>
    <x v="1"/>
    <x v="3"/>
    <x v="7"/>
    <n v="271"/>
    <n v="699"/>
    <x v="3"/>
    <n v="330"/>
    <n v="350"/>
    <n v="830"/>
    <n v="149"/>
    <n v="699"/>
    <n v="271"/>
    <n v="0.38769670958512159"/>
    <n v="97"/>
    <n v="-131"/>
    <n v="-51"/>
    <x v="315"/>
    <x v="1"/>
    <n v="279"/>
    <n v="699"/>
  </r>
  <r>
    <n v="916"/>
    <n v="250"/>
    <x v="2"/>
    <x v="0"/>
    <x v="3"/>
    <n v="70"/>
    <x v="1"/>
    <x v="2"/>
    <x v="9"/>
    <n v="157"/>
    <n v="501"/>
    <x v="3"/>
    <n v="240"/>
    <n v="160"/>
    <n v="480"/>
    <n v="94"/>
    <n v="501"/>
    <n v="157"/>
    <n v="0.31337325349301398"/>
    <n v="70"/>
    <n v="21"/>
    <n v="10"/>
    <x v="374"/>
    <x v="1"/>
    <n v="250"/>
    <n v="501"/>
  </r>
  <r>
    <n v="530"/>
    <n v="135"/>
    <x v="2"/>
    <x v="0"/>
    <x v="3"/>
    <n v="122"/>
    <x v="1"/>
    <x v="2"/>
    <x v="8"/>
    <n v="31"/>
    <n v="322"/>
    <x v="3"/>
    <n v="130"/>
    <n v="40"/>
    <n v="310"/>
    <n v="156"/>
    <n v="322"/>
    <n v="31"/>
    <n v="9.627329192546584E-2"/>
    <n v="122"/>
    <n v="12"/>
    <n v="5"/>
    <x v="431"/>
    <x v="0"/>
    <n v="135"/>
    <n v="322"/>
  </r>
  <r>
    <n v="626"/>
    <n v="86"/>
    <x v="2"/>
    <x v="0"/>
    <x v="3"/>
    <n v="24"/>
    <x v="0"/>
    <x v="0"/>
    <x v="10"/>
    <n v="89"/>
    <n v="210"/>
    <x v="3"/>
    <n v="80"/>
    <n v="80"/>
    <n v="190"/>
    <n v="35"/>
    <n v="210"/>
    <n v="89"/>
    <n v="0.4238095238095238"/>
    <n v="24"/>
    <n v="20"/>
    <n v="6"/>
    <x v="321"/>
    <x v="0"/>
    <n v="86"/>
    <n v="210"/>
  </r>
  <r>
    <n v="415"/>
    <n v="241"/>
    <x v="2"/>
    <x v="0"/>
    <x v="3"/>
    <n v="74"/>
    <x v="0"/>
    <x v="0"/>
    <x v="0"/>
    <n v="188"/>
    <n v="525"/>
    <x v="3"/>
    <n v="220"/>
    <n v="170"/>
    <n v="480"/>
    <n v="96"/>
    <n v="525"/>
    <n v="188"/>
    <n v="0.35809523809523808"/>
    <n v="74"/>
    <n v="45"/>
    <n v="21"/>
    <x v="261"/>
    <x v="1"/>
    <n v="241"/>
    <n v="525"/>
  </r>
  <r>
    <n v="916"/>
    <n v="123"/>
    <x v="2"/>
    <x v="0"/>
    <x v="3"/>
    <n v="34"/>
    <x v="0"/>
    <x v="1"/>
    <x v="2"/>
    <n v="134"/>
    <n v="302"/>
    <x v="3"/>
    <n v="90"/>
    <n v="110"/>
    <n v="220"/>
    <n v="45"/>
    <n v="302"/>
    <n v="134"/>
    <n v="0.44370860927152317"/>
    <n v="34"/>
    <n v="82"/>
    <n v="33"/>
    <x v="301"/>
    <x v="1"/>
    <n v="123"/>
    <n v="302"/>
  </r>
  <r>
    <n v="435"/>
    <n v="68"/>
    <x v="2"/>
    <x v="1"/>
    <x v="3"/>
    <n v="25"/>
    <x v="1"/>
    <x v="3"/>
    <x v="5"/>
    <n v="26"/>
    <n v="153"/>
    <x v="8"/>
    <n v="80"/>
    <n v="50"/>
    <n v="180"/>
    <n v="59"/>
    <n v="153"/>
    <n v="26"/>
    <n v="0.16993464052287582"/>
    <n v="25"/>
    <n v="-27"/>
    <n v="-12"/>
    <x v="238"/>
    <x v="0"/>
    <n v="68"/>
    <n v="153"/>
  </r>
  <r>
    <n v="509"/>
    <n v="105"/>
    <x v="2"/>
    <x v="1"/>
    <x v="3"/>
    <n v="95"/>
    <x v="1"/>
    <x v="3"/>
    <x v="5"/>
    <n v="20"/>
    <n v="250"/>
    <x v="14"/>
    <n v="120"/>
    <n v="50"/>
    <n v="290"/>
    <n v="125"/>
    <n v="250"/>
    <n v="20"/>
    <n v="0.08"/>
    <n v="95"/>
    <n v="-40"/>
    <n v="-15"/>
    <x v="268"/>
    <x v="0"/>
    <n v="105"/>
    <n v="250"/>
  </r>
  <r>
    <n v="971"/>
    <n v="153"/>
    <x v="2"/>
    <x v="1"/>
    <x v="3"/>
    <n v="42"/>
    <x v="1"/>
    <x v="2"/>
    <x v="4"/>
    <n v="87"/>
    <n v="306"/>
    <x v="11"/>
    <n v="150"/>
    <n v="80"/>
    <n v="290"/>
    <n v="66"/>
    <n v="306"/>
    <n v="87"/>
    <n v="0.28431372549019607"/>
    <n v="42"/>
    <n v="16"/>
    <n v="3"/>
    <x v="130"/>
    <x v="0"/>
    <n v="153"/>
    <n v="306"/>
  </r>
  <r>
    <n v="253"/>
    <n v="80"/>
    <x v="2"/>
    <x v="1"/>
    <x v="3"/>
    <n v="24"/>
    <x v="1"/>
    <x v="2"/>
    <x v="4"/>
    <n v="51"/>
    <n v="176"/>
    <x v="14"/>
    <n v="70"/>
    <n v="60"/>
    <n v="170"/>
    <n v="45"/>
    <n v="176"/>
    <n v="51"/>
    <n v="0.28977272727272729"/>
    <n v="24"/>
    <n v="6"/>
    <n v="10"/>
    <x v="432"/>
    <x v="0"/>
    <n v="80"/>
    <n v="176"/>
  </r>
  <r>
    <n v="435"/>
    <n v="63"/>
    <x v="2"/>
    <x v="1"/>
    <x v="3"/>
    <n v="19"/>
    <x v="1"/>
    <x v="3"/>
    <x v="6"/>
    <n v="36"/>
    <n v="139"/>
    <x v="8"/>
    <n v="70"/>
    <n v="50"/>
    <n v="160"/>
    <n v="40"/>
    <n v="139"/>
    <n v="36"/>
    <n v="0.25899280575539568"/>
    <n v="19"/>
    <n v="-21"/>
    <n v="-7"/>
    <x v="58"/>
    <x v="0"/>
    <n v="63"/>
    <n v="139"/>
  </r>
  <r>
    <n v="253"/>
    <n v="72"/>
    <x v="2"/>
    <x v="1"/>
    <x v="3"/>
    <n v="23"/>
    <x v="1"/>
    <x v="3"/>
    <x v="7"/>
    <n v="58"/>
    <n v="176"/>
    <x v="14"/>
    <n v="80"/>
    <n v="80"/>
    <n v="200"/>
    <n v="46"/>
    <n v="176"/>
    <n v="58"/>
    <n v="0.32954545454545453"/>
    <n v="23"/>
    <n v="-24"/>
    <n v="-8"/>
    <x v="254"/>
    <x v="0"/>
    <n v="72"/>
    <n v="176"/>
  </r>
  <r>
    <n v="775"/>
    <n v="16"/>
    <x v="2"/>
    <x v="1"/>
    <x v="3"/>
    <n v="4"/>
    <x v="1"/>
    <x v="2"/>
    <x v="8"/>
    <n v="10"/>
    <n v="41"/>
    <x v="7"/>
    <n v="10"/>
    <n v="10"/>
    <n v="30"/>
    <n v="15"/>
    <n v="41"/>
    <n v="10"/>
    <n v="0.24390243902439024"/>
    <n v="4"/>
    <n v="11"/>
    <n v="6"/>
    <x v="55"/>
    <x v="0"/>
    <n v="16"/>
    <n v="41"/>
  </r>
  <r>
    <n v="435"/>
    <n v="94"/>
    <x v="2"/>
    <x v="1"/>
    <x v="3"/>
    <n v="31"/>
    <x v="1"/>
    <x v="2"/>
    <x v="8"/>
    <n v="77"/>
    <n v="214"/>
    <x v="8"/>
    <n v="90"/>
    <n v="70"/>
    <n v="200"/>
    <n v="43"/>
    <n v="214"/>
    <n v="77"/>
    <n v="0.35981308411214952"/>
    <n v="31"/>
    <n v="14"/>
    <n v="4"/>
    <x v="267"/>
    <x v="0"/>
    <n v="94"/>
    <n v="214"/>
  </r>
  <r>
    <n v="702"/>
    <n v="135"/>
    <x v="2"/>
    <x v="1"/>
    <x v="3"/>
    <n v="122"/>
    <x v="0"/>
    <x v="0"/>
    <x v="10"/>
    <n v="32"/>
    <n v="322"/>
    <x v="7"/>
    <n v="120"/>
    <n v="30"/>
    <n v="290"/>
    <n v="155"/>
    <n v="322"/>
    <n v="32"/>
    <n v="9.9378881987577633E-2"/>
    <n v="122"/>
    <n v="32"/>
    <n v="15"/>
    <x v="433"/>
    <x v="0"/>
    <n v="135"/>
    <n v="322"/>
  </r>
  <r>
    <n v="509"/>
    <n v="115"/>
    <x v="2"/>
    <x v="1"/>
    <x v="3"/>
    <n v="37"/>
    <x v="0"/>
    <x v="0"/>
    <x v="10"/>
    <n v="105"/>
    <n v="289"/>
    <x v="14"/>
    <n v="100"/>
    <n v="110"/>
    <n v="260"/>
    <n v="69"/>
    <n v="289"/>
    <n v="105"/>
    <n v="0.36332179930795849"/>
    <n v="37"/>
    <n v="29"/>
    <n v="15"/>
    <x v="290"/>
    <x v="1"/>
    <n v="115"/>
    <n v="289"/>
  </r>
  <r>
    <n v="775"/>
    <n v="224"/>
    <x v="2"/>
    <x v="1"/>
    <x v="3"/>
    <n v="73"/>
    <x v="0"/>
    <x v="0"/>
    <x v="0"/>
    <n v="194"/>
    <n v="534"/>
    <x v="7"/>
    <n v="210"/>
    <n v="170"/>
    <n v="490"/>
    <n v="116"/>
    <n v="534"/>
    <n v="194"/>
    <n v="0.36329588014981273"/>
    <n v="73"/>
    <n v="44"/>
    <n v="14"/>
    <x v="375"/>
    <x v="1"/>
    <n v="224"/>
    <n v="534"/>
  </r>
  <r>
    <n v="541"/>
    <n v="81"/>
    <x v="2"/>
    <x v="1"/>
    <x v="3"/>
    <n v="26"/>
    <x v="0"/>
    <x v="0"/>
    <x v="0"/>
    <n v="66"/>
    <n v="185"/>
    <x v="11"/>
    <n v="70"/>
    <n v="70"/>
    <n v="170"/>
    <n v="38"/>
    <n v="185"/>
    <n v="66"/>
    <n v="0.35675675675675678"/>
    <n v="26"/>
    <n v="15"/>
    <n v="11"/>
    <x v="264"/>
    <x v="0"/>
    <n v="81"/>
    <n v="185"/>
  </r>
  <r>
    <n v="775"/>
    <n v="127"/>
    <x v="2"/>
    <x v="1"/>
    <x v="3"/>
    <n v="40"/>
    <x v="0"/>
    <x v="0"/>
    <x v="1"/>
    <n v="122"/>
    <n v="312"/>
    <x v="7"/>
    <n v="120"/>
    <n v="120"/>
    <n v="290"/>
    <n v="63"/>
    <n v="312"/>
    <n v="122"/>
    <n v="0.39102564102564102"/>
    <n v="40"/>
    <n v="22"/>
    <n v="7"/>
    <x v="373"/>
    <x v="1"/>
    <n v="127"/>
    <n v="312"/>
  </r>
  <r>
    <n v="702"/>
    <n v="247"/>
    <x v="2"/>
    <x v="1"/>
    <x v="3"/>
    <n v="81"/>
    <x v="0"/>
    <x v="1"/>
    <x v="2"/>
    <n v="215"/>
    <n v="576"/>
    <x v="7"/>
    <n v="180"/>
    <n v="150"/>
    <n v="420"/>
    <n v="114"/>
    <n v="576"/>
    <n v="215"/>
    <n v="0.3732638888888889"/>
    <n v="81"/>
    <n v="156"/>
    <n v="67"/>
    <x v="434"/>
    <x v="1"/>
    <n v="247"/>
    <n v="576"/>
  </r>
  <r>
    <n v="702"/>
    <n v="250"/>
    <x v="2"/>
    <x v="1"/>
    <x v="3"/>
    <n v="70"/>
    <x v="0"/>
    <x v="1"/>
    <x v="11"/>
    <n v="157"/>
    <n v="501"/>
    <x v="7"/>
    <n v="180"/>
    <n v="100"/>
    <n v="360"/>
    <n v="94"/>
    <n v="501"/>
    <n v="157"/>
    <n v="0.31337325349301398"/>
    <n v="70"/>
    <n v="141"/>
    <n v="70"/>
    <x v="374"/>
    <x v="1"/>
    <n v="250"/>
    <n v="501"/>
  </r>
  <r>
    <n v="971"/>
    <n v="88"/>
    <x v="2"/>
    <x v="1"/>
    <x v="3"/>
    <n v="29"/>
    <x v="0"/>
    <x v="1"/>
    <x v="11"/>
    <n v="73"/>
    <n v="221"/>
    <x v="11"/>
    <n v="60"/>
    <n v="60"/>
    <n v="160"/>
    <n v="60"/>
    <n v="221"/>
    <n v="73"/>
    <n v="0.33031674208144796"/>
    <n v="29"/>
    <n v="61"/>
    <n v="28"/>
    <x v="313"/>
    <x v="0"/>
    <n v="88"/>
    <n v="221"/>
  </r>
  <r>
    <n v="775"/>
    <n v="294"/>
    <x v="2"/>
    <x v="1"/>
    <x v="3"/>
    <n v="111"/>
    <x v="0"/>
    <x v="1"/>
    <x v="3"/>
    <n v="-408"/>
    <n v="31"/>
    <x v="7"/>
    <n v="210"/>
    <n v="-320"/>
    <n v="0"/>
    <n v="145"/>
    <n v="31"/>
    <n v="-408"/>
    <n v="-13.161290322580646"/>
    <n v="111"/>
    <n v="31"/>
    <n v="84"/>
    <x v="435"/>
    <x v="0"/>
    <n v="294"/>
    <n v="31"/>
  </r>
  <r>
    <n v="503"/>
    <n v="134"/>
    <x v="2"/>
    <x v="1"/>
    <x v="3"/>
    <n v="41"/>
    <x v="0"/>
    <x v="1"/>
    <x v="3"/>
    <n v="121"/>
    <n v="320"/>
    <x v="11"/>
    <n v="90"/>
    <n v="100"/>
    <n v="230"/>
    <n v="65"/>
    <n v="320"/>
    <n v="121"/>
    <n v="0.37812499999999999"/>
    <n v="41"/>
    <n v="90"/>
    <n v="44"/>
    <x v="266"/>
    <x v="1"/>
    <n v="134"/>
    <n v="320"/>
  </r>
  <r>
    <n v="435"/>
    <n v="20"/>
    <x v="2"/>
    <x v="1"/>
    <x v="3"/>
    <n v="7"/>
    <x v="0"/>
    <x v="1"/>
    <x v="3"/>
    <n v="-15"/>
    <n v="45"/>
    <x v="8"/>
    <n v="10"/>
    <n v="0"/>
    <n v="30"/>
    <n v="40"/>
    <n v="45"/>
    <n v="-15"/>
    <n v="-0.33333333333333331"/>
    <n v="7"/>
    <n v="15"/>
    <n v="10"/>
    <x v="265"/>
    <x v="0"/>
    <n v="20"/>
    <n v="45"/>
  </r>
  <r>
    <n v="650"/>
    <n v="154"/>
    <x v="3"/>
    <x v="0"/>
    <x v="3"/>
    <n v="50"/>
    <x v="1"/>
    <x v="3"/>
    <x v="5"/>
    <n v="-174"/>
    <n v="139"/>
    <x v="3"/>
    <n v="220"/>
    <n v="-100"/>
    <n v="190"/>
    <n v="93"/>
    <n v="139"/>
    <n v="-174"/>
    <n v="-1.2517985611510791"/>
    <n v="50"/>
    <n v="-51"/>
    <n v="-66"/>
    <x v="436"/>
    <x v="0"/>
    <n v="154"/>
    <n v="139"/>
  </r>
  <r>
    <n v="415"/>
    <n v="257"/>
    <x v="3"/>
    <x v="0"/>
    <x v="3"/>
    <n v="84"/>
    <x v="1"/>
    <x v="2"/>
    <x v="4"/>
    <n v="334"/>
    <n v="637"/>
    <x v="3"/>
    <n v="230"/>
    <n v="240"/>
    <n v="550"/>
    <n v="116"/>
    <n v="637"/>
    <n v="334"/>
    <n v="0.52433281004709575"/>
    <n v="84"/>
    <n v="87"/>
    <n v="27"/>
    <x v="437"/>
    <x v="1"/>
    <n v="257"/>
    <n v="637"/>
  </r>
  <r>
    <n v="909"/>
    <n v="122"/>
    <x v="3"/>
    <x v="0"/>
    <x v="3"/>
    <n v="39"/>
    <x v="1"/>
    <x v="3"/>
    <x v="6"/>
    <n v="-110"/>
    <n v="116"/>
    <x v="3"/>
    <n v="170"/>
    <n v="-60"/>
    <n v="150"/>
    <n v="61"/>
    <n v="116"/>
    <n v="-110"/>
    <n v="-0.94827586206896552"/>
    <n v="39"/>
    <n v="-34"/>
    <n v="-48"/>
    <x v="438"/>
    <x v="0"/>
    <n v="122"/>
    <n v="116"/>
  </r>
  <r>
    <n v="818"/>
    <n v="260"/>
    <x v="3"/>
    <x v="0"/>
    <x v="3"/>
    <n v="91"/>
    <x v="1"/>
    <x v="3"/>
    <x v="7"/>
    <n v="367"/>
    <n v="693"/>
    <x v="3"/>
    <n v="380"/>
    <n v="470"/>
    <n v="960"/>
    <n v="143"/>
    <n v="693"/>
    <n v="367"/>
    <n v="0.5295815295815296"/>
    <n v="91"/>
    <n v="-267"/>
    <n v="-120"/>
    <x v="324"/>
    <x v="1"/>
    <n v="260"/>
    <n v="693"/>
  </r>
  <r>
    <n v="714"/>
    <n v="239"/>
    <x v="3"/>
    <x v="0"/>
    <x v="3"/>
    <n v="66"/>
    <x v="1"/>
    <x v="2"/>
    <x v="9"/>
    <n v="221"/>
    <n v="509"/>
    <x v="3"/>
    <n v="210"/>
    <n v="160"/>
    <n v="430"/>
    <n v="90"/>
    <n v="509"/>
    <n v="221"/>
    <n v="0.43418467583497056"/>
    <n v="66"/>
    <n v="79"/>
    <n v="29"/>
    <x v="382"/>
    <x v="1"/>
    <n v="239"/>
    <n v="509"/>
  </r>
  <r>
    <n v="805"/>
    <n v="125"/>
    <x v="3"/>
    <x v="0"/>
    <x v="3"/>
    <n v="113"/>
    <x v="1"/>
    <x v="2"/>
    <x v="8"/>
    <n v="40"/>
    <n v="318"/>
    <x v="3"/>
    <n v="110"/>
    <n v="50"/>
    <n v="270"/>
    <n v="146"/>
    <n v="318"/>
    <n v="40"/>
    <n v="0.12578616352201258"/>
    <n v="113"/>
    <n v="48"/>
    <n v="15"/>
    <x v="439"/>
    <x v="0"/>
    <n v="125"/>
    <n v="318"/>
  </r>
  <r>
    <n v="925"/>
    <n v="108"/>
    <x v="3"/>
    <x v="0"/>
    <x v="3"/>
    <n v="30"/>
    <x v="0"/>
    <x v="0"/>
    <x v="10"/>
    <n v="171"/>
    <n v="282"/>
    <x v="3"/>
    <n v="80"/>
    <n v="120"/>
    <n v="210"/>
    <n v="42"/>
    <n v="282"/>
    <n v="171"/>
    <n v="0.6063829787234043"/>
    <n v="30"/>
    <n v="72"/>
    <n v="28"/>
    <x v="331"/>
    <x v="1"/>
    <n v="108"/>
    <n v="282"/>
  </r>
  <r>
    <n v="951"/>
    <n v="239"/>
    <x v="3"/>
    <x v="0"/>
    <x v="3"/>
    <n v="74"/>
    <x v="0"/>
    <x v="0"/>
    <x v="0"/>
    <n v="276"/>
    <n v="554"/>
    <x v="3"/>
    <n v="190"/>
    <n v="170"/>
    <n v="410"/>
    <n v="95"/>
    <n v="554"/>
    <n v="276"/>
    <n v="0.49819494584837543"/>
    <n v="74"/>
    <n v="144"/>
    <n v="49"/>
    <x v="440"/>
    <x v="1"/>
    <n v="239"/>
    <n v="554"/>
  </r>
  <r>
    <n v="831"/>
    <n v="123"/>
    <x v="3"/>
    <x v="0"/>
    <x v="3"/>
    <n v="34"/>
    <x v="0"/>
    <x v="1"/>
    <x v="2"/>
    <n v="199"/>
    <n v="322"/>
    <x v="3"/>
    <n v="50"/>
    <n v="80"/>
    <n v="140"/>
    <n v="45"/>
    <n v="322"/>
    <n v="199"/>
    <n v="0.61801242236024845"/>
    <n v="34"/>
    <n v="182"/>
    <n v="73"/>
    <x v="332"/>
    <x v="1"/>
    <n v="123"/>
    <n v="322"/>
  </r>
  <r>
    <n v="971"/>
    <n v="43"/>
    <x v="3"/>
    <x v="1"/>
    <x v="3"/>
    <n v="13"/>
    <x v="1"/>
    <x v="3"/>
    <x v="5"/>
    <n v="43"/>
    <n v="114"/>
    <x v="11"/>
    <n v="50"/>
    <n v="80"/>
    <n v="150"/>
    <n v="35"/>
    <n v="114"/>
    <n v="43"/>
    <n v="0.37719298245614036"/>
    <n v="13"/>
    <n v="-36"/>
    <n v="-7"/>
    <x v="441"/>
    <x v="0"/>
    <n v="43"/>
    <n v="114"/>
  </r>
  <r>
    <n v="435"/>
    <n v="79"/>
    <x v="3"/>
    <x v="1"/>
    <x v="3"/>
    <n v="30"/>
    <x v="1"/>
    <x v="3"/>
    <x v="5"/>
    <n v="50"/>
    <n v="189"/>
    <x v="8"/>
    <n v="100"/>
    <n v="120"/>
    <n v="260"/>
    <n v="64"/>
    <n v="189"/>
    <n v="50"/>
    <n v="0.26455026455026454"/>
    <n v="30"/>
    <n v="-71"/>
    <n v="-21"/>
    <x v="142"/>
    <x v="0"/>
    <n v="79"/>
    <n v="189"/>
  </r>
  <r>
    <n v="206"/>
    <n v="96"/>
    <x v="3"/>
    <x v="1"/>
    <x v="3"/>
    <n v="87"/>
    <x v="1"/>
    <x v="3"/>
    <x v="5"/>
    <n v="25"/>
    <n v="245"/>
    <x v="14"/>
    <n v="140"/>
    <n v="100"/>
    <n v="330"/>
    <n v="117"/>
    <n v="245"/>
    <n v="25"/>
    <n v="0.10204081632653061"/>
    <n v="87"/>
    <n v="-85"/>
    <n v="-44"/>
    <x v="273"/>
    <x v="0"/>
    <n v="96"/>
    <n v="245"/>
  </r>
  <r>
    <n v="503"/>
    <n v="161"/>
    <x v="3"/>
    <x v="1"/>
    <x v="3"/>
    <n v="45"/>
    <x v="1"/>
    <x v="2"/>
    <x v="4"/>
    <n v="135"/>
    <n v="343"/>
    <x v="11"/>
    <n v="140"/>
    <n v="110"/>
    <n v="290"/>
    <n v="70"/>
    <n v="343"/>
    <n v="135"/>
    <n v="0.39358600583090381"/>
    <n v="45"/>
    <n v="53"/>
    <n v="21"/>
    <x v="7"/>
    <x v="1"/>
    <n v="161"/>
    <n v="343"/>
  </r>
  <r>
    <n v="360"/>
    <n v="80"/>
    <x v="3"/>
    <x v="1"/>
    <x v="3"/>
    <n v="24"/>
    <x v="1"/>
    <x v="2"/>
    <x v="4"/>
    <n v="71"/>
    <n v="185"/>
    <x v="14"/>
    <n v="60"/>
    <n v="80"/>
    <n v="150"/>
    <n v="46"/>
    <n v="185"/>
    <n v="71"/>
    <n v="0.38378378378378381"/>
    <n v="24"/>
    <n v="35"/>
    <n v="20"/>
    <x v="139"/>
    <x v="0"/>
    <n v="80"/>
    <n v="185"/>
  </r>
  <r>
    <n v="503"/>
    <n v="51"/>
    <x v="3"/>
    <x v="1"/>
    <x v="3"/>
    <n v="46"/>
    <x v="1"/>
    <x v="3"/>
    <x v="6"/>
    <n v="-7"/>
    <n v="130"/>
    <x v="11"/>
    <n v="70"/>
    <n v="50"/>
    <n v="170"/>
    <n v="76"/>
    <n v="130"/>
    <n v="-7"/>
    <n v="-5.3846153846153849E-2"/>
    <n v="46"/>
    <n v="-40"/>
    <n v="-19"/>
    <x v="60"/>
    <x v="0"/>
    <n v="51"/>
    <n v="130"/>
  </r>
  <r>
    <n v="435"/>
    <n v="65"/>
    <x v="3"/>
    <x v="1"/>
    <x v="3"/>
    <n v="20"/>
    <x v="1"/>
    <x v="3"/>
    <x v="6"/>
    <n v="53"/>
    <n v="151"/>
    <x v="8"/>
    <n v="90"/>
    <n v="90"/>
    <n v="200"/>
    <n v="41"/>
    <n v="151"/>
    <n v="53"/>
    <n v="0.35099337748344372"/>
    <n v="20"/>
    <n v="-49"/>
    <n v="-25"/>
    <x v="442"/>
    <x v="0"/>
    <n v="65"/>
    <n v="151"/>
  </r>
  <r>
    <n v="503"/>
    <n v="60"/>
    <x v="3"/>
    <x v="1"/>
    <x v="3"/>
    <n v="19"/>
    <x v="1"/>
    <x v="3"/>
    <x v="7"/>
    <n v="31"/>
    <n v="153"/>
    <x v="11"/>
    <n v="80"/>
    <n v="90"/>
    <n v="210"/>
    <n v="63"/>
    <n v="153"/>
    <n v="31"/>
    <n v="0.20261437908496732"/>
    <n v="19"/>
    <n v="-57"/>
    <n v="-20"/>
    <x v="443"/>
    <x v="0"/>
    <n v="60"/>
    <n v="153"/>
  </r>
  <r>
    <n v="435"/>
    <n v="47"/>
    <x v="3"/>
    <x v="1"/>
    <x v="3"/>
    <n v="15"/>
    <x v="1"/>
    <x v="3"/>
    <x v="7"/>
    <n v="33"/>
    <n v="118"/>
    <x v="8"/>
    <n v="50"/>
    <n v="80"/>
    <n v="150"/>
    <n v="42"/>
    <n v="118"/>
    <n v="33"/>
    <n v="0.27966101694915252"/>
    <n v="15"/>
    <n v="-32"/>
    <n v="-3"/>
    <x v="10"/>
    <x v="0"/>
    <n v="47"/>
    <n v="118"/>
  </r>
  <r>
    <n v="360"/>
    <n v="68"/>
    <x v="3"/>
    <x v="1"/>
    <x v="3"/>
    <n v="21"/>
    <x v="1"/>
    <x v="3"/>
    <x v="7"/>
    <n v="83"/>
    <n v="178"/>
    <x v="14"/>
    <n v="90"/>
    <n v="110"/>
    <n v="230"/>
    <n v="43"/>
    <n v="178"/>
    <n v="83"/>
    <n v="0.46629213483146065"/>
    <n v="21"/>
    <n v="-52"/>
    <n v="-22"/>
    <x v="384"/>
    <x v="0"/>
    <n v="68"/>
    <n v="178"/>
  </r>
  <r>
    <n v="206"/>
    <n v="22"/>
    <x v="3"/>
    <x v="1"/>
    <x v="3"/>
    <n v="7"/>
    <x v="1"/>
    <x v="2"/>
    <x v="9"/>
    <n v="15"/>
    <n v="54"/>
    <x v="14"/>
    <n v="10"/>
    <n v="20"/>
    <n v="30"/>
    <n v="19"/>
    <n v="54"/>
    <n v="15"/>
    <n v="0.27777777777777779"/>
    <n v="7"/>
    <n v="24"/>
    <n v="12"/>
    <x v="33"/>
    <x v="0"/>
    <n v="22"/>
    <n v="54"/>
  </r>
  <r>
    <n v="775"/>
    <n v="21"/>
    <x v="3"/>
    <x v="1"/>
    <x v="3"/>
    <n v="5"/>
    <x v="1"/>
    <x v="2"/>
    <x v="8"/>
    <n v="21"/>
    <n v="55"/>
    <x v="7"/>
    <n v="10"/>
    <n v="20"/>
    <n v="30"/>
    <n v="17"/>
    <n v="55"/>
    <n v="21"/>
    <n v="0.38181818181818183"/>
    <n v="5"/>
    <n v="25"/>
    <n v="11"/>
    <x v="227"/>
    <x v="0"/>
    <n v="21"/>
    <n v="55"/>
  </r>
  <r>
    <n v="435"/>
    <n v="103"/>
    <x v="3"/>
    <x v="1"/>
    <x v="3"/>
    <n v="33"/>
    <x v="1"/>
    <x v="2"/>
    <x v="8"/>
    <n v="129"/>
    <n v="251"/>
    <x v="8"/>
    <n v="80"/>
    <n v="110"/>
    <n v="210"/>
    <n v="46"/>
    <n v="251"/>
    <n v="129"/>
    <n v="0.51394422310756971"/>
    <n v="33"/>
    <n v="41"/>
    <n v="23"/>
    <x v="272"/>
    <x v="1"/>
    <n v="103"/>
    <n v="251"/>
  </r>
  <r>
    <n v="702"/>
    <n v="125"/>
    <x v="3"/>
    <x v="1"/>
    <x v="3"/>
    <n v="113"/>
    <x v="0"/>
    <x v="0"/>
    <x v="10"/>
    <n v="39"/>
    <n v="318"/>
    <x v="7"/>
    <n v="90"/>
    <n v="60"/>
    <n v="240"/>
    <n v="147"/>
    <n v="318"/>
    <n v="39"/>
    <n v="0.12264150943396226"/>
    <n v="113"/>
    <n v="78"/>
    <n v="35"/>
    <x v="444"/>
    <x v="0"/>
    <n v="125"/>
    <n v="318"/>
  </r>
  <r>
    <n v="360"/>
    <n v="125"/>
    <x v="3"/>
    <x v="1"/>
    <x v="3"/>
    <n v="41"/>
    <x v="0"/>
    <x v="0"/>
    <x v="10"/>
    <n v="171"/>
    <n v="334"/>
    <x v="14"/>
    <n v="90"/>
    <n v="130"/>
    <n v="250"/>
    <n v="73"/>
    <n v="334"/>
    <n v="171"/>
    <n v="0.5119760479041916"/>
    <n v="41"/>
    <n v="84"/>
    <n v="35"/>
    <x v="291"/>
    <x v="1"/>
    <n v="125"/>
    <n v="334"/>
  </r>
  <r>
    <n v="775"/>
    <n v="154"/>
    <x v="3"/>
    <x v="1"/>
    <x v="3"/>
    <n v="50"/>
    <x v="0"/>
    <x v="0"/>
    <x v="0"/>
    <n v="178"/>
    <n v="391"/>
    <x v="7"/>
    <n v="120"/>
    <n v="120"/>
    <n v="290"/>
    <n v="93"/>
    <n v="391"/>
    <n v="178"/>
    <n v="0.45524296675191817"/>
    <n v="50"/>
    <n v="101"/>
    <n v="34"/>
    <x v="383"/>
    <x v="1"/>
    <n v="154"/>
    <n v="391"/>
  </r>
  <r>
    <n v="541"/>
    <n v="90"/>
    <x v="3"/>
    <x v="1"/>
    <x v="3"/>
    <n v="29"/>
    <x v="0"/>
    <x v="0"/>
    <x v="0"/>
    <n v="108"/>
    <n v="218"/>
    <x v="11"/>
    <n v="60"/>
    <n v="90"/>
    <n v="160"/>
    <n v="42"/>
    <n v="218"/>
    <n v="108"/>
    <n v="0.49541284403669728"/>
    <n v="29"/>
    <n v="58"/>
    <n v="30"/>
    <x v="344"/>
    <x v="1"/>
    <n v="90"/>
    <n v="218"/>
  </r>
  <r>
    <n v="775"/>
    <n v="122"/>
    <x v="3"/>
    <x v="1"/>
    <x v="3"/>
    <n v="39"/>
    <x v="0"/>
    <x v="0"/>
    <x v="1"/>
    <n v="169"/>
    <n v="318"/>
    <x v="7"/>
    <n v="90"/>
    <n v="130"/>
    <n v="240"/>
    <n v="62"/>
    <n v="318"/>
    <n v="169"/>
    <n v="0.53144654088050314"/>
    <n v="39"/>
    <n v="78"/>
    <n v="32"/>
    <x v="386"/>
    <x v="1"/>
    <n v="122"/>
    <n v="318"/>
  </r>
  <r>
    <n v="435"/>
    <n v="86"/>
    <x v="3"/>
    <x v="1"/>
    <x v="3"/>
    <n v="26"/>
    <x v="0"/>
    <x v="0"/>
    <x v="1"/>
    <n v="-40"/>
    <n v="116"/>
    <x v="8"/>
    <n v="60"/>
    <n v="0"/>
    <n v="80"/>
    <n v="50"/>
    <n v="116"/>
    <n v="-40"/>
    <n v="-0.34482758620689657"/>
    <n v="26"/>
    <n v="36"/>
    <n v="26"/>
    <x v="445"/>
    <x v="0"/>
    <n v="86"/>
    <n v="116"/>
  </r>
  <r>
    <n v="775"/>
    <n v="257"/>
    <x v="3"/>
    <x v="1"/>
    <x v="3"/>
    <n v="84"/>
    <x v="0"/>
    <x v="1"/>
    <x v="2"/>
    <n v="332"/>
    <n v="637"/>
    <x v="7"/>
    <n v="110"/>
    <n v="130"/>
    <n v="290"/>
    <n v="117"/>
    <n v="637"/>
    <n v="332"/>
    <n v="0.52119309262166402"/>
    <n v="84"/>
    <n v="347"/>
    <n v="147"/>
    <x v="384"/>
    <x v="1"/>
    <n v="257"/>
    <n v="637"/>
  </r>
  <r>
    <n v="971"/>
    <n v="21"/>
    <x v="3"/>
    <x v="1"/>
    <x v="3"/>
    <n v="5"/>
    <x v="0"/>
    <x v="1"/>
    <x v="2"/>
    <n v="24"/>
    <n v="56"/>
    <x v="11"/>
    <n v="0"/>
    <n v="20"/>
    <n v="20"/>
    <n v="16"/>
    <n v="56"/>
    <n v="24"/>
    <n v="0.42857142857142855"/>
    <n v="5"/>
    <n v="36"/>
    <n v="21"/>
    <x v="224"/>
    <x v="0"/>
    <n v="21"/>
    <n v="56"/>
  </r>
  <r>
    <n v="775"/>
    <n v="239"/>
    <x v="3"/>
    <x v="1"/>
    <x v="3"/>
    <n v="66"/>
    <x v="0"/>
    <x v="1"/>
    <x v="11"/>
    <n v="221"/>
    <n v="509"/>
    <x v="7"/>
    <n v="110"/>
    <n v="80"/>
    <n v="230"/>
    <n v="90"/>
    <n v="509"/>
    <n v="221"/>
    <n v="0.43418467583497056"/>
    <n v="66"/>
    <n v="279"/>
    <n v="129"/>
    <x v="382"/>
    <x v="1"/>
    <n v="239"/>
    <n v="509"/>
  </r>
  <r>
    <n v="702"/>
    <n v="255"/>
    <x v="3"/>
    <x v="1"/>
    <x v="3"/>
    <n v="96"/>
    <x v="0"/>
    <x v="1"/>
    <x v="3"/>
    <n v="-539"/>
    <n v="22"/>
    <x v="7"/>
    <n v="110"/>
    <n v="-170"/>
    <n v="0"/>
    <n v="129"/>
    <n v="22"/>
    <n v="-539"/>
    <n v="-24.5"/>
    <n v="96"/>
    <n v="22"/>
    <n v="145"/>
    <x v="446"/>
    <x v="0"/>
    <n v="255"/>
    <n v="22"/>
  </r>
  <r>
    <n v="435"/>
    <n v="25"/>
    <x v="3"/>
    <x v="1"/>
    <x v="3"/>
    <n v="9"/>
    <x v="0"/>
    <x v="1"/>
    <x v="3"/>
    <n v="-18"/>
    <n v="60"/>
    <x v="8"/>
    <n v="0"/>
    <n v="10"/>
    <n v="20"/>
    <n v="43"/>
    <n v="60"/>
    <n v="-18"/>
    <n v="-0.3"/>
    <n v="9"/>
    <n v="40"/>
    <n v="25"/>
    <x v="226"/>
    <x v="0"/>
    <n v="25"/>
    <n v="60"/>
  </r>
  <r>
    <n v="626"/>
    <n v="173"/>
    <x v="4"/>
    <x v="0"/>
    <x v="3"/>
    <n v="57"/>
    <x v="1"/>
    <x v="3"/>
    <x v="5"/>
    <n v="-188"/>
    <n v="156"/>
    <x v="3"/>
    <n v="200"/>
    <n v="-130"/>
    <n v="170"/>
    <n v="100"/>
    <n v="156"/>
    <n v="-188"/>
    <n v="-1.2051282051282051"/>
    <n v="57"/>
    <n v="-14"/>
    <n v="-27"/>
    <x v="447"/>
    <x v="0"/>
    <n v="173"/>
    <n v="156"/>
  </r>
  <r>
    <n v="213"/>
    <n v="228"/>
    <x v="4"/>
    <x v="0"/>
    <x v="3"/>
    <n v="75"/>
    <x v="1"/>
    <x v="2"/>
    <x v="4"/>
    <n v="292"/>
    <n v="567"/>
    <x v="3"/>
    <n v="220"/>
    <n v="190"/>
    <n v="510"/>
    <n v="107"/>
    <n v="567"/>
    <n v="292"/>
    <n v="0.5149911816578483"/>
    <n v="75"/>
    <n v="57"/>
    <n v="8"/>
    <x v="448"/>
    <x v="1"/>
    <n v="228"/>
    <n v="567"/>
  </r>
  <r>
    <n v="916"/>
    <n v="113"/>
    <x v="4"/>
    <x v="0"/>
    <x v="3"/>
    <n v="36"/>
    <x v="1"/>
    <x v="3"/>
    <x v="6"/>
    <n v="-83"/>
    <n v="124"/>
    <x v="3"/>
    <n v="130"/>
    <n v="-50"/>
    <n v="130"/>
    <n v="59"/>
    <n v="124"/>
    <n v="-83"/>
    <n v="-0.66935483870967738"/>
    <n v="36"/>
    <n v="-6"/>
    <n v="-17"/>
    <x v="449"/>
    <x v="0"/>
    <n v="113"/>
    <n v="124"/>
  </r>
  <r>
    <n v="213"/>
    <n v="249"/>
    <x v="4"/>
    <x v="0"/>
    <x v="3"/>
    <n v="87"/>
    <x v="1"/>
    <x v="3"/>
    <x v="7"/>
    <n v="349"/>
    <n v="664"/>
    <x v="3"/>
    <n v="290"/>
    <n v="310"/>
    <n v="740"/>
    <n v="139"/>
    <n v="664"/>
    <n v="349"/>
    <n v="0.5256024096385542"/>
    <n v="87"/>
    <n v="-76"/>
    <n v="-41"/>
    <x v="450"/>
    <x v="1"/>
    <n v="249"/>
    <n v="664"/>
  </r>
  <r>
    <n v="951"/>
    <n v="211"/>
    <x v="4"/>
    <x v="0"/>
    <x v="3"/>
    <n v="59"/>
    <x v="1"/>
    <x v="2"/>
    <x v="9"/>
    <n v="191"/>
    <n v="451"/>
    <x v="3"/>
    <n v="200"/>
    <n v="140"/>
    <n v="410"/>
    <n v="83"/>
    <n v="451"/>
    <n v="191"/>
    <n v="0.42350332594235035"/>
    <n v="59"/>
    <n v="41"/>
    <n v="11"/>
    <x v="390"/>
    <x v="1"/>
    <n v="211"/>
    <n v="451"/>
  </r>
  <r>
    <n v="916"/>
    <n v="121"/>
    <x v="4"/>
    <x v="0"/>
    <x v="3"/>
    <n v="109"/>
    <x v="1"/>
    <x v="2"/>
    <x v="8"/>
    <n v="39"/>
    <n v="308"/>
    <x v="3"/>
    <n v="110"/>
    <n v="40"/>
    <n v="280"/>
    <n v="142"/>
    <n v="308"/>
    <n v="39"/>
    <n v="0.12662337662337661"/>
    <n v="109"/>
    <n v="28"/>
    <n v="11"/>
    <x v="451"/>
    <x v="0"/>
    <n v="121"/>
    <n v="308"/>
  </r>
  <r>
    <n v="760"/>
    <n v="81"/>
    <x v="4"/>
    <x v="0"/>
    <x v="3"/>
    <n v="22"/>
    <x v="0"/>
    <x v="0"/>
    <x v="10"/>
    <n v="125"/>
    <n v="211"/>
    <x v="3"/>
    <n v="70"/>
    <n v="80"/>
    <n v="180"/>
    <n v="33"/>
    <n v="211"/>
    <n v="125"/>
    <n v="0.59241706161137442"/>
    <n v="22"/>
    <n v="31"/>
    <n v="11"/>
    <x v="341"/>
    <x v="1"/>
    <n v="81"/>
    <n v="211"/>
  </r>
  <r>
    <n v="510"/>
    <n v="225"/>
    <x v="4"/>
    <x v="0"/>
    <x v="3"/>
    <n v="69"/>
    <x v="0"/>
    <x v="0"/>
    <x v="0"/>
    <n v="258"/>
    <n v="522"/>
    <x v="3"/>
    <n v="210"/>
    <n v="160"/>
    <n v="450"/>
    <n v="91"/>
    <n v="522"/>
    <n v="258"/>
    <n v="0.4942528735632184"/>
    <n v="69"/>
    <n v="72"/>
    <n v="15"/>
    <x v="274"/>
    <x v="1"/>
    <n v="225"/>
    <n v="522"/>
  </r>
  <r>
    <n v="805"/>
    <n v="118"/>
    <x v="4"/>
    <x v="0"/>
    <x v="3"/>
    <n v="33"/>
    <x v="0"/>
    <x v="1"/>
    <x v="2"/>
    <n v="190"/>
    <n v="309"/>
    <x v="3"/>
    <n v="80"/>
    <n v="110"/>
    <n v="210"/>
    <n v="44"/>
    <n v="309"/>
    <n v="190"/>
    <n v="0.61488673139158578"/>
    <n v="33"/>
    <n v="99"/>
    <n v="38"/>
    <x v="391"/>
    <x v="1"/>
    <n v="118"/>
    <n v="309"/>
  </r>
  <r>
    <n v="435"/>
    <n v="82"/>
    <x v="4"/>
    <x v="1"/>
    <x v="3"/>
    <n v="31"/>
    <x v="1"/>
    <x v="3"/>
    <x v="5"/>
    <n v="56"/>
    <n v="196"/>
    <x v="8"/>
    <n v="90"/>
    <n v="60"/>
    <n v="210"/>
    <n v="64"/>
    <n v="196"/>
    <n v="56"/>
    <n v="0.2857142857142857"/>
    <n v="31"/>
    <n v="-14"/>
    <n v="-8"/>
    <x v="213"/>
    <x v="0"/>
    <n v="82"/>
    <n v="196"/>
  </r>
  <r>
    <n v="509"/>
    <n v="94"/>
    <x v="4"/>
    <x v="1"/>
    <x v="3"/>
    <n v="85"/>
    <x v="1"/>
    <x v="3"/>
    <x v="5"/>
    <n v="24"/>
    <n v="239"/>
    <x v="14"/>
    <n v="110"/>
    <n v="40"/>
    <n v="260"/>
    <n v="114"/>
    <n v="239"/>
    <n v="24"/>
    <n v="0.100418410041841"/>
    <n v="85"/>
    <n v="-21"/>
    <n v="-16"/>
    <x v="396"/>
    <x v="0"/>
    <n v="94"/>
    <n v="239"/>
  </r>
  <r>
    <n v="971"/>
    <n v="181"/>
    <x v="4"/>
    <x v="1"/>
    <x v="3"/>
    <n v="50"/>
    <x v="1"/>
    <x v="2"/>
    <x v="4"/>
    <n v="160"/>
    <n v="387"/>
    <x v="11"/>
    <n v="170"/>
    <n v="120"/>
    <n v="350"/>
    <n v="74"/>
    <n v="387"/>
    <n v="160"/>
    <n v="0.41343669250645992"/>
    <n v="50"/>
    <n v="37"/>
    <n v="11"/>
    <x v="220"/>
    <x v="1"/>
    <n v="181"/>
    <n v="387"/>
  </r>
  <r>
    <n v="435"/>
    <n v="69"/>
    <x v="4"/>
    <x v="1"/>
    <x v="3"/>
    <n v="21"/>
    <x v="1"/>
    <x v="3"/>
    <x v="6"/>
    <n v="58"/>
    <n v="160"/>
    <x v="8"/>
    <n v="80"/>
    <n v="50"/>
    <n v="170"/>
    <n v="42"/>
    <n v="160"/>
    <n v="58"/>
    <n v="0.36249999999999999"/>
    <n v="21"/>
    <n v="-10"/>
    <n v="-11"/>
    <x v="452"/>
    <x v="0"/>
    <n v="69"/>
    <n v="160"/>
  </r>
  <r>
    <n v="541"/>
    <n v="53"/>
    <x v="4"/>
    <x v="1"/>
    <x v="3"/>
    <n v="17"/>
    <x v="1"/>
    <x v="3"/>
    <x v="7"/>
    <n v="21"/>
    <n v="136"/>
    <x v="11"/>
    <n v="60"/>
    <n v="40"/>
    <n v="150"/>
    <n v="61"/>
    <n v="136"/>
    <n v="21"/>
    <n v="0.15441176470588236"/>
    <n v="17"/>
    <n v="-14"/>
    <n v="-7"/>
    <x v="453"/>
    <x v="0"/>
    <n v="53"/>
    <n v="136"/>
  </r>
  <r>
    <n v="253"/>
    <n v="63"/>
    <x v="4"/>
    <x v="1"/>
    <x v="3"/>
    <n v="20"/>
    <x v="1"/>
    <x v="3"/>
    <x v="7"/>
    <n v="74"/>
    <n v="166"/>
    <x v="14"/>
    <n v="70"/>
    <n v="70"/>
    <n v="180"/>
    <n v="43"/>
    <n v="166"/>
    <n v="74"/>
    <n v="0.44578313253012047"/>
    <n v="20"/>
    <n v="-14"/>
    <n v="-7"/>
    <x v="454"/>
    <x v="0"/>
    <n v="63"/>
    <n v="166"/>
  </r>
  <r>
    <n v="775"/>
    <n v="15"/>
    <x v="4"/>
    <x v="1"/>
    <x v="3"/>
    <n v="4"/>
    <x v="1"/>
    <x v="2"/>
    <x v="8"/>
    <n v="13"/>
    <n v="42"/>
    <x v="7"/>
    <n v="10"/>
    <n v="10"/>
    <n v="30"/>
    <n v="15"/>
    <n v="42"/>
    <n v="13"/>
    <n v="0.30952380952380953"/>
    <n v="4"/>
    <n v="12"/>
    <n v="5"/>
    <x v="170"/>
    <x v="0"/>
    <n v="15"/>
    <n v="42"/>
  </r>
  <r>
    <n v="801"/>
    <n v="101"/>
    <x v="4"/>
    <x v="1"/>
    <x v="3"/>
    <n v="33"/>
    <x v="1"/>
    <x v="2"/>
    <x v="8"/>
    <n v="126"/>
    <n v="246"/>
    <x v="8"/>
    <n v="90"/>
    <n v="90"/>
    <n v="220"/>
    <n v="45"/>
    <n v="246"/>
    <n v="126"/>
    <n v="0.51219512195121952"/>
    <n v="33"/>
    <n v="26"/>
    <n v="11"/>
    <x v="279"/>
    <x v="1"/>
    <n v="101"/>
    <n v="246"/>
  </r>
  <r>
    <n v="702"/>
    <n v="121"/>
    <x v="4"/>
    <x v="1"/>
    <x v="3"/>
    <n v="109"/>
    <x v="0"/>
    <x v="0"/>
    <x v="10"/>
    <n v="39"/>
    <n v="308"/>
    <x v="7"/>
    <n v="110"/>
    <n v="20"/>
    <n v="260"/>
    <n v="142"/>
    <n v="308"/>
    <n v="39"/>
    <n v="0.12662337662337661"/>
    <n v="109"/>
    <n v="48"/>
    <n v="11"/>
    <x v="451"/>
    <x v="0"/>
    <n v="121"/>
    <n v="308"/>
  </r>
  <r>
    <n v="206"/>
    <n v="130"/>
    <x v="4"/>
    <x v="1"/>
    <x v="3"/>
    <n v="42"/>
    <x v="0"/>
    <x v="0"/>
    <x v="10"/>
    <n v="181"/>
    <n v="346"/>
    <x v="14"/>
    <n v="120"/>
    <n v="120"/>
    <n v="300"/>
    <n v="73"/>
    <n v="346"/>
    <n v="181"/>
    <n v="0.52312138728323698"/>
    <n v="42"/>
    <n v="46"/>
    <n v="10"/>
    <x v="292"/>
    <x v="1"/>
    <n v="130"/>
    <n v="346"/>
  </r>
  <r>
    <n v="702"/>
    <n v="173"/>
    <x v="4"/>
    <x v="1"/>
    <x v="3"/>
    <n v="57"/>
    <x v="0"/>
    <x v="0"/>
    <x v="0"/>
    <n v="205"/>
    <n v="439"/>
    <x v="7"/>
    <n v="160"/>
    <n v="130"/>
    <n v="380"/>
    <n v="101"/>
    <n v="439"/>
    <n v="205"/>
    <n v="0.46697038724373574"/>
    <n v="57"/>
    <n v="59"/>
    <n v="13"/>
    <x v="455"/>
    <x v="1"/>
    <n v="173"/>
    <n v="439"/>
  </r>
  <r>
    <n v="541"/>
    <n v="88"/>
    <x v="4"/>
    <x v="1"/>
    <x v="3"/>
    <n v="29"/>
    <x v="0"/>
    <x v="0"/>
    <x v="0"/>
    <n v="104"/>
    <n v="213"/>
    <x v="11"/>
    <n v="80"/>
    <n v="70"/>
    <n v="180"/>
    <n v="42"/>
    <n v="213"/>
    <n v="104"/>
    <n v="0.48826291079812206"/>
    <n v="29"/>
    <n v="33"/>
    <n v="8"/>
    <x v="395"/>
    <x v="1"/>
    <n v="88"/>
    <n v="213"/>
  </r>
  <r>
    <n v="775"/>
    <n v="113"/>
    <x v="4"/>
    <x v="1"/>
    <x v="3"/>
    <n v="36"/>
    <x v="0"/>
    <x v="0"/>
    <x v="1"/>
    <n v="159"/>
    <n v="296"/>
    <x v="7"/>
    <n v="100"/>
    <n v="100"/>
    <n v="250"/>
    <n v="58"/>
    <n v="296"/>
    <n v="159"/>
    <n v="0.53716216216216217"/>
    <n v="36"/>
    <n v="46"/>
    <n v="13"/>
    <x v="397"/>
    <x v="1"/>
    <n v="113"/>
    <n v="296"/>
  </r>
  <r>
    <n v="775"/>
    <n v="228"/>
    <x v="4"/>
    <x v="1"/>
    <x v="3"/>
    <n v="75"/>
    <x v="0"/>
    <x v="1"/>
    <x v="2"/>
    <n v="291"/>
    <n v="567"/>
    <x v="7"/>
    <n v="160"/>
    <n v="140"/>
    <n v="380"/>
    <n v="108"/>
    <n v="567"/>
    <n v="291"/>
    <n v="0.51322751322751325"/>
    <n v="75"/>
    <n v="187"/>
    <n v="68"/>
    <x v="393"/>
    <x v="1"/>
    <n v="228"/>
    <n v="567"/>
  </r>
  <r>
    <n v="702"/>
    <n v="211"/>
    <x v="4"/>
    <x v="1"/>
    <x v="3"/>
    <n v="59"/>
    <x v="0"/>
    <x v="1"/>
    <x v="11"/>
    <n v="190"/>
    <n v="451"/>
    <x v="7"/>
    <n v="150"/>
    <n v="80"/>
    <n v="300"/>
    <n v="84"/>
    <n v="451"/>
    <n v="190"/>
    <n v="0.42128603104212858"/>
    <n v="59"/>
    <n v="151"/>
    <n v="61"/>
    <x v="456"/>
    <x v="1"/>
    <n v="211"/>
    <n v="451"/>
  </r>
  <r>
    <n v="503"/>
    <n v="78"/>
    <x v="4"/>
    <x v="1"/>
    <x v="3"/>
    <n v="25"/>
    <x v="0"/>
    <x v="1"/>
    <x v="11"/>
    <n v="92"/>
    <n v="210"/>
    <x v="11"/>
    <n v="50"/>
    <n v="50"/>
    <n v="140"/>
    <n v="57"/>
    <n v="210"/>
    <n v="92"/>
    <n v="0.43809523809523809"/>
    <n v="25"/>
    <n v="70"/>
    <n v="28"/>
    <x v="276"/>
    <x v="0"/>
    <n v="78"/>
    <n v="210"/>
  </r>
  <r>
    <n v="775"/>
    <n v="245"/>
    <x v="4"/>
    <x v="1"/>
    <x v="3"/>
    <n v="93"/>
    <x v="0"/>
    <x v="1"/>
    <x v="3"/>
    <n v="-505"/>
    <n v="34"/>
    <x v="7"/>
    <n v="180"/>
    <n v="-280"/>
    <n v="0"/>
    <n v="127"/>
    <n v="34"/>
    <n v="-505"/>
    <n v="-14.852941176470589"/>
    <n v="93"/>
    <n v="34"/>
    <n v="65"/>
    <x v="457"/>
    <x v="0"/>
    <n v="245"/>
    <n v="34"/>
  </r>
  <r>
    <n v="971"/>
    <n v="102"/>
    <x v="4"/>
    <x v="1"/>
    <x v="3"/>
    <n v="31"/>
    <x v="0"/>
    <x v="1"/>
    <x v="3"/>
    <n v="132"/>
    <n v="261"/>
    <x v="11"/>
    <n v="70"/>
    <n v="70"/>
    <n v="170"/>
    <n v="54"/>
    <n v="261"/>
    <n v="132"/>
    <n v="0.50574712643678166"/>
    <n v="31"/>
    <n v="91"/>
    <n v="32"/>
    <x v="278"/>
    <x v="1"/>
    <n v="102"/>
    <n v="261"/>
  </r>
  <r>
    <n v="951"/>
    <n v="224"/>
    <x v="5"/>
    <x v="0"/>
    <x v="3"/>
    <n v="73"/>
    <x v="1"/>
    <x v="3"/>
    <x v="5"/>
    <n v="-221"/>
    <n v="205"/>
    <x v="3"/>
    <n v="260"/>
    <n v="-150"/>
    <n v="220"/>
    <n v="117"/>
    <n v="205"/>
    <n v="-221"/>
    <n v="-1.0780487804878049"/>
    <n v="73"/>
    <n v="-15"/>
    <n v="-36"/>
    <x v="458"/>
    <x v="0"/>
    <n v="224"/>
    <n v="205"/>
  </r>
  <r>
    <n v="209"/>
    <n v="247"/>
    <x v="5"/>
    <x v="0"/>
    <x v="3"/>
    <n v="81"/>
    <x v="1"/>
    <x v="2"/>
    <x v="4"/>
    <n v="321"/>
    <n v="614"/>
    <x v="3"/>
    <n v="240"/>
    <n v="210"/>
    <n v="550"/>
    <n v="113"/>
    <n v="614"/>
    <n v="321"/>
    <n v="0.5228013029315961"/>
    <n v="81"/>
    <n v="64"/>
    <n v="7"/>
    <x v="403"/>
    <x v="1"/>
    <n v="247"/>
    <n v="614"/>
  </r>
  <r>
    <n v="209"/>
    <n v="127"/>
    <x v="5"/>
    <x v="0"/>
    <x v="3"/>
    <n v="40"/>
    <x v="1"/>
    <x v="3"/>
    <x v="6"/>
    <n v="-131"/>
    <n v="109"/>
    <x v="3"/>
    <n v="150"/>
    <n v="-90"/>
    <n v="120"/>
    <n v="63"/>
    <n v="109"/>
    <n v="-131"/>
    <n v="-1.201834862385321"/>
    <n v="40"/>
    <n v="-11"/>
    <n v="-23"/>
    <x v="459"/>
    <x v="0"/>
    <n v="127"/>
    <n v="109"/>
  </r>
  <r>
    <n v="530"/>
    <n v="279"/>
    <x v="5"/>
    <x v="0"/>
    <x v="3"/>
    <n v="97"/>
    <x v="1"/>
    <x v="3"/>
    <x v="7"/>
    <n v="402"/>
    <n v="745"/>
    <x v="3"/>
    <n v="330"/>
    <n v="350"/>
    <n v="830"/>
    <n v="149"/>
    <n v="745"/>
    <n v="402"/>
    <n v="0.53959731543624156"/>
    <n v="97"/>
    <n v="-85"/>
    <n v="-51"/>
    <x v="346"/>
    <x v="1"/>
    <n v="279"/>
    <n v="745"/>
  </r>
  <r>
    <n v="949"/>
    <n v="250"/>
    <x v="5"/>
    <x v="0"/>
    <x v="3"/>
    <n v="70"/>
    <x v="1"/>
    <x v="2"/>
    <x v="9"/>
    <n v="233"/>
    <n v="534"/>
    <x v="3"/>
    <n v="240"/>
    <n v="160"/>
    <n v="480"/>
    <n v="94"/>
    <n v="534"/>
    <n v="233"/>
    <n v="0.43632958801498128"/>
    <n v="70"/>
    <n v="54"/>
    <n v="10"/>
    <x v="401"/>
    <x v="1"/>
    <n v="250"/>
    <n v="534"/>
  </r>
  <r>
    <n v="530"/>
    <n v="135"/>
    <x v="5"/>
    <x v="0"/>
    <x v="3"/>
    <n v="122"/>
    <x v="1"/>
    <x v="2"/>
    <x v="8"/>
    <n v="46"/>
    <n v="343"/>
    <x v="3"/>
    <n v="130"/>
    <n v="40"/>
    <n v="310"/>
    <n v="156"/>
    <n v="343"/>
    <n v="46"/>
    <n v="0.13411078717201166"/>
    <n v="122"/>
    <n v="33"/>
    <n v="5"/>
    <x v="460"/>
    <x v="0"/>
    <n v="135"/>
    <n v="343"/>
  </r>
  <r>
    <n v="916"/>
    <n v="86"/>
    <x v="5"/>
    <x v="0"/>
    <x v="3"/>
    <n v="24"/>
    <x v="0"/>
    <x v="0"/>
    <x v="10"/>
    <n v="132"/>
    <n v="224"/>
    <x v="3"/>
    <n v="80"/>
    <n v="80"/>
    <n v="190"/>
    <n v="35"/>
    <n v="224"/>
    <n v="132"/>
    <n v="0.5892857142857143"/>
    <n v="24"/>
    <n v="34"/>
    <n v="6"/>
    <x v="352"/>
    <x v="1"/>
    <n v="86"/>
    <n v="224"/>
  </r>
  <r>
    <n v="661"/>
    <n v="241"/>
    <x v="5"/>
    <x v="0"/>
    <x v="3"/>
    <n v="74"/>
    <x v="0"/>
    <x v="0"/>
    <x v="0"/>
    <n v="279"/>
    <n v="559"/>
    <x v="3"/>
    <n v="220"/>
    <n v="170"/>
    <n v="480"/>
    <n v="96"/>
    <n v="559"/>
    <n v="279"/>
    <n v="0.49910554561717352"/>
    <n v="74"/>
    <n v="79"/>
    <n v="21"/>
    <x v="281"/>
    <x v="1"/>
    <n v="241"/>
    <n v="559"/>
  </r>
  <r>
    <n v="323"/>
    <n v="123"/>
    <x v="5"/>
    <x v="0"/>
    <x v="3"/>
    <n v="34"/>
    <x v="0"/>
    <x v="1"/>
    <x v="2"/>
    <n v="199"/>
    <n v="322"/>
    <x v="3"/>
    <n v="90"/>
    <n v="110"/>
    <n v="220"/>
    <n v="45"/>
    <n v="322"/>
    <n v="199"/>
    <n v="0.61801242236024845"/>
    <n v="34"/>
    <n v="102"/>
    <n v="33"/>
    <x v="332"/>
    <x v="1"/>
    <n v="123"/>
    <n v="322"/>
  </r>
  <r>
    <n v="801"/>
    <n v="68"/>
    <x v="5"/>
    <x v="1"/>
    <x v="3"/>
    <n v="25"/>
    <x v="1"/>
    <x v="3"/>
    <x v="5"/>
    <n v="39"/>
    <n v="163"/>
    <x v="8"/>
    <n v="80"/>
    <n v="50"/>
    <n v="180"/>
    <n v="59"/>
    <n v="163"/>
    <n v="39"/>
    <n v="0.2392638036809816"/>
    <n v="25"/>
    <n v="-17"/>
    <n v="-12"/>
    <x v="249"/>
    <x v="0"/>
    <n v="68"/>
    <n v="163"/>
  </r>
  <r>
    <n v="206"/>
    <n v="105"/>
    <x v="5"/>
    <x v="1"/>
    <x v="3"/>
    <n v="95"/>
    <x v="1"/>
    <x v="3"/>
    <x v="5"/>
    <n v="30"/>
    <n v="266"/>
    <x v="14"/>
    <n v="120"/>
    <n v="50"/>
    <n v="290"/>
    <n v="125"/>
    <n v="266"/>
    <n v="30"/>
    <n v="0.11278195488721804"/>
    <n v="95"/>
    <n v="-24"/>
    <n v="-15"/>
    <x v="287"/>
    <x v="0"/>
    <n v="105"/>
    <n v="266"/>
  </r>
  <r>
    <n v="971"/>
    <n v="153"/>
    <x v="5"/>
    <x v="1"/>
    <x v="3"/>
    <n v="42"/>
    <x v="1"/>
    <x v="2"/>
    <x v="4"/>
    <n v="129"/>
    <n v="326"/>
    <x v="11"/>
    <n v="150"/>
    <n v="80"/>
    <n v="290"/>
    <n v="66"/>
    <n v="326"/>
    <n v="129"/>
    <n v="0.39570552147239263"/>
    <n v="42"/>
    <n v="36"/>
    <n v="3"/>
    <x v="150"/>
    <x v="1"/>
    <n v="153"/>
    <n v="326"/>
  </r>
  <r>
    <n v="360"/>
    <n v="80"/>
    <x v="5"/>
    <x v="1"/>
    <x v="3"/>
    <n v="24"/>
    <x v="1"/>
    <x v="2"/>
    <x v="4"/>
    <n v="76"/>
    <n v="188"/>
    <x v="14"/>
    <n v="70"/>
    <n v="60"/>
    <n v="170"/>
    <n v="45"/>
    <n v="188"/>
    <n v="76"/>
    <n v="0.40425531914893614"/>
    <n v="24"/>
    <n v="18"/>
    <n v="10"/>
    <x v="122"/>
    <x v="0"/>
    <n v="80"/>
    <n v="188"/>
  </r>
  <r>
    <n v="435"/>
    <n v="63"/>
    <x v="5"/>
    <x v="1"/>
    <x v="3"/>
    <n v="19"/>
    <x v="1"/>
    <x v="3"/>
    <x v="6"/>
    <n v="53"/>
    <n v="148"/>
    <x v="8"/>
    <n v="70"/>
    <n v="50"/>
    <n v="160"/>
    <n v="40"/>
    <n v="148"/>
    <n v="53"/>
    <n v="0.35810810810810811"/>
    <n v="19"/>
    <n v="-12"/>
    <n v="-7"/>
    <x v="113"/>
    <x v="0"/>
    <n v="63"/>
    <n v="148"/>
  </r>
  <r>
    <n v="360"/>
    <n v="72"/>
    <x v="5"/>
    <x v="1"/>
    <x v="3"/>
    <n v="23"/>
    <x v="1"/>
    <x v="3"/>
    <x v="7"/>
    <n v="86"/>
    <n v="188"/>
    <x v="14"/>
    <n v="80"/>
    <n v="80"/>
    <n v="200"/>
    <n v="46"/>
    <n v="188"/>
    <n v="86"/>
    <n v="0.45744680851063829"/>
    <n v="23"/>
    <n v="-12"/>
    <n v="-8"/>
    <x v="274"/>
    <x v="0"/>
    <n v="72"/>
    <n v="188"/>
  </r>
  <r>
    <n v="775"/>
    <n v="16"/>
    <x v="5"/>
    <x v="1"/>
    <x v="3"/>
    <n v="4"/>
    <x v="1"/>
    <x v="2"/>
    <x v="8"/>
    <n v="15"/>
    <n v="44"/>
    <x v="7"/>
    <n v="10"/>
    <n v="10"/>
    <n v="30"/>
    <n v="15"/>
    <n v="44"/>
    <n v="15"/>
    <n v="0.34090909090909088"/>
    <n v="4"/>
    <n v="14"/>
    <n v="6"/>
    <x v="110"/>
    <x v="0"/>
    <n v="16"/>
    <n v="44"/>
  </r>
  <r>
    <n v="435"/>
    <n v="94"/>
    <x v="5"/>
    <x v="1"/>
    <x v="3"/>
    <n v="31"/>
    <x v="1"/>
    <x v="2"/>
    <x v="8"/>
    <n v="114"/>
    <n v="228"/>
    <x v="8"/>
    <n v="90"/>
    <n v="70"/>
    <n v="200"/>
    <n v="43"/>
    <n v="228"/>
    <n v="114"/>
    <n v="0.5"/>
    <n v="31"/>
    <n v="28"/>
    <n v="4"/>
    <x v="286"/>
    <x v="1"/>
    <n v="94"/>
    <n v="228"/>
  </r>
  <r>
    <n v="702"/>
    <n v="135"/>
    <x v="5"/>
    <x v="1"/>
    <x v="3"/>
    <n v="122"/>
    <x v="0"/>
    <x v="0"/>
    <x v="10"/>
    <n v="47"/>
    <n v="343"/>
    <x v="7"/>
    <n v="120"/>
    <n v="30"/>
    <n v="290"/>
    <n v="155"/>
    <n v="343"/>
    <n v="47"/>
    <n v="0.13702623906705538"/>
    <n v="122"/>
    <n v="53"/>
    <n v="15"/>
    <x v="461"/>
    <x v="0"/>
    <n v="135"/>
    <n v="343"/>
  </r>
  <r>
    <n v="253"/>
    <n v="115"/>
    <x v="5"/>
    <x v="1"/>
    <x v="3"/>
    <n v="37"/>
    <x v="0"/>
    <x v="0"/>
    <x v="10"/>
    <n v="156"/>
    <n v="308"/>
    <x v="14"/>
    <n v="100"/>
    <n v="110"/>
    <n v="260"/>
    <n v="69"/>
    <n v="308"/>
    <n v="156"/>
    <n v="0.50649350649350644"/>
    <n v="37"/>
    <n v="48"/>
    <n v="15"/>
    <x v="293"/>
    <x v="1"/>
    <n v="115"/>
    <n v="308"/>
  </r>
  <r>
    <n v="702"/>
    <n v="224"/>
    <x v="5"/>
    <x v="1"/>
    <x v="3"/>
    <n v="73"/>
    <x v="0"/>
    <x v="0"/>
    <x v="0"/>
    <n v="288"/>
    <n v="569"/>
    <x v="7"/>
    <n v="210"/>
    <n v="170"/>
    <n v="490"/>
    <n v="116"/>
    <n v="569"/>
    <n v="288"/>
    <n v="0.5061511423550088"/>
    <n v="73"/>
    <n v="79"/>
    <n v="14"/>
    <x v="402"/>
    <x v="1"/>
    <n v="224"/>
    <n v="569"/>
  </r>
  <r>
    <n v="503"/>
    <n v="81"/>
    <x v="5"/>
    <x v="1"/>
    <x v="3"/>
    <n v="26"/>
    <x v="0"/>
    <x v="0"/>
    <x v="0"/>
    <n v="98"/>
    <n v="197"/>
    <x v="11"/>
    <n v="70"/>
    <n v="70"/>
    <n v="170"/>
    <n v="38"/>
    <n v="197"/>
    <n v="98"/>
    <n v="0.49746192893401014"/>
    <n v="26"/>
    <n v="27"/>
    <n v="11"/>
    <x v="283"/>
    <x v="0"/>
    <n v="81"/>
    <n v="197"/>
  </r>
  <r>
    <n v="775"/>
    <n v="127"/>
    <x v="5"/>
    <x v="1"/>
    <x v="3"/>
    <n v="40"/>
    <x v="0"/>
    <x v="0"/>
    <x v="1"/>
    <n v="181"/>
    <n v="332"/>
    <x v="7"/>
    <n v="120"/>
    <n v="120"/>
    <n v="290"/>
    <n v="63"/>
    <n v="332"/>
    <n v="181"/>
    <n v="0.54518072289156627"/>
    <n v="40"/>
    <n v="42"/>
    <n v="7"/>
    <x v="400"/>
    <x v="1"/>
    <n v="127"/>
    <n v="332"/>
  </r>
  <r>
    <n v="775"/>
    <n v="247"/>
    <x v="5"/>
    <x v="1"/>
    <x v="3"/>
    <n v="81"/>
    <x v="0"/>
    <x v="1"/>
    <x v="2"/>
    <n v="319"/>
    <n v="614"/>
    <x v="7"/>
    <n v="180"/>
    <n v="150"/>
    <n v="420"/>
    <n v="114"/>
    <n v="614"/>
    <n v="319"/>
    <n v="0.51954397394136809"/>
    <n v="81"/>
    <n v="194"/>
    <n v="67"/>
    <x v="462"/>
    <x v="1"/>
    <n v="247"/>
    <n v="614"/>
  </r>
  <r>
    <n v="775"/>
    <n v="250"/>
    <x v="5"/>
    <x v="1"/>
    <x v="3"/>
    <n v="70"/>
    <x v="0"/>
    <x v="1"/>
    <x v="11"/>
    <n v="233"/>
    <n v="534"/>
    <x v="7"/>
    <n v="180"/>
    <n v="100"/>
    <n v="360"/>
    <n v="94"/>
    <n v="534"/>
    <n v="233"/>
    <n v="0.43632958801498128"/>
    <n v="70"/>
    <n v="174"/>
    <n v="70"/>
    <x v="401"/>
    <x v="1"/>
    <n v="250"/>
    <n v="534"/>
  </r>
  <r>
    <n v="971"/>
    <n v="88"/>
    <x v="5"/>
    <x v="1"/>
    <x v="3"/>
    <n v="29"/>
    <x v="0"/>
    <x v="1"/>
    <x v="11"/>
    <n v="108"/>
    <n v="236"/>
    <x v="11"/>
    <n v="60"/>
    <n v="60"/>
    <n v="160"/>
    <n v="60"/>
    <n v="236"/>
    <n v="108"/>
    <n v="0.4576271186440678"/>
    <n v="29"/>
    <n v="76"/>
    <n v="28"/>
    <x v="344"/>
    <x v="1"/>
    <n v="88"/>
    <n v="236"/>
  </r>
  <r>
    <n v="775"/>
    <n v="294"/>
    <x v="5"/>
    <x v="1"/>
    <x v="3"/>
    <n v="111"/>
    <x v="0"/>
    <x v="1"/>
    <x v="3"/>
    <n v="-605"/>
    <n v="33"/>
    <x v="7"/>
    <n v="210"/>
    <n v="-320"/>
    <n v="0"/>
    <n v="145"/>
    <n v="33"/>
    <n v="-605"/>
    <n v="-18.333333333333332"/>
    <n v="111"/>
    <n v="33"/>
    <n v="84"/>
    <x v="463"/>
    <x v="0"/>
    <n v="294"/>
    <n v="33"/>
  </r>
  <r>
    <n v="503"/>
    <n v="134"/>
    <x v="5"/>
    <x v="1"/>
    <x v="3"/>
    <n v="41"/>
    <x v="0"/>
    <x v="1"/>
    <x v="3"/>
    <n v="180"/>
    <n v="341"/>
    <x v="11"/>
    <n v="90"/>
    <n v="100"/>
    <n v="230"/>
    <n v="65"/>
    <n v="341"/>
    <n v="180"/>
    <n v="0.52785923753665687"/>
    <n v="41"/>
    <n v="111"/>
    <n v="44"/>
    <x v="285"/>
    <x v="1"/>
    <n v="134"/>
    <n v="341"/>
  </r>
  <r>
    <n v="435"/>
    <n v="20"/>
    <x v="5"/>
    <x v="1"/>
    <x v="3"/>
    <n v="7"/>
    <x v="0"/>
    <x v="1"/>
    <x v="3"/>
    <n v="-22"/>
    <n v="48"/>
    <x v="8"/>
    <n v="10"/>
    <n v="0"/>
    <n v="30"/>
    <n v="40"/>
    <n v="48"/>
    <n v="-22"/>
    <n v="-0.45833333333333331"/>
    <n v="7"/>
    <n v="18"/>
    <n v="10"/>
    <x v="284"/>
    <x v="0"/>
    <n v="20"/>
    <n v="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x v="0"/>
    <n v="51"/>
    <x v="0"/>
    <x v="0"/>
    <x v="0"/>
    <x v="0"/>
    <x v="0"/>
    <x v="0"/>
    <x v="0"/>
    <x v="0"/>
    <x v="0"/>
    <x v="0"/>
    <n v="30"/>
    <n v="30"/>
    <n v="90"/>
    <n v="76"/>
    <x v="0"/>
    <x v="0"/>
    <x v="0"/>
    <x v="0"/>
    <n v="1.7"/>
    <n v="-35"/>
    <x v="0"/>
    <n v="30.166666666666668"/>
    <x v="0"/>
    <n v="-610"/>
    <n v="3496"/>
    <n v="-8.9094796863863144E-4"/>
    <s v="Oct-12"/>
    <x v="0"/>
    <n v="2.392156862745098"/>
  </r>
  <r>
    <x v="1"/>
    <n v="52"/>
    <x v="0"/>
    <x v="0"/>
    <x v="0"/>
    <x v="1"/>
    <x v="0"/>
    <x v="0"/>
    <x v="1"/>
    <x v="1"/>
    <x v="1"/>
    <x v="0"/>
    <n v="30"/>
    <n v="50"/>
    <n v="90"/>
    <n v="45"/>
    <x v="1"/>
    <x v="1"/>
    <x v="1"/>
    <x v="1"/>
    <n v="1.7333333333333334"/>
    <n v="-24"/>
    <x v="0"/>
    <n v="49.48"/>
    <x v="1"/>
    <n v="3198"/>
    <n v="765"/>
    <n v="1.2434241989478718E-2"/>
    <s v="Oct-12"/>
    <x v="1"/>
    <n v="2.3653846153846154"/>
  </r>
  <r>
    <x v="2"/>
    <n v="43"/>
    <x v="0"/>
    <x v="0"/>
    <x v="1"/>
    <x v="2"/>
    <x v="0"/>
    <x v="0"/>
    <x v="0"/>
    <x v="2"/>
    <x v="2"/>
    <x v="1"/>
    <n v="30"/>
    <n v="50"/>
    <n v="90"/>
    <n v="36"/>
    <x v="2"/>
    <x v="2"/>
    <x v="2"/>
    <x v="2"/>
    <n v="1.4333333333333333"/>
    <n v="-22"/>
    <x v="0"/>
    <n v="49.44"/>
    <x v="2"/>
    <n v="2996"/>
    <n v="468"/>
    <n v="2.0129403306973399E-2"/>
    <s v="Oct-12"/>
    <x v="1"/>
    <n v="2.4883720930232558"/>
  </r>
  <r>
    <x v="3"/>
    <n v="38"/>
    <x v="0"/>
    <x v="0"/>
    <x v="2"/>
    <x v="3"/>
    <x v="0"/>
    <x v="1"/>
    <x v="2"/>
    <x v="3"/>
    <x v="3"/>
    <x v="2"/>
    <n v="40"/>
    <n v="50"/>
    <n v="100"/>
    <n v="21"/>
    <x v="3"/>
    <x v="3"/>
    <x v="3"/>
    <x v="3"/>
    <n v="0.95"/>
    <n v="-15"/>
    <x v="0"/>
    <n v="49.3"/>
    <x v="3"/>
    <n v="3290"/>
    <n v="210"/>
    <n v="3.7234042553191488E-2"/>
    <s v="Oct-12"/>
    <x v="2"/>
    <n v="2.4736842105263159"/>
  </r>
  <r>
    <x v="4"/>
    <n v="72"/>
    <x v="0"/>
    <x v="0"/>
    <x v="3"/>
    <x v="4"/>
    <x v="0"/>
    <x v="1"/>
    <x v="3"/>
    <x v="4"/>
    <x v="4"/>
    <x v="3"/>
    <n v="20"/>
    <n v="50"/>
    <n v="80"/>
    <n v="54"/>
    <x v="4"/>
    <x v="4"/>
    <x v="4"/>
    <x v="4"/>
    <n v="3.6"/>
    <n v="6"/>
    <x v="0"/>
    <n v="48.88"/>
    <x v="4"/>
    <n v="10192"/>
    <n v="1242"/>
    <n v="1.3377926421404684E-2"/>
    <s v="Oct-12"/>
    <x v="3"/>
    <n v="2.5277777777777777"/>
  </r>
  <r>
    <x v="5"/>
    <n v="0"/>
    <x v="0"/>
    <x v="1"/>
    <x v="0"/>
    <x v="5"/>
    <x v="1"/>
    <x v="2"/>
    <x v="4"/>
    <x v="5"/>
    <x v="5"/>
    <x v="4"/>
    <n v="0"/>
    <n v="60"/>
    <n v="60"/>
    <n v="12"/>
    <x v="5"/>
    <x v="5"/>
    <x v="5"/>
    <x v="5"/>
    <e v="#DIV/0!"/>
    <n v="-29"/>
    <x v="0"/>
    <n v="59.483333333333334"/>
    <x v="5"/>
    <n v="1333"/>
    <e v="#DIV/0!"/>
    <e v="#DIV/0!"/>
    <s v="Oct-12"/>
    <x v="4"/>
    <e v="#DIV/0!"/>
  </r>
  <r>
    <x v="6"/>
    <n v="47"/>
    <x v="0"/>
    <x v="1"/>
    <x v="2"/>
    <x v="6"/>
    <x v="1"/>
    <x v="2"/>
    <x v="4"/>
    <x v="6"/>
    <x v="6"/>
    <x v="5"/>
    <n v="30"/>
    <n v="50"/>
    <n v="90"/>
    <n v="43"/>
    <x v="6"/>
    <x v="6"/>
    <x v="6"/>
    <x v="6"/>
    <n v="1.5666666666666667"/>
    <n v="-29"/>
    <x v="0"/>
    <n v="49.58"/>
    <x v="6"/>
    <n v="2331"/>
    <n v="645"/>
    <n v="1.2612612612612612E-2"/>
    <s v="Oct-12"/>
    <x v="1"/>
    <n v="2.3617021276595747"/>
  </r>
  <r>
    <x v="7"/>
    <n v="27"/>
    <x v="0"/>
    <x v="1"/>
    <x v="1"/>
    <x v="7"/>
    <x v="1"/>
    <x v="3"/>
    <x v="5"/>
    <x v="6"/>
    <x v="7"/>
    <x v="6"/>
    <n v="30"/>
    <n v="60"/>
    <n v="90"/>
    <n v="18"/>
    <x v="7"/>
    <x v="6"/>
    <x v="7"/>
    <x v="7"/>
    <n v="0.9"/>
    <n v="-39"/>
    <x v="0"/>
    <n v="59.65"/>
    <x v="7"/>
    <n v="1386"/>
    <n v="126"/>
    <n v="4.5454545454545456E-2"/>
    <s v="Oct-12"/>
    <x v="3"/>
    <n v="2.4444444444444446"/>
  </r>
  <r>
    <x v="8"/>
    <n v="31"/>
    <x v="0"/>
    <x v="1"/>
    <x v="3"/>
    <x v="8"/>
    <x v="1"/>
    <x v="3"/>
    <x v="5"/>
    <x v="7"/>
    <x v="8"/>
    <x v="7"/>
    <n v="30"/>
    <n v="50"/>
    <n v="90"/>
    <n v="30"/>
    <x v="8"/>
    <x v="7"/>
    <x v="8"/>
    <x v="8"/>
    <n v="1.0333333333333334"/>
    <n v="-43"/>
    <x v="0"/>
    <n v="49.86"/>
    <x v="8"/>
    <n v="476"/>
    <n v="270"/>
    <n v="1.1437908496732027E-2"/>
    <s v="Oct-12"/>
    <x v="1"/>
    <n v="2.193548387096774"/>
  </r>
  <r>
    <x v="9"/>
    <n v="40"/>
    <x v="0"/>
    <x v="1"/>
    <x v="3"/>
    <x v="9"/>
    <x v="1"/>
    <x v="2"/>
    <x v="4"/>
    <x v="8"/>
    <x v="9"/>
    <x v="8"/>
    <n v="20"/>
    <n v="60"/>
    <n v="80"/>
    <n v="22"/>
    <x v="9"/>
    <x v="8"/>
    <x v="9"/>
    <x v="9"/>
    <n v="2"/>
    <n v="-23"/>
    <x v="0"/>
    <n v="59.383333333333333"/>
    <x v="9"/>
    <n v="3663"/>
    <n v="242"/>
    <n v="3.3976124885215793E-2"/>
    <s v="Oct-12"/>
    <x v="5"/>
    <n v="2.4750000000000001"/>
  </r>
  <r>
    <x v="10"/>
    <n v="49"/>
    <x v="0"/>
    <x v="1"/>
    <x v="2"/>
    <x v="6"/>
    <x v="1"/>
    <x v="3"/>
    <x v="6"/>
    <x v="9"/>
    <x v="10"/>
    <x v="9"/>
    <n v="30"/>
    <n v="60"/>
    <n v="90"/>
    <n v="38"/>
    <x v="10"/>
    <x v="9"/>
    <x v="10"/>
    <x v="10"/>
    <n v="1.6333333333333333"/>
    <n v="-27"/>
    <x v="0"/>
    <n v="59.45"/>
    <x v="10"/>
    <n v="3960"/>
    <n v="570"/>
    <n v="1.8333333333333333E-2"/>
    <s v="Oct-12"/>
    <x v="3"/>
    <n v="2.4489795918367347"/>
  </r>
  <r>
    <x v="10"/>
    <n v="45"/>
    <x v="0"/>
    <x v="1"/>
    <x v="2"/>
    <x v="10"/>
    <x v="1"/>
    <x v="3"/>
    <x v="7"/>
    <x v="10"/>
    <x v="11"/>
    <x v="9"/>
    <n v="30"/>
    <n v="50"/>
    <n v="90"/>
    <n v="45"/>
    <x v="11"/>
    <x v="10"/>
    <x v="6"/>
    <x v="11"/>
    <n v="1.5"/>
    <n v="-26"/>
    <x v="0"/>
    <n v="49.52"/>
    <x v="11"/>
    <n v="2736"/>
    <n v="630"/>
    <n v="1.5037593984962405E-2"/>
    <s v="Oct-12"/>
    <x v="1"/>
    <n v="2.5333333333333332"/>
  </r>
  <r>
    <x v="10"/>
    <n v="45"/>
    <x v="0"/>
    <x v="1"/>
    <x v="2"/>
    <x v="11"/>
    <x v="1"/>
    <x v="2"/>
    <x v="8"/>
    <x v="11"/>
    <x v="12"/>
    <x v="9"/>
    <n v="30"/>
    <n v="30"/>
    <n v="90"/>
    <n v="71"/>
    <x v="12"/>
    <x v="11"/>
    <x v="11"/>
    <x v="12"/>
    <n v="1.5"/>
    <n v="-37"/>
    <x v="0"/>
    <n v="30.233333333333334"/>
    <x v="12"/>
    <n v="-763"/>
    <n v="2911"/>
    <n v="-1.5663459386887448E-3"/>
    <s v="Oct-12"/>
    <x v="0"/>
    <n v="2.4222222222222221"/>
  </r>
  <r>
    <x v="11"/>
    <n v="60"/>
    <x v="0"/>
    <x v="1"/>
    <x v="1"/>
    <x v="12"/>
    <x v="1"/>
    <x v="2"/>
    <x v="9"/>
    <x v="12"/>
    <x v="13"/>
    <x v="10"/>
    <n v="30"/>
    <n v="10"/>
    <n v="90"/>
    <n v="83"/>
    <x v="13"/>
    <x v="12"/>
    <x v="12"/>
    <x v="13"/>
    <n v="2"/>
    <n v="-9"/>
    <x v="0"/>
    <n v="9.9"/>
    <x v="13"/>
    <n v="144"/>
    <n v="4482"/>
    <n v="1.2860082304526747E-4"/>
    <s v="Oct-12"/>
    <x v="6"/>
    <n v="2.4"/>
  </r>
  <r>
    <x v="8"/>
    <n v="34"/>
    <x v="0"/>
    <x v="1"/>
    <x v="3"/>
    <x v="13"/>
    <x v="1"/>
    <x v="3"/>
    <x v="7"/>
    <x v="13"/>
    <x v="14"/>
    <x v="7"/>
    <n v="40"/>
    <n v="30"/>
    <n v="100"/>
    <n v="45"/>
    <x v="14"/>
    <x v="13"/>
    <x v="2"/>
    <x v="14"/>
    <n v="0.85"/>
    <n v="-32"/>
    <x v="0"/>
    <n v="30.066666666666666"/>
    <x v="14"/>
    <n v="-154"/>
    <n v="540"/>
    <n v="-2.1645021645021645E-3"/>
    <s v="Oct-12"/>
    <x v="7"/>
    <n v="2.2647058823529411"/>
  </r>
  <r>
    <x v="12"/>
    <n v="54"/>
    <x v="0"/>
    <x v="1"/>
    <x v="3"/>
    <x v="14"/>
    <x v="1"/>
    <x v="2"/>
    <x v="9"/>
    <x v="14"/>
    <x v="10"/>
    <x v="11"/>
    <n v="40"/>
    <n v="40"/>
    <n v="100"/>
    <n v="54"/>
    <x v="10"/>
    <x v="14"/>
    <x v="13"/>
    <x v="15"/>
    <n v="1.35"/>
    <n v="-28"/>
    <x v="0"/>
    <n v="39.700000000000003"/>
    <x v="15"/>
    <n v="1440"/>
    <n v="1080"/>
    <n v="5.0000000000000001E-3"/>
    <s v="Oct-12"/>
    <x v="0"/>
    <n v="2.2222222222222223"/>
  </r>
  <r>
    <x v="13"/>
    <n v="45"/>
    <x v="0"/>
    <x v="1"/>
    <x v="0"/>
    <x v="11"/>
    <x v="0"/>
    <x v="0"/>
    <x v="10"/>
    <x v="15"/>
    <x v="12"/>
    <x v="12"/>
    <n v="20"/>
    <n v="30"/>
    <n v="80"/>
    <n v="70"/>
    <x v="12"/>
    <x v="15"/>
    <x v="14"/>
    <x v="16"/>
    <n v="2.25"/>
    <n v="-36"/>
    <x v="0"/>
    <n v="30.2"/>
    <x v="16"/>
    <n v="-654"/>
    <n v="2870"/>
    <n v="-1.342582233161781E-3"/>
    <s v="Oct-12"/>
    <x v="2"/>
    <n v="2.4222222222222221"/>
  </r>
  <r>
    <x v="14"/>
    <n v="48"/>
    <x v="0"/>
    <x v="1"/>
    <x v="0"/>
    <x v="2"/>
    <x v="0"/>
    <x v="0"/>
    <x v="0"/>
    <x v="16"/>
    <x v="15"/>
    <x v="13"/>
    <n v="30"/>
    <n v="60"/>
    <n v="90"/>
    <n v="25"/>
    <x v="15"/>
    <x v="16"/>
    <x v="15"/>
    <x v="17"/>
    <n v="1.6"/>
    <n v="-15"/>
    <x v="0"/>
    <n v="59.25"/>
    <x v="17"/>
    <n v="5310"/>
    <n v="325"/>
    <n v="2.9335071707953065E-2"/>
    <s v="Oct-12"/>
    <x v="3"/>
    <n v="2.4583333333333335"/>
  </r>
  <r>
    <x v="15"/>
    <n v="49"/>
    <x v="0"/>
    <x v="1"/>
    <x v="3"/>
    <x v="6"/>
    <x v="0"/>
    <x v="0"/>
    <x v="10"/>
    <x v="9"/>
    <x v="10"/>
    <x v="8"/>
    <n v="30"/>
    <n v="60"/>
    <n v="90"/>
    <n v="38"/>
    <x v="10"/>
    <x v="9"/>
    <x v="10"/>
    <x v="10"/>
    <n v="1.6333333333333333"/>
    <n v="-27"/>
    <x v="0"/>
    <n v="59.45"/>
    <x v="10"/>
    <n v="3960"/>
    <n v="570"/>
    <n v="1.8333333333333333E-2"/>
    <s v="Oct-12"/>
    <x v="3"/>
    <n v="2.4489795918367347"/>
  </r>
  <r>
    <x v="16"/>
    <n v="48"/>
    <x v="0"/>
    <x v="1"/>
    <x v="3"/>
    <x v="2"/>
    <x v="0"/>
    <x v="0"/>
    <x v="0"/>
    <x v="17"/>
    <x v="16"/>
    <x v="14"/>
    <n v="30"/>
    <n v="60"/>
    <n v="90"/>
    <n v="24"/>
    <x v="16"/>
    <x v="17"/>
    <x v="16"/>
    <x v="18"/>
    <n v="1.6"/>
    <n v="-13"/>
    <x v="0"/>
    <n v="59.216666666666669"/>
    <x v="18"/>
    <n v="5593"/>
    <n v="312"/>
    <n v="3.0381383322559793E-2"/>
    <s v="Oct-12"/>
    <x v="3"/>
    <n v="2.4791666666666665"/>
  </r>
  <r>
    <x v="6"/>
    <n v="40"/>
    <x v="0"/>
    <x v="1"/>
    <x v="2"/>
    <x v="9"/>
    <x v="0"/>
    <x v="1"/>
    <x v="2"/>
    <x v="18"/>
    <x v="9"/>
    <x v="5"/>
    <n v="40"/>
    <n v="50"/>
    <n v="100"/>
    <n v="23"/>
    <x v="9"/>
    <x v="18"/>
    <x v="17"/>
    <x v="19"/>
    <n v="1"/>
    <n v="-14"/>
    <x v="0"/>
    <n v="49.28"/>
    <x v="19"/>
    <n v="3564"/>
    <n v="252.99999999999997"/>
    <n v="3.3057851239669422E-2"/>
    <s v="Oct-12"/>
    <x v="2"/>
    <n v="2.4750000000000001"/>
  </r>
  <r>
    <x v="17"/>
    <n v="82"/>
    <x v="0"/>
    <x v="1"/>
    <x v="3"/>
    <x v="15"/>
    <x v="0"/>
    <x v="1"/>
    <x v="11"/>
    <x v="19"/>
    <x v="17"/>
    <x v="11"/>
    <n v="30"/>
    <n v="50"/>
    <n v="90"/>
    <n v="59"/>
    <x v="17"/>
    <x v="19"/>
    <x v="18"/>
    <x v="20"/>
    <n v="2.7333333333333334"/>
    <n v="14"/>
    <x v="0"/>
    <n v="48.72"/>
    <x v="20"/>
    <n v="13120"/>
    <n v="1593"/>
    <n v="1.156278229448961E-2"/>
    <s v="Oct-12"/>
    <x v="1"/>
    <n v="2.5"/>
  </r>
  <r>
    <x v="17"/>
    <n v="91"/>
    <x v="0"/>
    <x v="1"/>
    <x v="3"/>
    <x v="16"/>
    <x v="0"/>
    <x v="1"/>
    <x v="3"/>
    <x v="20"/>
    <x v="18"/>
    <x v="11"/>
    <n v="40"/>
    <n v="50"/>
    <n v="100"/>
    <n v="51"/>
    <x v="18"/>
    <x v="20"/>
    <x v="19"/>
    <x v="21"/>
    <n v="2.2749999999999999"/>
    <n v="26"/>
    <x v="0"/>
    <n v="48.48"/>
    <x v="21"/>
    <n v="16568"/>
    <n v="1428"/>
    <n v="1.2450851900393186E-2"/>
    <s v="Oct-12"/>
    <x v="2"/>
    <n v="2.3956043956043955"/>
  </r>
  <r>
    <x v="18"/>
    <n v="40"/>
    <x v="1"/>
    <x v="0"/>
    <x v="1"/>
    <x v="2"/>
    <x v="1"/>
    <x v="3"/>
    <x v="5"/>
    <x v="1"/>
    <x v="19"/>
    <x v="1"/>
    <n v="40"/>
    <n v="40"/>
    <n v="100"/>
    <n v="26"/>
    <x v="19"/>
    <x v="1"/>
    <x v="20"/>
    <x v="22"/>
    <n v="1"/>
    <n v="-14"/>
    <x v="0"/>
    <n v="39.35"/>
    <x v="22"/>
    <n v="2392"/>
    <n v="338"/>
    <n v="2.1739130434782608E-2"/>
    <s v="Nov-12"/>
    <x v="0"/>
    <n v="2.2999999999999998"/>
  </r>
  <r>
    <x v="19"/>
    <n v="50"/>
    <x v="1"/>
    <x v="0"/>
    <x v="1"/>
    <x v="10"/>
    <x v="1"/>
    <x v="2"/>
    <x v="4"/>
    <x v="21"/>
    <x v="1"/>
    <x v="1"/>
    <n v="30"/>
    <n v="40"/>
    <n v="90"/>
    <n v="25"/>
    <x v="1"/>
    <x v="21"/>
    <x v="21"/>
    <x v="23"/>
    <n v="1.6666666666666667"/>
    <n v="8"/>
    <x v="0"/>
    <n v="38.799999999999997"/>
    <x v="23"/>
    <n v="5904"/>
    <n v="350"/>
    <n v="2.7874564459930314E-2"/>
    <s v="Nov-12"/>
    <x v="2"/>
    <n v="2.46"/>
  </r>
  <r>
    <x v="1"/>
    <n v="40"/>
    <x v="1"/>
    <x v="0"/>
    <x v="0"/>
    <x v="2"/>
    <x v="1"/>
    <x v="3"/>
    <x v="7"/>
    <x v="22"/>
    <x v="19"/>
    <x v="0"/>
    <n v="30"/>
    <n v="40"/>
    <n v="90"/>
    <n v="25"/>
    <x v="19"/>
    <x v="22"/>
    <x v="22"/>
    <x v="24"/>
    <n v="1.3333333333333333"/>
    <n v="-13"/>
    <x v="0"/>
    <n v="39.325000000000003"/>
    <x v="24"/>
    <n v="2484"/>
    <n v="325"/>
    <n v="2.2575250836120404E-2"/>
    <s v="Nov-12"/>
    <x v="2"/>
    <n v="2.2999999999999998"/>
  </r>
  <r>
    <x v="20"/>
    <n v="52"/>
    <x v="1"/>
    <x v="0"/>
    <x v="2"/>
    <x v="17"/>
    <x v="1"/>
    <x v="2"/>
    <x v="8"/>
    <x v="23"/>
    <x v="10"/>
    <x v="15"/>
    <n v="50"/>
    <n v="0"/>
    <n v="110"/>
    <n v="76"/>
    <x v="10"/>
    <x v="23"/>
    <x v="23"/>
    <x v="25"/>
    <n v="1.04"/>
    <n v="-8"/>
    <x v="0"/>
    <e v="#DIV/0!"/>
    <x v="25"/>
    <n v="-960"/>
    <n v="3572"/>
    <n v="-1.4184397163120566E-3"/>
    <s v="Nov-12"/>
    <x v="8"/>
    <n v="2.3076923076923075"/>
  </r>
  <r>
    <x v="21"/>
    <n v="75"/>
    <x v="1"/>
    <x v="0"/>
    <x v="2"/>
    <x v="4"/>
    <x v="0"/>
    <x v="0"/>
    <x v="1"/>
    <x v="24"/>
    <x v="20"/>
    <x v="2"/>
    <n v="50"/>
    <n v="30"/>
    <n v="110"/>
    <n v="45"/>
    <x v="20"/>
    <x v="24"/>
    <x v="24"/>
    <x v="26"/>
    <n v="1.5"/>
    <n v="14"/>
    <x v="0"/>
    <n v="28.533333333333335"/>
    <x v="26"/>
    <n v="7216"/>
    <n v="1035"/>
    <n v="1.166489925768823E-2"/>
    <s v="Nov-12"/>
    <x v="6"/>
    <n v="2.1866666666666665"/>
  </r>
  <r>
    <x v="22"/>
    <n v="46"/>
    <x v="1"/>
    <x v="0"/>
    <x v="1"/>
    <x v="10"/>
    <x v="0"/>
    <x v="0"/>
    <x v="0"/>
    <x v="5"/>
    <x v="11"/>
    <x v="1"/>
    <n v="40"/>
    <n v="30"/>
    <n v="100"/>
    <n v="37"/>
    <x v="11"/>
    <x v="5"/>
    <x v="25"/>
    <x v="27"/>
    <n v="1.1499999999999999"/>
    <n v="1"/>
    <x v="0"/>
    <n v="28.966666666666665"/>
    <x v="27"/>
    <n v="3534"/>
    <n v="518"/>
    <n v="1.942355889724311E-2"/>
    <s v="Nov-12"/>
    <x v="7"/>
    <n v="2.4782608695652173"/>
  </r>
  <r>
    <x v="23"/>
    <n v="55"/>
    <x v="1"/>
    <x v="0"/>
    <x v="0"/>
    <x v="14"/>
    <x v="0"/>
    <x v="1"/>
    <x v="2"/>
    <x v="25"/>
    <x v="21"/>
    <x v="0"/>
    <n v="40"/>
    <n v="20"/>
    <n v="100"/>
    <n v="54"/>
    <x v="21"/>
    <x v="25"/>
    <x v="26"/>
    <x v="28"/>
    <n v="1.375"/>
    <n v="-5"/>
    <x v="0"/>
    <n v="19.25"/>
    <x v="28"/>
    <n v="1860"/>
    <n v="1080"/>
    <n v="6.0483870967741934E-3"/>
    <s v="Nov-12"/>
    <x v="6"/>
    <n v="2.2545454545454544"/>
  </r>
  <r>
    <x v="24"/>
    <n v="50"/>
    <x v="1"/>
    <x v="0"/>
    <x v="0"/>
    <x v="10"/>
    <x v="0"/>
    <x v="1"/>
    <x v="2"/>
    <x v="21"/>
    <x v="1"/>
    <x v="16"/>
    <n v="40"/>
    <n v="40"/>
    <n v="100"/>
    <n v="25"/>
    <x v="1"/>
    <x v="21"/>
    <x v="21"/>
    <x v="23"/>
    <n v="1.25"/>
    <n v="8"/>
    <x v="0"/>
    <n v="38.799999999999997"/>
    <x v="23"/>
    <n v="5904"/>
    <n v="350"/>
    <n v="2.7874564459930314E-2"/>
    <s v="Nov-12"/>
    <x v="0"/>
    <n v="2.46"/>
  </r>
  <r>
    <x v="23"/>
    <n v="57"/>
    <x v="1"/>
    <x v="0"/>
    <x v="0"/>
    <x v="1"/>
    <x v="0"/>
    <x v="1"/>
    <x v="11"/>
    <x v="26"/>
    <x v="22"/>
    <x v="0"/>
    <n v="40"/>
    <n v="30"/>
    <n v="100"/>
    <n v="39"/>
    <x v="22"/>
    <x v="26"/>
    <x v="27"/>
    <x v="29"/>
    <n v="1.425"/>
    <n v="-1"/>
    <x v="0"/>
    <n v="29.033333333333335"/>
    <x v="29"/>
    <n v="3625"/>
    <n v="663"/>
    <n v="1.3647058823529411E-2"/>
    <s v="Nov-12"/>
    <x v="7"/>
    <n v="2.192982456140351"/>
  </r>
  <r>
    <x v="25"/>
    <n v="36"/>
    <x v="1"/>
    <x v="0"/>
    <x v="2"/>
    <x v="3"/>
    <x v="0"/>
    <x v="1"/>
    <x v="2"/>
    <x v="5"/>
    <x v="23"/>
    <x v="15"/>
    <n v="30"/>
    <n v="40"/>
    <n v="90"/>
    <n v="21"/>
    <x v="23"/>
    <x v="5"/>
    <x v="28"/>
    <x v="30"/>
    <n v="1.2"/>
    <n v="-9"/>
    <x v="0"/>
    <n v="39.225000000000001"/>
    <x v="30"/>
    <n v="2728"/>
    <n v="210"/>
    <n v="3.5227272727272725E-2"/>
    <s v="Nov-12"/>
    <x v="2"/>
    <n v="2.4444444444444446"/>
  </r>
  <r>
    <x v="26"/>
    <n v="33"/>
    <x v="1"/>
    <x v="1"/>
    <x v="0"/>
    <x v="8"/>
    <x v="1"/>
    <x v="2"/>
    <x v="4"/>
    <x v="22"/>
    <x v="24"/>
    <x v="12"/>
    <n v="40"/>
    <n v="50"/>
    <n v="100"/>
    <n v="21"/>
    <x v="24"/>
    <x v="22"/>
    <x v="29"/>
    <x v="7"/>
    <n v="0.82499999999999996"/>
    <n v="-23"/>
    <x v="0"/>
    <n v="49.46"/>
    <x v="31"/>
    <n v="2187"/>
    <n v="189"/>
    <n v="3.7037037037037035E-2"/>
    <s v="Nov-12"/>
    <x v="2"/>
    <n v="2.4545454545454546"/>
  </r>
  <r>
    <x v="27"/>
    <n v="31"/>
    <x v="1"/>
    <x v="1"/>
    <x v="1"/>
    <x v="18"/>
    <x v="1"/>
    <x v="3"/>
    <x v="5"/>
    <x v="2"/>
    <x v="25"/>
    <x v="10"/>
    <n v="30"/>
    <n v="50"/>
    <n v="90"/>
    <n v="19"/>
    <x v="25"/>
    <x v="2"/>
    <x v="30"/>
    <x v="3"/>
    <n v="1.0333333333333334"/>
    <n v="-22"/>
    <x v="0"/>
    <n v="49.44"/>
    <x v="32"/>
    <n v="2184"/>
    <n v="152"/>
    <n v="4.4871794871794872E-2"/>
    <s v="Nov-12"/>
    <x v="1"/>
    <n v="2.5161290322580645"/>
  </r>
  <r>
    <x v="28"/>
    <n v="36"/>
    <x v="1"/>
    <x v="1"/>
    <x v="1"/>
    <x v="3"/>
    <x v="1"/>
    <x v="3"/>
    <x v="5"/>
    <x v="27"/>
    <x v="23"/>
    <x v="6"/>
    <n v="40"/>
    <n v="40"/>
    <n v="100"/>
    <n v="22"/>
    <x v="23"/>
    <x v="27"/>
    <x v="31"/>
    <x v="7"/>
    <n v="0.9"/>
    <n v="-10"/>
    <x v="0"/>
    <n v="39.25"/>
    <x v="33"/>
    <n v="2640"/>
    <n v="220"/>
    <n v="3.4090909090909088E-2"/>
    <s v="Nov-12"/>
    <x v="0"/>
    <n v="2.4444444444444446"/>
  </r>
  <r>
    <x v="29"/>
    <n v="49"/>
    <x v="1"/>
    <x v="1"/>
    <x v="1"/>
    <x v="6"/>
    <x v="1"/>
    <x v="2"/>
    <x v="4"/>
    <x v="28"/>
    <x v="10"/>
    <x v="10"/>
    <n v="30"/>
    <n v="30"/>
    <n v="90"/>
    <n v="37"/>
    <x v="10"/>
    <x v="28"/>
    <x v="32"/>
    <x v="31"/>
    <n v="1.6333333333333333"/>
    <n v="4"/>
    <x v="0"/>
    <n v="28.866666666666667"/>
    <x v="34"/>
    <n v="4080"/>
    <n v="555"/>
    <n v="1.8888888888888889E-2"/>
    <s v="Nov-12"/>
    <x v="0"/>
    <n v="2.4489795918367347"/>
  </r>
  <r>
    <x v="14"/>
    <n v="54"/>
    <x v="1"/>
    <x v="1"/>
    <x v="0"/>
    <x v="14"/>
    <x v="1"/>
    <x v="3"/>
    <x v="6"/>
    <x v="29"/>
    <x v="26"/>
    <x v="13"/>
    <n v="50"/>
    <n v="20"/>
    <n v="110"/>
    <n v="53"/>
    <x v="26"/>
    <x v="29"/>
    <x v="33"/>
    <x v="32"/>
    <n v="1.08"/>
    <n v="-6"/>
    <x v="0"/>
    <n v="19.3"/>
    <x v="35"/>
    <n v="1694"/>
    <n v="1060"/>
    <n v="5.7851239669421484E-3"/>
    <s v="Nov-12"/>
    <x v="9"/>
    <n v="2.2407407407407409"/>
  </r>
  <r>
    <x v="10"/>
    <n v="46"/>
    <x v="1"/>
    <x v="1"/>
    <x v="2"/>
    <x v="10"/>
    <x v="1"/>
    <x v="3"/>
    <x v="6"/>
    <x v="27"/>
    <x v="27"/>
    <x v="9"/>
    <n v="40"/>
    <n v="40"/>
    <n v="100"/>
    <n v="37"/>
    <x v="27"/>
    <x v="27"/>
    <x v="25"/>
    <x v="33"/>
    <n v="1.1499999999999999"/>
    <n v="-10"/>
    <x v="0"/>
    <n v="39.25"/>
    <x v="36"/>
    <n v="3390"/>
    <n v="518"/>
    <n v="1.8963337547408345E-2"/>
    <s v="Nov-12"/>
    <x v="0"/>
    <n v="2.4565217391304346"/>
  </r>
  <r>
    <x v="10"/>
    <n v="43"/>
    <x v="1"/>
    <x v="1"/>
    <x v="2"/>
    <x v="10"/>
    <x v="1"/>
    <x v="3"/>
    <x v="7"/>
    <x v="30"/>
    <x v="12"/>
    <x v="9"/>
    <n v="30"/>
    <n v="30"/>
    <n v="90"/>
    <n v="46"/>
    <x v="12"/>
    <x v="30"/>
    <x v="34"/>
    <x v="34"/>
    <n v="1.4333333333333333"/>
    <n v="-10"/>
    <x v="0"/>
    <n v="29.333333333333332"/>
    <x v="37"/>
    <n v="2180"/>
    <n v="644"/>
    <n v="1.3106159895150722E-2"/>
    <s v="Nov-12"/>
    <x v="0"/>
    <n v="2.5348837209302326"/>
  </r>
  <r>
    <x v="10"/>
    <n v="44"/>
    <x v="1"/>
    <x v="1"/>
    <x v="2"/>
    <x v="19"/>
    <x v="1"/>
    <x v="2"/>
    <x v="8"/>
    <x v="23"/>
    <x v="28"/>
    <x v="9"/>
    <n v="40"/>
    <n v="10"/>
    <n v="100"/>
    <n v="70"/>
    <x v="28"/>
    <x v="23"/>
    <x v="35"/>
    <x v="35"/>
    <n v="1.1000000000000001"/>
    <n v="-18"/>
    <x v="0"/>
    <n v="10.8"/>
    <x v="38"/>
    <n v="-848"/>
    <n v="2800"/>
    <n v="-1.8867924528301887E-3"/>
    <s v="Nov-12"/>
    <x v="9"/>
    <n v="2.4090909090909092"/>
  </r>
  <r>
    <x v="29"/>
    <n v="53"/>
    <x v="1"/>
    <x v="1"/>
    <x v="1"/>
    <x v="20"/>
    <x v="1"/>
    <x v="2"/>
    <x v="8"/>
    <x v="31"/>
    <x v="29"/>
    <x v="10"/>
    <n v="40"/>
    <n v="30"/>
    <n v="100"/>
    <n v="39"/>
    <x v="29"/>
    <x v="31"/>
    <x v="36"/>
    <x v="36"/>
    <n v="1.325"/>
    <n v="19"/>
    <x v="0"/>
    <n v="28.366666666666667"/>
    <x v="39"/>
    <n v="6909"/>
    <n v="624"/>
    <n v="2.1719858156028369E-2"/>
    <s v="Nov-12"/>
    <x v="7"/>
    <n v="2.6603773584905661"/>
  </r>
  <r>
    <x v="16"/>
    <n v="54"/>
    <x v="1"/>
    <x v="1"/>
    <x v="3"/>
    <x v="14"/>
    <x v="1"/>
    <x v="2"/>
    <x v="8"/>
    <x v="32"/>
    <x v="26"/>
    <x v="14"/>
    <n v="50"/>
    <n v="20"/>
    <n v="110"/>
    <n v="54"/>
    <x v="26"/>
    <x v="32"/>
    <x v="13"/>
    <x v="37"/>
    <n v="1.08"/>
    <n v="-7"/>
    <x v="0"/>
    <n v="19.350000000000001"/>
    <x v="40"/>
    <n v="1573"/>
    <n v="1080"/>
    <n v="5.371900826446281E-3"/>
    <s v="Nov-12"/>
    <x v="9"/>
    <n v="2.2407407407407409"/>
  </r>
  <r>
    <x v="7"/>
    <n v="54"/>
    <x v="1"/>
    <x v="1"/>
    <x v="1"/>
    <x v="14"/>
    <x v="0"/>
    <x v="0"/>
    <x v="10"/>
    <x v="32"/>
    <x v="26"/>
    <x v="6"/>
    <n v="50"/>
    <n v="20"/>
    <n v="110"/>
    <n v="54"/>
    <x v="26"/>
    <x v="32"/>
    <x v="13"/>
    <x v="37"/>
    <n v="1.08"/>
    <n v="-7"/>
    <x v="0"/>
    <n v="19.350000000000001"/>
    <x v="40"/>
    <n v="1573"/>
    <n v="1080"/>
    <n v="5.371900826446281E-3"/>
    <s v="Nov-12"/>
    <x v="9"/>
    <n v="2.2407407407407409"/>
  </r>
  <r>
    <x v="15"/>
    <n v="46"/>
    <x v="1"/>
    <x v="1"/>
    <x v="3"/>
    <x v="10"/>
    <x v="0"/>
    <x v="0"/>
    <x v="10"/>
    <x v="27"/>
    <x v="27"/>
    <x v="8"/>
    <n v="40"/>
    <n v="30"/>
    <n v="100"/>
    <n v="37"/>
    <x v="27"/>
    <x v="27"/>
    <x v="25"/>
    <x v="33"/>
    <n v="1.1499999999999999"/>
    <n v="0"/>
    <x v="0"/>
    <n v="29"/>
    <x v="36"/>
    <n v="3390"/>
    <n v="518"/>
    <n v="1.8963337547408345E-2"/>
    <s v="Nov-12"/>
    <x v="7"/>
    <n v="2.4565217391304346"/>
  </r>
  <r>
    <x v="9"/>
    <n v="43"/>
    <x v="1"/>
    <x v="1"/>
    <x v="3"/>
    <x v="10"/>
    <x v="0"/>
    <x v="0"/>
    <x v="0"/>
    <x v="30"/>
    <x v="12"/>
    <x v="8"/>
    <n v="40"/>
    <n v="30"/>
    <n v="100"/>
    <n v="46"/>
    <x v="12"/>
    <x v="30"/>
    <x v="34"/>
    <x v="34"/>
    <n v="1.075"/>
    <n v="-10"/>
    <x v="0"/>
    <n v="29.333333333333332"/>
    <x v="37"/>
    <n v="2180"/>
    <n v="644"/>
    <n v="1.3106159895150722E-2"/>
    <s v="Nov-12"/>
    <x v="7"/>
    <n v="2.5348837209302326"/>
  </r>
  <r>
    <x v="30"/>
    <n v="47"/>
    <x v="1"/>
    <x v="1"/>
    <x v="3"/>
    <x v="2"/>
    <x v="0"/>
    <x v="0"/>
    <x v="0"/>
    <x v="24"/>
    <x v="30"/>
    <x v="14"/>
    <n v="40"/>
    <n v="40"/>
    <n v="100"/>
    <n v="24"/>
    <x v="30"/>
    <x v="24"/>
    <x v="37"/>
    <x v="38"/>
    <n v="1.175"/>
    <n v="4"/>
    <x v="0"/>
    <n v="38.9"/>
    <x v="41"/>
    <n v="5060"/>
    <n v="312"/>
    <n v="2.9431438127090301E-2"/>
    <s v="Nov-12"/>
    <x v="0"/>
    <n v="2.4468085106382977"/>
  </r>
  <r>
    <x v="31"/>
    <n v="36"/>
    <x v="1"/>
    <x v="1"/>
    <x v="2"/>
    <x v="3"/>
    <x v="0"/>
    <x v="1"/>
    <x v="3"/>
    <x v="9"/>
    <x v="31"/>
    <x v="5"/>
    <n v="30"/>
    <n v="40"/>
    <n v="90"/>
    <n v="21"/>
    <x v="31"/>
    <x v="9"/>
    <x v="28"/>
    <x v="39"/>
    <n v="1.2"/>
    <n v="-7"/>
    <x v="0"/>
    <n v="39.174999999999997"/>
    <x v="42"/>
    <n v="2970"/>
    <n v="210"/>
    <n v="3.6666666666666667E-2"/>
    <s v="Nov-12"/>
    <x v="2"/>
    <n v="2.5"/>
  </r>
  <r>
    <x v="32"/>
    <n v="61"/>
    <x v="1"/>
    <x v="1"/>
    <x v="3"/>
    <x v="21"/>
    <x v="0"/>
    <x v="1"/>
    <x v="3"/>
    <x v="12"/>
    <x v="32"/>
    <x v="14"/>
    <n v="40"/>
    <n v="0"/>
    <n v="100"/>
    <n v="85"/>
    <x v="32"/>
    <x v="12"/>
    <x v="38"/>
    <x v="40"/>
    <n v="1.5249999999999999"/>
    <n v="1"/>
    <x v="0"/>
    <e v="#DIV/0!"/>
    <x v="43"/>
    <n v="147"/>
    <n v="4675"/>
    <n v="1.2368583797155226E-4"/>
    <s v="Nov-12"/>
    <x v="10"/>
    <n v="2.4098360655737703"/>
  </r>
  <r>
    <x v="33"/>
    <n v="43"/>
    <x v="2"/>
    <x v="0"/>
    <x v="1"/>
    <x v="10"/>
    <x v="1"/>
    <x v="3"/>
    <x v="5"/>
    <x v="27"/>
    <x v="9"/>
    <x v="1"/>
    <n v="50"/>
    <n v="40"/>
    <n v="110"/>
    <n v="26"/>
    <x v="9"/>
    <x v="27"/>
    <x v="39"/>
    <x v="33"/>
    <n v="0.86"/>
    <n v="-10"/>
    <x v="0"/>
    <n v="39.25"/>
    <x v="44"/>
    <n v="2970"/>
    <n v="364"/>
    <n v="2.1645021645021644E-2"/>
    <s v="Dec-12"/>
    <x v="7"/>
    <n v="2.3023255813953489"/>
  </r>
  <r>
    <x v="34"/>
    <n v="54"/>
    <x v="2"/>
    <x v="0"/>
    <x v="1"/>
    <x v="6"/>
    <x v="1"/>
    <x v="2"/>
    <x v="4"/>
    <x v="33"/>
    <x v="33"/>
    <x v="1"/>
    <n v="40"/>
    <n v="40"/>
    <n v="100"/>
    <n v="27"/>
    <x v="33"/>
    <x v="33"/>
    <x v="40"/>
    <x v="41"/>
    <n v="1.35"/>
    <n v="12"/>
    <x v="0"/>
    <n v="38.700000000000003"/>
    <x v="45"/>
    <n v="6916"/>
    <n v="405"/>
    <n v="2.606516290726817E-2"/>
    <s v="Dec-12"/>
    <x v="0"/>
    <n v="2.4629629629629628"/>
  </r>
  <r>
    <x v="1"/>
    <n v="47"/>
    <x v="2"/>
    <x v="0"/>
    <x v="0"/>
    <x v="22"/>
    <x v="0"/>
    <x v="0"/>
    <x v="0"/>
    <x v="15"/>
    <x v="34"/>
    <x v="0"/>
    <n v="40"/>
    <n v="0"/>
    <n v="100"/>
    <n v="71"/>
    <x v="34"/>
    <x v="15"/>
    <x v="41"/>
    <x v="42"/>
    <n v="1.175"/>
    <n v="-6"/>
    <x v="0"/>
    <e v="#DIV/0!"/>
    <x v="46"/>
    <n v="-672"/>
    <n v="2982"/>
    <n v="-1.2755102040816326E-3"/>
    <s v="Dec-12"/>
    <x v="10"/>
    <n v="2.3829787234042552"/>
  </r>
  <r>
    <x v="0"/>
    <n v="54"/>
    <x v="2"/>
    <x v="0"/>
    <x v="0"/>
    <x v="1"/>
    <x v="0"/>
    <x v="0"/>
    <x v="1"/>
    <x v="26"/>
    <x v="35"/>
    <x v="0"/>
    <n v="50"/>
    <n v="30"/>
    <n v="110"/>
    <n v="44"/>
    <x v="35"/>
    <x v="26"/>
    <x v="42"/>
    <x v="29"/>
    <n v="1.08"/>
    <n v="-1"/>
    <x v="0"/>
    <n v="29.033333333333335"/>
    <x v="47"/>
    <n v="3683"/>
    <n v="748"/>
    <n v="1.3432144511347846E-2"/>
    <s v="Dec-12"/>
    <x v="6"/>
    <n v="2.3518518518518516"/>
  </r>
  <r>
    <x v="21"/>
    <n v="65"/>
    <x v="2"/>
    <x v="0"/>
    <x v="2"/>
    <x v="23"/>
    <x v="0"/>
    <x v="0"/>
    <x v="0"/>
    <x v="34"/>
    <x v="36"/>
    <x v="2"/>
    <n v="40"/>
    <n v="20"/>
    <n v="100"/>
    <n v="57"/>
    <x v="36"/>
    <x v="34"/>
    <x v="43"/>
    <x v="43"/>
    <n v="1.625"/>
    <n v="3"/>
    <x v="0"/>
    <n v="18.850000000000001"/>
    <x v="48"/>
    <n v="3335"/>
    <n v="1368"/>
    <n v="6.6091954022988505E-3"/>
    <s v="Dec-12"/>
    <x v="6"/>
    <n v="2.2307692307692308"/>
  </r>
  <r>
    <x v="35"/>
    <n v="80"/>
    <x v="2"/>
    <x v="0"/>
    <x v="2"/>
    <x v="23"/>
    <x v="0"/>
    <x v="0"/>
    <x v="1"/>
    <x v="35"/>
    <x v="37"/>
    <x v="2"/>
    <n v="60"/>
    <n v="30"/>
    <n v="120"/>
    <n v="46"/>
    <x v="37"/>
    <x v="35"/>
    <x v="4"/>
    <x v="44"/>
    <n v="1.3333333333333333"/>
    <n v="20"/>
    <x v="0"/>
    <n v="28.333333333333332"/>
    <x v="49"/>
    <n v="8800"/>
    <n v="1104"/>
    <n v="1.1837121212121214E-2"/>
    <s v="Dec-12"/>
    <x v="9"/>
    <n v="2.2000000000000002"/>
  </r>
  <r>
    <x v="36"/>
    <n v="54"/>
    <x v="2"/>
    <x v="0"/>
    <x v="1"/>
    <x v="1"/>
    <x v="0"/>
    <x v="0"/>
    <x v="10"/>
    <x v="2"/>
    <x v="35"/>
    <x v="1"/>
    <n v="50"/>
    <n v="30"/>
    <n v="110"/>
    <n v="45"/>
    <x v="35"/>
    <x v="2"/>
    <x v="44"/>
    <x v="45"/>
    <n v="1.08"/>
    <n v="-2"/>
    <x v="0"/>
    <n v="29.066666666666666"/>
    <x v="50"/>
    <n v="3556"/>
    <n v="765"/>
    <n v="1.2968967114404817E-2"/>
    <s v="Dec-12"/>
    <x v="6"/>
    <n v="2.3518518518518516"/>
  </r>
  <r>
    <x v="34"/>
    <n v="41"/>
    <x v="2"/>
    <x v="0"/>
    <x v="1"/>
    <x v="2"/>
    <x v="0"/>
    <x v="0"/>
    <x v="0"/>
    <x v="10"/>
    <x v="38"/>
    <x v="1"/>
    <n v="30"/>
    <n v="30"/>
    <n v="90"/>
    <n v="36"/>
    <x v="38"/>
    <x v="10"/>
    <x v="45"/>
    <x v="46"/>
    <n v="1.3666666666666667"/>
    <n v="-6"/>
    <x v="0"/>
    <n v="29.2"/>
    <x v="51"/>
    <n v="2424"/>
    <n v="468"/>
    <n v="1.827875095201828E-2"/>
    <s v="Dec-12"/>
    <x v="0"/>
    <n v="2.4634146341463414"/>
  </r>
  <r>
    <x v="37"/>
    <n v="54"/>
    <x v="2"/>
    <x v="0"/>
    <x v="3"/>
    <x v="6"/>
    <x v="0"/>
    <x v="1"/>
    <x v="11"/>
    <x v="36"/>
    <x v="33"/>
    <x v="3"/>
    <n v="30"/>
    <n v="50"/>
    <n v="90"/>
    <n v="26"/>
    <x v="33"/>
    <x v="36"/>
    <x v="46"/>
    <x v="47"/>
    <n v="1.8"/>
    <n v="3"/>
    <x v="0"/>
    <n v="48.94"/>
    <x v="52"/>
    <n v="7049"/>
    <n v="390"/>
    <n v="2.6566416040100248E-2"/>
    <s v="Dec-12"/>
    <x v="1"/>
    <n v="2.4629629629629628"/>
  </r>
  <r>
    <x v="26"/>
    <n v="31"/>
    <x v="2"/>
    <x v="1"/>
    <x v="0"/>
    <x v="18"/>
    <x v="1"/>
    <x v="2"/>
    <x v="4"/>
    <x v="22"/>
    <x v="14"/>
    <x v="12"/>
    <n v="30"/>
    <n v="50"/>
    <n v="90"/>
    <n v="19"/>
    <x v="14"/>
    <x v="22"/>
    <x v="30"/>
    <x v="48"/>
    <n v="1.0333333333333334"/>
    <n v="-23"/>
    <x v="0"/>
    <n v="49.46"/>
    <x v="53"/>
    <n v="2079"/>
    <n v="152"/>
    <n v="4.3831168831168832E-2"/>
    <s v="Dec-12"/>
    <x v="1"/>
    <n v="2.4838709677419355"/>
  </r>
  <r>
    <x v="29"/>
    <n v="34"/>
    <x v="2"/>
    <x v="1"/>
    <x v="1"/>
    <x v="8"/>
    <x v="1"/>
    <x v="3"/>
    <x v="5"/>
    <x v="5"/>
    <x v="39"/>
    <x v="10"/>
    <n v="40"/>
    <n v="50"/>
    <n v="100"/>
    <n v="20"/>
    <x v="39"/>
    <x v="5"/>
    <x v="29"/>
    <x v="49"/>
    <n v="0.85"/>
    <n v="-19"/>
    <x v="0"/>
    <n v="49.38"/>
    <x v="54"/>
    <n v="2635"/>
    <n v="180"/>
    <n v="4.0522875816993466E-2"/>
    <s v="Dec-12"/>
    <x v="2"/>
    <n v="2.5"/>
  </r>
  <r>
    <x v="28"/>
    <n v="33"/>
    <x v="2"/>
    <x v="1"/>
    <x v="1"/>
    <x v="8"/>
    <x v="1"/>
    <x v="3"/>
    <x v="5"/>
    <x v="2"/>
    <x v="40"/>
    <x v="6"/>
    <n v="30"/>
    <n v="50"/>
    <n v="90"/>
    <n v="21"/>
    <x v="40"/>
    <x v="2"/>
    <x v="29"/>
    <x v="50"/>
    <n v="1.1000000000000001"/>
    <n v="-22"/>
    <x v="0"/>
    <n v="49.44"/>
    <x v="55"/>
    <n v="2296"/>
    <n v="189"/>
    <n v="3.7940379403794036E-2"/>
    <s v="Dec-12"/>
    <x v="1"/>
    <n v="2.4848484848484849"/>
  </r>
  <r>
    <x v="10"/>
    <n v="48"/>
    <x v="2"/>
    <x v="1"/>
    <x v="2"/>
    <x v="6"/>
    <x v="1"/>
    <x v="3"/>
    <x v="7"/>
    <x v="2"/>
    <x v="0"/>
    <x v="9"/>
    <n v="40"/>
    <n v="30"/>
    <n v="100"/>
    <n v="46"/>
    <x v="0"/>
    <x v="2"/>
    <x v="47"/>
    <x v="51"/>
    <n v="1.2"/>
    <n v="-2"/>
    <x v="0"/>
    <n v="29.066666666666666"/>
    <x v="56"/>
    <n v="3416"/>
    <n v="690"/>
    <n v="1.5300546448087432E-2"/>
    <s v="Dec-12"/>
    <x v="7"/>
    <n v="2.5416666666666665"/>
  </r>
  <r>
    <x v="38"/>
    <n v="55"/>
    <x v="2"/>
    <x v="1"/>
    <x v="1"/>
    <x v="24"/>
    <x v="1"/>
    <x v="2"/>
    <x v="9"/>
    <x v="37"/>
    <x v="41"/>
    <x v="10"/>
    <n v="40"/>
    <n v="0"/>
    <n v="100"/>
    <n v="79"/>
    <x v="41"/>
    <x v="37"/>
    <x v="48"/>
    <x v="52"/>
    <n v="1.375"/>
    <n v="-3"/>
    <x v="0"/>
    <e v="#DIV/0!"/>
    <x v="57"/>
    <n v="-393"/>
    <n v="3871"/>
    <n v="-4.6736251752609438E-4"/>
    <s v="Dec-12"/>
    <x v="10"/>
    <n v="2.3818181818181818"/>
  </r>
  <r>
    <x v="39"/>
    <n v="49"/>
    <x v="2"/>
    <x v="1"/>
    <x v="1"/>
    <x v="25"/>
    <x v="1"/>
    <x v="2"/>
    <x v="8"/>
    <x v="0"/>
    <x v="15"/>
    <x v="17"/>
    <n v="30"/>
    <n v="10"/>
    <n v="90"/>
    <n v="74"/>
    <x v="15"/>
    <x v="0"/>
    <x v="49"/>
    <x v="53"/>
    <n v="1.6333333333333333"/>
    <n v="-15"/>
    <x v="0"/>
    <n v="10.5"/>
    <x v="58"/>
    <n v="-590"/>
    <n v="3256"/>
    <n v="-9.6302003081664099E-4"/>
    <s v="Dec-12"/>
    <x v="6"/>
    <n v="2.4081632653061225"/>
  </r>
  <r>
    <x v="8"/>
    <n v="39"/>
    <x v="2"/>
    <x v="1"/>
    <x v="3"/>
    <x v="10"/>
    <x v="1"/>
    <x v="3"/>
    <x v="7"/>
    <x v="12"/>
    <x v="23"/>
    <x v="7"/>
    <n v="40"/>
    <n v="20"/>
    <n v="100"/>
    <n v="48"/>
    <x v="23"/>
    <x v="12"/>
    <x v="10"/>
    <x v="54"/>
    <n v="0.97499999999999998"/>
    <n v="-19"/>
    <x v="0"/>
    <n v="19.95"/>
    <x v="59"/>
    <n v="88"/>
    <n v="672"/>
    <n v="8.1168831168831163E-4"/>
    <s v="Dec-12"/>
    <x v="6"/>
    <n v="2.2564102564102564"/>
  </r>
  <r>
    <x v="40"/>
    <n v="49"/>
    <x v="2"/>
    <x v="1"/>
    <x v="0"/>
    <x v="25"/>
    <x v="0"/>
    <x v="0"/>
    <x v="10"/>
    <x v="0"/>
    <x v="15"/>
    <x v="12"/>
    <n v="40"/>
    <n v="0"/>
    <n v="100"/>
    <n v="74"/>
    <x v="15"/>
    <x v="0"/>
    <x v="49"/>
    <x v="53"/>
    <n v="1.2250000000000001"/>
    <n v="-5"/>
    <x v="0"/>
    <e v="#DIV/0!"/>
    <x v="58"/>
    <n v="-590"/>
    <n v="3256"/>
    <n v="-9.6302003081664099E-4"/>
    <s v="Dec-12"/>
    <x v="10"/>
    <n v="2.4081632653061225"/>
  </r>
  <r>
    <x v="41"/>
    <n v="41"/>
    <x v="2"/>
    <x v="1"/>
    <x v="0"/>
    <x v="13"/>
    <x v="0"/>
    <x v="0"/>
    <x v="10"/>
    <x v="27"/>
    <x v="2"/>
    <x v="13"/>
    <n v="30"/>
    <n v="30"/>
    <n v="90"/>
    <n v="36"/>
    <x v="2"/>
    <x v="27"/>
    <x v="45"/>
    <x v="55"/>
    <n v="1.3666666666666667"/>
    <n v="0"/>
    <x v="0"/>
    <n v="29"/>
    <x v="11"/>
    <n v="3210"/>
    <n v="432"/>
    <n v="2.336448598130841E-2"/>
    <s v="Dec-12"/>
    <x v="0"/>
    <n v="2.6097560975609757"/>
  </r>
  <r>
    <x v="13"/>
    <n v="92"/>
    <x v="2"/>
    <x v="1"/>
    <x v="0"/>
    <x v="16"/>
    <x v="0"/>
    <x v="0"/>
    <x v="0"/>
    <x v="38"/>
    <x v="42"/>
    <x v="12"/>
    <n v="80"/>
    <n v="20"/>
    <n v="140"/>
    <n v="52"/>
    <x v="42"/>
    <x v="38"/>
    <x v="50"/>
    <x v="56"/>
    <n v="1.1499999999999999"/>
    <n v="-4"/>
    <x v="0"/>
    <n v="19.2"/>
    <x v="60"/>
    <n v="2560"/>
    <n v="1456"/>
    <n v="3.5714285714285713E-3"/>
    <s v="Dec-12"/>
    <x v="11"/>
    <n v="1.7391304347826086"/>
  </r>
  <r>
    <x v="42"/>
    <n v="68"/>
    <x v="2"/>
    <x v="1"/>
    <x v="2"/>
    <x v="26"/>
    <x v="0"/>
    <x v="0"/>
    <x v="0"/>
    <x v="22"/>
    <x v="43"/>
    <x v="5"/>
    <n v="50"/>
    <n v="20"/>
    <n v="110"/>
    <n v="58"/>
    <x v="43"/>
    <x v="22"/>
    <x v="4"/>
    <x v="57"/>
    <n v="1.36"/>
    <n v="7"/>
    <x v="0"/>
    <n v="18.649999999999999"/>
    <x v="61"/>
    <n v="4131"/>
    <n v="1450"/>
    <n v="7.058823529411765E-3"/>
    <s v="Dec-12"/>
    <x v="9"/>
    <n v="2.25"/>
  </r>
  <r>
    <x v="42"/>
    <n v="63"/>
    <x v="2"/>
    <x v="1"/>
    <x v="2"/>
    <x v="27"/>
    <x v="0"/>
    <x v="0"/>
    <x v="1"/>
    <x v="18"/>
    <x v="44"/>
    <x v="5"/>
    <n v="40"/>
    <n v="40"/>
    <n v="100"/>
    <n v="40"/>
    <x v="44"/>
    <x v="18"/>
    <x v="51"/>
    <x v="58"/>
    <n v="1.575"/>
    <n v="-4"/>
    <x v="0"/>
    <n v="39.1"/>
    <x v="62"/>
    <n v="5004"/>
    <n v="760"/>
    <n v="1.3631200302915562E-2"/>
    <s v="Dec-12"/>
    <x v="0"/>
    <n v="2.2063492063492065"/>
  </r>
  <r>
    <x v="9"/>
    <n v="92"/>
    <x v="2"/>
    <x v="1"/>
    <x v="3"/>
    <x v="16"/>
    <x v="0"/>
    <x v="0"/>
    <x v="1"/>
    <x v="39"/>
    <x v="42"/>
    <x v="8"/>
    <n v="80"/>
    <n v="20"/>
    <n v="140"/>
    <n v="51"/>
    <x v="42"/>
    <x v="39"/>
    <x v="12"/>
    <x v="59"/>
    <n v="1.1499999999999999"/>
    <n v="-3"/>
    <x v="0"/>
    <n v="19.149999999999999"/>
    <x v="63"/>
    <n v="2720"/>
    <n v="1428"/>
    <n v="3.7946428571428567E-3"/>
    <s v="Dec-12"/>
    <x v="11"/>
    <n v="1.7391304347826086"/>
  </r>
  <r>
    <x v="41"/>
    <n v="55"/>
    <x v="2"/>
    <x v="1"/>
    <x v="0"/>
    <x v="24"/>
    <x v="0"/>
    <x v="1"/>
    <x v="11"/>
    <x v="37"/>
    <x v="41"/>
    <x v="13"/>
    <n v="40"/>
    <n v="0"/>
    <n v="100"/>
    <n v="79"/>
    <x v="41"/>
    <x v="37"/>
    <x v="48"/>
    <x v="52"/>
    <n v="1.375"/>
    <n v="-3"/>
    <x v="0"/>
    <e v="#DIV/0!"/>
    <x v="57"/>
    <n v="-393"/>
    <n v="3871"/>
    <n v="-4.6736251752609438E-4"/>
    <s v="Dec-12"/>
    <x v="10"/>
    <n v="2.3818181818181818"/>
  </r>
  <r>
    <x v="43"/>
    <n v="51"/>
    <x v="3"/>
    <x v="0"/>
    <x v="0"/>
    <x v="0"/>
    <x v="0"/>
    <x v="0"/>
    <x v="0"/>
    <x v="11"/>
    <x v="45"/>
    <x v="0"/>
    <n v="30"/>
    <n v="30"/>
    <n v="90"/>
    <n v="76"/>
    <x v="45"/>
    <x v="11"/>
    <x v="52"/>
    <x v="60"/>
    <n v="1.7"/>
    <n v="-37"/>
    <x v="0"/>
    <n v="30.233333333333334"/>
    <x v="64"/>
    <n v="-910"/>
    <n v="3496"/>
    <n v="-1.1705685618729098E-3"/>
    <s v="Oct-13"/>
    <x v="0"/>
    <n v="2.5490196078431371"/>
  </r>
  <r>
    <x v="1"/>
    <n v="52"/>
    <x v="3"/>
    <x v="0"/>
    <x v="0"/>
    <x v="1"/>
    <x v="0"/>
    <x v="0"/>
    <x v="1"/>
    <x v="40"/>
    <x v="41"/>
    <x v="0"/>
    <n v="30"/>
    <n v="50"/>
    <n v="90"/>
    <n v="45"/>
    <x v="41"/>
    <x v="40"/>
    <x v="36"/>
    <x v="61"/>
    <n v="1.7333333333333334"/>
    <n v="-11"/>
    <x v="0"/>
    <n v="49.22"/>
    <x v="65"/>
    <n v="5109"/>
    <n v="765"/>
    <n v="1.7512348450830714E-2"/>
    <s v="Oct-13"/>
    <x v="1"/>
    <n v="2.5192307692307692"/>
  </r>
  <r>
    <x v="44"/>
    <n v="43"/>
    <x v="3"/>
    <x v="0"/>
    <x v="1"/>
    <x v="2"/>
    <x v="0"/>
    <x v="0"/>
    <x v="0"/>
    <x v="41"/>
    <x v="11"/>
    <x v="1"/>
    <n v="30"/>
    <n v="50"/>
    <n v="90"/>
    <n v="36"/>
    <x v="11"/>
    <x v="41"/>
    <x v="16"/>
    <x v="62"/>
    <n v="1.4333333333333333"/>
    <n v="-8"/>
    <x v="0"/>
    <n v="49.16"/>
    <x v="66"/>
    <n v="4788"/>
    <n v="468"/>
    <n v="2.8340080971659919E-2"/>
    <s v="Oct-13"/>
    <x v="1"/>
    <n v="2.6511627906976742"/>
  </r>
  <r>
    <x v="35"/>
    <n v="38"/>
    <x v="3"/>
    <x v="0"/>
    <x v="2"/>
    <x v="3"/>
    <x v="0"/>
    <x v="1"/>
    <x v="2"/>
    <x v="33"/>
    <x v="46"/>
    <x v="2"/>
    <n v="40"/>
    <n v="50"/>
    <n v="100"/>
    <n v="21"/>
    <x v="46"/>
    <x v="33"/>
    <x v="53"/>
    <x v="63"/>
    <n v="0.95"/>
    <n v="2"/>
    <x v="0"/>
    <n v="48.96"/>
    <x v="67"/>
    <n v="5200"/>
    <n v="210"/>
    <n v="5.2000000000000005E-2"/>
    <s v="Oct-13"/>
    <x v="2"/>
    <n v="2.6315789473684212"/>
  </r>
  <r>
    <x v="45"/>
    <n v="72"/>
    <x v="3"/>
    <x v="0"/>
    <x v="3"/>
    <x v="4"/>
    <x v="0"/>
    <x v="1"/>
    <x v="3"/>
    <x v="42"/>
    <x v="47"/>
    <x v="3"/>
    <n v="20"/>
    <n v="50"/>
    <n v="80"/>
    <n v="54"/>
    <x v="47"/>
    <x v="42"/>
    <x v="54"/>
    <x v="64"/>
    <n v="3.6"/>
    <n v="33"/>
    <x v="0"/>
    <n v="48.34"/>
    <x v="68"/>
    <n v="16102"/>
    <n v="1242"/>
    <n v="1.8601523980277902E-2"/>
    <s v="Oct-13"/>
    <x v="3"/>
    <n v="2.6944444444444446"/>
  </r>
  <r>
    <x v="46"/>
    <n v="0"/>
    <x v="3"/>
    <x v="1"/>
    <x v="0"/>
    <x v="5"/>
    <x v="1"/>
    <x v="2"/>
    <x v="4"/>
    <x v="43"/>
    <x v="48"/>
    <x v="4"/>
    <n v="0"/>
    <n v="60"/>
    <n v="60"/>
    <n v="12"/>
    <x v="48"/>
    <x v="43"/>
    <x v="55"/>
    <x v="5"/>
    <e v="#DIV/0!"/>
    <n v="-14"/>
    <x v="0"/>
    <n v="59.233333333333334"/>
    <x v="69"/>
    <n v="2116"/>
    <e v="#DIV/0!"/>
    <e v="#DIV/0!"/>
    <s v="Oct-13"/>
    <x v="4"/>
    <e v="#DIV/0!"/>
  </r>
  <r>
    <x v="31"/>
    <n v="47"/>
    <x v="3"/>
    <x v="1"/>
    <x v="2"/>
    <x v="6"/>
    <x v="1"/>
    <x v="2"/>
    <x v="4"/>
    <x v="5"/>
    <x v="15"/>
    <x v="5"/>
    <n v="30"/>
    <n v="50"/>
    <n v="90"/>
    <n v="43"/>
    <x v="15"/>
    <x v="5"/>
    <x v="10"/>
    <x v="65"/>
    <n v="1.5666666666666667"/>
    <n v="-19"/>
    <x v="0"/>
    <n v="49.38"/>
    <x v="70"/>
    <n v="3658"/>
    <n v="644.99999999999989"/>
    <n v="1.7514124293785311E-2"/>
    <s v="Oct-13"/>
    <x v="1"/>
    <n v="2.5106382978723403"/>
  </r>
  <r>
    <x v="47"/>
    <n v="27"/>
    <x v="3"/>
    <x v="1"/>
    <x v="1"/>
    <x v="7"/>
    <x v="1"/>
    <x v="3"/>
    <x v="5"/>
    <x v="5"/>
    <x v="49"/>
    <x v="6"/>
    <n v="30"/>
    <n v="60"/>
    <n v="90"/>
    <n v="18"/>
    <x v="49"/>
    <x v="5"/>
    <x v="56"/>
    <x v="66"/>
    <n v="0.9"/>
    <n v="-29"/>
    <x v="0"/>
    <n v="59.483333333333334"/>
    <x v="71"/>
    <n v="2170"/>
    <n v="125.99999999999999"/>
    <n v="6.3265306122448989E-2"/>
    <s v="Oct-13"/>
    <x v="3"/>
    <n v="2.5925925925925926"/>
  </r>
  <r>
    <x v="8"/>
    <n v="31"/>
    <x v="3"/>
    <x v="1"/>
    <x v="3"/>
    <x v="8"/>
    <x v="1"/>
    <x v="3"/>
    <x v="5"/>
    <x v="44"/>
    <x v="50"/>
    <x v="7"/>
    <n v="30"/>
    <n v="50"/>
    <n v="90"/>
    <n v="30"/>
    <x v="50"/>
    <x v="44"/>
    <x v="9"/>
    <x v="67"/>
    <n v="1.0333333333333334"/>
    <n v="-40"/>
    <x v="0"/>
    <n v="49.8"/>
    <x v="72"/>
    <n v="720"/>
    <n v="270"/>
    <n v="1.54320987654321E-2"/>
    <s v="Oct-13"/>
    <x v="1"/>
    <n v="2.3225806451612905"/>
  </r>
  <r>
    <x v="9"/>
    <n v="40"/>
    <x v="3"/>
    <x v="1"/>
    <x v="3"/>
    <x v="9"/>
    <x v="1"/>
    <x v="2"/>
    <x v="4"/>
    <x v="45"/>
    <x v="28"/>
    <x v="8"/>
    <n v="20"/>
    <n v="60"/>
    <n v="80"/>
    <n v="22"/>
    <x v="28"/>
    <x v="45"/>
    <x v="57"/>
    <x v="68"/>
    <n v="2"/>
    <n v="-5"/>
    <x v="0"/>
    <n v="59.083333333333336"/>
    <x v="73"/>
    <n v="5830"/>
    <n v="242"/>
    <n v="4.716981132075472E-2"/>
    <s v="Oct-13"/>
    <x v="5"/>
    <n v="2.65"/>
  </r>
  <r>
    <x v="10"/>
    <n v="49"/>
    <x v="3"/>
    <x v="1"/>
    <x v="2"/>
    <x v="6"/>
    <x v="1"/>
    <x v="3"/>
    <x v="6"/>
    <x v="31"/>
    <x v="51"/>
    <x v="9"/>
    <n v="30"/>
    <n v="60"/>
    <n v="90"/>
    <n v="38"/>
    <x v="51"/>
    <x v="31"/>
    <x v="2"/>
    <x v="69"/>
    <n v="1.6333333333333333"/>
    <n v="-11"/>
    <x v="0"/>
    <n v="59.18333333333333"/>
    <x v="74"/>
    <n v="6272"/>
    <n v="570"/>
    <n v="2.5520833333333333E-2"/>
    <s v="Oct-13"/>
    <x v="3"/>
    <n v="2.6122448979591835"/>
  </r>
  <r>
    <x v="10"/>
    <n v="45"/>
    <x v="3"/>
    <x v="1"/>
    <x v="2"/>
    <x v="10"/>
    <x v="1"/>
    <x v="3"/>
    <x v="7"/>
    <x v="18"/>
    <x v="26"/>
    <x v="9"/>
    <n v="30"/>
    <n v="50"/>
    <n v="90"/>
    <n v="45"/>
    <x v="26"/>
    <x v="18"/>
    <x v="58"/>
    <x v="70"/>
    <n v="1.5"/>
    <n v="-14"/>
    <x v="0"/>
    <n v="49.28"/>
    <x v="75"/>
    <n v="4356"/>
    <n v="630"/>
    <n v="2.1251475796930343E-2"/>
    <s v="Oct-13"/>
    <x v="1"/>
    <n v="2.6888888888888891"/>
  </r>
  <r>
    <x v="10"/>
    <n v="45"/>
    <x v="3"/>
    <x v="1"/>
    <x v="2"/>
    <x v="11"/>
    <x v="1"/>
    <x v="2"/>
    <x v="8"/>
    <x v="46"/>
    <x v="52"/>
    <x v="9"/>
    <n v="30"/>
    <n v="30"/>
    <n v="90"/>
    <n v="71"/>
    <x v="52"/>
    <x v="46"/>
    <x v="4"/>
    <x v="71"/>
    <n v="1.5"/>
    <n v="-40"/>
    <x v="0"/>
    <n v="30.333333333333332"/>
    <x v="76"/>
    <n v="-1160"/>
    <n v="2911"/>
    <n v="-2.1026072329688814E-3"/>
    <s v="Oct-13"/>
    <x v="0"/>
    <n v="2.5777777777777779"/>
  </r>
  <r>
    <x v="27"/>
    <n v="60"/>
    <x v="3"/>
    <x v="1"/>
    <x v="1"/>
    <x v="12"/>
    <x v="1"/>
    <x v="2"/>
    <x v="9"/>
    <x v="12"/>
    <x v="43"/>
    <x v="10"/>
    <n v="30"/>
    <n v="10"/>
    <n v="90"/>
    <n v="83"/>
    <x v="43"/>
    <x v="12"/>
    <x v="59"/>
    <x v="13"/>
    <n v="2"/>
    <n v="-9"/>
    <x v="0"/>
    <n v="9.9"/>
    <x v="13"/>
    <n v="153"/>
    <n v="4482"/>
    <n v="1.2103606874848704E-4"/>
    <s v="Oct-13"/>
    <x v="6"/>
    <n v="2.5499999999999998"/>
  </r>
  <r>
    <x v="48"/>
    <n v="34"/>
    <x v="3"/>
    <x v="1"/>
    <x v="3"/>
    <x v="13"/>
    <x v="1"/>
    <x v="3"/>
    <x v="7"/>
    <x v="37"/>
    <x v="40"/>
    <x v="7"/>
    <n v="40"/>
    <n v="30"/>
    <n v="100"/>
    <n v="45"/>
    <x v="40"/>
    <x v="37"/>
    <x v="58"/>
    <x v="72"/>
    <n v="0.85"/>
    <n v="-33"/>
    <x v="0"/>
    <n v="30.1"/>
    <x v="77"/>
    <n v="-246"/>
    <n v="540"/>
    <n v="-3.0487804878048782E-3"/>
    <s v="Oct-13"/>
    <x v="7"/>
    <n v="2.4117647058823528"/>
  </r>
  <r>
    <x v="17"/>
    <n v="54"/>
    <x v="3"/>
    <x v="1"/>
    <x v="3"/>
    <x v="14"/>
    <x v="1"/>
    <x v="2"/>
    <x v="9"/>
    <x v="47"/>
    <x v="51"/>
    <x v="11"/>
    <n v="40"/>
    <n v="40"/>
    <n v="100"/>
    <n v="54"/>
    <x v="51"/>
    <x v="47"/>
    <x v="60"/>
    <x v="73"/>
    <n v="1.35"/>
    <n v="-22"/>
    <x v="0"/>
    <n v="39.549999999999997"/>
    <x v="78"/>
    <n v="2304"/>
    <n v="1080"/>
    <n v="7.0312500000000002E-3"/>
    <s v="Oct-13"/>
    <x v="0"/>
    <n v="2.3703703703703702"/>
  </r>
  <r>
    <x v="13"/>
    <n v="45"/>
    <x v="3"/>
    <x v="1"/>
    <x v="0"/>
    <x v="11"/>
    <x v="0"/>
    <x v="0"/>
    <x v="10"/>
    <x v="48"/>
    <x v="52"/>
    <x v="12"/>
    <n v="20"/>
    <n v="30"/>
    <n v="80"/>
    <n v="70"/>
    <x v="52"/>
    <x v="48"/>
    <x v="61"/>
    <x v="74"/>
    <n v="2.25"/>
    <n v="-39"/>
    <x v="0"/>
    <n v="30.3"/>
    <x v="79"/>
    <n v="-1044"/>
    <n v="2870"/>
    <n v="-1.8923465096719932E-3"/>
    <s v="Oct-13"/>
    <x v="2"/>
    <n v="2.5777777777777779"/>
  </r>
  <r>
    <x v="14"/>
    <n v="48"/>
    <x v="3"/>
    <x v="1"/>
    <x v="0"/>
    <x v="2"/>
    <x v="0"/>
    <x v="0"/>
    <x v="0"/>
    <x v="49"/>
    <x v="53"/>
    <x v="13"/>
    <n v="30"/>
    <n v="60"/>
    <n v="90"/>
    <n v="25"/>
    <x v="53"/>
    <x v="49"/>
    <x v="3"/>
    <x v="75"/>
    <n v="1.6"/>
    <n v="7"/>
    <x v="0"/>
    <n v="58.883333333333333"/>
    <x v="80"/>
    <n v="8442"/>
    <n v="325"/>
    <n v="4.0903540903540904E-2"/>
    <s v="Oct-13"/>
    <x v="3"/>
    <n v="2.625"/>
  </r>
  <r>
    <x v="15"/>
    <n v="49"/>
    <x v="3"/>
    <x v="1"/>
    <x v="3"/>
    <x v="6"/>
    <x v="0"/>
    <x v="0"/>
    <x v="10"/>
    <x v="31"/>
    <x v="51"/>
    <x v="8"/>
    <n v="30"/>
    <n v="60"/>
    <n v="90"/>
    <n v="38"/>
    <x v="51"/>
    <x v="31"/>
    <x v="2"/>
    <x v="69"/>
    <n v="1.6333333333333333"/>
    <n v="-11"/>
    <x v="0"/>
    <n v="59.18333333333333"/>
    <x v="74"/>
    <n v="6272"/>
    <n v="570"/>
    <n v="2.5520833333333333E-2"/>
    <s v="Oct-13"/>
    <x v="3"/>
    <n v="2.6122448979591835"/>
  </r>
  <r>
    <x v="30"/>
    <n v="48"/>
    <x v="3"/>
    <x v="1"/>
    <x v="3"/>
    <x v="2"/>
    <x v="0"/>
    <x v="0"/>
    <x v="0"/>
    <x v="50"/>
    <x v="35"/>
    <x v="14"/>
    <n v="30"/>
    <n v="60"/>
    <n v="90"/>
    <n v="24"/>
    <x v="35"/>
    <x v="50"/>
    <x v="28"/>
    <x v="76"/>
    <n v="1.6"/>
    <n v="10"/>
    <x v="0"/>
    <n v="58.833333333333336"/>
    <x v="81"/>
    <n v="8890"/>
    <n v="312"/>
    <n v="4.2398546335554212E-2"/>
    <s v="Oct-13"/>
    <x v="3"/>
    <n v="2.6458333333333335"/>
  </r>
  <r>
    <x v="42"/>
    <n v="40"/>
    <x v="3"/>
    <x v="1"/>
    <x v="2"/>
    <x v="9"/>
    <x v="0"/>
    <x v="1"/>
    <x v="2"/>
    <x v="36"/>
    <x v="28"/>
    <x v="5"/>
    <n v="40"/>
    <n v="50"/>
    <n v="100"/>
    <n v="23"/>
    <x v="28"/>
    <x v="36"/>
    <x v="62"/>
    <x v="77"/>
    <n v="1"/>
    <n v="3"/>
    <x v="0"/>
    <n v="48.94"/>
    <x v="82"/>
    <n v="5618"/>
    <n v="253"/>
    <n v="4.5454545454545456E-2"/>
    <s v="Oct-13"/>
    <x v="2"/>
    <n v="2.65"/>
  </r>
  <r>
    <x v="12"/>
    <n v="82"/>
    <x v="3"/>
    <x v="1"/>
    <x v="3"/>
    <x v="15"/>
    <x v="0"/>
    <x v="1"/>
    <x v="11"/>
    <x v="51"/>
    <x v="18"/>
    <x v="11"/>
    <n v="30"/>
    <n v="50"/>
    <n v="90"/>
    <n v="59"/>
    <x v="18"/>
    <x v="51"/>
    <x v="49"/>
    <x v="78"/>
    <n v="2.7333333333333334"/>
    <n v="45"/>
    <x v="0"/>
    <n v="48.1"/>
    <x v="83"/>
    <n v="20710"/>
    <n v="1593"/>
    <n v="1.6139993204213388E-2"/>
    <s v="Oct-13"/>
    <x v="1"/>
    <n v="2.6585365853658538"/>
  </r>
  <r>
    <x v="49"/>
    <n v="91"/>
    <x v="3"/>
    <x v="1"/>
    <x v="3"/>
    <x v="16"/>
    <x v="0"/>
    <x v="1"/>
    <x v="3"/>
    <x v="52"/>
    <x v="54"/>
    <x v="11"/>
    <n v="40"/>
    <n v="50"/>
    <n v="100"/>
    <n v="51"/>
    <x v="54"/>
    <x v="52"/>
    <x v="63"/>
    <x v="79"/>
    <n v="2.2749999999999999"/>
    <n v="63"/>
    <x v="0"/>
    <n v="47.74"/>
    <x v="84"/>
    <n v="26216"/>
    <n v="1428"/>
    <n v="1.7395320197044335E-2"/>
    <s v="Oct-13"/>
    <x v="2"/>
    <n v="2.5494505494505493"/>
  </r>
  <r>
    <x v="22"/>
    <n v="40"/>
    <x v="4"/>
    <x v="0"/>
    <x v="1"/>
    <x v="2"/>
    <x v="1"/>
    <x v="3"/>
    <x v="5"/>
    <x v="40"/>
    <x v="55"/>
    <x v="1"/>
    <n v="40"/>
    <n v="40"/>
    <n v="100"/>
    <n v="26"/>
    <x v="55"/>
    <x v="40"/>
    <x v="3"/>
    <x v="7"/>
    <n v="1"/>
    <n v="-1"/>
    <x v="0"/>
    <n v="39.024999999999999"/>
    <x v="85"/>
    <n v="3822"/>
    <n v="338"/>
    <n v="3.0612244897959183E-2"/>
    <s v="Nov-13"/>
    <x v="0"/>
    <n v="2.4500000000000002"/>
  </r>
  <r>
    <x v="50"/>
    <n v="50"/>
    <x v="4"/>
    <x v="0"/>
    <x v="1"/>
    <x v="10"/>
    <x v="1"/>
    <x v="2"/>
    <x v="4"/>
    <x v="53"/>
    <x v="41"/>
    <x v="1"/>
    <n v="30"/>
    <n v="40"/>
    <n v="90"/>
    <n v="25"/>
    <x v="41"/>
    <x v="53"/>
    <x v="64"/>
    <x v="80"/>
    <n v="1.6666666666666667"/>
    <n v="31"/>
    <x v="0"/>
    <n v="38.225000000000001"/>
    <x v="86"/>
    <n v="9301"/>
    <n v="350"/>
    <n v="3.8713195201744821E-2"/>
    <s v="Nov-13"/>
    <x v="2"/>
    <n v="2.62"/>
  </r>
  <r>
    <x v="23"/>
    <n v="40"/>
    <x v="4"/>
    <x v="0"/>
    <x v="0"/>
    <x v="2"/>
    <x v="1"/>
    <x v="3"/>
    <x v="7"/>
    <x v="54"/>
    <x v="55"/>
    <x v="0"/>
    <n v="30"/>
    <n v="40"/>
    <n v="90"/>
    <n v="25"/>
    <x v="55"/>
    <x v="54"/>
    <x v="31"/>
    <x v="81"/>
    <n v="1.3333333333333333"/>
    <n v="0"/>
    <x v="0"/>
    <n v="39"/>
    <x v="87"/>
    <n v="3920"/>
    <n v="325"/>
    <n v="3.1397174254317116E-2"/>
    <s v="Nov-13"/>
    <x v="2"/>
    <n v="2.4500000000000002"/>
  </r>
  <r>
    <x v="25"/>
    <n v="52"/>
    <x v="4"/>
    <x v="0"/>
    <x v="2"/>
    <x v="17"/>
    <x v="1"/>
    <x v="2"/>
    <x v="8"/>
    <x v="55"/>
    <x v="51"/>
    <x v="15"/>
    <n v="50"/>
    <n v="0"/>
    <n v="110"/>
    <n v="76"/>
    <x v="51"/>
    <x v="55"/>
    <x v="65"/>
    <x v="82"/>
    <n v="1.04"/>
    <n v="-12"/>
    <x v="0"/>
    <e v="#DIV/0!"/>
    <x v="88"/>
    <n v="-1536"/>
    <n v="3572.0000000000005"/>
    <n v="-1.9946808510638296E-3"/>
    <s v="Nov-13"/>
    <x v="8"/>
    <n v="2.4615384615384617"/>
  </r>
  <r>
    <x v="35"/>
    <n v="75"/>
    <x v="4"/>
    <x v="0"/>
    <x v="2"/>
    <x v="4"/>
    <x v="0"/>
    <x v="0"/>
    <x v="1"/>
    <x v="56"/>
    <x v="56"/>
    <x v="2"/>
    <n v="50"/>
    <n v="30"/>
    <n v="110"/>
    <n v="45"/>
    <x v="56"/>
    <x v="56"/>
    <x v="60"/>
    <x v="83"/>
    <n v="1.5"/>
    <n v="35"/>
    <x v="0"/>
    <n v="27.833333333333332"/>
    <x v="89"/>
    <n v="11375"/>
    <n v="1035"/>
    <n v="1.6149068322981366E-2"/>
    <s v="Nov-13"/>
    <x v="6"/>
    <n v="2.3333333333333335"/>
  </r>
  <r>
    <x v="51"/>
    <n v="46"/>
    <x v="4"/>
    <x v="0"/>
    <x v="1"/>
    <x v="10"/>
    <x v="0"/>
    <x v="0"/>
    <x v="0"/>
    <x v="43"/>
    <x v="26"/>
    <x v="1"/>
    <n v="40"/>
    <n v="30"/>
    <n v="100"/>
    <n v="37"/>
    <x v="26"/>
    <x v="43"/>
    <x v="21"/>
    <x v="84"/>
    <n v="1.1499999999999999"/>
    <n v="16"/>
    <x v="0"/>
    <n v="28.466666666666665"/>
    <x v="90"/>
    <n v="5566"/>
    <n v="518"/>
    <n v="2.7154663518299881E-2"/>
    <s v="Nov-13"/>
    <x v="7"/>
    <n v="2.6304347826086958"/>
  </r>
  <r>
    <x v="23"/>
    <n v="55"/>
    <x v="4"/>
    <x v="0"/>
    <x v="0"/>
    <x v="14"/>
    <x v="0"/>
    <x v="1"/>
    <x v="2"/>
    <x v="57"/>
    <x v="57"/>
    <x v="0"/>
    <n v="40"/>
    <n v="20"/>
    <n v="100"/>
    <n v="54"/>
    <x v="57"/>
    <x v="57"/>
    <x v="60"/>
    <x v="85"/>
    <n v="1.375"/>
    <n v="2"/>
    <x v="0"/>
    <n v="18.899999999999999"/>
    <x v="91"/>
    <n v="2904"/>
    <n v="1080"/>
    <n v="8.3333333333333332E-3"/>
    <s v="Nov-13"/>
    <x v="6"/>
    <n v="2.4"/>
  </r>
  <r>
    <x v="52"/>
    <n v="50"/>
    <x v="4"/>
    <x v="0"/>
    <x v="0"/>
    <x v="10"/>
    <x v="0"/>
    <x v="1"/>
    <x v="2"/>
    <x v="53"/>
    <x v="41"/>
    <x v="16"/>
    <n v="40"/>
    <n v="40"/>
    <n v="100"/>
    <n v="25"/>
    <x v="41"/>
    <x v="53"/>
    <x v="64"/>
    <x v="80"/>
    <n v="1.25"/>
    <n v="31"/>
    <x v="0"/>
    <n v="38.225000000000001"/>
    <x v="86"/>
    <n v="9301"/>
    <n v="350"/>
    <n v="3.8713195201744821E-2"/>
    <s v="Nov-13"/>
    <x v="0"/>
    <n v="2.62"/>
  </r>
  <r>
    <x v="23"/>
    <n v="57"/>
    <x v="4"/>
    <x v="0"/>
    <x v="0"/>
    <x v="1"/>
    <x v="0"/>
    <x v="1"/>
    <x v="11"/>
    <x v="58"/>
    <x v="33"/>
    <x v="0"/>
    <n v="40"/>
    <n v="30"/>
    <n v="100"/>
    <n v="39"/>
    <x v="33"/>
    <x v="58"/>
    <x v="6"/>
    <x v="86"/>
    <n v="1.425"/>
    <n v="13"/>
    <x v="0"/>
    <n v="28.566666666666666"/>
    <x v="92"/>
    <n v="5719"/>
    <n v="663"/>
    <n v="1.9018133569217159E-2"/>
    <s v="Nov-13"/>
    <x v="7"/>
    <n v="2.3333333333333335"/>
  </r>
  <r>
    <x v="53"/>
    <n v="36"/>
    <x v="4"/>
    <x v="0"/>
    <x v="2"/>
    <x v="3"/>
    <x v="0"/>
    <x v="1"/>
    <x v="2"/>
    <x v="43"/>
    <x v="3"/>
    <x v="15"/>
    <n v="30"/>
    <n v="40"/>
    <n v="90"/>
    <n v="21"/>
    <x v="3"/>
    <x v="43"/>
    <x v="53"/>
    <x v="87"/>
    <n v="1.2"/>
    <n v="6"/>
    <x v="0"/>
    <n v="38.85"/>
    <x v="93"/>
    <n v="4324"/>
    <n v="210.00000000000003"/>
    <n v="4.8936170212765952E-2"/>
    <s v="Nov-13"/>
    <x v="2"/>
    <n v="2.6111111111111112"/>
  </r>
  <r>
    <x v="54"/>
    <n v="33"/>
    <x v="4"/>
    <x v="1"/>
    <x v="0"/>
    <x v="8"/>
    <x v="1"/>
    <x v="2"/>
    <x v="4"/>
    <x v="54"/>
    <x v="58"/>
    <x v="12"/>
    <n v="40"/>
    <n v="50"/>
    <n v="100"/>
    <n v="21"/>
    <x v="58"/>
    <x v="54"/>
    <x v="66"/>
    <x v="88"/>
    <n v="0.82499999999999996"/>
    <n v="-10"/>
    <x v="0"/>
    <n v="49.2"/>
    <x v="94"/>
    <n v="3440"/>
    <n v="189"/>
    <n v="5.1679586563307497E-2"/>
    <s v="Nov-13"/>
    <x v="2"/>
    <n v="2.606060606060606"/>
  </r>
  <r>
    <x v="27"/>
    <n v="31"/>
    <x v="4"/>
    <x v="1"/>
    <x v="1"/>
    <x v="18"/>
    <x v="1"/>
    <x v="3"/>
    <x v="5"/>
    <x v="41"/>
    <x v="59"/>
    <x v="10"/>
    <n v="30"/>
    <n v="50"/>
    <n v="90"/>
    <n v="19"/>
    <x v="59"/>
    <x v="41"/>
    <x v="67"/>
    <x v="89"/>
    <n v="1.0333333333333334"/>
    <n v="-8"/>
    <x v="0"/>
    <n v="49.16"/>
    <x v="95"/>
    <n v="3486"/>
    <n v="152"/>
    <n v="6.3253012048192767E-2"/>
    <s v="Nov-13"/>
    <x v="1"/>
    <n v="2.6774193548387095"/>
  </r>
  <r>
    <x v="28"/>
    <n v="36"/>
    <x v="4"/>
    <x v="1"/>
    <x v="1"/>
    <x v="3"/>
    <x v="1"/>
    <x v="3"/>
    <x v="5"/>
    <x v="16"/>
    <x v="3"/>
    <x v="6"/>
    <n v="40"/>
    <n v="40"/>
    <n v="100"/>
    <n v="22"/>
    <x v="3"/>
    <x v="16"/>
    <x v="68"/>
    <x v="90"/>
    <n v="0.9"/>
    <n v="5"/>
    <x v="0"/>
    <n v="38.875"/>
    <x v="96"/>
    <n v="4230"/>
    <n v="220"/>
    <n v="4.7872340425531915E-2"/>
    <s v="Nov-13"/>
    <x v="0"/>
    <n v="2.6111111111111112"/>
  </r>
  <r>
    <x v="55"/>
    <n v="49"/>
    <x v="4"/>
    <x v="1"/>
    <x v="1"/>
    <x v="6"/>
    <x v="1"/>
    <x v="2"/>
    <x v="4"/>
    <x v="35"/>
    <x v="51"/>
    <x v="10"/>
    <n v="30"/>
    <n v="30"/>
    <n v="90"/>
    <n v="37"/>
    <x v="51"/>
    <x v="35"/>
    <x v="69"/>
    <x v="91"/>
    <n v="1.6333333333333333"/>
    <n v="20"/>
    <x v="0"/>
    <n v="28.333333333333332"/>
    <x v="97"/>
    <n v="6400"/>
    <n v="555"/>
    <n v="2.6041666666666668E-2"/>
    <s v="Nov-13"/>
    <x v="0"/>
    <n v="2.6122448979591835"/>
  </r>
  <r>
    <x v="14"/>
    <n v="54"/>
    <x v="4"/>
    <x v="1"/>
    <x v="0"/>
    <x v="14"/>
    <x v="1"/>
    <x v="3"/>
    <x v="6"/>
    <x v="6"/>
    <x v="60"/>
    <x v="13"/>
    <n v="50"/>
    <n v="20"/>
    <n v="110"/>
    <n v="53"/>
    <x v="60"/>
    <x v="6"/>
    <x v="13"/>
    <x v="92"/>
    <n v="1.08"/>
    <n v="1"/>
    <x v="0"/>
    <n v="18.95"/>
    <x v="98"/>
    <n v="2709"/>
    <n v="1060"/>
    <n v="8.1395348837209301E-3"/>
    <s v="Nov-13"/>
    <x v="9"/>
    <n v="2.3888888888888888"/>
  </r>
  <r>
    <x v="10"/>
    <n v="46"/>
    <x v="4"/>
    <x v="1"/>
    <x v="2"/>
    <x v="10"/>
    <x v="1"/>
    <x v="3"/>
    <x v="6"/>
    <x v="16"/>
    <x v="10"/>
    <x v="9"/>
    <n v="40"/>
    <n v="40"/>
    <n v="100"/>
    <n v="37"/>
    <x v="10"/>
    <x v="16"/>
    <x v="21"/>
    <x v="93"/>
    <n v="1.1499999999999999"/>
    <n v="5"/>
    <x v="0"/>
    <n v="38.875"/>
    <x v="99"/>
    <n v="5400"/>
    <n v="518"/>
    <n v="2.6785714285714288E-2"/>
    <s v="Nov-13"/>
    <x v="0"/>
    <n v="2.6086956521739131"/>
  </r>
  <r>
    <x v="10"/>
    <n v="43"/>
    <x v="4"/>
    <x v="1"/>
    <x v="2"/>
    <x v="10"/>
    <x v="1"/>
    <x v="3"/>
    <x v="7"/>
    <x v="27"/>
    <x v="52"/>
    <x v="9"/>
    <n v="30"/>
    <n v="30"/>
    <n v="90"/>
    <n v="46"/>
    <x v="52"/>
    <x v="27"/>
    <x v="32"/>
    <x v="33"/>
    <n v="1.4333333333333333"/>
    <n v="0"/>
    <x v="0"/>
    <n v="29"/>
    <x v="100"/>
    <n v="3480"/>
    <n v="644"/>
    <n v="1.8472906403940885E-2"/>
    <s v="Nov-13"/>
    <x v="0"/>
    <n v="2.6976744186046511"/>
  </r>
  <r>
    <x v="10"/>
    <n v="44"/>
    <x v="4"/>
    <x v="1"/>
    <x v="2"/>
    <x v="19"/>
    <x v="1"/>
    <x v="2"/>
    <x v="8"/>
    <x v="55"/>
    <x v="27"/>
    <x v="9"/>
    <n v="40"/>
    <n v="10"/>
    <n v="100"/>
    <n v="70"/>
    <x v="27"/>
    <x v="55"/>
    <x v="61"/>
    <x v="94"/>
    <n v="1.1000000000000001"/>
    <n v="-22"/>
    <x v="0"/>
    <n v="11.2"/>
    <x v="101"/>
    <n v="-1356"/>
    <n v="2800"/>
    <n v="-2.6548672566371681E-3"/>
    <s v="Nov-13"/>
    <x v="9"/>
    <n v="2.5681818181818183"/>
  </r>
  <r>
    <x v="11"/>
    <n v="53"/>
    <x v="4"/>
    <x v="1"/>
    <x v="1"/>
    <x v="20"/>
    <x v="1"/>
    <x v="2"/>
    <x v="8"/>
    <x v="59"/>
    <x v="61"/>
    <x v="10"/>
    <n v="40"/>
    <n v="30"/>
    <n v="100"/>
    <n v="39"/>
    <x v="61"/>
    <x v="59"/>
    <x v="45"/>
    <x v="95"/>
    <n v="1.325"/>
    <n v="43"/>
    <x v="0"/>
    <n v="27.566666666666666"/>
    <x v="102"/>
    <n v="10950"/>
    <n v="624"/>
    <n v="3.0416666666666668E-2"/>
    <s v="Nov-13"/>
    <x v="7"/>
    <n v="2.8301886792452828"/>
  </r>
  <r>
    <x v="32"/>
    <n v="54"/>
    <x v="4"/>
    <x v="1"/>
    <x v="3"/>
    <x v="14"/>
    <x v="1"/>
    <x v="2"/>
    <x v="8"/>
    <x v="60"/>
    <x v="60"/>
    <x v="14"/>
    <n v="50"/>
    <n v="20"/>
    <n v="110"/>
    <n v="54"/>
    <x v="60"/>
    <x v="60"/>
    <x v="60"/>
    <x v="96"/>
    <n v="1.08"/>
    <n v="-1"/>
    <x v="0"/>
    <n v="19.05"/>
    <x v="103"/>
    <n v="2451"/>
    <n v="1080"/>
    <n v="7.3643410852713177E-3"/>
    <s v="Nov-13"/>
    <x v="9"/>
    <n v="2.3888888888888888"/>
  </r>
  <r>
    <x v="28"/>
    <n v="54"/>
    <x v="4"/>
    <x v="1"/>
    <x v="1"/>
    <x v="14"/>
    <x v="0"/>
    <x v="0"/>
    <x v="10"/>
    <x v="60"/>
    <x v="60"/>
    <x v="6"/>
    <n v="50"/>
    <n v="20"/>
    <n v="110"/>
    <n v="54"/>
    <x v="60"/>
    <x v="60"/>
    <x v="60"/>
    <x v="96"/>
    <n v="1.08"/>
    <n v="-1"/>
    <x v="0"/>
    <n v="19.05"/>
    <x v="103"/>
    <n v="2451"/>
    <n v="1080"/>
    <n v="7.3643410852713177E-3"/>
    <s v="Nov-13"/>
    <x v="9"/>
    <n v="2.3888888888888888"/>
  </r>
  <r>
    <x v="9"/>
    <n v="46"/>
    <x v="4"/>
    <x v="1"/>
    <x v="3"/>
    <x v="10"/>
    <x v="0"/>
    <x v="0"/>
    <x v="10"/>
    <x v="16"/>
    <x v="10"/>
    <x v="8"/>
    <n v="40"/>
    <n v="30"/>
    <n v="100"/>
    <n v="37"/>
    <x v="10"/>
    <x v="16"/>
    <x v="21"/>
    <x v="93"/>
    <n v="1.1499999999999999"/>
    <n v="15"/>
    <x v="0"/>
    <n v="28.5"/>
    <x v="99"/>
    <n v="5400"/>
    <n v="518"/>
    <n v="2.6785714285714288E-2"/>
    <s v="Nov-13"/>
    <x v="7"/>
    <n v="2.6086956521739131"/>
  </r>
  <r>
    <x v="9"/>
    <n v="43"/>
    <x v="4"/>
    <x v="1"/>
    <x v="3"/>
    <x v="10"/>
    <x v="0"/>
    <x v="0"/>
    <x v="0"/>
    <x v="27"/>
    <x v="52"/>
    <x v="8"/>
    <n v="40"/>
    <n v="30"/>
    <n v="100"/>
    <n v="46"/>
    <x v="52"/>
    <x v="27"/>
    <x v="32"/>
    <x v="33"/>
    <n v="1.075"/>
    <n v="0"/>
    <x v="0"/>
    <n v="29"/>
    <x v="100"/>
    <n v="3480"/>
    <n v="644"/>
    <n v="1.8472906403940885E-2"/>
    <s v="Nov-13"/>
    <x v="7"/>
    <n v="2.6976744186046511"/>
  </r>
  <r>
    <x v="56"/>
    <n v="47"/>
    <x v="4"/>
    <x v="1"/>
    <x v="3"/>
    <x v="2"/>
    <x v="0"/>
    <x v="0"/>
    <x v="0"/>
    <x v="56"/>
    <x v="1"/>
    <x v="14"/>
    <n v="40"/>
    <n v="40"/>
    <n v="100"/>
    <n v="24"/>
    <x v="1"/>
    <x v="56"/>
    <x v="31"/>
    <x v="68"/>
    <n v="1.175"/>
    <n v="25"/>
    <x v="0"/>
    <n v="38.375"/>
    <x v="104"/>
    <n v="7995"/>
    <n v="312"/>
    <n v="4.065040650406504E-2"/>
    <s v="Nov-13"/>
    <x v="0"/>
    <n v="2.6170212765957448"/>
  </r>
  <r>
    <x v="31"/>
    <n v="36"/>
    <x v="4"/>
    <x v="1"/>
    <x v="2"/>
    <x v="3"/>
    <x v="0"/>
    <x v="1"/>
    <x v="3"/>
    <x v="31"/>
    <x v="62"/>
    <x v="5"/>
    <n v="30"/>
    <n v="40"/>
    <n v="90"/>
    <n v="21"/>
    <x v="62"/>
    <x v="31"/>
    <x v="70"/>
    <x v="97"/>
    <n v="1.2"/>
    <n v="9"/>
    <x v="0"/>
    <n v="38.774999999999999"/>
    <x v="105"/>
    <n v="4704"/>
    <n v="209.99999999999997"/>
    <n v="5.1041666666666673E-2"/>
    <s v="Nov-13"/>
    <x v="2"/>
    <n v="2.6666666666666665"/>
  </r>
  <r>
    <x v="30"/>
    <n v="61"/>
    <x v="4"/>
    <x v="1"/>
    <x v="3"/>
    <x v="21"/>
    <x v="0"/>
    <x v="1"/>
    <x v="3"/>
    <x v="12"/>
    <x v="63"/>
    <x v="14"/>
    <n v="40"/>
    <n v="0"/>
    <n v="100"/>
    <n v="85"/>
    <x v="63"/>
    <x v="12"/>
    <x v="71"/>
    <x v="40"/>
    <n v="1.5249999999999999"/>
    <n v="1"/>
    <x v="0"/>
    <e v="#DIV/0!"/>
    <x v="43"/>
    <n v="157"/>
    <n v="4675"/>
    <n v="1.1580775911986103E-4"/>
    <s v="Nov-13"/>
    <x v="10"/>
    <n v="2.5737704918032787"/>
  </r>
  <r>
    <x v="57"/>
    <n v="43"/>
    <x v="5"/>
    <x v="0"/>
    <x v="1"/>
    <x v="10"/>
    <x v="1"/>
    <x v="3"/>
    <x v="5"/>
    <x v="16"/>
    <x v="28"/>
    <x v="1"/>
    <n v="50"/>
    <n v="40"/>
    <n v="110"/>
    <n v="26"/>
    <x v="28"/>
    <x v="16"/>
    <x v="8"/>
    <x v="93"/>
    <n v="0.86"/>
    <n v="5"/>
    <x v="0"/>
    <n v="38.875"/>
    <x v="1"/>
    <n v="4770"/>
    <n v="364"/>
    <n v="3.0323450134770891E-2"/>
    <s v="Dec-13"/>
    <x v="7"/>
    <n v="2.4651162790697674"/>
  </r>
  <r>
    <x v="44"/>
    <n v="54"/>
    <x v="5"/>
    <x v="0"/>
    <x v="1"/>
    <x v="6"/>
    <x v="1"/>
    <x v="2"/>
    <x v="4"/>
    <x v="61"/>
    <x v="64"/>
    <x v="1"/>
    <n v="40"/>
    <n v="40"/>
    <n v="100"/>
    <n v="27"/>
    <x v="64"/>
    <x v="61"/>
    <x v="22"/>
    <x v="98"/>
    <n v="1.35"/>
    <n v="37"/>
    <x v="0"/>
    <n v="38.075000000000003"/>
    <x v="106"/>
    <n v="10934"/>
    <n v="404.99999999999994"/>
    <n v="3.615023474178404E-2"/>
    <s v="Dec-13"/>
    <x v="0"/>
    <n v="2.6296296296296298"/>
  </r>
  <r>
    <x v="23"/>
    <n v="47"/>
    <x v="5"/>
    <x v="0"/>
    <x v="0"/>
    <x v="22"/>
    <x v="0"/>
    <x v="0"/>
    <x v="0"/>
    <x v="48"/>
    <x v="16"/>
    <x v="0"/>
    <n v="40"/>
    <n v="0"/>
    <n v="100"/>
    <n v="71"/>
    <x v="16"/>
    <x v="48"/>
    <x v="23"/>
    <x v="99"/>
    <n v="1.175"/>
    <n v="-9"/>
    <x v="0"/>
    <e v="#DIV/0!"/>
    <x v="107"/>
    <n v="-1071"/>
    <n v="2982"/>
    <n v="-1.8007202881152461E-3"/>
    <s v="Dec-13"/>
    <x v="10"/>
    <n v="2.5319148936170213"/>
  </r>
  <r>
    <x v="1"/>
    <n v="54"/>
    <x v="5"/>
    <x v="0"/>
    <x v="0"/>
    <x v="1"/>
    <x v="0"/>
    <x v="0"/>
    <x v="1"/>
    <x v="58"/>
    <x v="65"/>
    <x v="0"/>
    <n v="50"/>
    <n v="30"/>
    <n v="110"/>
    <n v="44"/>
    <x v="65"/>
    <x v="58"/>
    <x v="36"/>
    <x v="86"/>
    <n v="1.08"/>
    <n v="13"/>
    <x v="0"/>
    <n v="28.566666666666666"/>
    <x v="108"/>
    <n v="5805"/>
    <n v="748"/>
    <n v="1.8736383442265796E-2"/>
    <s v="Dec-13"/>
    <x v="6"/>
    <n v="2.5"/>
  </r>
  <r>
    <x v="58"/>
    <n v="65"/>
    <x v="5"/>
    <x v="0"/>
    <x v="2"/>
    <x v="23"/>
    <x v="0"/>
    <x v="0"/>
    <x v="0"/>
    <x v="28"/>
    <x v="66"/>
    <x v="2"/>
    <n v="40"/>
    <n v="20"/>
    <n v="100"/>
    <n v="57"/>
    <x v="66"/>
    <x v="28"/>
    <x v="72"/>
    <x v="100"/>
    <n v="1.625"/>
    <n v="14"/>
    <x v="0"/>
    <n v="18.3"/>
    <x v="109"/>
    <n v="5270"/>
    <n v="1368"/>
    <n v="9.1397849462365593E-3"/>
    <s v="Dec-13"/>
    <x v="6"/>
    <n v="2.3846153846153846"/>
  </r>
  <r>
    <x v="59"/>
    <n v="80"/>
    <x v="5"/>
    <x v="0"/>
    <x v="2"/>
    <x v="23"/>
    <x v="0"/>
    <x v="0"/>
    <x v="1"/>
    <x v="62"/>
    <x v="67"/>
    <x v="2"/>
    <n v="60"/>
    <n v="30"/>
    <n v="120"/>
    <n v="46"/>
    <x v="67"/>
    <x v="62"/>
    <x v="35"/>
    <x v="101"/>
    <n v="1.3333333333333333"/>
    <n v="44"/>
    <x v="0"/>
    <n v="27.533333333333331"/>
    <x v="110"/>
    <n v="13912"/>
    <n v="1104"/>
    <n v="1.6400709219858155E-2"/>
    <s v="Dec-13"/>
    <x v="9"/>
    <n v="2.35"/>
  </r>
  <r>
    <x v="60"/>
    <n v="54"/>
    <x v="5"/>
    <x v="0"/>
    <x v="1"/>
    <x v="1"/>
    <x v="0"/>
    <x v="0"/>
    <x v="10"/>
    <x v="41"/>
    <x v="65"/>
    <x v="1"/>
    <n v="50"/>
    <n v="30"/>
    <n v="110"/>
    <n v="45"/>
    <x v="65"/>
    <x v="41"/>
    <x v="73"/>
    <x v="102"/>
    <n v="1.08"/>
    <n v="12"/>
    <x v="0"/>
    <n v="28.6"/>
    <x v="111"/>
    <n v="5670"/>
    <n v="765"/>
    <n v="1.8300653594771243E-2"/>
    <s v="Dec-13"/>
    <x v="6"/>
    <n v="2.5"/>
  </r>
  <r>
    <x v="44"/>
    <n v="41"/>
    <x v="5"/>
    <x v="0"/>
    <x v="1"/>
    <x v="2"/>
    <x v="0"/>
    <x v="0"/>
    <x v="0"/>
    <x v="18"/>
    <x v="68"/>
    <x v="1"/>
    <n v="30"/>
    <n v="30"/>
    <n v="90"/>
    <n v="36"/>
    <x v="68"/>
    <x v="18"/>
    <x v="16"/>
    <x v="103"/>
    <n v="1.3666666666666667"/>
    <n v="6"/>
    <x v="0"/>
    <n v="28.8"/>
    <x v="112"/>
    <n v="3888"/>
    <n v="468"/>
    <n v="2.564102564102564E-2"/>
    <s v="Dec-13"/>
    <x v="0"/>
    <n v="2.6341463414634148"/>
  </r>
  <r>
    <x v="61"/>
    <n v="54"/>
    <x v="5"/>
    <x v="0"/>
    <x v="3"/>
    <x v="6"/>
    <x v="0"/>
    <x v="1"/>
    <x v="11"/>
    <x v="63"/>
    <x v="64"/>
    <x v="3"/>
    <n v="30"/>
    <n v="50"/>
    <n v="90"/>
    <n v="26"/>
    <x v="64"/>
    <x v="63"/>
    <x v="17"/>
    <x v="104"/>
    <n v="1.8"/>
    <n v="29"/>
    <x v="0"/>
    <n v="48.42"/>
    <x v="113"/>
    <n v="11218"/>
    <n v="390"/>
    <n v="3.7089201877934269E-2"/>
    <s v="Dec-13"/>
    <x v="1"/>
    <n v="2.6296296296296298"/>
  </r>
  <r>
    <x v="62"/>
    <n v="31"/>
    <x v="5"/>
    <x v="1"/>
    <x v="0"/>
    <x v="18"/>
    <x v="1"/>
    <x v="2"/>
    <x v="4"/>
    <x v="54"/>
    <x v="40"/>
    <x v="12"/>
    <n v="30"/>
    <n v="50"/>
    <n v="90"/>
    <n v="19"/>
    <x v="40"/>
    <x v="54"/>
    <x v="74"/>
    <x v="68"/>
    <n v="1.0333333333333334"/>
    <n v="-10"/>
    <x v="0"/>
    <n v="49.2"/>
    <x v="114"/>
    <n v="3280"/>
    <n v="152"/>
    <n v="6.097560975609756E-2"/>
    <s v="Dec-13"/>
    <x v="1"/>
    <n v="2.6451612903225805"/>
  </r>
  <r>
    <x v="55"/>
    <n v="34"/>
    <x v="5"/>
    <x v="1"/>
    <x v="1"/>
    <x v="8"/>
    <x v="1"/>
    <x v="3"/>
    <x v="5"/>
    <x v="43"/>
    <x v="69"/>
    <x v="10"/>
    <n v="40"/>
    <n v="50"/>
    <n v="100"/>
    <n v="20"/>
    <x v="69"/>
    <x v="43"/>
    <x v="7"/>
    <x v="105"/>
    <n v="0.85"/>
    <n v="-4"/>
    <x v="0"/>
    <n v="49.08"/>
    <x v="37"/>
    <n v="4186"/>
    <n v="180"/>
    <n v="5.6166056166056161E-2"/>
    <s v="Dec-13"/>
    <x v="2"/>
    <n v="2.6764705882352939"/>
  </r>
  <r>
    <x v="7"/>
    <n v="33"/>
    <x v="5"/>
    <x v="1"/>
    <x v="1"/>
    <x v="8"/>
    <x v="1"/>
    <x v="3"/>
    <x v="5"/>
    <x v="41"/>
    <x v="70"/>
    <x v="6"/>
    <n v="30"/>
    <n v="50"/>
    <n v="90"/>
    <n v="21"/>
    <x v="70"/>
    <x v="41"/>
    <x v="7"/>
    <x v="106"/>
    <n v="1.1000000000000001"/>
    <n v="-8"/>
    <x v="0"/>
    <n v="49.16"/>
    <x v="115"/>
    <n v="3654"/>
    <n v="189"/>
    <n v="5.3639846743295021E-2"/>
    <s v="Dec-13"/>
    <x v="1"/>
    <n v="2.6363636363636362"/>
  </r>
  <r>
    <x v="10"/>
    <n v="48"/>
    <x v="5"/>
    <x v="1"/>
    <x v="2"/>
    <x v="6"/>
    <x v="1"/>
    <x v="3"/>
    <x v="7"/>
    <x v="41"/>
    <x v="45"/>
    <x v="9"/>
    <n v="40"/>
    <n v="30"/>
    <n v="100"/>
    <n v="46"/>
    <x v="45"/>
    <x v="41"/>
    <x v="75"/>
    <x v="107"/>
    <n v="1.2"/>
    <n v="12"/>
    <x v="0"/>
    <n v="28.6"/>
    <x v="116"/>
    <n v="5460"/>
    <n v="690"/>
    <n v="2.1538461538461538E-2"/>
    <s v="Dec-13"/>
    <x v="7"/>
    <n v="2.7083333333333335"/>
  </r>
  <r>
    <x v="29"/>
    <n v="55"/>
    <x v="5"/>
    <x v="1"/>
    <x v="1"/>
    <x v="24"/>
    <x v="1"/>
    <x v="2"/>
    <x v="9"/>
    <x v="64"/>
    <x v="71"/>
    <x v="10"/>
    <n v="40"/>
    <n v="0"/>
    <n v="100"/>
    <n v="79"/>
    <x v="71"/>
    <x v="64"/>
    <x v="50"/>
    <x v="108"/>
    <n v="1.375"/>
    <n v="-4"/>
    <x v="0"/>
    <e v="#DIV/0!"/>
    <x v="117"/>
    <n v="-560"/>
    <n v="3871.0000000000005"/>
    <n v="-5.8309037900874635E-4"/>
    <s v="Dec-13"/>
    <x v="10"/>
    <n v="2.5454545454545454"/>
  </r>
  <r>
    <x v="39"/>
    <n v="49"/>
    <x v="5"/>
    <x v="1"/>
    <x v="1"/>
    <x v="25"/>
    <x v="1"/>
    <x v="2"/>
    <x v="8"/>
    <x v="11"/>
    <x v="53"/>
    <x v="17"/>
    <n v="30"/>
    <n v="10"/>
    <n v="90"/>
    <n v="74"/>
    <x v="53"/>
    <x v="11"/>
    <x v="76"/>
    <x v="109"/>
    <n v="1.6333333333333333"/>
    <n v="-17"/>
    <x v="0"/>
    <n v="10.7"/>
    <x v="118"/>
    <n v="-882"/>
    <n v="3256"/>
    <n v="-1.2626262626262625E-3"/>
    <s v="Dec-13"/>
    <x v="6"/>
    <n v="2.5714285714285716"/>
  </r>
  <r>
    <x v="48"/>
    <n v="39"/>
    <x v="5"/>
    <x v="1"/>
    <x v="3"/>
    <x v="10"/>
    <x v="1"/>
    <x v="3"/>
    <x v="7"/>
    <x v="12"/>
    <x v="3"/>
    <x v="7"/>
    <n v="40"/>
    <n v="20"/>
    <n v="100"/>
    <n v="48"/>
    <x v="3"/>
    <x v="12"/>
    <x v="73"/>
    <x v="54"/>
    <n v="0.97499999999999998"/>
    <n v="-19"/>
    <x v="0"/>
    <n v="19.95"/>
    <x v="59"/>
    <n v="94"/>
    <n v="672"/>
    <n v="7.5987841945288754E-4"/>
    <s v="Dec-13"/>
    <x v="6"/>
    <n v="2.4102564102564101"/>
  </r>
  <r>
    <x v="26"/>
    <n v="49"/>
    <x v="5"/>
    <x v="1"/>
    <x v="0"/>
    <x v="25"/>
    <x v="0"/>
    <x v="0"/>
    <x v="10"/>
    <x v="11"/>
    <x v="53"/>
    <x v="12"/>
    <n v="40"/>
    <n v="0"/>
    <n v="100"/>
    <n v="74"/>
    <x v="53"/>
    <x v="11"/>
    <x v="76"/>
    <x v="109"/>
    <n v="1.2250000000000001"/>
    <n v="-7"/>
    <x v="0"/>
    <e v="#DIV/0!"/>
    <x v="118"/>
    <n v="-882"/>
    <n v="3256"/>
    <n v="-1.2626262626262625E-3"/>
    <s v="Dec-13"/>
    <x v="10"/>
    <n v="2.5714285714285716"/>
  </r>
  <r>
    <x v="41"/>
    <n v="41"/>
    <x v="5"/>
    <x v="1"/>
    <x v="0"/>
    <x v="13"/>
    <x v="0"/>
    <x v="0"/>
    <x v="10"/>
    <x v="16"/>
    <x v="11"/>
    <x v="13"/>
    <n v="30"/>
    <n v="30"/>
    <n v="90"/>
    <n v="36"/>
    <x v="11"/>
    <x v="16"/>
    <x v="39"/>
    <x v="110"/>
    <n v="1.3666666666666667"/>
    <n v="15"/>
    <x v="0"/>
    <n v="28.5"/>
    <x v="75"/>
    <n v="5130"/>
    <n v="432"/>
    <n v="3.2894736842105261E-2"/>
    <s v="Dec-13"/>
    <x v="0"/>
    <n v="2.7804878048780486"/>
  </r>
  <r>
    <x v="40"/>
    <n v="92"/>
    <x v="5"/>
    <x v="1"/>
    <x v="0"/>
    <x v="16"/>
    <x v="0"/>
    <x v="0"/>
    <x v="0"/>
    <x v="10"/>
    <x v="72"/>
    <x v="12"/>
    <n v="80"/>
    <n v="20"/>
    <n v="140"/>
    <n v="52"/>
    <x v="72"/>
    <x v="10"/>
    <x v="77"/>
    <x v="111"/>
    <n v="1.1499999999999999"/>
    <n v="4"/>
    <x v="0"/>
    <n v="18.8"/>
    <x v="119"/>
    <n v="4104"/>
    <n v="1456"/>
    <n v="5.0125313283208017E-3"/>
    <s v="Dec-13"/>
    <x v="11"/>
    <n v="1.8586956521739131"/>
  </r>
  <r>
    <x v="6"/>
    <n v="68"/>
    <x v="5"/>
    <x v="1"/>
    <x v="2"/>
    <x v="26"/>
    <x v="0"/>
    <x v="0"/>
    <x v="0"/>
    <x v="54"/>
    <x v="73"/>
    <x v="5"/>
    <n v="50"/>
    <n v="20"/>
    <n v="110"/>
    <n v="58"/>
    <x v="73"/>
    <x v="54"/>
    <x v="49"/>
    <x v="112"/>
    <n v="1.36"/>
    <n v="20"/>
    <x v="0"/>
    <n v="18"/>
    <x v="120"/>
    <n v="6520"/>
    <n v="1450"/>
    <n v="9.8159509202453993E-3"/>
    <s v="Dec-13"/>
    <x v="9"/>
    <n v="2.3970588235294117"/>
  </r>
  <r>
    <x v="31"/>
    <n v="63"/>
    <x v="5"/>
    <x v="1"/>
    <x v="2"/>
    <x v="27"/>
    <x v="0"/>
    <x v="0"/>
    <x v="1"/>
    <x v="36"/>
    <x v="74"/>
    <x v="5"/>
    <n v="40"/>
    <n v="40"/>
    <n v="100"/>
    <n v="40"/>
    <x v="74"/>
    <x v="36"/>
    <x v="78"/>
    <x v="113"/>
    <n v="1.575"/>
    <n v="13"/>
    <x v="0"/>
    <n v="38.674999999999997"/>
    <x v="121"/>
    <n v="7844"/>
    <n v="760.00000000000011"/>
    <n v="1.8847795163584636E-2"/>
    <s v="Dec-13"/>
    <x v="0"/>
    <n v="2.3492063492063493"/>
  </r>
  <r>
    <x v="9"/>
    <n v="92"/>
    <x v="5"/>
    <x v="1"/>
    <x v="3"/>
    <x v="16"/>
    <x v="0"/>
    <x v="0"/>
    <x v="1"/>
    <x v="65"/>
    <x v="72"/>
    <x v="8"/>
    <n v="80"/>
    <n v="20"/>
    <n v="140"/>
    <n v="51"/>
    <x v="72"/>
    <x v="65"/>
    <x v="38"/>
    <x v="114"/>
    <n v="1.1499999999999999"/>
    <n v="5"/>
    <x v="0"/>
    <n v="18.75"/>
    <x v="122"/>
    <n v="4275"/>
    <n v="1428"/>
    <n v="5.2213868003341693E-3"/>
    <s v="Dec-13"/>
    <x v="11"/>
    <n v="1.8586956521739131"/>
  </r>
  <r>
    <x v="14"/>
    <n v="55"/>
    <x v="5"/>
    <x v="1"/>
    <x v="0"/>
    <x v="24"/>
    <x v="0"/>
    <x v="1"/>
    <x v="11"/>
    <x v="64"/>
    <x v="71"/>
    <x v="13"/>
    <n v="40"/>
    <n v="0"/>
    <n v="100"/>
    <n v="79"/>
    <x v="71"/>
    <x v="64"/>
    <x v="50"/>
    <x v="108"/>
    <n v="1.375"/>
    <n v="-4"/>
    <x v="0"/>
    <e v="#DIV/0!"/>
    <x v="117"/>
    <n v="-560"/>
    <n v="3871.0000000000005"/>
    <n v="-5.8309037900874635E-4"/>
    <s v="Dec-13"/>
    <x v="10"/>
    <n v="2.5454545454545454"/>
  </r>
  <r>
    <x v="23"/>
    <n v="39"/>
    <x v="0"/>
    <x v="0"/>
    <x v="0"/>
    <x v="13"/>
    <x v="1"/>
    <x v="3"/>
    <x v="7"/>
    <x v="22"/>
    <x v="31"/>
    <x v="0"/>
    <n v="30"/>
    <n v="50"/>
    <n v="80"/>
    <n v="24"/>
    <x v="31"/>
    <x v="22"/>
    <x v="17"/>
    <x v="115"/>
    <n v="1.3"/>
    <n v="-23"/>
    <x v="0"/>
    <n v="49.46"/>
    <x v="15"/>
    <n v="2430"/>
    <n v="288"/>
    <n v="2.5000000000000001E-2"/>
    <s v="Oct-12"/>
    <x v="3"/>
    <n v="2.3076923076923075"/>
  </r>
  <r>
    <x v="58"/>
    <n v="80"/>
    <x v="0"/>
    <x v="0"/>
    <x v="2"/>
    <x v="23"/>
    <x v="0"/>
    <x v="0"/>
    <x v="1"/>
    <x v="21"/>
    <x v="75"/>
    <x v="2"/>
    <n v="40"/>
    <n v="40"/>
    <n v="90"/>
    <n v="46"/>
    <x v="75"/>
    <x v="21"/>
    <x v="4"/>
    <x v="22"/>
    <n v="2"/>
    <n v="8"/>
    <x v="0"/>
    <n v="38.799999999999997"/>
    <x v="123"/>
    <n v="8352"/>
    <n v="1104"/>
    <n v="1.1494252873563218E-2"/>
    <s v="Oct-12"/>
    <x v="2"/>
    <n v="2.1749999999999998"/>
  </r>
  <r>
    <x v="0"/>
    <n v="54"/>
    <x v="0"/>
    <x v="0"/>
    <x v="0"/>
    <x v="14"/>
    <x v="0"/>
    <x v="1"/>
    <x v="2"/>
    <x v="32"/>
    <x v="10"/>
    <x v="0"/>
    <n v="30"/>
    <n v="30"/>
    <n v="80"/>
    <n v="53"/>
    <x v="10"/>
    <x v="32"/>
    <x v="33"/>
    <x v="37"/>
    <n v="1.8"/>
    <n v="-17"/>
    <x v="0"/>
    <n v="29.566666666666666"/>
    <x v="124"/>
    <n v="1560"/>
    <n v="1060"/>
    <n v="5.4166666666666669E-3"/>
    <s v="Oct-12"/>
    <x v="2"/>
    <n v="2.2222222222222223"/>
  </r>
  <r>
    <x v="0"/>
    <n v="54"/>
    <x v="0"/>
    <x v="0"/>
    <x v="0"/>
    <x v="20"/>
    <x v="0"/>
    <x v="1"/>
    <x v="11"/>
    <x v="22"/>
    <x v="15"/>
    <x v="0"/>
    <n v="30"/>
    <n v="40"/>
    <n v="80"/>
    <n v="37"/>
    <x v="15"/>
    <x v="22"/>
    <x v="79"/>
    <x v="116"/>
    <n v="1.8"/>
    <n v="-13"/>
    <x v="0"/>
    <n v="39.325000000000003"/>
    <x v="125"/>
    <n v="3186"/>
    <n v="592"/>
    <n v="1.4300847457627119E-2"/>
    <s v="Oct-12"/>
    <x v="1"/>
    <n v="2.1851851851851851"/>
  </r>
  <r>
    <x v="63"/>
    <n v="27"/>
    <x v="0"/>
    <x v="0"/>
    <x v="2"/>
    <x v="7"/>
    <x v="0"/>
    <x v="1"/>
    <x v="2"/>
    <x v="30"/>
    <x v="7"/>
    <x v="15"/>
    <n v="20"/>
    <n v="50"/>
    <n v="70"/>
    <n v="19"/>
    <x v="7"/>
    <x v="30"/>
    <x v="66"/>
    <x v="117"/>
    <n v="1.35"/>
    <n v="-30"/>
    <x v="0"/>
    <n v="49.6"/>
    <x v="126"/>
    <n v="1320"/>
    <n v="133"/>
    <n v="4.3290043290043288E-2"/>
    <s v="Oct-12"/>
    <x v="5"/>
    <n v="2.4444444444444446"/>
  </r>
  <r>
    <x v="64"/>
    <n v="76"/>
    <x v="0"/>
    <x v="0"/>
    <x v="3"/>
    <x v="28"/>
    <x v="0"/>
    <x v="1"/>
    <x v="11"/>
    <x v="63"/>
    <x v="76"/>
    <x v="3"/>
    <n v="30"/>
    <n v="50"/>
    <n v="80"/>
    <n v="32"/>
    <x v="76"/>
    <x v="63"/>
    <x v="13"/>
    <x v="118"/>
    <n v="2.5333333333333332"/>
    <n v="29"/>
    <x v="0"/>
    <n v="48.42"/>
    <x v="127"/>
    <n v="14773"/>
    <n v="672"/>
    <n v="2.0117137764196588E-2"/>
    <s v="Oct-12"/>
    <x v="3"/>
    <n v="2.4605263157894739"/>
  </r>
  <r>
    <x v="65"/>
    <n v="22"/>
    <x v="0"/>
    <x v="1"/>
    <x v="0"/>
    <x v="7"/>
    <x v="1"/>
    <x v="2"/>
    <x v="4"/>
    <x v="44"/>
    <x v="77"/>
    <x v="13"/>
    <n v="20"/>
    <n v="50"/>
    <n v="70"/>
    <n v="19"/>
    <x v="77"/>
    <x v="44"/>
    <x v="67"/>
    <x v="34"/>
    <n v="1.1000000000000001"/>
    <n v="-40"/>
    <x v="0"/>
    <n v="49.8"/>
    <x v="128"/>
    <n v="510"/>
    <n v="133"/>
    <n v="2.8011204481792718E-2"/>
    <s v="Oct-12"/>
    <x v="5"/>
    <n v="2.3181818181818183"/>
  </r>
  <r>
    <x v="66"/>
    <n v="23"/>
    <x v="0"/>
    <x v="1"/>
    <x v="0"/>
    <x v="29"/>
    <x v="1"/>
    <x v="2"/>
    <x v="8"/>
    <x v="47"/>
    <x v="78"/>
    <x v="4"/>
    <n v="20"/>
    <n v="50"/>
    <n v="70"/>
    <n v="17"/>
    <x v="78"/>
    <x v="47"/>
    <x v="80"/>
    <x v="7"/>
    <n v="1.1499999999999999"/>
    <n v="-32"/>
    <x v="0"/>
    <n v="49.64"/>
    <x v="129"/>
    <n v="1044"/>
    <n v="102"/>
    <n v="5.1724137931034482E-2"/>
    <s v="Oct-12"/>
    <x v="5"/>
    <n v="2.5217391304347827"/>
  </r>
  <r>
    <x v="67"/>
    <n v="79"/>
    <x v="0"/>
    <x v="1"/>
    <x v="2"/>
    <x v="30"/>
    <x v="0"/>
    <x v="0"/>
    <x v="0"/>
    <x v="28"/>
    <x v="79"/>
    <x v="5"/>
    <n v="40"/>
    <n v="30"/>
    <n v="90"/>
    <n v="64"/>
    <x v="79"/>
    <x v="28"/>
    <x v="12"/>
    <x v="119"/>
    <n v="1.9750000000000001"/>
    <n v="4"/>
    <x v="0"/>
    <n v="28.866666666666667"/>
    <x v="130"/>
    <n v="6018"/>
    <n v="1920"/>
    <n v="6.4030131826741995E-3"/>
    <s v="Oct-12"/>
    <x v="0"/>
    <n v="2.240506329113924"/>
  </r>
  <r>
    <x v="6"/>
    <n v="65"/>
    <x v="0"/>
    <x v="1"/>
    <x v="2"/>
    <x v="14"/>
    <x v="0"/>
    <x v="0"/>
    <x v="1"/>
    <x v="3"/>
    <x v="64"/>
    <x v="5"/>
    <n v="30"/>
    <n v="50"/>
    <n v="80"/>
    <n v="42"/>
    <x v="64"/>
    <x v="3"/>
    <x v="33"/>
    <x v="120"/>
    <n v="2.1666666666666665"/>
    <n v="-15"/>
    <x v="0"/>
    <n v="49.3"/>
    <x v="131"/>
    <n v="4970"/>
    <n v="840"/>
    <n v="1.232394366197183E-2"/>
    <s v="Oct-12"/>
    <x v="3"/>
    <n v="2.1846153846153844"/>
  </r>
  <r>
    <x v="14"/>
    <n v="46"/>
    <x v="0"/>
    <x v="1"/>
    <x v="0"/>
    <x v="10"/>
    <x v="0"/>
    <x v="1"/>
    <x v="2"/>
    <x v="27"/>
    <x v="27"/>
    <x v="13"/>
    <n v="20"/>
    <n v="40"/>
    <n v="70"/>
    <n v="37"/>
    <x v="27"/>
    <x v="27"/>
    <x v="25"/>
    <x v="33"/>
    <n v="2.2999999999999998"/>
    <n v="-10"/>
    <x v="0"/>
    <n v="39.25"/>
    <x v="36"/>
    <n v="3390"/>
    <n v="518"/>
    <n v="1.8963337547408345E-2"/>
    <s v="Oct-12"/>
    <x v="3"/>
    <n v="2.4565217391304346"/>
  </r>
  <r>
    <x v="65"/>
    <n v="60"/>
    <x v="0"/>
    <x v="1"/>
    <x v="0"/>
    <x v="12"/>
    <x v="0"/>
    <x v="1"/>
    <x v="11"/>
    <x v="66"/>
    <x v="13"/>
    <x v="13"/>
    <n v="40"/>
    <n v="0"/>
    <n v="90"/>
    <n v="84"/>
    <x v="13"/>
    <x v="66"/>
    <x v="50"/>
    <x v="121"/>
    <n v="1.5"/>
    <n v="0"/>
    <x v="0"/>
    <e v="#DIV/0!"/>
    <x v="132"/>
    <n v="0"/>
    <e v="#DIV/0!"/>
    <n v="0"/>
    <s v="Oct-12"/>
    <x v="9"/>
    <n v="2.4"/>
  </r>
  <r>
    <x v="32"/>
    <n v="60"/>
    <x v="0"/>
    <x v="1"/>
    <x v="3"/>
    <x v="31"/>
    <x v="0"/>
    <x v="1"/>
    <x v="2"/>
    <x v="67"/>
    <x v="80"/>
    <x v="14"/>
    <n v="20"/>
    <n v="40"/>
    <n v="70"/>
    <n v="42"/>
    <x v="80"/>
    <x v="67"/>
    <x v="81"/>
    <x v="122"/>
    <n v="3"/>
    <n v="17"/>
    <x v="0"/>
    <n v="38.575000000000003"/>
    <x v="133"/>
    <n v="9063"/>
    <n v="756"/>
    <n v="1.9916142557651992E-2"/>
    <s v="Oct-12"/>
    <x v="3"/>
    <n v="2.65"/>
  </r>
  <r>
    <x v="68"/>
    <n v="40"/>
    <x v="1"/>
    <x v="0"/>
    <x v="0"/>
    <x v="2"/>
    <x v="0"/>
    <x v="0"/>
    <x v="0"/>
    <x v="22"/>
    <x v="19"/>
    <x v="16"/>
    <n v="30"/>
    <n v="30"/>
    <n v="80"/>
    <n v="25"/>
    <x v="19"/>
    <x v="22"/>
    <x v="22"/>
    <x v="24"/>
    <n v="1.3333333333333333"/>
    <n v="-3"/>
    <x v="0"/>
    <n v="29.1"/>
    <x v="24"/>
    <n v="2484"/>
    <n v="325"/>
    <n v="2.2575250836120404E-2"/>
    <s v="Nov-12"/>
    <x v="2"/>
    <n v="2.2999999999999998"/>
  </r>
  <r>
    <x v="69"/>
    <n v="36"/>
    <x v="1"/>
    <x v="0"/>
    <x v="0"/>
    <x v="3"/>
    <x v="0"/>
    <x v="0"/>
    <x v="0"/>
    <x v="27"/>
    <x v="23"/>
    <x v="18"/>
    <n v="30"/>
    <n v="40"/>
    <n v="80"/>
    <n v="22"/>
    <x v="23"/>
    <x v="27"/>
    <x v="31"/>
    <x v="7"/>
    <n v="1.2"/>
    <n v="-10"/>
    <x v="0"/>
    <n v="39.25"/>
    <x v="33"/>
    <n v="2640"/>
    <n v="220"/>
    <n v="3.4090909090909088E-2"/>
    <s v="Nov-12"/>
    <x v="1"/>
    <n v="2.4444444444444446"/>
  </r>
  <r>
    <x v="70"/>
    <n v="55"/>
    <x v="1"/>
    <x v="0"/>
    <x v="2"/>
    <x v="14"/>
    <x v="0"/>
    <x v="0"/>
    <x v="0"/>
    <x v="25"/>
    <x v="21"/>
    <x v="15"/>
    <n v="40"/>
    <n v="20"/>
    <n v="90"/>
    <n v="54"/>
    <x v="21"/>
    <x v="25"/>
    <x v="26"/>
    <x v="28"/>
    <n v="1.375"/>
    <n v="-5"/>
    <x v="0"/>
    <n v="19.25"/>
    <x v="28"/>
    <n v="1860"/>
    <n v="1080"/>
    <n v="6.0483870967741934E-3"/>
    <s v="Nov-12"/>
    <x v="7"/>
    <n v="2.2545454545454544"/>
  </r>
  <r>
    <x v="71"/>
    <n v="40"/>
    <x v="1"/>
    <x v="0"/>
    <x v="3"/>
    <x v="2"/>
    <x v="0"/>
    <x v="0"/>
    <x v="1"/>
    <x v="22"/>
    <x v="19"/>
    <x v="3"/>
    <n v="30"/>
    <n v="30"/>
    <n v="80"/>
    <n v="25"/>
    <x v="19"/>
    <x v="22"/>
    <x v="22"/>
    <x v="24"/>
    <n v="1.3333333333333333"/>
    <n v="-3"/>
    <x v="0"/>
    <n v="29.1"/>
    <x v="24"/>
    <n v="2484"/>
    <n v="325"/>
    <n v="2.2575250836120404E-2"/>
    <s v="Nov-12"/>
    <x v="2"/>
    <n v="2.2999999999999998"/>
  </r>
  <r>
    <x v="72"/>
    <n v="28"/>
    <x v="1"/>
    <x v="0"/>
    <x v="2"/>
    <x v="7"/>
    <x v="0"/>
    <x v="1"/>
    <x v="2"/>
    <x v="34"/>
    <x v="49"/>
    <x v="2"/>
    <n v="20"/>
    <n v="40"/>
    <n v="70"/>
    <n v="19"/>
    <x v="49"/>
    <x v="34"/>
    <x v="70"/>
    <x v="84"/>
    <n v="1.4"/>
    <n v="-17"/>
    <x v="0"/>
    <n v="39.424999999999997"/>
    <x v="134"/>
    <n v="1610"/>
    <n v="133"/>
    <n v="4.6938775510204082E-2"/>
    <s v="Nov-12"/>
    <x v="3"/>
    <n v="2.5"/>
  </r>
  <r>
    <x v="35"/>
    <n v="31"/>
    <x v="1"/>
    <x v="0"/>
    <x v="2"/>
    <x v="18"/>
    <x v="0"/>
    <x v="1"/>
    <x v="3"/>
    <x v="2"/>
    <x v="25"/>
    <x v="2"/>
    <n v="30"/>
    <n v="40"/>
    <n v="80"/>
    <n v="19"/>
    <x v="25"/>
    <x v="2"/>
    <x v="30"/>
    <x v="3"/>
    <n v="1.0333333333333334"/>
    <n v="-12"/>
    <x v="0"/>
    <n v="39.299999999999997"/>
    <x v="32"/>
    <n v="2184"/>
    <n v="152"/>
    <n v="4.4871794871794872E-2"/>
    <s v="Nov-12"/>
    <x v="1"/>
    <n v="2.5161290322580645"/>
  </r>
  <r>
    <x v="53"/>
    <n v="32"/>
    <x v="1"/>
    <x v="0"/>
    <x v="2"/>
    <x v="18"/>
    <x v="0"/>
    <x v="1"/>
    <x v="3"/>
    <x v="26"/>
    <x v="81"/>
    <x v="15"/>
    <n v="30"/>
    <n v="40"/>
    <n v="80"/>
    <n v="19"/>
    <x v="81"/>
    <x v="26"/>
    <x v="57"/>
    <x v="123"/>
    <n v="1.0666666666666667"/>
    <n v="-11"/>
    <x v="0"/>
    <n v="39.274999999999999"/>
    <x v="135"/>
    <n v="2320"/>
    <n v="152"/>
    <n v="4.5312499999999999E-2"/>
    <s v="Nov-12"/>
    <x v="1"/>
    <n v="2.5"/>
  </r>
  <r>
    <x v="73"/>
    <n v="50"/>
    <x v="1"/>
    <x v="0"/>
    <x v="3"/>
    <x v="10"/>
    <x v="0"/>
    <x v="1"/>
    <x v="11"/>
    <x v="17"/>
    <x v="1"/>
    <x v="3"/>
    <n v="30"/>
    <n v="40"/>
    <n v="80"/>
    <n v="26"/>
    <x v="1"/>
    <x v="17"/>
    <x v="82"/>
    <x v="124"/>
    <n v="1.6666666666666667"/>
    <n v="7"/>
    <x v="0"/>
    <n v="38.825000000000003"/>
    <x v="136"/>
    <n v="5781"/>
    <n v="364"/>
    <n v="2.72938443670151E-2"/>
    <s v="Nov-12"/>
    <x v="1"/>
    <n v="2.46"/>
  </r>
  <r>
    <x v="5"/>
    <n v="0"/>
    <x v="1"/>
    <x v="1"/>
    <x v="0"/>
    <x v="5"/>
    <x v="1"/>
    <x v="2"/>
    <x v="4"/>
    <x v="5"/>
    <x v="5"/>
    <x v="4"/>
    <n v="0"/>
    <n v="40"/>
    <n v="50"/>
    <n v="12"/>
    <x v="5"/>
    <x v="5"/>
    <x v="5"/>
    <x v="5"/>
    <e v="#DIV/0!"/>
    <n v="-9"/>
    <x v="0"/>
    <n v="39.225000000000001"/>
    <x v="5"/>
    <n v="1333"/>
    <e v="#DIV/0!"/>
    <e v="#DIV/0!"/>
    <s v="Nov-12"/>
    <x v="12"/>
    <e v="#DIV/0!"/>
  </r>
  <r>
    <x v="39"/>
    <n v="82"/>
    <x v="1"/>
    <x v="1"/>
    <x v="1"/>
    <x v="26"/>
    <x v="1"/>
    <x v="3"/>
    <x v="5"/>
    <x v="23"/>
    <x v="0"/>
    <x v="17"/>
    <n v="90"/>
    <n v="10"/>
    <n v="140"/>
    <n v="48"/>
    <x v="0"/>
    <x v="23"/>
    <x v="83"/>
    <x v="125"/>
    <n v="0.91111111111111109"/>
    <n v="-18"/>
    <x v="0"/>
    <n v="10.8"/>
    <x v="137"/>
    <n v="-976"/>
    <n v="1200"/>
    <n v="-2.6229508196721311E-3"/>
    <s v="Nov-12"/>
    <x v="13"/>
    <n v="1.4878048780487805"/>
  </r>
  <r>
    <x v="74"/>
    <n v="22"/>
    <x v="1"/>
    <x v="1"/>
    <x v="0"/>
    <x v="29"/>
    <x v="1"/>
    <x v="2"/>
    <x v="8"/>
    <x v="38"/>
    <x v="82"/>
    <x v="4"/>
    <n v="20"/>
    <n v="40"/>
    <n v="70"/>
    <n v="18"/>
    <x v="82"/>
    <x v="38"/>
    <x v="80"/>
    <x v="126"/>
    <n v="1.1000000000000001"/>
    <n v="-24"/>
    <x v="0"/>
    <n v="39.6"/>
    <x v="138"/>
    <n v="896"/>
    <n v="108"/>
    <n v="4.7619047619047616E-2"/>
    <s v="Nov-12"/>
    <x v="3"/>
    <n v="2.5454545454545454"/>
  </r>
  <r>
    <x v="39"/>
    <n v="44"/>
    <x v="1"/>
    <x v="1"/>
    <x v="1"/>
    <x v="19"/>
    <x v="1"/>
    <x v="2"/>
    <x v="8"/>
    <x v="11"/>
    <x v="28"/>
    <x v="17"/>
    <n v="30"/>
    <n v="0"/>
    <n v="80"/>
    <n v="69"/>
    <x v="28"/>
    <x v="11"/>
    <x v="84"/>
    <x v="127"/>
    <n v="1.4666666666666666"/>
    <n v="-7"/>
    <x v="0"/>
    <e v="#DIV/0!"/>
    <x v="139"/>
    <n v="-742"/>
    <n v="2760"/>
    <n v="-1.6509433962264149E-3"/>
    <s v="Nov-12"/>
    <x v="6"/>
    <n v="2.4090909090909092"/>
  </r>
  <r>
    <x v="8"/>
    <n v="33"/>
    <x v="1"/>
    <x v="1"/>
    <x v="3"/>
    <x v="13"/>
    <x v="1"/>
    <x v="3"/>
    <x v="7"/>
    <x v="64"/>
    <x v="83"/>
    <x v="7"/>
    <n v="30"/>
    <n v="10"/>
    <n v="80"/>
    <n v="45"/>
    <x v="83"/>
    <x v="64"/>
    <x v="69"/>
    <x v="128"/>
    <n v="1.1000000000000001"/>
    <n v="-14"/>
    <x v="0"/>
    <n v="10.4"/>
    <x v="140"/>
    <n v="-296"/>
    <n v="540"/>
    <n v="-4.5045045045045045E-3"/>
    <s v="Nov-12"/>
    <x v="7"/>
    <n v="2.2424242424242422"/>
  </r>
  <r>
    <x v="13"/>
    <n v="44"/>
    <x v="1"/>
    <x v="1"/>
    <x v="0"/>
    <x v="19"/>
    <x v="0"/>
    <x v="0"/>
    <x v="10"/>
    <x v="23"/>
    <x v="28"/>
    <x v="12"/>
    <n v="40"/>
    <n v="0"/>
    <n v="90"/>
    <n v="70"/>
    <x v="28"/>
    <x v="23"/>
    <x v="35"/>
    <x v="35"/>
    <n v="1.1000000000000001"/>
    <n v="-8"/>
    <x v="0"/>
    <e v="#DIV/0!"/>
    <x v="38"/>
    <n v="-848"/>
    <n v="2800"/>
    <n v="-1.8867924528301887E-3"/>
    <s v="Nov-12"/>
    <x v="9"/>
    <n v="2.4090909090909092"/>
  </r>
  <r>
    <x v="14"/>
    <n v="31"/>
    <x v="1"/>
    <x v="1"/>
    <x v="0"/>
    <x v="18"/>
    <x v="0"/>
    <x v="0"/>
    <x v="0"/>
    <x v="22"/>
    <x v="25"/>
    <x v="13"/>
    <n v="20"/>
    <n v="40"/>
    <n v="70"/>
    <n v="20"/>
    <x v="25"/>
    <x v="22"/>
    <x v="57"/>
    <x v="48"/>
    <n v="1.55"/>
    <n v="-13"/>
    <x v="0"/>
    <n v="39.325000000000003"/>
    <x v="141"/>
    <n v="2106"/>
    <n v="160"/>
    <n v="4.3269230769230768E-2"/>
    <s v="Nov-12"/>
    <x v="3"/>
    <n v="2.5161290322580645"/>
  </r>
  <r>
    <x v="42"/>
    <n v="69"/>
    <x v="1"/>
    <x v="1"/>
    <x v="2"/>
    <x v="28"/>
    <x v="0"/>
    <x v="0"/>
    <x v="1"/>
    <x v="68"/>
    <x v="61"/>
    <x v="5"/>
    <n v="50"/>
    <n v="30"/>
    <n v="100"/>
    <n v="43"/>
    <x v="61"/>
    <x v="68"/>
    <x v="85"/>
    <x v="129"/>
    <n v="1.38"/>
    <n v="8"/>
    <x v="0"/>
    <n v="28.733333333333334"/>
    <x v="142"/>
    <n v="5700"/>
    <n v="903"/>
    <n v="1.2063492063492064E-2"/>
    <s v="Nov-12"/>
    <x v="7"/>
    <n v="2.1739130434782608"/>
  </r>
  <r>
    <x v="14"/>
    <n v="49"/>
    <x v="1"/>
    <x v="1"/>
    <x v="0"/>
    <x v="6"/>
    <x v="0"/>
    <x v="1"/>
    <x v="2"/>
    <x v="9"/>
    <x v="10"/>
    <x v="13"/>
    <n v="40"/>
    <n v="20"/>
    <n v="90"/>
    <n v="38"/>
    <x v="10"/>
    <x v="9"/>
    <x v="10"/>
    <x v="10"/>
    <n v="1.2250000000000001"/>
    <n v="13"/>
    <x v="0"/>
    <n v="18.350000000000001"/>
    <x v="10"/>
    <n v="3960"/>
    <n v="570"/>
    <n v="1.8333333333333333E-2"/>
    <s v="Nov-12"/>
    <x v="7"/>
    <n v="2.4489795918367347"/>
  </r>
  <r>
    <x v="32"/>
    <n v="49"/>
    <x v="1"/>
    <x v="1"/>
    <x v="3"/>
    <x v="6"/>
    <x v="0"/>
    <x v="1"/>
    <x v="11"/>
    <x v="28"/>
    <x v="10"/>
    <x v="14"/>
    <n v="30"/>
    <n v="30"/>
    <n v="80"/>
    <n v="37"/>
    <x v="10"/>
    <x v="28"/>
    <x v="32"/>
    <x v="31"/>
    <n v="1.6333333333333333"/>
    <n v="4"/>
    <x v="0"/>
    <n v="28.866666666666667"/>
    <x v="34"/>
    <n v="4080"/>
    <n v="555"/>
    <n v="1.8888888888888889E-2"/>
    <s v="Nov-12"/>
    <x v="2"/>
    <n v="2.4489795918367347"/>
  </r>
  <r>
    <x v="1"/>
    <n v="43"/>
    <x v="2"/>
    <x v="0"/>
    <x v="0"/>
    <x v="10"/>
    <x v="1"/>
    <x v="3"/>
    <x v="7"/>
    <x v="26"/>
    <x v="9"/>
    <x v="0"/>
    <n v="40"/>
    <n v="30"/>
    <n v="90"/>
    <n v="27"/>
    <x v="9"/>
    <x v="26"/>
    <x v="86"/>
    <x v="130"/>
    <n v="1.075"/>
    <n v="-1"/>
    <x v="0"/>
    <n v="29.033333333333335"/>
    <x v="143"/>
    <n v="2871"/>
    <n v="377.99999999999994"/>
    <n v="2.0923520923520924E-2"/>
    <s v="Dec-12"/>
    <x v="0"/>
    <n v="2.3023255813953489"/>
  </r>
  <r>
    <x v="69"/>
    <n v="41"/>
    <x v="2"/>
    <x v="0"/>
    <x v="0"/>
    <x v="2"/>
    <x v="1"/>
    <x v="3"/>
    <x v="7"/>
    <x v="10"/>
    <x v="38"/>
    <x v="18"/>
    <n v="40"/>
    <n v="20"/>
    <n v="90"/>
    <n v="36"/>
    <x v="38"/>
    <x v="10"/>
    <x v="45"/>
    <x v="46"/>
    <n v="1.0249999999999999"/>
    <n v="4"/>
    <x v="0"/>
    <n v="18.8"/>
    <x v="51"/>
    <n v="2424"/>
    <n v="468"/>
    <n v="1.827875095201828E-2"/>
    <s v="Dec-12"/>
    <x v="7"/>
    <n v="2.4634146341463414"/>
  </r>
  <r>
    <x v="25"/>
    <n v="47"/>
    <x v="2"/>
    <x v="0"/>
    <x v="2"/>
    <x v="22"/>
    <x v="1"/>
    <x v="2"/>
    <x v="8"/>
    <x v="69"/>
    <x v="9"/>
    <x v="15"/>
    <n v="40"/>
    <n v="-10"/>
    <n v="90"/>
    <n v="72"/>
    <x v="9"/>
    <x v="69"/>
    <x v="63"/>
    <x v="131"/>
    <n v="1.175"/>
    <n v="-10"/>
    <x v="0"/>
    <n v="-12"/>
    <x v="144"/>
    <n v="-1980"/>
    <n v="3024"/>
    <n v="-4.8100048100048094E-3"/>
    <s v="Dec-12"/>
    <x v="10"/>
    <n v="2.1063829787234041"/>
  </r>
  <r>
    <x v="68"/>
    <n v="43"/>
    <x v="2"/>
    <x v="0"/>
    <x v="0"/>
    <x v="10"/>
    <x v="0"/>
    <x v="0"/>
    <x v="0"/>
    <x v="26"/>
    <x v="9"/>
    <x v="16"/>
    <n v="40"/>
    <n v="30"/>
    <n v="90"/>
    <n v="27"/>
    <x v="9"/>
    <x v="26"/>
    <x v="86"/>
    <x v="130"/>
    <n v="1.075"/>
    <n v="-1"/>
    <x v="0"/>
    <n v="29.033333333333335"/>
    <x v="143"/>
    <n v="2871"/>
    <n v="377.99999999999994"/>
    <n v="2.0923520923520924E-2"/>
    <s v="Dec-12"/>
    <x v="0"/>
    <n v="2.3023255813953489"/>
  </r>
  <r>
    <x v="75"/>
    <n v="43"/>
    <x v="2"/>
    <x v="0"/>
    <x v="3"/>
    <x v="10"/>
    <x v="0"/>
    <x v="0"/>
    <x v="1"/>
    <x v="26"/>
    <x v="9"/>
    <x v="3"/>
    <n v="40"/>
    <n v="30"/>
    <n v="90"/>
    <n v="27"/>
    <x v="9"/>
    <x v="26"/>
    <x v="86"/>
    <x v="130"/>
    <n v="1.075"/>
    <n v="-1"/>
    <x v="0"/>
    <n v="29.033333333333335"/>
    <x v="143"/>
    <n v="2871"/>
    <n v="377.99999999999994"/>
    <n v="2.0923520923520924E-2"/>
    <s v="Dec-12"/>
    <x v="0"/>
    <n v="2.3023255813953489"/>
  </r>
  <r>
    <x v="0"/>
    <n v="46"/>
    <x v="2"/>
    <x v="0"/>
    <x v="0"/>
    <x v="1"/>
    <x v="0"/>
    <x v="1"/>
    <x v="2"/>
    <x v="70"/>
    <x v="84"/>
    <x v="0"/>
    <n v="30"/>
    <n v="10"/>
    <n v="80"/>
    <n v="51"/>
    <x v="84"/>
    <x v="70"/>
    <x v="1"/>
    <x v="132"/>
    <n v="1.5333333333333334"/>
    <n v="-4"/>
    <x v="0"/>
    <n v="9.4"/>
    <x v="129"/>
    <n v="618"/>
    <n v="867"/>
    <n v="3.4266133637921191E-3"/>
    <s v="Dec-12"/>
    <x v="7"/>
    <n v="2.2391304347826089"/>
  </r>
  <r>
    <x v="0"/>
    <n v="53"/>
    <x v="2"/>
    <x v="0"/>
    <x v="0"/>
    <x v="20"/>
    <x v="0"/>
    <x v="1"/>
    <x v="11"/>
    <x v="1"/>
    <x v="52"/>
    <x v="0"/>
    <n v="40"/>
    <n v="20"/>
    <n v="90"/>
    <n v="37"/>
    <x v="52"/>
    <x v="1"/>
    <x v="6"/>
    <x v="133"/>
    <n v="1.325"/>
    <n v="6"/>
    <x v="0"/>
    <n v="18.7"/>
    <x v="145"/>
    <n v="3016"/>
    <n v="592"/>
    <n v="1.4008620689655173E-2"/>
    <s v="Dec-12"/>
    <x v="7"/>
    <n v="2.1886792452830188"/>
  </r>
  <r>
    <x v="70"/>
    <n v="33"/>
    <x v="2"/>
    <x v="0"/>
    <x v="2"/>
    <x v="8"/>
    <x v="0"/>
    <x v="1"/>
    <x v="2"/>
    <x v="26"/>
    <x v="40"/>
    <x v="15"/>
    <n v="30"/>
    <n v="40"/>
    <n v="80"/>
    <n v="20"/>
    <x v="40"/>
    <x v="26"/>
    <x v="62"/>
    <x v="134"/>
    <n v="1.1000000000000001"/>
    <n v="-11"/>
    <x v="0"/>
    <n v="39.274999999999999"/>
    <x v="146"/>
    <n v="2378"/>
    <n v="180"/>
    <n v="3.9295392953929538E-2"/>
    <s v="Dec-12"/>
    <x v="1"/>
    <n v="2.4848484848484849"/>
  </r>
  <r>
    <x v="76"/>
    <n v="34"/>
    <x v="2"/>
    <x v="0"/>
    <x v="2"/>
    <x v="8"/>
    <x v="0"/>
    <x v="1"/>
    <x v="3"/>
    <x v="27"/>
    <x v="39"/>
    <x v="2"/>
    <n v="30"/>
    <n v="40"/>
    <n v="80"/>
    <n v="21"/>
    <x v="39"/>
    <x v="27"/>
    <x v="87"/>
    <x v="91"/>
    <n v="1.1333333333333333"/>
    <n v="-10"/>
    <x v="0"/>
    <n v="39.25"/>
    <x v="147"/>
    <n v="2550"/>
    <n v="189"/>
    <n v="3.9215686274509803E-2"/>
    <s v="Dec-12"/>
    <x v="1"/>
    <n v="2.5"/>
  </r>
  <r>
    <x v="77"/>
    <n v="0"/>
    <x v="2"/>
    <x v="1"/>
    <x v="0"/>
    <x v="5"/>
    <x v="1"/>
    <x v="2"/>
    <x v="4"/>
    <x v="71"/>
    <x v="5"/>
    <x v="4"/>
    <n v="0"/>
    <n v="40"/>
    <n v="50"/>
    <n v="11"/>
    <x v="5"/>
    <x v="71"/>
    <x v="88"/>
    <x v="5"/>
    <e v="#DIV/0!"/>
    <n v="-8"/>
    <x v="0"/>
    <n v="39.200000000000003"/>
    <x v="148"/>
    <n v="1376"/>
    <e v="#DIV/0!"/>
    <e v="#DIV/0!"/>
    <s v="Dec-12"/>
    <x v="12"/>
    <e v="#DIV/0!"/>
  </r>
  <r>
    <x v="29"/>
    <n v="43"/>
    <x v="2"/>
    <x v="1"/>
    <x v="1"/>
    <x v="2"/>
    <x v="1"/>
    <x v="2"/>
    <x v="4"/>
    <x v="22"/>
    <x v="28"/>
    <x v="10"/>
    <n v="30"/>
    <n v="20"/>
    <n v="80"/>
    <n v="36"/>
    <x v="28"/>
    <x v="22"/>
    <x v="2"/>
    <x v="24"/>
    <n v="1.4333333333333333"/>
    <n v="7"/>
    <x v="0"/>
    <n v="18.649999999999999"/>
    <x v="78"/>
    <n v="2862"/>
    <n v="467.99999999999994"/>
    <n v="1.9593613933236578E-2"/>
    <s v="Dec-12"/>
    <x v="0"/>
    <n v="2.4651162790697674"/>
  </r>
  <r>
    <x v="48"/>
    <n v="31"/>
    <x v="2"/>
    <x v="1"/>
    <x v="3"/>
    <x v="8"/>
    <x v="1"/>
    <x v="3"/>
    <x v="5"/>
    <x v="72"/>
    <x v="85"/>
    <x v="7"/>
    <n v="30"/>
    <n v="30"/>
    <n v="80"/>
    <n v="30"/>
    <x v="85"/>
    <x v="72"/>
    <x v="8"/>
    <x v="135"/>
    <n v="1.0333333333333334"/>
    <n v="-22"/>
    <x v="0"/>
    <n v="29.733333333333334"/>
    <x v="149"/>
    <n v="552"/>
    <n v="270"/>
    <n v="1.2882447665056361E-2"/>
    <s v="Dec-12"/>
    <x v="2"/>
    <n v="2.225806451612903"/>
  </r>
  <r>
    <x v="74"/>
    <n v="23"/>
    <x v="2"/>
    <x v="1"/>
    <x v="0"/>
    <x v="29"/>
    <x v="1"/>
    <x v="2"/>
    <x v="8"/>
    <x v="39"/>
    <x v="78"/>
    <x v="4"/>
    <n v="20"/>
    <n v="40"/>
    <n v="70"/>
    <n v="18"/>
    <x v="78"/>
    <x v="39"/>
    <x v="67"/>
    <x v="136"/>
    <n v="1.1499999999999999"/>
    <n v="-23"/>
    <x v="0"/>
    <n v="39.575000000000003"/>
    <x v="129"/>
    <n v="986"/>
    <n v="108"/>
    <n v="4.8850574712643681E-2"/>
    <s v="Dec-12"/>
    <x v="3"/>
    <n v="2.5217391304347827"/>
  </r>
  <r>
    <x v="38"/>
    <n v="41"/>
    <x v="2"/>
    <x v="1"/>
    <x v="1"/>
    <x v="13"/>
    <x v="1"/>
    <x v="2"/>
    <x v="8"/>
    <x v="5"/>
    <x v="2"/>
    <x v="10"/>
    <n v="30"/>
    <n v="20"/>
    <n v="80"/>
    <n v="35"/>
    <x v="2"/>
    <x v="5"/>
    <x v="82"/>
    <x v="137"/>
    <n v="1.3666666666666667"/>
    <n v="11"/>
    <x v="0"/>
    <n v="18.45"/>
    <x v="150"/>
    <n v="3317"/>
    <n v="420"/>
    <n v="2.4143302180685361E-2"/>
    <s v="Dec-12"/>
    <x v="0"/>
    <n v="2.6097560975609757"/>
  </r>
  <r>
    <x v="17"/>
    <n v="46"/>
    <x v="2"/>
    <x v="1"/>
    <x v="3"/>
    <x v="1"/>
    <x v="1"/>
    <x v="2"/>
    <x v="9"/>
    <x v="70"/>
    <x v="84"/>
    <x v="11"/>
    <n v="40"/>
    <n v="10"/>
    <n v="90"/>
    <n v="51"/>
    <x v="84"/>
    <x v="70"/>
    <x v="1"/>
    <x v="132"/>
    <n v="1.1499999999999999"/>
    <n v="-4"/>
    <x v="0"/>
    <n v="9.4"/>
    <x v="129"/>
    <n v="618"/>
    <n v="867"/>
    <n v="3.4266133637921191E-3"/>
    <s v="Dec-12"/>
    <x v="6"/>
    <n v="2.2391304347826089"/>
  </r>
  <r>
    <x v="14"/>
    <n v="43"/>
    <x v="2"/>
    <x v="1"/>
    <x v="0"/>
    <x v="2"/>
    <x v="0"/>
    <x v="1"/>
    <x v="2"/>
    <x v="2"/>
    <x v="28"/>
    <x v="13"/>
    <n v="30"/>
    <n v="20"/>
    <n v="80"/>
    <n v="35"/>
    <x v="28"/>
    <x v="2"/>
    <x v="69"/>
    <x v="2"/>
    <n v="1.4333333333333333"/>
    <n v="8"/>
    <x v="0"/>
    <n v="18.600000000000001"/>
    <x v="151"/>
    <n v="2968"/>
    <n v="455"/>
    <n v="2.0319303338171262E-2"/>
    <s v="Dec-12"/>
    <x v="0"/>
    <n v="2.4651162790697674"/>
  </r>
  <r>
    <x v="67"/>
    <n v="33"/>
    <x v="2"/>
    <x v="1"/>
    <x v="2"/>
    <x v="8"/>
    <x v="0"/>
    <x v="1"/>
    <x v="3"/>
    <x v="2"/>
    <x v="40"/>
    <x v="5"/>
    <n v="30"/>
    <n v="40"/>
    <n v="80"/>
    <n v="21"/>
    <x v="40"/>
    <x v="2"/>
    <x v="29"/>
    <x v="50"/>
    <n v="1.1000000000000001"/>
    <n v="-12"/>
    <x v="0"/>
    <n v="39.299999999999997"/>
    <x v="55"/>
    <n v="2296"/>
    <n v="189"/>
    <n v="3.7940379403794036E-2"/>
    <s v="Dec-12"/>
    <x v="1"/>
    <n v="2.4848484848484849"/>
  </r>
  <r>
    <x v="9"/>
    <n v="49"/>
    <x v="2"/>
    <x v="1"/>
    <x v="3"/>
    <x v="25"/>
    <x v="0"/>
    <x v="1"/>
    <x v="2"/>
    <x v="64"/>
    <x v="15"/>
    <x v="8"/>
    <n v="30"/>
    <n v="0"/>
    <n v="80"/>
    <n v="73"/>
    <x v="15"/>
    <x v="64"/>
    <x v="43"/>
    <x v="138"/>
    <n v="1.6333333333333333"/>
    <n v="-4"/>
    <x v="0"/>
    <e v="#DIV/0!"/>
    <x v="152"/>
    <n v="-472"/>
    <n v="3212"/>
    <n v="-7.7041602465331282E-4"/>
    <s v="Dec-12"/>
    <x v="6"/>
    <n v="2.4081632653061225"/>
  </r>
  <r>
    <x v="78"/>
    <n v="55"/>
    <x v="2"/>
    <x v="1"/>
    <x v="3"/>
    <x v="24"/>
    <x v="0"/>
    <x v="1"/>
    <x v="3"/>
    <x v="37"/>
    <x v="41"/>
    <x v="14"/>
    <n v="40"/>
    <n v="-10"/>
    <n v="90"/>
    <n v="79"/>
    <x v="41"/>
    <x v="37"/>
    <x v="48"/>
    <x v="52"/>
    <n v="1.375"/>
    <n v="7"/>
    <x v="0"/>
    <n v="-10.3"/>
    <x v="57"/>
    <n v="-393"/>
    <n v="3871"/>
    <n v="-4.6736251752609438E-4"/>
    <s v="Dec-12"/>
    <x v="10"/>
    <n v="2.3818181818181818"/>
  </r>
  <r>
    <x v="0"/>
    <n v="39"/>
    <x v="3"/>
    <x v="0"/>
    <x v="0"/>
    <x v="13"/>
    <x v="1"/>
    <x v="3"/>
    <x v="7"/>
    <x v="54"/>
    <x v="62"/>
    <x v="0"/>
    <n v="30"/>
    <n v="50"/>
    <n v="80"/>
    <n v="24"/>
    <x v="62"/>
    <x v="54"/>
    <x v="89"/>
    <x v="91"/>
    <n v="1.3"/>
    <n v="-10"/>
    <x v="0"/>
    <n v="49.2"/>
    <x v="153"/>
    <n v="3840"/>
    <n v="288"/>
    <n v="3.4722222222222224E-2"/>
    <s v="Oct-13"/>
    <x v="3"/>
    <n v="2.4615384615384617"/>
  </r>
  <r>
    <x v="79"/>
    <n v="80"/>
    <x v="3"/>
    <x v="0"/>
    <x v="2"/>
    <x v="23"/>
    <x v="0"/>
    <x v="0"/>
    <x v="1"/>
    <x v="53"/>
    <x v="86"/>
    <x v="2"/>
    <n v="40"/>
    <n v="40"/>
    <n v="90"/>
    <n v="46"/>
    <x v="86"/>
    <x v="53"/>
    <x v="35"/>
    <x v="139"/>
    <n v="2"/>
    <n v="31"/>
    <x v="0"/>
    <n v="38.225000000000001"/>
    <x v="154"/>
    <n v="13135"/>
    <n v="1104"/>
    <n v="1.5990990990990991E-2"/>
    <s v="Oct-13"/>
    <x v="2"/>
    <n v="2.3125"/>
  </r>
  <r>
    <x v="43"/>
    <n v="54"/>
    <x v="3"/>
    <x v="0"/>
    <x v="0"/>
    <x v="14"/>
    <x v="0"/>
    <x v="1"/>
    <x v="2"/>
    <x v="60"/>
    <x v="51"/>
    <x v="0"/>
    <n v="30"/>
    <n v="30"/>
    <n v="80"/>
    <n v="53"/>
    <x v="51"/>
    <x v="60"/>
    <x v="26"/>
    <x v="96"/>
    <n v="1.8"/>
    <n v="-11"/>
    <x v="0"/>
    <n v="29.366666666666667"/>
    <x v="155"/>
    <n v="2432"/>
    <n v="1060"/>
    <n v="7.4218749999999997E-3"/>
    <s v="Oct-13"/>
    <x v="2"/>
    <n v="2.3703703703703702"/>
  </r>
  <r>
    <x v="1"/>
    <n v="54"/>
    <x v="3"/>
    <x v="0"/>
    <x v="0"/>
    <x v="20"/>
    <x v="0"/>
    <x v="1"/>
    <x v="11"/>
    <x v="54"/>
    <x v="53"/>
    <x v="0"/>
    <n v="30"/>
    <n v="40"/>
    <n v="80"/>
    <n v="37"/>
    <x v="53"/>
    <x v="54"/>
    <x v="32"/>
    <x v="55"/>
    <n v="1.8"/>
    <n v="0"/>
    <x v="0"/>
    <n v="39"/>
    <x v="156"/>
    <n v="5040"/>
    <n v="592"/>
    <n v="1.984126984126984E-2"/>
    <s v="Oct-13"/>
    <x v="1"/>
    <n v="2.3333333333333335"/>
  </r>
  <r>
    <x v="80"/>
    <n v="27"/>
    <x v="3"/>
    <x v="0"/>
    <x v="2"/>
    <x v="7"/>
    <x v="0"/>
    <x v="1"/>
    <x v="2"/>
    <x v="27"/>
    <x v="49"/>
    <x v="15"/>
    <n v="20"/>
    <n v="50"/>
    <n v="70"/>
    <n v="19"/>
    <x v="49"/>
    <x v="27"/>
    <x v="80"/>
    <x v="140"/>
    <n v="1.35"/>
    <n v="-20"/>
    <x v="0"/>
    <n v="49.4"/>
    <x v="157"/>
    <n v="2100"/>
    <n v="133"/>
    <n v="6.1224489795918366E-2"/>
    <s v="Oct-13"/>
    <x v="5"/>
    <n v="2.5925925925925926"/>
  </r>
  <r>
    <x v="81"/>
    <n v="76"/>
    <x v="3"/>
    <x v="0"/>
    <x v="3"/>
    <x v="28"/>
    <x v="0"/>
    <x v="1"/>
    <x v="11"/>
    <x v="73"/>
    <x v="87"/>
    <x v="3"/>
    <n v="30"/>
    <n v="50"/>
    <n v="80"/>
    <n v="32"/>
    <x v="87"/>
    <x v="73"/>
    <x v="90"/>
    <x v="141"/>
    <n v="2.5333333333333332"/>
    <n v="67"/>
    <x v="0"/>
    <n v="47.66"/>
    <x v="158"/>
    <n v="23283"/>
    <n v="672"/>
    <n v="2.7997128499641061E-2"/>
    <s v="Oct-13"/>
    <x v="3"/>
    <n v="2.6184210526315788"/>
  </r>
  <r>
    <x v="14"/>
    <n v="22"/>
    <x v="3"/>
    <x v="1"/>
    <x v="0"/>
    <x v="7"/>
    <x v="1"/>
    <x v="2"/>
    <x v="4"/>
    <x v="25"/>
    <x v="88"/>
    <x v="13"/>
    <n v="20"/>
    <n v="50"/>
    <n v="70"/>
    <n v="19"/>
    <x v="88"/>
    <x v="25"/>
    <x v="56"/>
    <x v="33"/>
    <n v="1.1000000000000001"/>
    <n v="-35"/>
    <x v="0"/>
    <n v="49.7"/>
    <x v="159"/>
    <n v="810"/>
    <n v="133"/>
    <n v="3.968253968253968E-2"/>
    <s v="Oct-13"/>
    <x v="5"/>
    <n v="2.4545454545454546"/>
  </r>
  <r>
    <x v="77"/>
    <n v="23"/>
    <x v="3"/>
    <x v="1"/>
    <x v="0"/>
    <x v="29"/>
    <x v="1"/>
    <x v="2"/>
    <x v="8"/>
    <x v="22"/>
    <x v="89"/>
    <x v="4"/>
    <n v="20"/>
    <n v="50"/>
    <n v="70"/>
    <n v="17"/>
    <x v="89"/>
    <x v="22"/>
    <x v="91"/>
    <x v="90"/>
    <n v="1.1499999999999999"/>
    <n v="-23"/>
    <x v="0"/>
    <n v="49.46"/>
    <x v="160"/>
    <n v="1674"/>
    <n v="102"/>
    <n v="7.2580645161290328E-2"/>
    <s v="Oct-13"/>
    <x v="5"/>
    <n v="2.6956521739130435"/>
  </r>
  <r>
    <x v="31"/>
    <n v="79"/>
    <x v="3"/>
    <x v="1"/>
    <x v="2"/>
    <x v="30"/>
    <x v="0"/>
    <x v="0"/>
    <x v="0"/>
    <x v="35"/>
    <x v="90"/>
    <x v="5"/>
    <n v="40"/>
    <n v="30"/>
    <n v="90"/>
    <n v="64"/>
    <x v="90"/>
    <x v="35"/>
    <x v="92"/>
    <x v="142"/>
    <n v="1.9750000000000001"/>
    <n v="20"/>
    <x v="0"/>
    <n v="28.333333333333332"/>
    <x v="161"/>
    <n v="9450"/>
    <n v="1920"/>
    <n v="8.8183421516754863E-3"/>
    <s v="Oct-13"/>
    <x v="0"/>
    <n v="2.3924050632911391"/>
  </r>
  <r>
    <x v="31"/>
    <n v="65"/>
    <x v="3"/>
    <x v="1"/>
    <x v="2"/>
    <x v="14"/>
    <x v="0"/>
    <x v="0"/>
    <x v="1"/>
    <x v="33"/>
    <x v="91"/>
    <x v="5"/>
    <n v="30"/>
    <n v="50"/>
    <n v="80"/>
    <n v="42"/>
    <x v="91"/>
    <x v="33"/>
    <x v="44"/>
    <x v="143"/>
    <n v="2.1666666666666665"/>
    <n v="2"/>
    <x v="0"/>
    <n v="48.96"/>
    <x v="162"/>
    <n v="7852"/>
    <n v="840"/>
    <n v="1.7218543046357615E-2"/>
    <s v="Oct-13"/>
    <x v="3"/>
    <n v="2.3230769230769233"/>
  </r>
  <r>
    <x v="14"/>
    <n v="46"/>
    <x v="3"/>
    <x v="1"/>
    <x v="0"/>
    <x v="10"/>
    <x v="0"/>
    <x v="1"/>
    <x v="2"/>
    <x v="16"/>
    <x v="10"/>
    <x v="13"/>
    <n v="20"/>
    <n v="40"/>
    <n v="70"/>
    <n v="37"/>
    <x v="10"/>
    <x v="16"/>
    <x v="21"/>
    <x v="93"/>
    <n v="2.2999999999999998"/>
    <n v="5"/>
    <x v="0"/>
    <n v="38.875"/>
    <x v="99"/>
    <n v="5400"/>
    <n v="518"/>
    <n v="2.6785714285714288E-2"/>
    <s v="Oct-13"/>
    <x v="3"/>
    <n v="2.6086956521739131"/>
  </r>
  <r>
    <x v="14"/>
    <n v="60"/>
    <x v="3"/>
    <x v="1"/>
    <x v="0"/>
    <x v="12"/>
    <x v="0"/>
    <x v="1"/>
    <x v="11"/>
    <x v="66"/>
    <x v="43"/>
    <x v="13"/>
    <n v="40"/>
    <n v="0"/>
    <n v="90"/>
    <n v="84"/>
    <x v="43"/>
    <x v="66"/>
    <x v="93"/>
    <x v="121"/>
    <n v="1.5"/>
    <n v="0"/>
    <x v="0"/>
    <e v="#DIV/0!"/>
    <x v="132"/>
    <n v="0"/>
    <e v="#DIV/0!"/>
    <n v="0"/>
    <s v="Oct-13"/>
    <x v="9"/>
    <n v="2.5499999999999998"/>
  </r>
  <r>
    <x v="16"/>
    <n v="60"/>
    <x v="3"/>
    <x v="1"/>
    <x v="3"/>
    <x v="31"/>
    <x v="0"/>
    <x v="1"/>
    <x v="2"/>
    <x v="74"/>
    <x v="92"/>
    <x v="14"/>
    <n v="20"/>
    <n v="40"/>
    <n v="70"/>
    <n v="42"/>
    <x v="92"/>
    <x v="74"/>
    <x v="94"/>
    <x v="144"/>
    <n v="3"/>
    <n v="45"/>
    <x v="0"/>
    <n v="37.875"/>
    <x v="163"/>
    <n v="14365"/>
    <n v="756"/>
    <n v="2.7942143326758713E-2"/>
    <s v="Oct-13"/>
    <x v="3"/>
    <n v="2.8166666666666669"/>
  </r>
  <r>
    <x v="82"/>
    <n v="40"/>
    <x v="4"/>
    <x v="0"/>
    <x v="0"/>
    <x v="2"/>
    <x v="0"/>
    <x v="0"/>
    <x v="0"/>
    <x v="54"/>
    <x v="55"/>
    <x v="16"/>
    <n v="30"/>
    <n v="30"/>
    <n v="80"/>
    <n v="25"/>
    <x v="55"/>
    <x v="54"/>
    <x v="31"/>
    <x v="81"/>
    <n v="1.3333333333333333"/>
    <n v="10"/>
    <x v="0"/>
    <n v="28.666666666666668"/>
    <x v="87"/>
    <n v="3920"/>
    <n v="325"/>
    <n v="3.1397174254317116E-2"/>
    <s v="Nov-13"/>
    <x v="2"/>
    <n v="2.4500000000000002"/>
  </r>
  <r>
    <x v="83"/>
    <n v="36"/>
    <x v="4"/>
    <x v="0"/>
    <x v="0"/>
    <x v="3"/>
    <x v="0"/>
    <x v="0"/>
    <x v="0"/>
    <x v="16"/>
    <x v="3"/>
    <x v="18"/>
    <n v="30"/>
    <n v="40"/>
    <n v="80"/>
    <n v="22"/>
    <x v="3"/>
    <x v="16"/>
    <x v="68"/>
    <x v="90"/>
    <n v="1.2"/>
    <n v="5"/>
    <x v="0"/>
    <n v="38.875"/>
    <x v="96"/>
    <n v="4230"/>
    <n v="220"/>
    <n v="4.7872340425531915E-2"/>
    <s v="Nov-13"/>
    <x v="1"/>
    <n v="2.6111111111111112"/>
  </r>
  <r>
    <x v="84"/>
    <n v="55"/>
    <x v="4"/>
    <x v="0"/>
    <x v="2"/>
    <x v="14"/>
    <x v="0"/>
    <x v="0"/>
    <x v="0"/>
    <x v="57"/>
    <x v="57"/>
    <x v="15"/>
    <n v="40"/>
    <n v="20"/>
    <n v="90"/>
    <n v="54"/>
    <x v="57"/>
    <x v="57"/>
    <x v="60"/>
    <x v="85"/>
    <n v="1.375"/>
    <n v="2"/>
    <x v="0"/>
    <n v="18.899999999999999"/>
    <x v="91"/>
    <n v="2904"/>
    <n v="1080"/>
    <n v="8.3333333333333332E-3"/>
    <s v="Nov-13"/>
    <x v="7"/>
    <n v="2.4"/>
  </r>
  <r>
    <x v="85"/>
    <n v="40"/>
    <x v="4"/>
    <x v="0"/>
    <x v="3"/>
    <x v="2"/>
    <x v="0"/>
    <x v="0"/>
    <x v="1"/>
    <x v="54"/>
    <x v="55"/>
    <x v="3"/>
    <n v="30"/>
    <n v="30"/>
    <n v="80"/>
    <n v="25"/>
    <x v="55"/>
    <x v="54"/>
    <x v="31"/>
    <x v="81"/>
    <n v="1.3333333333333333"/>
    <n v="10"/>
    <x v="0"/>
    <n v="28.666666666666668"/>
    <x v="87"/>
    <n v="3920"/>
    <n v="325"/>
    <n v="3.1397174254317116E-2"/>
    <s v="Nov-13"/>
    <x v="2"/>
    <n v="2.4500000000000002"/>
  </r>
  <r>
    <x v="72"/>
    <n v="28"/>
    <x v="4"/>
    <x v="0"/>
    <x v="2"/>
    <x v="7"/>
    <x v="0"/>
    <x v="1"/>
    <x v="2"/>
    <x v="28"/>
    <x v="93"/>
    <x v="2"/>
    <n v="20"/>
    <n v="40"/>
    <n v="70"/>
    <n v="19"/>
    <x v="93"/>
    <x v="28"/>
    <x v="67"/>
    <x v="145"/>
    <n v="1.4"/>
    <n v="-6"/>
    <x v="0"/>
    <n v="39.15"/>
    <x v="164"/>
    <n v="2550"/>
    <n v="133"/>
    <n v="6.4761904761904757E-2"/>
    <s v="Nov-13"/>
    <x v="3"/>
    <n v="2.6785714285714284"/>
  </r>
  <r>
    <x v="79"/>
    <n v="31"/>
    <x v="4"/>
    <x v="0"/>
    <x v="2"/>
    <x v="18"/>
    <x v="0"/>
    <x v="1"/>
    <x v="3"/>
    <x v="41"/>
    <x v="59"/>
    <x v="2"/>
    <n v="30"/>
    <n v="40"/>
    <n v="80"/>
    <n v="19"/>
    <x v="59"/>
    <x v="41"/>
    <x v="67"/>
    <x v="89"/>
    <n v="1.0333333333333334"/>
    <n v="2"/>
    <x v="0"/>
    <n v="38.950000000000003"/>
    <x v="95"/>
    <n v="3486"/>
    <n v="152"/>
    <n v="6.3253012048192767E-2"/>
    <s v="Nov-13"/>
    <x v="1"/>
    <n v="2.6774193548387095"/>
  </r>
  <r>
    <x v="80"/>
    <n v="32"/>
    <x v="4"/>
    <x v="0"/>
    <x v="2"/>
    <x v="18"/>
    <x v="0"/>
    <x v="1"/>
    <x v="3"/>
    <x v="58"/>
    <x v="39"/>
    <x v="15"/>
    <n v="30"/>
    <n v="40"/>
    <n v="80"/>
    <n v="19"/>
    <x v="39"/>
    <x v="58"/>
    <x v="74"/>
    <x v="146"/>
    <n v="1.0666666666666667"/>
    <n v="3"/>
    <x v="0"/>
    <n v="38.924999999999997"/>
    <x v="165"/>
    <n v="3655"/>
    <n v="152"/>
    <n v="6.3235294117647056E-2"/>
    <s v="Nov-13"/>
    <x v="1"/>
    <n v="2.65625"/>
  </r>
  <r>
    <x v="86"/>
    <n v="50"/>
    <x v="4"/>
    <x v="0"/>
    <x v="3"/>
    <x v="10"/>
    <x v="0"/>
    <x v="1"/>
    <x v="11"/>
    <x v="50"/>
    <x v="41"/>
    <x v="3"/>
    <n v="30"/>
    <n v="40"/>
    <n v="80"/>
    <n v="26"/>
    <x v="41"/>
    <x v="50"/>
    <x v="8"/>
    <x v="68"/>
    <n v="1.6666666666666667"/>
    <n v="30"/>
    <x v="0"/>
    <n v="38.25"/>
    <x v="166"/>
    <n v="9170"/>
    <n v="364"/>
    <n v="3.8167938931297711E-2"/>
    <s v="Nov-13"/>
    <x v="1"/>
    <n v="2.62"/>
  </r>
  <r>
    <x v="74"/>
    <n v="0"/>
    <x v="4"/>
    <x v="1"/>
    <x v="0"/>
    <x v="5"/>
    <x v="1"/>
    <x v="2"/>
    <x v="4"/>
    <x v="43"/>
    <x v="48"/>
    <x v="4"/>
    <n v="0"/>
    <n v="40"/>
    <n v="50"/>
    <n v="12"/>
    <x v="48"/>
    <x v="43"/>
    <x v="55"/>
    <x v="5"/>
    <e v="#DIV/0!"/>
    <n v="6"/>
    <x v="0"/>
    <n v="38.85"/>
    <x v="69"/>
    <n v="2116"/>
    <e v="#DIV/0!"/>
    <e v="#DIV/0!"/>
    <s v="Nov-13"/>
    <x v="12"/>
    <e v="#DIV/0!"/>
  </r>
  <r>
    <x v="39"/>
    <n v="82"/>
    <x v="4"/>
    <x v="1"/>
    <x v="1"/>
    <x v="26"/>
    <x v="1"/>
    <x v="3"/>
    <x v="5"/>
    <x v="55"/>
    <x v="45"/>
    <x v="17"/>
    <n v="90"/>
    <n v="10"/>
    <n v="140"/>
    <n v="48"/>
    <x v="45"/>
    <x v="55"/>
    <x v="19"/>
    <x v="147"/>
    <n v="0.91111111111111109"/>
    <n v="-22"/>
    <x v="0"/>
    <n v="11.2"/>
    <x v="167"/>
    <n v="-1560"/>
    <n v="1200"/>
    <n v="-3.6923076923076922E-3"/>
    <s v="Nov-13"/>
    <x v="13"/>
    <n v="1.5853658536585367"/>
  </r>
  <r>
    <x v="74"/>
    <n v="22"/>
    <x v="4"/>
    <x v="1"/>
    <x v="0"/>
    <x v="29"/>
    <x v="1"/>
    <x v="2"/>
    <x v="8"/>
    <x v="10"/>
    <x v="94"/>
    <x v="4"/>
    <n v="20"/>
    <n v="40"/>
    <n v="70"/>
    <n v="18"/>
    <x v="94"/>
    <x v="10"/>
    <x v="95"/>
    <x v="148"/>
    <n v="1.1000000000000001"/>
    <n v="-16"/>
    <x v="0"/>
    <n v="39.4"/>
    <x v="168"/>
    <n v="1440"/>
    <n v="108"/>
    <n v="6.6666666666666666E-2"/>
    <s v="Nov-13"/>
    <x v="3"/>
    <n v="2.7272727272727271"/>
  </r>
  <r>
    <x v="39"/>
    <n v="44"/>
    <x v="4"/>
    <x v="1"/>
    <x v="1"/>
    <x v="19"/>
    <x v="1"/>
    <x v="2"/>
    <x v="8"/>
    <x v="46"/>
    <x v="27"/>
    <x v="17"/>
    <n v="30"/>
    <n v="0"/>
    <n v="80"/>
    <n v="69"/>
    <x v="27"/>
    <x v="46"/>
    <x v="49"/>
    <x v="72"/>
    <n v="1.4666666666666666"/>
    <n v="-10"/>
    <x v="0"/>
    <e v="#DIV/0!"/>
    <x v="169"/>
    <n v="-1130"/>
    <n v="2760"/>
    <n v="-2.2123893805309734E-3"/>
    <s v="Nov-13"/>
    <x v="6"/>
    <n v="2.5681818181818183"/>
  </r>
  <r>
    <x v="8"/>
    <n v="33"/>
    <x v="4"/>
    <x v="1"/>
    <x v="3"/>
    <x v="13"/>
    <x v="1"/>
    <x v="3"/>
    <x v="7"/>
    <x v="15"/>
    <x v="95"/>
    <x v="7"/>
    <n v="30"/>
    <n v="10"/>
    <n v="80"/>
    <n v="45"/>
    <x v="95"/>
    <x v="15"/>
    <x v="58"/>
    <x v="149"/>
    <n v="1.1000000000000001"/>
    <n v="-16"/>
    <x v="0"/>
    <n v="10.6"/>
    <x v="170"/>
    <n v="-474"/>
    <n v="540"/>
    <n v="-6.3291139240506328E-3"/>
    <s v="Nov-13"/>
    <x v="7"/>
    <n v="2.393939393939394"/>
  </r>
  <r>
    <x v="26"/>
    <n v="44"/>
    <x v="4"/>
    <x v="1"/>
    <x v="0"/>
    <x v="19"/>
    <x v="0"/>
    <x v="0"/>
    <x v="10"/>
    <x v="55"/>
    <x v="27"/>
    <x v="12"/>
    <n v="40"/>
    <n v="0"/>
    <n v="90"/>
    <n v="70"/>
    <x v="27"/>
    <x v="55"/>
    <x v="61"/>
    <x v="94"/>
    <n v="1.1000000000000001"/>
    <n v="-12"/>
    <x v="0"/>
    <e v="#DIV/0!"/>
    <x v="101"/>
    <n v="-1356"/>
    <n v="2800"/>
    <n v="-2.6548672566371681E-3"/>
    <s v="Nov-13"/>
    <x v="9"/>
    <n v="2.5681818181818183"/>
  </r>
  <r>
    <x v="65"/>
    <n v="31"/>
    <x v="4"/>
    <x v="1"/>
    <x v="0"/>
    <x v="18"/>
    <x v="0"/>
    <x v="0"/>
    <x v="0"/>
    <x v="54"/>
    <x v="59"/>
    <x v="13"/>
    <n v="20"/>
    <n v="40"/>
    <n v="70"/>
    <n v="20"/>
    <x v="59"/>
    <x v="54"/>
    <x v="96"/>
    <x v="68"/>
    <n v="1.55"/>
    <n v="0"/>
    <x v="0"/>
    <n v="39"/>
    <x v="171"/>
    <n v="3320"/>
    <n v="160"/>
    <n v="6.0240963855421686E-2"/>
    <s v="Nov-13"/>
    <x v="3"/>
    <n v="2.6774193548387095"/>
  </r>
  <r>
    <x v="67"/>
    <n v="69"/>
    <x v="4"/>
    <x v="1"/>
    <x v="2"/>
    <x v="28"/>
    <x v="0"/>
    <x v="0"/>
    <x v="1"/>
    <x v="4"/>
    <x v="42"/>
    <x v="5"/>
    <n v="50"/>
    <n v="30"/>
    <n v="100"/>
    <n v="43"/>
    <x v="42"/>
    <x v="4"/>
    <x v="97"/>
    <x v="126"/>
    <n v="1.38"/>
    <n v="26"/>
    <x v="0"/>
    <n v="28.133333333333333"/>
    <x v="172"/>
    <n v="8960"/>
    <n v="903"/>
    <n v="1.6666666666666666E-2"/>
    <s v="Nov-13"/>
    <x v="7"/>
    <n v="2.318840579710145"/>
  </r>
  <r>
    <x v="65"/>
    <n v="49"/>
    <x v="4"/>
    <x v="1"/>
    <x v="0"/>
    <x v="6"/>
    <x v="0"/>
    <x v="1"/>
    <x v="2"/>
    <x v="31"/>
    <x v="51"/>
    <x v="13"/>
    <n v="40"/>
    <n v="20"/>
    <n v="90"/>
    <n v="38"/>
    <x v="51"/>
    <x v="31"/>
    <x v="2"/>
    <x v="69"/>
    <n v="1.2250000000000001"/>
    <n v="29"/>
    <x v="0"/>
    <n v="17.55"/>
    <x v="74"/>
    <n v="6272"/>
    <n v="570"/>
    <n v="2.5520833333333333E-2"/>
    <s v="Nov-13"/>
    <x v="7"/>
    <n v="2.6122448979591835"/>
  </r>
  <r>
    <x v="32"/>
    <n v="49"/>
    <x v="4"/>
    <x v="1"/>
    <x v="3"/>
    <x v="6"/>
    <x v="0"/>
    <x v="1"/>
    <x v="11"/>
    <x v="35"/>
    <x v="51"/>
    <x v="14"/>
    <n v="30"/>
    <n v="30"/>
    <n v="80"/>
    <n v="37"/>
    <x v="51"/>
    <x v="35"/>
    <x v="69"/>
    <x v="91"/>
    <n v="1.6333333333333333"/>
    <n v="20"/>
    <x v="0"/>
    <n v="28.333333333333332"/>
    <x v="97"/>
    <n v="6400"/>
    <n v="555"/>
    <n v="2.6041666666666668E-2"/>
    <s v="Nov-13"/>
    <x v="2"/>
    <n v="2.6122448979591835"/>
  </r>
  <r>
    <x v="1"/>
    <n v="43"/>
    <x v="5"/>
    <x v="0"/>
    <x v="0"/>
    <x v="10"/>
    <x v="1"/>
    <x v="3"/>
    <x v="7"/>
    <x v="58"/>
    <x v="28"/>
    <x v="0"/>
    <n v="40"/>
    <n v="30"/>
    <n v="90"/>
    <n v="27"/>
    <x v="28"/>
    <x v="58"/>
    <x v="17"/>
    <x v="150"/>
    <n v="1.075"/>
    <n v="13"/>
    <x v="0"/>
    <n v="28.566666666666666"/>
    <x v="173"/>
    <n v="4558"/>
    <n v="378"/>
    <n v="2.8975741239892185E-2"/>
    <s v="Dec-13"/>
    <x v="0"/>
    <n v="2.4651162790697674"/>
  </r>
  <r>
    <x v="87"/>
    <n v="41"/>
    <x v="5"/>
    <x v="0"/>
    <x v="0"/>
    <x v="2"/>
    <x v="1"/>
    <x v="3"/>
    <x v="7"/>
    <x v="18"/>
    <x v="68"/>
    <x v="18"/>
    <n v="40"/>
    <n v="20"/>
    <n v="90"/>
    <n v="36"/>
    <x v="68"/>
    <x v="18"/>
    <x v="16"/>
    <x v="103"/>
    <n v="1.0249999999999999"/>
    <n v="16"/>
    <x v="0"/>
    <n v="18.2"/>
    <x v="112"/>
    <n v="3888"/>
    <n v="468"/>
    <n v="2.564102564102564E-2"/>
    <s v="Dec-13"/>
    <x v="7"/>
    <n v="2.6341463414634148"/>
  </r>
  <r>
    <x v="80"/>
    <n v="47"/>
    <x v="5"/>
    <x v="0"/>
    <x v="2"/>
    <x v="22"/>
    <x v="1"/>
    <x v="2"/>
    <x v="8"/>
    <x v="75"/>
    <x v="28"/>
    <x v="15"/>
    <n v="40"/>
    <n v="-10"/>
    <n v="90"/>
    <n v="72"/>
    <x v="28"/>
    <x v="75"/>
    <x v="98"/>
    <x v="151"/>
    <n v="1.175"/>
    <n v="-20"/>
    <x v="0"/>
    <n v="-13"/>
    <x v="174"/>
    <n v="-3180"/>
    <n v="3024"/>
    <n v="-6.7385444743935314E-3"/>
    <s v="Dec-13"/>
    <x v="10"/>
    <n v="2.2553191489361701"/>
  </r>
  <r>
    <x v="82"/>
    <n v="43"/>
    <x v="5"/>
    <x v="0"/>
    <x v="0"/>
    <x v="10"/>
    <x v="0"/>
    <x v="0"/>
    <x v="0"/>
    <x v="58"/>
    <x v="28"/>
    <x v="16"/>
    <n v="40"/>
    <n v="30"/>
    <n v="90"/>
    <n v="27"/>
    <x v="28"/>
    <x v="58"/>
    <x v="17"/>
    <x v="150"/>
    <n v="1.075"/>
    <n v="13"/>
    <x v="0"/>
    <n v="28.566666666666666"/>
    <x v="173"/>
    <n v="4558"/>
    <n v="378"/>
    <n v="2.8975741239892185E-2"/>
    <s v="Dec-13"/>
    <x v="0"/>
    <n v="2.4651162790697674"/>
  </r>
  <r>
    <x v="85"/>
    <n v="43"/>
    <x v="5"/>
    <x v="0"/>
    <x v="3"/>
    <x v="10"/>
    <x v="0"/>
    <x v="0"/>
    <x v="1"/>
    <x v="58"/>
    <x v="28"/>
    <x v="3"/>
    <n v="40"/>
    <n v="30"/>
    <n v="90"/>
    <n v="27"/>
    <x v="28"/>
    <x v="58"/>
    <x v="17"/>
    <x v="150"/>
    <n v="1.075"/>
    <n v="13"/>
    <x v="0"/>
    <n v="28.566666666666666"/>
    <x v="173"/>
    <n v="4558"/>
    <n v="378"/>
    <n v="2.8975741239892185E-2"/>
    <s v="Dec-13"/>
    <x v="0"/>
    <n v="2.4651162790697674"/>
  </r>
  <r>
    <x v="0"/>
    <n v="46"/>
    <x v="5"/>
    <x v="0"/>
    <x v="0"/>
    <x v="1"/>
    <x v="0"/>
    <x v="1"/>
    <x v="2"/>
    <x v="76"/>
    <x v="96"/>
    <x v="0"/>
    <n v="30"/>
    <n v="10"/>
    <n v="80"/>
    <n v="51"/>
    <x v="96"/>
    <x v="76"/>
    <x v="99"/>
    <x v="152"/>
    <n v="1.5333333333333334"/>
    <n v="-1"/>
    <x v="0"/>
    <n v="9.1"/>
    <x v="160"/>
    <n v="990"/>
    <n v="867"/>
    <n v="4.8128342245989308E-3"/>
    <s v="Dec-13"/>
    <x v="7"/>
    <n v="2.3913043478260869"/>
  </r>
  <r>
    <x v="1"/>
    <n v="53"/>
    <x v="5"/>
    <x v="0"/>
    <x v="0"/>
    <x v="20"/>
    <x v="0"/>
    <x v="1"/>
    <x v="11"/>
    <x v="40"/>
    <x v="21"/>
    <x v="0"/>
    <n v="40"/>
    <n v="20"/>
    <n v="90"/>
    <n v="37"/>
    <x v="21"/>
    <x v="40"/>
    <x v="58"/>
    <x v="153"/>
    <n v="1.325"/>
    <n v="19"/>
    <x v="0"/>
    <n v="18.05"/>
    <x v="175"/>
    <n v="4836"/>
    <n v="592"/>
    <n v="1.9657258064516129E-2"/>
    <s v="Dec-13"/>
    <x v="7"/>
    <n v="2.3396226415094339"/>
  </r>
  <r>
    <x v="80"/>
    <n v="33"/>
    <x v="5"/>
    <x v="0"/>
    <x v="2"/>
    <x v="8"/>
    <x v="0"/>
    <x v="1"/>
    <x v="2"/>
    <x v="58"/>
    <x v="70"/>
    <x v="15"/>
    <n v="30"/>
    <n v="40"/>
    <n v="80"/>
    <n v="20"/>
    <x v="70"/>
    <x v="58"/>
    <x v="100"/>
    <x v="154"/>
    <n v="1.1000000000000001"/>
    <n v="3"/>
    <x v="0"/>
    <n v="38.924999999999997"/>
    <x v="176"/>
    <n v="3741"/>
    <n v="180"/>
    <n v="5.4916985951468711E-2"/>
    <s v="Dec-13"/>
    <x v="1"/>
    <n v="2.6363636363636362"/>
  </r>
  <r>
    <x v="88"/>
    <n v="34"/>
    <x v="5"/>
    <x v="0"/>
    <x v="2"/>
    <x v="8"/>
    <x v="0"/>
    <x v="1"/>
    <x v="3"/>
    <x v="16"/>
    <x v="69"/>
    <x v="2"/>
    <n v="30"/>
    <n v="40"/>
    <n v="80"/>
    <n v="21"/>
    <x v="69"/>
    <x v="16"/>
    <x v="66"/>
    <x v="68"/>
    <n v="1.1333333333333333"/>
    <n v="5"/>
    <x v="0"/>
    <n v="38.875"/>
    <x v="177"/>
    <n v="4095"/>
    <n v="189"/>
    <n v="5.4945054945054944E-2"/>
    <s v="Dec-13"/>
    <x v="1"/>
    <n v="2.6764705882352939"/>
  </r>
  <r>
    <x v="46"/>
    <n v="0"/>
    <x v="5"/>
    <x v="1"/>
    <x v="0"/>
    <x v="5"/>
    <x v="1"/>
    <x v="2"/>
    <x v="4"/>
    <x v="17"/>
    <x v="48"/>
    <x v="4"/>
    <n v="0"/>
    <n v="40"/>
    <n v="50"/>
    <n v="11"/>
    <x v="48"/>
    <x v="17"/>
    <x v="101"/>
    <x v="5"/>
    <e v="#DIV/0!"/>
    <n v="7"/>
    <x v="0"/>
    <n v="38.825000000000003"/>
    <x v="178"/>
    <n v="2162"/>
    <e v="#DIV/0!"/>
    <e v="#DIV/0!"/>
    <s v="Dec-13"/>
    <x v="12"/>
    <e v="#DIV/0!"/>
  </r>
  <r>
    <x v="11"/>
    <n v="43"/>
    <x v="5"/>
    <x v="1"/>
    <x v="1"/>
    <x v="2"/>
    <x v="1"/>
    <x v="2"/>
    <x v="4"/>
    <x v="54"/>
    <x v="27"/>
    <x v="10"/>
    <n v="30"/>
    <n v="20"/>
    <n v="80"/>
    <n v="36"/>
    <x v="27"/>
    <x v="54"/>
    <x v="15"/>
    <x v="81"/>
    <n v="1.4333333333333333"/>
    <n v="20"/>
    <x v="0"/>
    <n v="18"/>
    <x v="62"/>
    <n v="4520"/>
    <n v="468"/>
    <n v="2.7229407760381213E-2"/>
    <s v="Dec-13"/>
    <x v="0"/>
    <n v="2.6279069767441858"/>
  </r>
  <r>
    <x v="8"/>
    <n v="31"/>
    <x v="5"/>
    <x v="1"/>
    <x v="3"/>
    <x v="8"/>
    <x v="1"/>
    <x v="3"/>
    <x v="5"/>
    <x v="14"/>
    <x v="83"/>
    <x v="7"/>
    <n v="30"/>
    <n v="30"/>
    <n v="80"/>
    <n v="30"/>
    <x v="83"/>
    <x v="14"/>
    <x v="9"/>
    <x v="155"/>
    <n v="1.0333333333333334"/>
    <n v="-18"/>
    <x v="0"/>
    <n v="29.6"/>
    <x v="179"/>
    <n v="888"/>
    <n v="270"/>
    <n v="1.8018018018018018E-2"/>
    <s v="Dec-13"/>
    <x v="2"/>
    <n v="2.3870967741935485"/>
  </r>
  <r>
    <x v="74"/>
    <n v="23"/>
    <x v="5"/>
    <x v="1"/>
    <x v="0"/>
    <x v="29"/>
    <x v="1"/>
    <x v="2"/>
    <x v="8"/>
    <x v="65"/>
    <x v="89"/>
    <x v="4"/>
    <n v="20"/>
    <n v="40"/>
    <n v="70"/>
    <n v="18"/>
    <x v="89"/>
    <x v="65"/>
    <x v="102"/>
    <x v="156"/>
    <n v="1.1499999999999999"/>
    <n v="-15"/>
    <x v="0"/>
    <n v="39.375"/>
    <x v="180"/>
    <n v="1550"/>
    <n v="107.99999999999999"/>
    <n v="6.7204301075268827E-2"/>
    <s v="Dec-13"/>
    <x v="3"/>
    <n v="2.6956521739130435"/>
  </r>
  <r>
    <x v="29"/>
    <n v="41"/>
    <x v="5"/>
    <x v="1"/>
    <x v="1"/>
    <x v="13"/>
    <x v="1"/>
    <x v="2"/>
    <x v="8"/>
    <x v="43"/>
    <x v="11"/>
    <x v="10"/>
    <n v="30"/>
    <n v="20"/>
    <n v="80"/>
    <n v="35"/>
    <x v="11"/>
    <x v="43"/>
    <x v="103"/>
    <x v="157"/>
    <n v="1.3666666666666667"/>
    <n v="26"/>
    <x v="0"/>
    <n v="17.7"/>
    <x v="181"/>
    <n v="5244"/>
    <n v="420"/>
    <n v="3.3625730994152045E-2"/>
    <s v="Dec-13"/>
    <x v="0"/>
    <n v="2.7804878048780486"/>
  </r>
  <r>
    <x v="17"/>
    <n v="46"/>
    <x v="5"/>
    <x v="1"/>
    <x v="3"/>
    <x v="1"/>
    <x v="1"/>
    <x v="2"/>
    <x v="9"/>
    <x v="76"/>
    <x v="96"/>
    <x v="11"/>
    <n v="40"/>
    <n v="10"/>
    <n v="90"/>
    <n v="51"/>
    <x v="96"/>
    <x v="76"/>
    <x v="99"/>
    <x v="152"/>
    <n v="1.1499999999999999"/>
    <n v="-1"/>
    <x v="0"/>
    <n v="9.1"/>
    <x v="160"/>
    <n v="990"/>
    <n v="867"/>
    <n v="4.8128342245989308E-3"/>
    <s v="Dec-13"/>
    <x v="6"/>
    <n v="2.3913043478260869"/>
  </r>
  <r>
    <x v="14"/>
    <n v="43"/>
    <x v="5"/>
    <x v="1"/>
    <x v="0"/>
    <x v="2"/>
    <x v="0"/>
    <x v="1"/>
    <x v="2"/>
    <x v="41"/>
    <x v="27"/>
    <x v="13"/>
    <n v="30"/>
    <n v="20"/>
    <n v="80"/>
    <n v="35"/>
    <x v="27"/>
    <x v="41"/>
    <x v="37"/>
    <x v="62"/>
    <n v="1.4333333333333333"/>
    <n v="22"/>
    <x v="0"/>
    <n v="17.899999999999999"/>
    <x v="131"/>
    <n v="4746"/>
    <n v="455"/>
    <n v="2.8590878148400271E-2"/>
    <s v="Dec-13"/>
    <x v="0"/>
    <n v="2.6279069767441858"/>
  </r>
  <r>
    <x v="67"/>
    <n v="33"/>
    <x v="5"/>
    <x v="1"/>
    <x v="2"/>
    <x v="8"/>
    <x v="0"/>
    <x v="1"/>
    <x v="3"/>
    <x v="41"/>
    <x v="70"/>
    <x v="5"/>
    <n v="30"/>
    <n v="40"/>
    <n v="80"/>
    <n v="21"/>
    <x v="70"/>
    <x v="41"/>
    <x v="7"/>
    <x v="106"/>
    <n v="1.1000000000000001"/>
    <n v="2"/>
    <x v="0"/>
    <n v="38.950000000000003"/>
    <x v="115"/>
    <n v="3654"/>
    <n v="189"/>
    <n v="5.3639846743295021E-2"/>
    <s v="Dec-13"/>
    <x v="1"/>
    <n v="2.6363636363636362"/>
  </r>
  <r>
    <x v="9"/>
    <n v="49"/>
    <x v="5"/>
    <x v="1"/>
    <x v="3"/>
    <x v="25"/>
    <x v="0"/>
    <x v="1"/>
    <x v="2"/>
    <x v="15"/>
    <x v="53"/>
    <x v="8"/>
    <n v="30"/>
    <n v="0"/>
    <n v="80"/>
    <n v="73"/>
    <x v="53"/>
    <x v="15"/>
    <x v="104"/>
    <x v="158"/>
    <n v="1.6333333333333333"/>
    <n v="-6"/>
    <x v="0"/>
    <e v="#DIV/0!"/>
    <x v="182"/>
    <n v="-756"/>
    <n v="3212.0000000000005"/>
    <n v="-1.0822510822510823E-3"/>
    <s v="Dec-13"/>
    <x v="6"/>
    <n v="2.5714285714285716"/>
  </r>
  <r>
    <x v="30"/>
    <n v="55"/>
    <x v="5"/>
    <x v="1"/>
    <x v="3"/>
    <x v="24"/>
    <x v="0"/>
    <x v="1"/>
    <x v="3"/>
    <x v="64"/>
    <x v="71"/>
    <x v="14"/>
    <n v="40"/>
    <n v="-10"/>
    <n v="90"/>
    <n v="79"/>
    <x v="71"/>
    <x v="64"/>
    <x v="50"/>
    <x v="108"/>
    <n v="1.375"/>
    <n v="6"/>
    <x v="0"/>
    <n v="-10.4"/>
    <x v="117"/>
    <n v="-560"/>
    <n v="3871.0000000000005"/>
    <n v="-5.8309037900874635E-4"/>
    <s v="Dec-13"/>
    <x v="10"/>
    <n v="2.5454545454545454"/>
  </r>
  <r>
    <x v="89"/>
    <n v="39"/>
    <x v="0"/>
    <x v="0"/>
    <x v="0"/>
    <x v="13"/>
    <x v="0"/>
    <x v="0"/>
    <x v="0"/>
    <x v="22"/>
    <x v="31"/>
    <x v="16"/>
    <n v="20"/>
    <n v="40"/>
    <n v="60"/>
    <n v="24"/>
    <x v="31"/>
    <x v="22"/>
    <x v="17"/>
    <x v="115"/>
    <n v="1.95"/>
    <n v="-13"/>
    <x v="0"/>
    <n v="39.325000000000003"/>
    <x v="15"/>
    <n v="2430"/>
    <n v="288"/>
    <n v="2.5000000000000001E-2"/>
    <s v="Oct-12"/>
    <x v="5"/>
    <n v="2.3076923076923075"/>
  </r>
  <r>
    <x v="64"/>
    <n v="39"/>
    <x v="0"/>
    <x v="0"/>
    <x v="3"/>
    <x v="13"/>
    <x v="0"/>
    <x v="0"/>
    <x v="1"/>
    <x v="1"/>
    <x v="31"/>
    <x v="3"/>
    <n v="20"/>
    <n v="40"/>
    <n v="60"/>
    <n v="25"/>
    <x v="31"/>
    <x v="1"/>
    <x v="105"/>
    <x v="159"/>
    <n v="1.95"/>
    <n v="-14"/>
    <x v="0"/>
    <n v="39.35"/>
    <x v="183"/>
    <n v="2340"/>
    <n v="300"/>
    <n v="2.4074074074074074E-2"/>
    <s v="Oct-12"/>
    <x v="5"/>
    <n v="2.3076923076923075"/>
  </r>
  <r>
    <x v="39"/>
    <n v="86"/>
    <x v="0"/>
    <x v="1"/>
    <x v="1"/>
    <x v="32"/>
    <x v="1"/>
    <x v="3"/>
    <x v="5"/>
    <x v="77"/>
    <x v="12"/>
    <x v="17"/>
    <n v="110"/>
    <n v="10"/>
    <n v="150"/>
    <n v="49"/>
    <x v="12"/>
    <x v="77"/>
    <x v="106"/>
    <x v="160"/>
    <n v="0.78181818181818186"/>
    <n v="-36"/>
    <x v="0"/>
    <n v="12.6"/>
    <x v="184"/>
    <n v="-2834"/>
    <n v="1274"/>
    <n v="-9.1743119266055051E-3"/>
    <s v="Oct-12"/>
    <x v="14"/>
    <n v="1.2674418604651163"/>
  </r>
  <r>
    <x v="11"/>
    <n v="46"/>
    <x v="0"/>
    <x v="1"/>
    <x v="1"/>
    <x v="10"/>
    <x v="1"/>
    <x v="2"/>
    <x v="4"/>
    <x v="27"/>
    <x v="27"/>
    <x v="10"/>
    <n v="20"/>
    <n v="40"/>
    <n v="60"/>
    <n v="37"/>
    <x v="27"/>
    <x v="27"/>
    <x v="25"/>
    <x v="33"/>
    <n v="2.2999999999999998"/>
    <n v="-10"/>
    <x v="0"/>
    <n v="39.25"/>
    <x v="36"/>
    <n v="3390"/>
    <n v="518"/>
    <n v="1.8963337547408345E-2"/>
    <s v="Oct-12"/>
    <x v="5"/>
    <n v="2.4565217391304346"/>
  </r>
  <r>
    <x v="74"/>
    <n v="31"/>
    <x v="0"/>
    <x v="1"/>
    <x v="0"/>
    <x v="8"/>
    <x v="1"/>
    <x v="3"/>
    <x v="7"/>
    <x v="7"/>
    <x v="8"/>
    <x v="4"/>
    <n v="20"/>
    <n v="30"/>
    <n v="60"/>
    <n v="30"/>
    <x v="8"/>
    <x v="7"/>
    <x v="8"/>
    <x v="8"/>
    <n v="1.55"/>
    <n v="-23"/>
    <x v="0"/>
    <n v="29.766666666666666"/>
    <x v="8"/>
    <n v="476"/>
    <n v="270"/>
    <n v="1.1437908496732027E-2"/>
    <s v="Oct-12"/>
    <x v="3"/>
    <n v="2.193548387096774"/>
  </r>
  <r>
    <x v="39"/>
    <n v="45"/>
    <x v="0"/>
    <x v="1"/>
    <x v="1"/>
    <x v="11"/>
    <x v="1"/>
    <x v="2"/>
    <x v="8"/>
    <x v="15"/>
    <x v="12"/>
    <x v="17"/>
    <n v="20"/>
    <n v="10"/>
    <n v="60"/>
    <n v="70"/>
    <x v="12"/>
    <x v="15"/>
    <x v="14"/>
    <x v="16"/>
    <n v="2.25"/>
    <n v="-16"/>
    <x v="0"/>
    <n v="10.6"/>
    <x v="16"/>
    <n v="-654"/>
    <n v="2870"/>
    <n v="-1.342582233161781E-3"/>
    <s v="Oct-12"/>
    <x v="2"/>
    <n v="2.4222222222222221"/>
  </r>
  <r>
    <x v="15"/>
    <n v="32"/>
    <x v="0"/>
    <x v="1"/>
    <x v="3"/>
    <x v="18"/>
    <x v="1"/>
    <x v="2"/>
    <x v="9"/>
    <x v="2"/>
    <x v="95"/>
    <x v="8"/>
    <n v="20"/>
    <n v="40"/>
    <n v="60"/>
    <n v="19"/>
    <x v="95"/>
    <x v="2"/>
    <x v="57"/>
    <x v="3"/>
    <n v="1.6"/>
    <n v="-12"/>
    <x v="0"/>
    <n v="39.299999999999997"/>
    <x v="32"/>
    <n v="2212"/>
    <n v="152"/>
    <n v="4.4303797468354431E-2"/>
    <s v="Oct-12"/>
    <x v="5"/>
    <n v="2.46875"/>
  </r>
  <r>
    <x v="39"/>
    <n v="31"/>
    <x v="0"/>
    <x v="1"/>
    <x v="1"/>
    <x v="8"/>
    <x v="0"/>
    <x v="0"/>
    <x v="0"/>
    <x v="70"/>
    <x v="8"/>
    <x v="17"/>
    <n v="10"/>
    <n v="30"/>
    <n v="50"/>
    <n v="31"/>
    <x v="8"/>
    <x v="70"/>
    <x v="9"/>
    <x v="161"/>
    <n v="3.1"/>
    <n v="-24"/>
    <x v="0"/>
    <n v="29.8"/>
    <x v="185"/>
    <n v="408"/>
    <n v="279"/>
    <n v="9.8039215686274508E-3"/>
    <s v="Oct-12"/>
    <x v="5"/>
    <n v="2.193548387096774"/>
  </r>
  <r>
    <x v="54"/>
    <n v="39"/>
    <x v="0"/>
    <x v="1"/>
    <x v="0"/>
    <x v="13"/>
    <x v="0"/>
    <x v="1"/>
    <x v="2"/>
    <x v="32"/>
    <x v="19"/>
    <x v="12"/>
    <n v="20"/>
    <n v="30"/>
    <n v="60"/>
    <n v="40"/>
    <x v="19"/>
    <x v="32"/>
    <x v="2"/>
    <x v="162"/>
    <n v="1.95"/>
    <n v="-17"/>
    <x v="0"/>
    <n v="29.566666666666666"/>
    <x v="186"/>
    <n v="1196"/>
    <n v="480.00000000000006"/>
    <n v="1.1775362318840578E-2"/>
    <s v="Oct-12"/>
    <x v="3"/>
    <n v="2.358974358974359"/>
  </r>
  <r>
    <x v="67"/>
    <n v="24"/>
    <x v="0"/>
    <x v="1"/>
    <x v="2"/>
    <x v="29"/>
    <x v="0"/>
    <x v="1"/>
    <x v="3"/>
    <x v="47"/>
    <x v="94"/>
    <x v="5"/>
    <n v="20"/>
    <n v="40"/>
    <n v="60"/>
    <n v="18"/>
    <x v="94"/>
    <x v="47"/>
    <x v="74"/>
    <x v="7"/>
    <n v="1.2"/>
    <n v="-22"/>
    <x v="0"/>
    <n v="39.549999999999997"/>
    <x v="187"/>
    <n v="1080"/>
    <n v="108"/>
    <n v="0.05"/>
    <s v="Oct-12"/>
    <x v="5"/>
    <n v="2.5"/>
  </r>
  <r>
    <x v="10"/>
    <n v="0"/>
    <x v="0"/>
    <x v="1"/>
    <x v="2"/>
    <x v="5"/>
    <x v="0"/>
    <x v="1"/>
    <x v="3"/>
    <x v="71"/>
    <x v="5"/>
    <x v="9"/>
    <n v="0"/>
    <n v="40"/>
    <n v="40"/>
    <n v="11"/>
    <x v="5"/>
    <x v="71"/>
    <x v="88"/>
    <x v="5"/>
    <e v="#DIV/0!"/>
    <n v="-8"/>
    <x v="0"/>
    <n v="39.200000000000003"/>
    <x v="148"/>
    <n v="1376"/>
    <e v="#DIV/0!"/>
    <e v="#DIV/0!"/>
    <s v="Oct-12"/>
    <x v="4"/>
    <e v="#DIV/0!"/>
  </r>
  <r>
    <x v="15"/>
    <n v="45"/>
    <x v="0"/>
    <x v="1"/>
    <x v="3"/>
    <x v="11"/>
    <x v="0"/>
    <x v="1"/>
    <x v="2"/>
    <x v="15"/>
    <x v="12"/>
    <x v="8"/>
    <n v="10"/>
    <n v="20"/>
    <n v="50"/>
    <n v="70"/>
    <x v="12"/>
    <x v="15"/>
    <x v="14"/>
    <x v="16"/>
    <n v="4.5"/>
    <n v="-26"/>
    <x v="0"/>
    <n v="20.3"/>
    <x v="16"/>
    <n v="-654"/>
    <n v="2870"/>
    <n v="-1.342582233161781E-3"/>
    <s v="Oct-12"/>
    <x v="3"/>
    <n v="2.4222222222222221"/>
  </r>
  <r>
    <x v="32"/>
    <n v="60"/>
    <x v="0"/>
    <x v="1"/>
    <x v="3"/>
    <x v="12"/>
    <x v="0"/>
    <x v="1"/>
    <x v="3"/>
    <x v="66"/>
    <x v="13"/>
    <x v="14"/>
    <n v="20"/>
    <n v="10"/>
    <n v="60"/>
    <n v="84"/>
    <x v="13"/>
    <x v="66"/>
    <x v="50"/>
    <x v="121"/>
    <n v="3"/>
    <n v="-10"/>
    <x v="0"/>
    <n v="10"/>
    <x v="132"/>
    <n v="0"/>
    <e v="#DIV/0!"/>
    <n v="0"/>
    <s v="Oct-12"/>
    <x v="2"/>
    <n v="2.4"/>
  </r>
  <r>
    <x v="90"/>
    <n v="32"/>
    <x v="1"/>
    <x v="0"/>
    <x v="0"/>
    <x v="18"/>
    <x v="0"/>
    <x v="0"/>
    <x v="10"/>
    <x v="26"/>
    <x v="81"/>
    <x v="18"/>
    <n v="30"/>
    <n v="30"/>
    <n v="70"/>
    <n v="19"/>
    <x v="81"/>
    <x v="26"/>
    <x v="57"/>
    <x v="123"/>
    <n v="1.0666666666666667"/>
    <n v="-1"/>
    <x v="0"/>
    <n v="29.033333333333335"/>
    <x v="135"/>
    <n v="2320"/>
    <n v="152"/>
    <n v="4.5312499999999999E-2"/>
    <s v="Nov-12"/>
    <x v="1"/>
    <n v="2.5"/>
  </r>
  <r>
    <x v="59"/>
    <n v="54"/>
    <x v="1"/>
    <x v="0"/>
    <x v="2"/>
    <x v="14"/>
    <x v="0"/>
    <x v="0"/>
    <x v="0"/>
    <x v="32"/>
    <x v="26"/>
    <x v="2"/>
    <n v="40"/>
    <n v="10"/>
    <n v="80"/>
    <n v="54"/>
    <x v="26"/>
    <x v="32"/>
    <x v="13"/>
    <x v="37"/>
    <n v="1.35"/>
    <n v="3"/>
    <x v="0"/>
    <n v="8.6999999999999993"/>
    <x v="40"/>
    <n v="1573"/>
    <n v="1080"/>
    <n v="5.371900826446281E-3"/>
    <s v="Nov-12"/>
    <x v="7"/>
    <n v="2.2407407407407409"/>
  </r>
  <r>
    <x v="65"/>
    <n v="22"/>
    <x v="1"/>
    <x v="1"/>
    <x v="0"/>
    <x v="7"/>
    <x v="1"/>
    <x v="2"/>
    <x v="4"/>
    <x v="78"/>
    <x v="97"/>
    <x v="13"/>
    <n v="20"/>
    <n v="30"/>
    <n v="60"/>
    <n v="19"/>
    <x v="97"/>
    <x v="78"/>
    <x v="67"/>
    <x v="163"/>
    <n v="1.1000000000000001"/>
    <n v="-19"/>
    <x v="0"/>
    <n v="29.633333333333333"/>
    <x v="188"/>
    <n v="572"/>
    <n v="133"/>
    <n v="3.021978021978022E-2"/>
    <s v="Nov-12"/>
    <x v="3"/>
    <n v="2.3636363636363638"/>
  </r>
  <r>
    <x v="39"/>
    <n v="35"/>
    <x v="1"/>
    <x v="1"/>
    <x v="1"/>
    <x v="9"/>
    <x v="1"/>
    <x v="2"/>
    <x v="4"/>
    <x v="72"/>
    <x v="40"/>
    <x v="17"/>
    <n v="20"/>
    <n v="20"/>
    <n v="60"/>
    <n v="39"/>
    <x v="40"/>
    <x v="72"/>
    <x v="107"/>
    <x v="164"/>
    <n v="1.75"/>
    <n v="-12"/>
    <x v="0"/>
    <n v="19.600000000000001"/>
    <x v="189"/>
    <n v="656"/>
    <n v="429"/>
    <n v="8.869179600886918E-3"/>
    <s v="Nov-12"/>
    <x v="1"/>
    <n v="2.342857142857143"/>
  </r>
  <r>
    <x v="8"/>
    <n v="29"/>
    <x v="1"/>
    <x v="1"/>
    <x v="3"/>
    <x v="18"/>
    <x v="1"/>
    <x v="3"/>
    <x v="5"/>
    <x v="79"/>
    <x v="98"/>
    <x v="7"/>
    <n v="30"/>
    <n v="20"/>
    <n v="70"/>
    <n v="30"/>
    <x v="98"/>
    <x v="79"/>
    <x v="3"/>
    <x v="165"/>
    <n v="0.96666666666666667"/>
    <n v="-15"/>
    <x v="0"/>
    <n v="19.75"/>
    <x v="190"/>
    <n v="320"/>
    <n v="240"/>
    <n v="9.765625E-3"/>
    <s v="Nov-12"/>
    <x v="2"/>
    <n v="2.2068965517241379"/>
  </r>
  <r>
    <x v="46"/>
    <n v="29"/>
    <x v="1"/>
    <x v="1"/>
    <x v="0"/>
    <x v="18"/>
    <x v="1"/>
    <x v="3"/>
    <x v="7"/>
    <x v="79"/>
    <x v="98"/>
    <x v="4"/>
    <n v="20"/>
    <n v="20"/>
    <n v="60"/>
    <n v="30"/>
    <x v="98"/>
    <x v="79"/>
    <x v="3"/>
    <x v="165"/>
    <n v="1.45"/>
    <n v="-15"/>
    <x v="0"/>
    <n v="19.75"/>
    <x v="190"/>
    <n v="320"/>
    <n v="240"/>
    <n v="9.765625E-3"/>
    <s v="Nov-12"/>
    <x v="1"/>
    <n v="2.2068965517241379"/>
  </r>
  <r>
    <x v="10"/>
    <n v="34"/>
    <x v="1"/>
    <x v="1"/>
    <x v="2"/>
    <x v="13"/>
    <x v="1"/>
    <x v="2"/>
    <x v="12"/>
    <x v="37"/>
    <x v="99"/>
    <x v="9"/>
    <n v="30"/>
    <n v="0"/>
    <n v="70"/>
    <n v="45"/>
    <x v="99"/>
    <x v="37"/>
    <x v="2"/>
    <x v="72"/>
    <n v="1.1333333333333333"/>
    <n v="-3"/>
    <x v="0"/>
    <e v="#DIV/0!"/>
    <x v="77"/>
    <n v="-228"/>
    <n v="540"/>
    <n v="-3.2894736842105261E-3"/>
    <s v="Nov-12"/>
    <x v="7"/>
    <n v="2.2352941176470589"/>
  </r>
  <r>
    <x v="7"/>
    <n v="32"/>
    <x v="1"/>
    <x v="1"/>
    <x v="1"/>
    <x v="18"/>
    <x v="1"/>
    <x v="2"/>
    <x v="8"/>
    <x v="26"/>
    <x v="81"/>
    <x v="6"/>
    <n v="20"/>
    <n v="30"/>
    <n v="60"/>
    <n v="19"/>
    <x v="81"/>
    <x v="26"/>
    <x v="57"/>
    <x v="123"/>
    <n v="1.6"/>
    <n v="-1"/>
    <x v="0"/>
    <n v="29.033333333333335"/>
    <x v="135"/>
    <n v="2320"/>
    <n v="152"/>
    <n v="4.5312499999999999E-2"/>
    <s v="Nov-12"/>
    <x v="3"/>
    <n v="2.5"/>
  </r>
  <r>
    <x v="8"/>
    <n v="0"/>
    <x v="1"/>
    <x v="1"/>
    <x v="3"/>
    <x v="5"/>
    <x v="1"/>
    <x v="2"/>
    <x v="9"/>
    <x v="5"/>
    <x v="5"/>
    <x v="7"/>
    <n v="0"/>
    <n v="30"/>
    <n v="40"/>
    <n v="12"/>
    <x v="5"/>
    <x v="5"/>
    <x v="5"/>
    <x v="5"/>
    <e v="#DIV/0!"/>
    <n v="1"/>
    <x v="0"/>
    <n v="28.966666666666665"/>
    <x v="5"/>
    <n v="1333"/>
    <e v="#DIV/0!"/>
    <e v="#DIV/0!"/>
    <s v="Nov-12"/>
    <x v="12"/>
    <e v="#DIV/0!"/>
  </r>
  <r>
    <x v="9"/>
    <n v="33"/>
    <x v="1"/>
    <x v="1"/>
    <x v="3"/>
    <x v="8"/>
    <x v="1"/>
    <x v="2"/>
    <x v="9"/>
    <x v="22"/>
    <x v="24"/>
    <x v="8"/>
    <n v="30"/>
    <n v="30"/>
    <n v="70"/>
    <n v="21"/>
    <x v="24"/>
    <x v="22"/>
    <x v="29"/>
    <x v="7"/>
    <n v="1.1000000000000001"/>
    <n v="-3"/>
    <x v="0"/>
    <n v="29.1"/>
    <x v="31"/>
    <n v="2187"/>
    <n v="189"/>
    <n v="3.7037037037037035E-2"/>
    <s v="Nov-12"/>
    <x v="1"/>
    <n v="2.4545454545454546"/>
  </r>
  <r>
    <x v="13"/>
    <n v="82"/>
    <x v="1"/>
    <x v="1"/>
    <x v="0"/>
    <x v="26"/>
    <x v="0"/>
    <x v="0"/>
    <x v="0"/>
    <x v="48"/>
    <x v="0"/>
    <x v="12"/>
    <n v="70"/>
    <n v="0"/>
    <n v="110"/>
    <n v="49"/>
    <x v="0"/>
    <x v="48"/>
    <x v="108"/>
    <x v="166"/>
    <n v="1.1714285714285715"/>
    <n v="-9"/>
    <x v="0"/>
    <e v="#DIV/0!"/>
    <x v="191"/>
    <n v="-1098"/>
    <n v="1225"/>
    <n v="-2.9508196721311475E-3"/>
    <s v="Nov-12"/>
    <x v="8"/>
    <n v="1.4878048780487805"/>
  </r>
  <r>
    <x v="15"/>
    <n v="82"/>
    <x v="1"/>
    <x v="1"/>
    <x v="3"/>
    <x v="26"/>
    <x v="0"/>
    <x v="0"/>
    <x v="1"/>
    <x v="23"/>
    <x v="0"/>
    <x v="8"/>
    <n v="70"/>
    <n v="0"/>
    <n v="110"/>
    <n v="48"/>
    <x v="0"/>
    <x v="23"/>
    <x v="83"/>
    <x v="125"/>
    <n v="1.1714285714285715"/>
    <n v="-8"/>
    <x v="0"/>
    <e v="#DIV/0!"/>
    <x v="137"/>
    <n v="-976"/>
    <n v="1200"/>
    <n v="-2.6229508196721311E-3"/>
    <s v="Nov-12"/>
    <x v="8"/>
    <n v="1.4878048780487805"/>
  </r>
  <r>
    <x v="40"/>
    <n v="35"/>
    <x v="1"/>
    <x v="1"/>
    <x v="0"/>
    <x v="9"/>
    <x v="0"/>
    <x v="1"/>
    <x v="2"/>
    <x v="76"/>
    <x v="40"/>
    <x v="12"/>
    <n v="20"/>
    <n v="10"/>
    <n v="60"/>
    <n v="38"/>
    <x v="40"/>
    <x v="76"/>
    <x v="15"/>
    <x v="167"/>
    <n v="1.75"/>
    <n v="-1"/>
    <x v="0"/>
    <n v="9.1"/>
    <x v="192"/>
    <n v="738"/>
    <n v="418"/>
    <n v="9.977827050997784E-3"/>
    <s v="Nov-12"/>
    <x v="2"/>
    <n v="2.342857142857143"/>
  </r>
  <r>
    <x v="54"/>
    <n v="34"/>
    <x v="1"/>
    <x v="1"/>
    <x v="0"/>
    <x v="13"/>
    <x v="0"/>
    <x v="1"/>
    <x v="11"/>
    <x v="37"/>
    <x v="99"/>
    <x v="12"/>
    <n v="20"/>
    <n v="0"/>
    <n v="60"/>
    <n v="45"/>
    <x v="99"/>
    <x v="37"/>
    <x v="2"/>
    <x v="72"/>
    <n v="1.7"/>
    <n v="-3"/>
    <x v="0"/>
    <e v="#DIV/0!"/>
    <x v="77"/>
    <n v="-228"/>
    <n v="540"/>
    <n v="-3.2894736842105261E-3"/>
    <s v="Nov-12"/>
    <x v="0"/>
    <n v="2.2352941176470589"/>
  </r>
  <r>
    <x v="26"/>
    <n v="33"/>
    <x v="1"/>
    <x v="1"/>
    <x v="0"/>
    <x v="13"/>
    <x v="0"/>
    <x v="1"/>
    <x v="3"/>
    <x v="64"/>
    <x v="83"/>
    <x v="12"/>
    <n v="20"/>
    <n v="0"/>
    <n v="60"/>
    <n v="45"/>
    <x v="83"/>
    <x v="64"/>
    <x v="69"/>
    <x v="128"/>
    <n v="1.65"/>
    <n v="-4"/>
    <x v="0"/>
    <e v="#DIV/0!"/>
    <x v="140"/>
    <n v="-296"/>
    <n v="540"/>
    <n v="-4.5045045045045045E-3"/>
    <s v="Nov-12"/>
    <x v="0"/>
    <n v="2.2424242424242422"/>
  </r>
  <r>
    <x v="10"/>
    <n v="0"/>
    <x v="1"/>
    <x v="1"/>
    <x v="2"/>
    <x v="5"/>
    <x v="0"/>
    <x v="1"/>
    <x v="3"/>
    <x v="71"/>
    <x v="5"/>
    <x v="9"/>
    <n v="0"/>
    <n v="30"/>
    <n v="40"/>
    <n v="11"/>
    <x v="5"/>
    <x v="71"/>
    <x v="88"/>
    <x v="5"/>
    <e v="#DIV/0!"/>
    <n v="2"/>
    <x v="0"/>
    <n v="28.933333333333334"/>
    <x v="148"/>
    <n v="1376"/>
    <e v="#DIV/0!"/>
    <e v="#DIV/0!"/>
    <s v="Nov-12"/>
    <x v="12"/>
    <e v="#DIV/0!"/>
  </r>
  <r>
    <x v="9"/>
    <n v="44"/>
    <x v="1"/>
    <x v="1"/>
    <x v="3"/>
    <x v="19"/>
    <x v="0"/>
    <x v="1"/>
    <x v="2"/>
    <x v="11"/>
    <x v="28"/>
    <x v="8"/>
    <n v="30"/>
    <n v="-10"/>
    <n v="70"/>
    <n v="69"/>
    <x v="28"/>
    <x v="11"/>
    <x v="84"/>
    <x v="127"/>
    <n v="1.4666666666666666"/>
    <n v="3"/>
    <x v="0"/>
    <n v="-10.7"/>
    <x v="139"/>
    <n v="-742"/>
    <n v="2760"/>
    <n v="-1.6509433962264149E-3"/>
    <s v="Nov-12"/>
    <x v="6"/>
    <n v="2.4090909090909092"/>
  </r>
  <r>
    <x v="90"/>
    <n v="29"/>
    <x v="2"/>
    <x v="0"/>
    <x v="0"/>
    <x v="18"/>
    <x v="0"/>
    <x v="0"/>
    <x v="10"/>
    <x v="65"/>
    <x v="100"/>
    <x v="18"/>
    <n v="20"/>
    <n v="30"/>
    <n v="60"/>
    <n v="19"/>
    <x v="100"/>
    <x v="65"/>
    <x v="53"/>
    <x v="168"/>
    <n v="1.45"/>
    <n v="-5"/>
    <x v="0"/>
    <n v="29.166666666666668"/>
    <x v="193"/>
    <n v="1825"/>
    <n v="152"/>
    <n v="4.2808219178082189E-2"/>
    <s v="Dec-12"/>
    <x v="3"/>
    <n v="2.5172413793103448"/>
  </r>
  <r>
    <x v="87"/>
    <n v="33"/>
    <x v="2"/>
    <x v="0"/>
    <x v="0"/>
    <x v="8"/>
    <x v="0"/>
    <x v="0"/>
    <x v="0"/>
    <x v="26"/>
    <x v="40"/>
    <x v="18"/>
    <n v="30"/>
    <n v="30"/>
    <n v="70"/>
    <n v="20"/>
    <x v="40"/>
    <x v="26"/>
    <x v="62"/>
    <x v="134"/>
    <n v="1.1000000000000001"/>
    <n v="-1"/>
    <x v="0"/>
    <n v="29.033333333333335"/>
    <x v="146"/>
    <n v="2378"/>
    <n v="180"/>
    <n v="3.9295392953929538E-2"/>
    <s v="Dec-12"/>
    <x v="1"/>
    <n v="2.4848484848484849"/>
  </r>
  <r>
    <x v="63"/>
    <n v="46"/>
    <x v="2"/>
    <x v="0"/>
    <x v="2"/>
    <x v="1"/>
    <x v="0"/>
    <x v="0"/>
    <x v="0"/>
    <x v="7"/>
    <x v="84"/>
    <x v="15"/>
    <n v="30"/>
    <n v="10"/>
    <n v="70"/>
    <n v="50"/>
    <x v="84"/>
    <x v="7"/>
    <x v="27"/>
    <x v="169"/>
    <n v="1.5333333333333334"/>
    <n v="-3"/>
    <x v="0"/>
    <n v="9.3000000000000007"/>
    <x v="194"/>
    <n v="721"/>
    <n v="850"/>
    <n v="3.9977155910908054E-3"/>
    <s v="Dec-12"/>
    <x v="0"/>
    <n v="2.2391304347826089"/>
  </r>
  <r>
    <x v="91"/>
    <n v="30"/>
    <x v="2"/>
    <x v="0"/>
    <x v="2"/>
    <x v="18"/>
    <x v="0"/>
    <x v="1"/>
    <x v="2"/>
    <x v="1"/>
    <x v="93"/>
    <x v="2"/>
    <n v="30"/>
    <n v="30"/>
    <n v="70"/>
    <n v="19"/>
    <x v="93"/>
    <x v="1"/>
    <x v="68"/>
    <x v="170"/>
    <n v="1"/>
    <n v="-4"/>
    <x v="0"/>
    <n v="29.133333333333333"/>
    <x v="195"/>
    <n v="1950"/>
    <n v="152"/>
    <n v="4.3333333333333335E-2"/>
    <s v="Dec-12"/>
    <x v="1"/>
    <n v="2.5"/>
  </r>
  <r>
    <x v="84"/>
    <n v="29"/>
    <x v="2"/>
    <x v="0"/>
    <x v="2"/>
    <x v="18"/>
    <x v="0"/>
    <x v="1"/>
    <x v="3"/>
    <x v="65"/>
    <x v="100"/>
    <x v="15"/>
    <n v="30"/>
    <n v="30"/>
    <n v="70"/>
    <n v="19"/>
    <x v="100"/>
    <x v="65"/>
    <x v="53"/>
    <x v="168"/>
    <n v="0.96666666666666667"/>
    <n v="-5"/>
    <x v="0"/>
    <n v="29.166666666666668"/>
    <x v="193"/>
    <n v="1825"/>
    <n v="152"/>
    <n v="4.2808219178082189E-2"/>
    <s v="Dec-12"/>
    <x v="1"/>
    <n v="2.5172413793103448"/>
  </r>
  <r>
    <x v="14"/>
    <n v="24"/>
    <x v="2"/>
    <x v="1"/>
    <x v="0"/>
    <x v="7"/>
    <x v="1"/>
    <x v="2"/>
    <x v="4"/>
    <x v="32"/>
    <x v="82"/>
    <x v="13"/>
    <n v="30"/>
    <n v="30"/>
    <n v="70"/>
    <n v="19"/>
    <x v="82"/>
    <x v="32"/>
    <x v="96"/>
    <x v="171"/>
    <n v="0.8"/>
    <n v="-17"/>
    <x v="0"/>
    <n v="29.566666666666666"/>
    <x v="196"/>
    <n v="728"/>
    <n v="133"/>
    <n v="3.3163265306122451E-2"/>
    <s v="Dec-12"/>
    <x v="1"/>
    <n v="2.3333333333333335"/>
  </r>
  <r>
    <x v="48"/>
    <n v="0"/>
    <x v="2"/>
    <x v="1"/>
    <x v="3"/>
    <x v="5"/>
    <x v="1"/>
    <x v="2"/>
    <x v="9"/>
    <x v="5"/>
    <x v="5"/>
    <x v="7"/>
    <n v="0"/>
    <n v="30"/>
    <n v="40"/>
    <n v="12"/>
    <x v="5"/>
    <x v="5"/>
    <x v="5"/>
    <x v="5"/>
    <e v="#DIV/0!"/>
    <n v="1"/>
    <x v="0"/>
    <n v="28.966666666666665"/>
    <x v="5"/>
    <n v="1333"/>
    <e v="#DIV/0!"/>
    <e v="#DIV/0!"/>
    <s v="Dec-12"/>
    <x v="12"/>
    <e v="#DIV/0!"/>
  </r>
  <r>
    <x v="9"/>
    <n v="31"/>
    <x v="2"/>
    <x v="1"/>
    <x v="3"/>
    <x v="18"/>
    <x v="1"/>
    <x v="2"/>
    <x v="9"/>
    <x v="1"/>
    <x v="14"/>
    <x v="8"/>
    <n v="30"/>
    <n v="30"/>
    <n v="70"/>
    <n v="20"/>
    <x v="14"/>
    <x v="1"/>
    <x v="57"/>
    <x v="170"/>
    <n v="1.0333333333333334"/>
    <n v="-4"/>
    <x v="0"/>
    <n v="29.133333333333333"/>
    <x v="186"/>
    <n v="2002"/>
    <n v="160"/>
    <n v="4.2207792207792208E-2"/>
    <s v="Dec-12"/>
    <x v="1"/>
    <n v="2.4838709677419355"/>
  </r>
  <r>
    <x v="65"/>
    <n v="34"/>
    <x v="2"/>
    <x v="1"/>
    <x v="0"/>
    <x v="8"/>
    <x v="0"/>
    <x v="0"/>
    <x v="0"/>
    <x v="27"/>
    <x v="39"/>
    <x v="13"/>
    <n v="30"/>
    <n v="30"/>
    <n v="70"/>
    <n v="21"/>
    <x v="39"/>
    <x v="27"/>
    <x v="87"/>
    <x v="91"/>
    <n v="1.1333333333333333"/>
    <n v="0"/>
    <x v="0"/>
    <n v="29"/>
    <x v="147"/>
    <n v="2550"/>
    <n v="189"/>
    <n v="3.9215686274509803E-2"/>
    <s v="Dec-12"/>
    <x v="1"/>
    <n v="2.5"/>
  </r>
  <r>
    <x v="10"/>
    <n v="39"/>
    <x v="2"/>
    <x v="1"/>
    <x v="2"/>
    <x v="10"/>
    <x v="0"/>
    <x v="0"/>
    <x v="0"/>
    <x v="80"/>
    <x v="23"/>
    <x v="9"/>
    <n v="20"/>
    <n v="10"/>
    <n v="60"/>
    <n v="47"/>
    <x v="23"/>
    <x v="80"/>
    <x v="32"/>
    <x v="172"/>
    <n v="1.95"/>
    <n v="-8"/>
    <x v="0"/>
    <n v="9.8000000000000007"/>
    <x v="197"/>
    <n v="176"/>
    <n v="658"/>
    <n v="1.6233766233766233E-3"/>
    <s v="Dec-12"/>
    <x v="2"/>
    <n v="2.2564102564102564"/>
  </r>
  <r>
    <x v="39"/>
    <n v="31"/>
    <x v="2"/>
    <x v="1"/>
    <x v="1"/>
    <x v="8"/>
    <x v="0"/>
    <x v="0"/>
    <x v="0"/>
    <x v="7"/>
    <x v="85"/>
    <x v="17"/>
    <n v="20"/>
    <n v="20"/>
    <n v="60"/>
    <n v="31"/>
    <x v="85"/>
    <x v="7"/>
    <x v="9"/>
    <x v="8"/>
    <n v="1.55"/>
    <n v="-13"/>
    <x v="0"/>
    <n v="19.649999999999999"/>
    <x v="198"/>
    <n v="483"/>
    <n v="279"/>
    <n v="1.1272141706924315E-2"/>
    <s v="Dec-12"/>
    <x v="1"/>
    <n v="2.225806451612903"/>
  </r>
  <r>
    <x v="13"/>
    <n v="38"/>
    <x v="2"/>
    <x v="1"/>
    <x v="0"/>
    <x v="13"/>
    <x v="0"/>
    <x v="1"/>
    <x v="2"/>
    <x v="78"/>
    <x v="101"/>
    <x v="12"/>
    <n v="30"/>
    <n v="10"/>
    <n v="70"/>
    <n v="40"/>
    <x v="101"/>
    <x v="78"/>
    <x v="69"/>
    <x v="173"/>
    <n v="1.2666666666666666"/>
    <n v="1"/>
    <x v="0"/>
    <n v="8.9"/>
    <x v="199"/>
    <n v="979"/>
    <n v="480"/>
    <n v="1.0299625468164793E-2"/>
    <s v="Dec-12"/>
    <x v="0"/>
    <n v="2.3421052631578947"/>
  </r>
  <r>
    <x v="54"/>
    <n v="39"/>
    <x v="2"/>
    <x v="1"/>
    <x v="0"/>
    <x v="10"/>
    <x v="0"/>
    <x v="1"/>
    <x v="3"/>
    <x v="80"/>
    <x v="23"/>
    <x v="12"/>
    <n v="30"/>
    <n v="0"/>
    <n v="70"/>
    <n v="47"/>
    <x v="23"/>
    <x v="80"/>
    <x v="32"/>
    <x v="172"/>
    <n v="1.3"/>
    <n v="2"/>
    <x v="0"/>
    <e v="#DIV/0!"/>
    <x v="197"/>
    <n v="176"/>
    <n v="658"/>
    <n v="1.6233766233766233E-3"/>
    <s v="Dec-12"/>
    <x v="7"/>
    <n v="2.2564102564102564"/>
  </r>
  <r>
    <x v="10"/>
    <n v="0"/>
    <x v="2"/>
    <x v="1"/>
    <x v="2"/>
    <x v="5"/>
    <x v="0"/>
    <x v="1"/>
    <x v="3"/>
    <x v="71"/>
    <x v="5"/>
    <x v="9"/>
    <n v="0"/>
    <n v="30"/>
    <n v="40"/>
    <n v="11"/>
    <x v="5"/>
    <x v="71"/>
    <x v="88"/>
    <x v="5"/>
    <e v="#DIV/0!"/>
    <n v="2"/>
    <x v="0"/>
    <n v="28.933333333333334"/>
    <x v="148"/>
    <n v="1376"/>
    <e v="#DIV/0!"/>
    <e v="#DIV/0!"/>
    <s v="Dec-12"/>
    <x v="12"/>
    <e v="#DIV/0!"/>
  </r>
  <r>
    <x v="30"/>
    <n v="41"/>
    <x v="2"/>
    <x v="1"/>
    <x v="3"/>
    <x v="13"/>
    <x v="0"/>
    <x v="1"/>
    <x v="2"/>
    <x v="27"/>
    <x v="2"/>
    <x v="14"/>
    <n v="30"/>
    <n v="20"/>
    <n v="70"/>
    <n v="36"/>
    <x v="2"/>
    <x v="27"/>
    <x v="45"/>
    <x v="55"/>
    <n v="1.3666666666666667"/>
    <n v="10"/>
    <x v="0"/>
    <n v="18.5"/>
    <x v="11"/>
    <n v="3210"/>
    <n v="432"/>
    <n v="2.336448598130841E-2"/>
    <s v="Dec-12"/>
    <x v="2"/>
    <n v="2.6097560975609757"/>
  </r>
  <r>
    <x v="15"/>
    <n v="38"/>
    <x v="2"/>
    <x v="1"/>
    <x v="3"/>
    <x v="13"/>
    <x v="0"/>
    <x v="1"/>
    <x v="11"/>
    <x v="14"/>
    <x v="101"/>
    <x v="8"/>
    <n v="20"/>
    <n v="10"/>
    <n v="60"/>
    <n v="39"/>
    <x v="101"/>
    <x v="14"/>
    <x v="45"/>
    <x v="174"/>
    <n v="1.9"/>
    <n v="2"/>
    <x v="0"/>
    <n v="8.8000000000000007"/>
    <x v="200"/>
    <n v="1068"/>
    <n v="468"/>
    <n v="1.1235955056179775E-2"/>
    <s v="Dec-12"/>
    <x v="2"/>
    <n v="2.3421052631578947"/>
  </r>
  <r>
    <x v="30"/>
    <n v="43"/>
    <x v="2"/>
    <x v="1"/>
    <x v="3"/>
    <x v="2"/>
    <x v="0"/>
    <x v="1"/>
    <x v="11"/>
    <x v="2"/>
    <x v="28"/>
    <x v="14"/>
    <n v="30"/>
    <n v="20"/>
    <n v="70"/>
    <n v="35"/>
    <x v="28"/>
    <x v="2"/>
    <x v="69"/>
    <x v="2"/>
    <n v="1.4333333333333333"/>
    <n v="8"/>
    <x v="0"/>
    <n v="18.600000000000001"/>
    <x v="151"/>
    <n v="2968"/>
    <n v="455"/>
    <n v="2.0319303338171262E-2"/>
    <s v="Dec-12"/>
    <x v="2"/>
    <n v="2.4651162790697674"/>
  </r>
  <r>
    <x v="82"/>
    <n v="39"/>
    <x v="3"/>
    <x v="0"/>
    <x v="0"/>
    <x v="13"/>
    <x v="0"/>
    <x v="0"/>
    <x v="0"/>
    <x v="54"/>
    <x v="62"/>
    <x v="16"/>
    <n v="20"/>
    <n v="40"/>
    <n v="60"/>
    <n v="24"/>
    <x v="62"/>
    <x v="54"/>
    <x v="89"/>
    <x v="91"/>
    <n v="1.95"/>
    <n v="0"/>
    <x v="0"/>
    <n v="39"/>
    <x v="153"/>
    <n v="3840"/>
    <n v="288"/>
    <n v="3.4722222222222224E-2"/>
    <s v="Oct-13"/>
    <x v="5"/>
    <n v="2.4615384615384617"/>
  </r>
  <r>
    <x v="92"/>
    <n v="39"/>
    <x v="3"/>
    <x v="0"/>
    <x v="3"/>
    <x v="13"/>
    <x v="0"/>
    <x v="0"/>
    <x v="1"/>
    <x v="40"/>
    <x v="62"/>
    <x v="3"/>
    <n v="20"/>
    <n v="40"/>
    <n v="60"/>
    <n v="25"/>
    <x v="62"/>
    <x v="40"/>
    <x v="28"/>
    <x v="170"/>
    <n v="1.95"/>
    <n v="-1"/>
    <x v="0"/>
    <n v="39.024999999999999"/>
    <x v="201"/>
    <n v="3744"/>
    <n v="300"/>
    <n v="3.3854166666666664E-2"/>
    <s v="Oct-13"/>
    <x v="5"/>
    <n v="2.4615384615384617"/>
  </r>
  <r>
    <x v="39"/>
    <n v="86"/>
    <x v="3"/>
    <x v="1"/>
    <x v="1"/>
    <x v="32"/>
    <x v="1"/>
    <x v="3"/>
    <x v="5"/>
    <x v="81"/>
    <x v="52"/>
    <x v="17"/>
    <n v="110"/>
    <n v="10"/>
    <n v="150"/>
    <n v="49"/>
    <x v="52"/>
    <x v="81"/>
    <x v="109"/>
    <x v="175"/>
    <n v="0.78181818181818186"/>
    <n v="-49"/>
    <x v="0"/>
    <n v="13.9"/>
    <x v="202"/>
    <n v="-4524"/>
    <n v="1274"/>
    <n v="-1.2931034482758621E-2"/>
    <s v="Oct-13"/>
    <x v="14"/>
    <n v="1.3488372093023255"/>
  </r>
  <r>
    <x v="11"/>
    <n v="46"/>
    <x v="3"/>
    <x v="1"/>
    <x v="1"/>
    <x v="10"/>
    <x v="1"/>
    <x v="2"/>
    <x v="4"/>
    <x v="16"/>
    <x v="10"/>
    <x v="10"/>
    <n v="20"/>
    <n v="40"/>
    <n v="60"/>
    <n v="37"/>
    <x v="10"/>
    <x v="16"/>
    <x v="21"/>
    <x v="93"/>
    <n v="2.2999999999999998"/>
    <n v="5"/>
    <x v="0"/>
    <n v="38.875"/>
    <x v="99"/>
    <n v="5400"/>
    <n v="518"/>
    <n v="2.6785714285714288E-2"/>
    <s v="Oct-13"/>
    <x v="5"/>
    <n v="2.6086956521739131"/>
  </r>
  <r>
    <x v="74"/>
    <n v="31"/>
    <x v="3"/>
    <x v="1"/>
    <x v="0"/>
    <x v="8"/>
    <x v="1"/>
    <x v="3"/>
    <x v="7"/>
    <x v="44"/>
    <x v="50"/>
    <x v="4"/>
    <n v="20"/>
    <n v="30"/>
    <n v="60"/>
    <n v="30"/>
    <x v="50"/>
    <x v="44"/>
    <x v="9"/>
    <x v="67"/>
    <n v="1.55"/>
    <n v="-20"/>
    <x v="0"/>
    <n v="29.666666666666668"/>
    <x v="72"/>
    <n v="720"/>
    <n v="270"/>
    <n v="1.54320987654321E-2"/>
    <s v="Oct-13"/>
    <x v="3"/>
    <n v="2.3225806451612905"/>
  </r>
  <r>
    <x v="39"/>
    <n v="45"/>
    <x v="3"/>
    <x v="1"/>
    <x v="1"/>
    <x v="11"/>
    <x v="1"/>
    <x v="2"/>
    <x v="8"/>
    <x v="48"/>
    <x v="52"/>
    <x v="17"/>
    <n v="20"/>
    <n v="10"/>
    <n v="60"/>
    <n v="70"/>
    <x v="52"/>
    <x v="48"/>
    <x v="61"/>
    <x v="74"/>
    <n v="2.25"/>
    <n v="-19"/>
    <x v="0"/>
    <n v="10.9"/>
    <x v="79"/>
    <n v="-1044"/>
    <n v="2870"/>
    <n v="-1.8923465096719932E-3"/>
    <s v="Oct-13"/>
    <x v="2"/>
    <n v="2.5777777777777779"/>
  </r>
  <r>
    <x v="9"/>
    <n v="32"/>
    <x v="3"/>
    <x v="1"/>
    <x v="3"/>
    <x v="18"/>
    <x v="1"/>
    <x v="2"/>
    <x v="9"/>
    <x v="41"/>
    <x v="102"/>
    <x v="8"/>
    <n v="20"/>
    <n v="40"/>
    <n v="60"/>
    <n v="19"/>
    <x v="102"/>
    <x v="41"/>
    <x v="74"/>
    <x v="89"/>
    <n v="1.6"/>
    <n v="2"/>
    <x v="0"/>
    <n v="38.950000000000003"/>
    <x v="95"/>
    <n v="3528"/>
    <n v="152"/>
    <n v="6.25E-2"/>
    <s v="Oct-13"/>
    <x v="5"/>
    <n v="2.625"/>
  </r>
  <r>
    <x v="39"/>
    <n v="31"/>
    <x v="3"/>
    <x v="1"/>
    <x v="1"/>
    <x v="8"/>
    <x v="0"/>
    <x v="0"/>
    <x v="0"/>
    <x v="76"/>
    <x v="50"/>
    <x v="17"/>
    <n v="10"/>
    <n v="30"/>
    <n v="50"/>
    <n v="31"/>
    <x v="50"/>
    <x v="76"/>
    <x v="17"/>
    <x v="174"/>
    <n v="3.1"/>
    <n v="-21"/>
    <x v="0"/>
    <n v="29.7"/>
    <x v="203"/>
    <n v="648"/>
    <n v="279"/>
    <n v="1.3888888888888888E-2"/>
    <s v="Oct-13"/>
    <x v="5"/>
    <n v="2.3225806451612905"/>
  </r>
  <r>
    <x v="26"/>
    <n v="39"/>
    <x v="3"/>
    <x v="1"/>
    <x v="0"/>
    <x v="13"/>
    <x v="0"/>
    <x v="1"/>
    <x v="2"/>
    <x v="60"/>
    <x v="55"/>
    <x v="12"/>
    <n v="20"/>
    <n v="30"/>
    <n v="60"/>
    <n v="40"/>
    <x v="55"/>
    <x v="60"/>
    <x v="2"/>
    <x v="176"/>
    <n v="1.95"/>
    <n v="-11"/>
    <x v="0"/>
    <n v="29.366666666666667"/>
    <x v="114"/>
    <n v="1862"/>
    <n v="480"/>
    <n v="1.6156462585034014E-2"/>
    <s v="Oct-13"/>
    <x v="3"/>
    <n v="2.5128205128205128"/>
  </r>
  <r>
    <x v="31"/>
    <n v="24"/>
    <x v="3"/>
    <x v="1"/>
    <x v="2"/>
    <x v="29"/>
    <x v="0"/>
    <x v="1"/>
    <x v="3"/>
    <x v="22"/>
    <x v="98"/>
    <x v="5"/>
    <n v="20"/>
    <n v="40"/>
    <n v="60"/>
    <n v="18"/>
    <x v="98"/>
    <x v="22"/>
    <x v="102"/>
    <x v="90"/>
    <n v="1.2"/>
    <n v="-13"/>
    <x v="0"/>
    <n v="39.325000000000003"/>
    <x v="204"/>
    <n v="1728"/>
    <n v="108"/>
    <n v="7.03125E-2"/>
    <s v="Oct-13"/>
    <x v="5"/>
    <n v="2.6666666666666665"/>
  </r>
  <r>
    <x v="10"/>
    <n v="0"/>
    <x v="3"/>
    <x v="1"/>
    <x v="2"/>
    <x v="5"/>
    <x v="0"/>
    <x v="1"/>
    <x v="3"/>
    <x v="17"/>
    <x v="48"/>
    <x v="9"/>
    <n v="0"/>
    <n v="40"/>
    <n v="40"/>
    <n v="11"/>
    <x v="48"/>
    <x v="17"/>
    <x v="101"/>
    <x v="5"/>
    <e v="#DIV/0!"/>
    <n v="7"/>
    <x v="0"/>
    <n v="38.825000000000003"/>
    <x v="178"/>
    <n v="2162"/>
    <e v="#DIV/0!"/>
    <e v="#DIV/0!"/>
    <s v="Oct-13"/>
    <x v="4"/>
    <e v="#DIV/0!"/>
  </r>
  <r>
    <x v="9"/>
    <n v="45"/>
    <x v="3"/>
    <x v="1"/>
    <x v="3"/>
    <x v="11"/>
    <x v="0"/>
    <x v="1"/>
    <x v="2"/>
    <x v="48"/>
    <x v="52"/>
    <x v="8"/>
    <n v="10"/>
    <n v="20"/>
    <n v="50"/>
    <n v="70"/>
    <x v="52"/>
    <x v="48"/>
    <x v="61"/>
    <x v="74"/>
    <n v="4.5"/>
    <n v="-29"/>
    <x v="0"/>
    <n v="20.45"/>
    <x v="79"/>
    <n v="-1044"/>
    <n v="2870"/>
    <n v="-1.8923465096719932E-3"/>
    <s v="Oct-13"/>
    <x v="3"/>
    <n v="2.5777777777777779"/>
  </r>
  <r>
    <x v="32"/>
    <n v="60"/>
    <x v="3"/>
    <x v="1"/>
    <x v="3"/>
    <x v="12"/>
    <x v="0"/>
    <x v="1"/>
    <x v="3"/>
    <x v="66"/>
    <x v="43"/>
    <x v="14"/>
    <n v="20"/>
    <n v="10"/>
    <n v="60"/>
    <n v="84"/>
    <x v="43"/>
    <x v="66"/>
    <x v="93"/>
    <x v="121"/>
    <n v="3"/>
    <n v="-10"/>
    <x v="0"/>
    <n v="10"/>
    <x v="132"/>
    <n v="0"/>
    <e v="#DIV/0!"/>
    <n v="0"/>
    <s v="Oct-13"/>
    <x v="2"/>
    <n v="2.5499999999999998"/>
  </r>
  <r>
    <x v="93"/>
    <n v="32"/>
    <x v="4"/>
    <x v="0"/>
    <x v="0"/>
    <x v="18"/>
    <x v="0"/>
    <x v="0"/>
    <x v="10"/>
    <x v="58"/>
    <x v="39"/>
    <x v="18"/>
    <n v="30"/>
    <n v="30"/>
    <n v="70"/>
    <n v="19"/>
    <x v="39"/>
    <x v="58"/>
    <x v="74"/>
    <x v="146"/>
    <n v="1.0666666666666667"/>
    <n v="13"/>
    <x v="0"/>
    <n v="28.566666666666666"/>
    <x v="165"/>
    <n v="3655"/>
    <n v="152"/>
    <n v="6.3235294117647056E-2"/>
    <s v="Nov-13"/>
    <x v="1"/>
    <n v="2.65625"/>
  </r>
  <r>
    <x v="35"/>
    <n v="54"/>
    <x v="4"/>
    <x v="0"/>
    <x v="2"/>
    <x v="14"/>
    <x v="0"/>
    <x v="0"/>
    <x v="0"/>
    <x v="60"/>
    <x v="60"/>
    <x v="2"/>
    <n v="40"/>
    <n v="10"/>
    <n v="80"/>
    <n v="54"/>
    <x v="60"/>
    <x v="60"/>
    <x v="60"/>
    <x v="96"/>
    <n v="1.35"/>
    <n v="9"/>
    <x v="0"/>
    <n v="8.1"/>
    <x v="103"/>
    <n v="2451"/>
    <n v="1080"/>
    <n v="7.3643410852713177E-3"/>
    <s v="Nov-13"/>
    <x v="7"/>
    <n v="2.3888888888888888"/>
  </r>
  <r>
    <x v="41"/>
    <n v="22"/>
    <x v="4"/>
    <x v="1"/>
    <x v="0"/>
    <x v="7"/>
    <x v="1"/>
    <x v="2"/>
    <x v="4"/>
    <x v="38"/>
    <x v="103"/>
    <x v="13"/>
    <n v="20"/>
    <n v="30"/>
    <n v="60"/>
    <n v="19"/>
    <x v="103"/>
    <x v="38"/>
    <x v="56"/>
    <x v="177"/>
    <n v="1.1000000000000001"/>
    <n v="-14"/>
    <x v="0"/>
    <n v="29.466666666666665"/>
    <x v="205"/>
    <n v="880"/>
    <n v="133"/>
    <n v="4.1558441558441558E-2"/>
    <s v="Nov-13"/>
    <x v="3"/>
    <n v="2.5"/>
  </r>
  <r>
    <x v="39"/>
    <n v="35"/>
    <x v="4"/>
    <x v="1"/>
    <x v="1"/>
    <x v="9"/>
    <x v="1"/>
    <x v="2"/>
    <x v="4"/>
    <x v="14"/>
    <x v="70"/>
    <x v="17"/>
    <n v="20"/>
    <n v="20"/>
    <n v="60"/>
    <n v="39"/>
    <x v="70"/>
    <x v="14"/>
    <x v="21"/>
    <x v="178"/>
    <n v="1.75"/>
    <n v="-8"/>
    <x v="0"/>
    <n v="19.399999999999999"/>
    <x v="200"/>
    <n v="1044"/>
    <n v="429.00000000000006"/>
    <n v="1.2539184952978056E-2"/>
    <s v="Nov-13"/>
    <x v="1"/>
    <n v="2.4857142857142858"/>
  </r>
  <r>
    <x v="48"/>
    <n v="29"/>
    <x v="4"/>
    <x v="1"/>
    <x v="3"/>
    <x v="18"/>
    <x v="1"/>
    <x v="3"/>
    <x v="5"/>
    <x v="7"/>
    <x v="8"/>
    <x v="7"/>
    <n v="30"/>
    <n v="20"/>
    <n v="70"/>
    <n v="30"/>
    <x v="8"/>
    <x v="7"/>
    <x v="8"/>
    <x v="179"/>
    <n v="0.96666666666666667"/>
    <n v="-13"/>
    <x v="0"/>
    <n v="19.649999999999999"/>
    <x v="8"/>
    <n v="476"/>
    <n v="240"/>
    <n v="1.2867647058823529E-2"/>
    <s v="Nov-13"/>
    <x v="2"/>
    <n v="2.3448275862068964"/>
  </r>
  <r>
    <x v="74"/>
    <n v="29"/>
    <x v="4"/>
    <x v="1"/>
    <x v="0"/>
    <x v="18"/>
    <x v="1"/>
    <x v="3"/>
    <x v="7"/>
    <x v="7"/>
    <x v="8"/>
    <x v="4"/>
    <n v="20"/>
    <n v="20"/>
    <n v="60"/>
    <n v="30"/>
    <x v="8"/>
    <x v="7"/>
    <x v="8"/>
    <x v="179"/>
    <n v="1.45"/>
    <n v="-13"/>
    <x v="0"/>
    <n v="19.649999999999999"/>
    <x v="8"/>
    <n v="476"/>
    <n v="240"/>
    <n v="1.2867647058823529E-2"/>
    <s v="Nov-13"/>
    <x v="1"/>
    <n v="2.3448275862068964"/>
  </r>
  <r>
    <x v="10"/>
    <n v="34"/>
    <x v="4"/>
    <x v="1"/>
    <x v="2"/>
    <x v="13"/>
    <x v="1"/>
    <x v="2"/>
    <x v="12"/>
    <x v="64"/>
    <x v="24"/>
    <x v="9"/>
    <n v="30"/>
    <n v="0"/>
    <n v="70"/>
    <n v="45"/>
    <x v="24"/>
    <x v="64"/>
    <x v="58"/>
    <x v="128"/>
    <n v="1.1333333333333333"/>
    <n v="-4"/>
    <x v="0"/>
    <e v="#DIV/0!"/>
    <x v="140"/>
    <n v="-324"/>
    <n v="540"/>
    <n v="-4.1152263374485592E-3"/>
    <s v="Nov-13"/>
    <x v="7"/>
    <n v="2.3823529411764706"/>
  </r>
  <r>
    <x v="28"/>
    <n v="32"/>
    <x v="4"/>
    <x v="1"/>
    <x v="1"/>
    <x v="18"/>
    <x v="1"/>
    <x v="2"/>
    <x v="8"/>
    <x v="58"/>
    <x v="39"/>
    <x v="6"/>
    <n v="20"/>
    <n v="30"/>
    <n v="60"/>
    <n v="19"/>
    <x v="39"/>
    <x v="58"/>
    <x v="74"/>
    <x v="146"/>
    <n v="1.6"/>
    <n v="13"/>
    <x v="0"/>
    <n v="28.566666666666666"/>
    <x v="165"/>
    <n v="3655"/>
    <n v="152"/>
    <n v="6.3235294117647056E-2"/>
    <s v="Nov-13"/>
    <x v="3"/>
    <n v="2.65625"/>
  </r>
  <r>
    <x v="8"/>
    <n v="0"/>
    <x v="4"/>
    <x v="1"/>
    <x v="3"/>
    <x v="5"/>
    <x v="1"/>
    <x v="2"/>
    <x v="9"/>
    <x v="43"/>
    <x v="48"/>
    <x v="7"/>
    <n v="0"/>
    <n v="30"/>
    <n v="40"/>
    <n v="12"/>
    <x v="48"/>
    <x v="43"/>
    <x v="55"/>
    <x v="5"/>
    <e v="#DIV/0!"/>
    <n v="16"/>
    <x v="0"/>
    <n v="28.466666666666665"/>
    <x v="69"/>
    <n v="2116"/>
    <e v="#DIV/0!"/>
    <e v="#DIV/0!"/>
    <s v="Nov-13"/>
    <x v="12"/>
    <e v="#DIV/0!"/>
  </r>
  <r>
    <x v="9"/>
    <n v="33"/>
    <x v="4"/>
    <x v="1"/>
    <x v="3"/>
    <x v="8"/>
    <x v="1"/>
    <x v="2"/>
    <x v="9"/>
    <x v="54"/>
    <x v="58"/>
    <x v="8"/>
    <n v="30"/>
    <n v="30"/>
    <n v="70"/>
    <n v="21"/>
    <x v="58"/>
    <x v="54"/>
    <x v="66"/>
    <x v="88"/>
    <n v="1.1000000000000001"/>
    <n v="10"/>
    <x v="0"/>
    <n v="28.666666666666668"/>
    <x v="94"/>
    <n v="3440"/>
    <n v="189"/>
    <n v="5.1679586563307497E-2"/>
    <s v="Nov-13"/>
    <x v="1"/>
    <n v="2.606060606060606"/>
  </r>
  <r>
    <x v="26"/>
    <n v="82"/>
    <x v="4"/>
    <x v="1"/>
    <x v="0"/>
    <x v="26"/>
    <x v="0"/>
    <x v="0"/>
    <x v="0"/>
    <x v="82"/>
    <x v="45"/>
    <x v="12"/>
    <n v="70"/>
    <n v="0"/>
    <n v="110"/>
    <n v="49"/>
    <x v="45"/>
    <x v="82"/>
    <x v="12"/>
    <x v="180"/>
    <n v="1.1714285714285715"/>
    <n v="-13"/>
    <x v="0"/>
    <e v="#DIV/0!"/>
    <x v="206"/>
    <n v="-1690"/>
    <n v="1225"/>
    <n v="-4.0000000000000001E-3"/>
    <s v="Nov-13"/>
    <x v="8"/>
    <n v="1.5853658536585367"/>
  </r>
  <r>
    <x v="9"/>
    <n v="82"/>
    <x v="4"/>
    <x v="1"/>
    <x v="3"/>
    <x v="26"/>
    <x v="0"/>
    <x v="0"/>
    <x v="1"/>
    <x v="55"/>
    <x v="45"/>
    <x v="8"/>
    <n v="70"/>
    <n v="0"/>
    <n v="110"/>
    <n v="48"/>
    <x v="45"/>
    <x v="55"/>
    <x v="19"/>
    <x v="147"/>
    <n v="1.1714285714285715"/>
    <n v="-12"/>
    <x v="0"/>
    <e v="#DIV/0!"/>
    <x v="167"/>
    <n v="-1560"/>
    <n v="1200"/>
    <n v="-3.6923076923076922E-3"/>
    <s v="Nov-13"/>
    <x v="8"/>
    <n v="1.5853658536585367"/>
  </r>
  <r>
    <x v="54"/>
    <n v="35"/>
    <x v="4"/>
    <x v="1"/>
    <x v="0"/>
    <x v="9"/>
    <x v="0"/>
    <x v="1"/>
    <x v="2"/>
    <x v="32"/>
    <x v="70"/>
    <x v="12"/>
    <n v="20"/>
    <n v="10"/>
    <n v="60"/>
    <n v="38"/>
    <x v="70"/>
    <x v="32"/>
    <x v="107"/>
    <x v="181"/>
    <n v="1.75"/>
    <n v="3"/>
    <x v="0"/>
    <n v="8.6999999999999993"/>
    <x v="195"/>
    <n v="1131"/>
    <n v="418"/>
    <n v="1.3584117032392895E-2"/>
    <s v="Nov-13"/>
    <x v="2"/>
    <n v="2.4857142857142858"/>
  </r>
  <r>
    <x v="13"/>
    <n v="34"/>
    <x v="4"/>
    <x v="1"/>
    <x v="0"/>
    <x v="13"/>
    <x v="0"/>
    <x v="1"/>
    <x v="11"/>
    <x v="64"/>
    <x v="24"/>
    <x v="12"/>
    <n v="20"/>
    <n v="0"/>
    <n v="60"/>
    <n v="45"/>
    <x v="24"/>
    <x v="64"/>
    <x v="58"/>
    <x v="128"/>
    <n v="1.7"/>
    <n v="-4"/>
    <x v="0"/>
    <e v="#DIV/0!"/>
    <x v="140"/>
    <n v="-324"/>
    <n v="540"/>
    <n v="-4.1152263374485592E-3"/>
    <s v="Nov-13"/>
    <x v="0"/>
    <n v="2.3823529411764706"/>
  </r>
  <r>
    <x v="26"/>
    <n v="33"/>
    <x v="4"/>
    <x v="1"/>
    <x v="0"/>
    <x v="13"/>
    <x v="0"/>
    <x v="1"/>
    <x v="3"/>
    <x v="15"/>
    <x v="95"/>
    <x v="12"/>
    <n v="20"/>
    <n v="0"/>
    <n v="60"/>
    <n v="45"/>
    <x v="95"/>
    <x v="15"/>
    <x v="58"/>
    <x v="149"/>
    <n v="1.65"/>
    <n v="-6"/>
    <x v="0"/>
    <e v="#DIV/0!"/>
    <x v="170"/>
    <n v="-474"/>
    <n v="540"/>
    <n v="-6.3291139240506328E-3"/>
    <s v="Nov-13"/>
    <x v="0"/>
    <n v="2.393939393939394"/>
  </r>
  <r>
    <x v="10"/>
    <n v="0"/>
    <x v="4"/>
    <x v="1"/>
    <x v="2"/>
    <x v="5"/>
    <x v="0"/>
    <x v="1"/>
    <x v="3"/>
    <x v="17"/>
    <x v="48"/>
    <x v="9"/>
    <n v="0"/>
    <n v="30"/>
    <n v="40"/>
    <n v="11"/>
    <x v="48"/>
    <x v="17"/>
    <x v="101"/>
    <x v="5"/>
    <e v="#DIV/0!"/>
    <n v="17"/>
    <x v="0"/>
    <n v="28.433333333333334"/>
    <x v="178"/>
    <n v="2162"/>
    <e v="#DIV/0!"/>
    <e v="#DIV/0!"/>
    <s v="Nov-13"/>
    <x v="12"/>
    <e v="#DIV/0!"/>
  </r>
  <r>
    <x v="9"/>
    <n v="44"/>
    <x v="4"/>
    <x v="1"/>
    <x v="3"/>
    <x v="19"/>
    <x v="0"/>
    <x v="1"/>
    <x v="2"/>
    <x v="46"/>
    <x v="27"/>
    <x v="8"/>
    <n v="30"/>
    <n v="-10"/>
    <n v="70"/>
    <n v="69"/>
    <x v="27"/>
    <x v="46"/>
    <x v="49"/>
    <x v="72"/>
    <n v="1.4666666666666666"/>
    <n v="0"/>
    <x v="0"/>
    <n v="-11"/>
    <x v="169"/>
    <n v="-1130"/>
    <n v="2760"/>
    <n v="-2.2123893805309734E-3"/>
    <s v="Nov-13"/>
    <x v="6"/>
    <n v="2.5681818181818183"/>
  </r>
  <r>
    <x v="69"/>
    <n v="29"/>
    <x v="5"/>
    <x v="0"/>
    <x v="0"/>
    <x v="18"/>
    <x v="0"/>
    <x v="0"/>
    <x v="10"/>
    <x v="8"/>
    <x v="25"/>
    <x v="18"/>
    <n v="20"/>
    <n v="30"/>
    <n v="60"/>
    <n v="19"/>
    <x v="25"/>
    <x v="8"/>
    <x v="67"/>
    <x v="182"/>
    <n v="1.45"/>
    <n v="7"/>
    <x v="0"/>
    <n v="28.766666666666666"/>
    <x v="207"/>
    <n v="2886"/>
    <n v="152"/>
    <n v="5.9294871794871792E-2"/>
    <s v="Dec-13"/>
    <x v="3"/>
    <n v="2.6896551724137931"/>
  </r>
  <r>
    <x v="93"/>
    <n v="33"/>
    <x v="5"/>
    <x v="0"/>
    <x v="0"/>
    <x v="8"/>
    <x v="0"/>
    <x v="0"/>
    <x v="0"/>
    <x v="58"/>
    <x v="70"/>
    <x v="18"/>
    <n v="30"/>
    <n v="30"/>
    <n v="70"/>
    <n v="20"/>
    <x v="70"/>
    <x v="58"/>
    <x v="100"/>
    <x v="154"/>
    <n v="1.1000000000000001"/>
    <n v="13"/>
    <x v="0"/>
    <n v="28.566666666666666"/>
    <x v="176"/>
    <n v="3741"/>
    <n v="180"/>
    <n v="5.4916985951468711E-2"/>
    <s v="Dec-13"/>
    <x v="1"/>
    <n v="2.6363636363636362"/>
  </r>
  <r>
    <x v="20"/>
    <n v="46"/>
    <x v="5"/>
    <x v="0"/>
    <x v="2"/>
    <x v="1"/>
    <x v="0"/>
    <x v="0"/>
    <x v="0"/>
    <x v="44"/>
    <x v="96"/>
    <x v="15"/>
    <n v="30"/>
    <n v="10"/>
    <n v="70"/>
    <n v="50"/>
    <x v="96"/>
    <x v="44"/>
    <x v="110"/>
    <x v="183"/>
    <n v="1.5333333333333334"/>
    <n v="0"/>
    <x v="0"/>
    <n v="9"/>
    <x v="208"/>
    <n v="1100"/>
    <n v="850"/>
    <n v="5.3475935828877011E-3"/>
    <s v="Dec-13"/>
    <x v="0"/>
    <n v="2.3913043478260869"/>
  </r>
  <r>
    <x v="88"/>
    <n v="30"/>
    <x v="5"/>
    <x v="0"/>
    <x v="2"/>
    <x v="18"/>
    <x v="0"/>
    <x v="1"/>
    <x v="2"/>
    <x v="40"/>
    <x v="81"/>
    <x v="2"/>
    <n v="30"/>
    <n v="30"/>
    <n v="70"/>
    <n v="19"/>
    <x v="81"/>
    <x v="40"/>
    <x v="67"/>
    <x v="184"/>
    <n v="1"/>
    <n v="9"/>
    <x v="0"/>
    <n v="28.7"/>
    <x v="209"/>
    <n v="3120"/>
    <n v="152"/>
    <n v="6.0937499999999999E-2"/>
    <s v="Dec-13"/>
    <x v="1"/>
    <n v="2.6666666666666665"/>
  </r>
  <r>
    <x v="20"/>
    <n v="29"/>
    <x v="5"/>
    <x v="0"/>
    <x v="2"/>
    <x v="18"/>
    <x v="0"/>
    <x v="1"/>
    <x v="3"/>
    <x v="8"/>
    <x v="25"/>
    <x v="15"/>
    <n v="30"/>
    <n v="30"/>
    <n v="70"/>
    <n v="19"/>
    <x v="25"/>
    <x v="8"/>
    <x v="67"/>
    <x v="182"/>
    <n v="0.96666666666666667"/>
    <n v="7"/>
    <x v="0"/>
    <n v="28.766666666666666"/>
    <x v="207"/>
    <n v="2886"/>
    <n v="152"/>
    <n v="5.9294871794871792E-2"/>
    <s v="Dec-13"/>
    <x v="1"/>
    <n v="2.6896551724137931"/>
  </r>
  <r>
    <x v="94"/>
    <n v="24"/>
    <x v="5"/>
    <x v="1"/>
    <x v="0"/>
    <x v="7"/>
    <x v="1"/>
    <x v="2"/>
    <x v="4"/>
    <x v="60"/>
    <x v="94"/>
    <x v="13"/>
    <n v="30"/>
    <n v="30"/>
    <n v="70"/>
    <n v="19"/>
    <x v="94"/>
    <x v="60"/>
    <x v="67"/>
    <x v="21"/>
    <n v="0.8"/>
    <n v="-11"/>
    <x v="0"/>
    <n v="29.366666666666667"/>
    <x v="210"/>
    <n v="1140"/>
    <n v="133"/>
    <n v="4.5238095238095237E-2"/>
    <s v="Dec-13"/>
    <x v="1"/>
    <n v="2.5"/>
  </r>
  <r>
    <x v="8"/>
    <n v="0"/>
    <x v="5"/>
    <x v="1"/>
    <x v="3"/>
    <x v="5"/>
    <x v="1"/>
    <x v="2"/>
    <x v="9"/>
    <x v="43"/>
    <x v="48"/>
    <x v="7"/>
    <n v="0"/>
    <n v="30"/>
    <n v="40"/>
    <n v="12"/>
    <x v="48"/>
    <x v="43"/>
    <x v="55"/>
    <x v="5"/>
    <e v="#DIV/0!"/>
    <n v="16"/>
    <x v="0"/>
    <n v="28.466666666666665"/>
    <x v="69"/>
    <n v="2116"/>
    <e v="#DIV/0!"/>
    <e v="#DIV/0!"/>
    <s v="Dec-13"/>
    <x v="12"/>
    <e v="#DIV/0!"/>
  </r>
  <r>
    <x v="9"/>
    <n v="31"/>
    <x v="5"/>
    <x v="1"/>
    <x v="3"/>
    <x v="18"/>
    <x v="1"/>
    <x v="2"/>
    <x v="9"/>
    <x v="40"/>
    <x v="40"/>
    <x v="8"/>
    <n v="30"/>
    <n v="30"/>
    <n v="70"/>
    <n v="20"/>
    <x v="40"/>
    <x v="40"/>
    <x v="96"/>
    <x v="184"/>
    <n v="1.0333333333333334"/>
    <n v="9"/>
    <x v="0"/>
    <n v="28.7"/>
    <x v="44"/>
    <n v="3198"/>
    <n v="160"/>
    <n v="5.9451219512195119E-2"/>
    <s v="Dec-13"/>
    <x v="1"/>
    <n v="2.6451612903225805"/>
  </r>
  <r>
    <x v="65"/>
    <n v="34"/>
    <x v="5"/>
    <x v="1"/>
    <x v="0"/>
    <x v="8"/>
    <x v="0"/>
    <x v="0"/>
    <x v="0"/>
    <x v="16"/>
    <x v="69"/>
    <x v="13"/>
    <n v="30"/>
    <n v="30"/>
    <n v="70"/>
    <n v="21"/>
    <x v="69"/>
    <x v="16"/>
    <x v="66"/>
    <x v="68"/>
    <n v="1.1333333333333333"/>
    <n v="15"/>
    <x v="0"/>
    <n v="28.5"/>
    <x v="177"/>
    <n v="4095"/>
    <n v="189"/>
    <n v="5.4945054945054944E-2"/>
    <s v="Dec-13"/>
    <x v="1"/>
    <n v="2.6764705882352939"/>
  </r>
  <r>
    <x v="10"/>
    <n v="39"/>
    <x v="5"/>
    <x v="1"/>
    <x v="2"/>
    <x v="10"/>
    <x v="0"/>
    <x v="0"/>
    <x v="0"/>
    <x v="83"/>
    <x v="3"/>
    <x v="9"/>
    <n v="20"/>
    <n v="10"/>
    <n v="60"/>
    <n v="47"/>
    <x v="3"/>
    <x v="83"/>
    <x v="79"/>
    <x v="185"/>
    <n v="1.95"/>
    <n v="-7"/>
    <x v="0"/>
    <n v="9.6999999999999993"/>
    <x v="211"/>
    <n v="282"/>
    <n v="658"/>
    <n v="2.2796352583586625E-3"/>
    <s v="Dec-13"/>
    <x v="2"/>
    <n v="2.4102564102564101"/>
  </r>
  <r>
    <x v="39"/>
    <n v="31"/>
    <x v="5"/>
    <x v="1"/>
    <x v="1"/>
    <x v="8"/>
    <x v="0"/>
    <x v="0"/>
    <x v="0"/>
    <x v="44"/>
    <x v="83"/>
    <x v="17"/>
    <n v="20"/>
    <n v="20"/>
    <n v="60"/>
    <n v="31"/>
    <x v="83"/>
    <x v="44"/>
    <x v="105"/>
    <x v="67"/>
    <n v="1.55"/>
    <n v="-10"/>
    <x v="0"/>
    <n v="19.5"/>
    <x v="212"/>
    <n v="740"/>
    <n v="279"/>
    <n v="1.5015015015015015E-2"/>
    <s v="Dec-13"/>
    <x v="1"/>
    <n v="2.3870967741935485"/>
  </r>
  <r>
    <x v="26"/>
    <n v="38"/>
    <x v="5"/>
    <x v="1"/>
    <x v="0"/>
    <x v="13"/>
    <x v="0"/>
    <x v="1"/>
    <x v="2"/>
    <x v="38"/>
    <x v="104"/>
    <x v="12"/>
    <n v="30"/>
    <n v="10"/>
    <n v="70"/>
    <n v="40"/>
    <x v="104"/>
    <x v="38"/>
    <x v="2"/>
    <x v="155"/>
    <n v="1.2666666666666666"/>
    <n v="6"/>
    <x v="0"/>
    <n v="8.4"/>
    <x v="213"/>
    <n v="1520"/>
    <n v="480"/>
    <n v="1.4035087719298244E-2"/>
    <s v="Dec-13"/>
    <x v="0"/>
    <n v="2.5"/>
  </r>
  <r>
    <x v="95"/>
    <n v="39"/>
    <x v="5"/>
    <x v="1"/>
    <x v="0"/>
    <x v="10"/>
    <x v="0"/>
    <x v="1"/>
    <x v="3"/>
    <x v="83"/>
    <x v="3"/>
    <x v="12"/>
    <n v="30"/>
    <n v="0"/>
    <n v="70"/>
    <n v="47"/>
    <x v="3"/>
    <x v="83"/>
    <x v="79"/>
    <x v="185"/>
    <n v="1.3"/>
    <n v="3"/>
    <x v="0"/>
    <e v="#DIV/0!"/>
    <x v="211"/>
    <n v="282"/>
    <n v="658"/>
    <n v="2.2796352583586625E-3"/>
    <s v="Dec-13"/>
    <x v="7"/>
    <n v="2.4102564102564101"/>
  </r>
  <r>
    <x v="10"/>
    <n v="0"/>
    <x v="5"/>
    <x v="1"/>
    <x v="2"/>
    <x v="5"/>
    <x v="0"/>
    <x v="1"/>
    <x v="3"/>
    <x v="17"/>
    <x v="48"/>
    <x v="9"/>
    <n v="0"/>
    <n v="30"/>
    <n v="40"/>
    <n v="11"/>
    <x v="48"/>
    <x v="17"/>
    <x v="101"/>
    <x v="5"/>
    <e v="#DIV/0!"/>
    <n v="17"/>
    <x v="0"/>
    <n v="28.433333333333334"/>
    <x v="178"/>
    <n v="2162"/>
    <e v="#DIV/0!"/>
    <e v="#DIV/0!"/>
    <s v="Dec-13"/>
    <x v="12"/>
    <e v="#DIV/0!"/>
  </r>
  <r>
    <x v="56"/>
    <n v="41"/>
    <x v="5"/>
    <x v="1"/>
    <x v="3"/>
    <x v="13"/>
    <x v="0"/>
    <x v="1"/>
    <x v="2"/>
    <x v="16"/>
    <x v="11"/>
    <x v="14"/>
    <n v="30"/>
    <n v="20"/>
    <n v="70"/>
    <n v="36"/>
    <x v="11"/>
    <x v="16"/>
    <x v="39"/>
    <x v="110"/>
    <n v="1.3666666666666667"/>
    <n v="25"/>
    <x v="0"/>
    <n v="17.75"/>
    <x v="75"/>
    <n v="5130"/>
    <n v="432"/>
    <n v="3.2894736842105261E-2"/>
    <s v="Dec-13"/>
    <x v="2"/>
    <n v="2.7804878048780486"/>
  </r>
  <r>
    <x v="9"/>
    <n v="38"/>
    <x v="5"/>
    <x v="1"/>
    <x v="3"/>
    <x v="13"/>
    <x v="0"/>
    <x v="1"/>
    <x v="11"/>
    <x v="47"/>
    <x v="104"/>
    <x v="8"/>
    <n v="20"/>
    <n v="10"/>
    <n v="60"/>
    <n v="39"/>
    <x v="104"/>
    <x v="47"/>
    <x v="45"/>
    <x v="186"/>
    <n v="1.9"/>
    <n v="8"/>
    <x v="0"/>
    <n v="8.1999999999999993"/>
    <x v="40"/>
    <n v="1710"/>
    <n v="468"/>
    <n v="1.5789473684210527E-2"/>
    <s v="Dec-13"/>
    <x v="2"/>
    <n v="2.5"/>
  </r>
  <r>
    <x v="56"/>
    <n v="43"/>
    <x v="5"/>
    <x v="1"/>
    <x v="3"/>
    <x v="2"/>
    <x v="0"/>
    <x v="1"/>
    <x v="11"/>
    <x v="41"/>
    <x v="27"/>
    <x v="14"/>
    <n v="30"/>
    <n v="20"/>
    <n v="70"/>
    <n v="35"/>
    <x v="27"/>
    <x v="41"/>
    <x v="37"/>
    <x v="62"/>
    <n v="1.4333333333333333"/>
    <n v="22"/>
    <x v="0"/>
    <n v="17.899999999999999"/>
    <x v="131"/>
    <n v="4746"/>
    <n v="455"/>
    <n v="2.8590878148400271E-2"/>
    <s v="Dec-13"/>
    <x v="2"/>
    <n v="2.6279069767441858"/>
  </r>
  <r>
    <x v="96"/>
    <n v="51"/>
    <x v="0"/>
    <x v="0"/>
    <x v="0"/>
    <x v="0"/>
    <x v="1"/>
    <x v="3"/>
    <x v="5"/>
    <x v="0"/>
    <x v="0"/>
    <x v="18"/>
    <n v="40"/>
    <n v="30"/>
    <n v="110"/>
    <n v="76"/>
    <x v="0"/>
    <x v="0"/>
    <x v="0"/>
    <x v="0"/>
    <n v="1.2749999999999999"/>
    <n v="-35"/>
    <x v="0"/>
    <n v="30.166666666666668"/>
    <x v="0"/>
    <n v="-610"/>
    <n v="3496"/>
    <n v="-8.9094796863863144E-4"/>
    <s v="Oct-12"/>
    <x v="6"/>
    <n v="2.392156862745098"/>
  </r>
  <r>
    <x v="93"/>
    <n v="52"/>
    <x v="0"/>
    <x v="0"/>
    <x v="0"/>
    <x v="1"/>
    <x v="1"/>
    <x v="3"/>
    <x v="6"/>
    <x v="1"/>
    <x v="1"/>
    <x v="18"/>
    <n v="40"/>
    <n v="60"/>
    <n v="110"/>
    <n v="45"/>
    <x v="1"/>
    <x v="1"/>
    <x v="1"/>
    <x v="1"/>
    <n v="1.3"/>
    <n v="-34"/>
    <x v="0"/>
    <n v="59.56666666666667"/>
    <x v="1"/>
    <n v="3198"/>
    <n v="765"/>
    <n v="1.2434241989478718E-2"/>
    <s v="Oct-12"/>
    <x v="2"/>
    <n v="2.3653846153846154"/>
  </r>
  <r>
    <x v="90"/>
    <n v="43"/>
    <x v="0"/>
    <x v="0"/>
    <x v="0"/>
    <x v="2"/>
    <x v="1"/>
    <x v="3"/>
    <x v="7"/>
    <x v="2"/>
    <x v="2"/>
    <x v="18"/>
    <n v="30"/>
    <n v="60"/>
    <n v="100"/>
    <n v="36"/>
    <x v="2"/>
    <x v="2"/>
    <x v="2"/>
    <x v="2"/>
    <n v="1.4333333333333333"/>
    <n v="-32"/>
    <x v="0"/>
    <n v="59.533333333333331"/>
    <x v="2"/>
    <n v="2996"/>
    <n v="468"/>
    <n v="2.0129403306973399E-2"/>
    <s v="Oct-12"/>
    <x v="1"/>
    <n v="2.4883720930232558"/>
  </r>
  <r>
    <x v="20"/>
    <n v="51"/>
    <x v="0"/>
    <x v="0"/>
    <x v="2"/>
    <x v="0"/>
    <x v="1"/>
    <x v="2"/>
    <x v="8"/>
    <x v="84"/>
    <x v="52"/>
    <x v="15"/>
    <n v="30"/>
    <n v="30"/>
    <n v="100"/>
    <n v="76"/>
    <x v="52"/>
    <x v="84"/>
    <x v="0"/>
    <x v="187"/>
    <n v="1.7"/>
    <n v="-41"/>
    <x v="0"/>
    <n v="30.366666666666667"/>
    <x v="214"/>
    <n v="-1276"/>
    <n v="3496"/>
    <n v="-2.0614692653673165E-3"/>
    <s v="Oct-12"/>
    <x v="7"/>
    <n v="2.2745098039215685"/>
  </r>
  <r>
    <x v="97"/>
    <n v="72"/>
    <x v="0"/>
    <x v="0"/>
    <x v="1"/>
    <x v="4"/>
    <x v="1"/>
    <x v="2"/>
    <x v="9"/>
    <x v="45"/>
    <x v="4"/>
    <x v="1"/>
    <n v="40"/>
    <n v="50"/>
    <n v="110"/>
    <n v="55"/>
    <x v="4"/>
    <x v="45"/>
    <x v="0"/>
    <x v="188"/>
    <n v="1.8"/>
    <n v="5"/>
    <x v="0"/>
    <n v="48.9"/>
    <x v="215"/>
    <n v="10010"/>
    <n v="1265"/>
    <n v="1.3139034878165312E-2"/>
    <s v="Oct-12"/>
    <x v="0"/>
    <n v="2.5277777777777777"/>
  </r>
  <r>
    <x v="76"/>
    <n v="48"/>
    <x v="0"/>
    <x v="0"/>
    <x v="2"/>
    <x v="2"/>
    <x v="0"/>
    <x v="1"/>
    <x v="3"/>
    <x v="43"/>
    <x v="15"/>
    <x v="2"/>
    <n v="50"/>
    <n v="60"/>
    <n v="120"/>
    <n v="24"/>
    <x v="15"/>
    <x v="43"/>
    <x v="16"/>
    <x v="189"/>
    <n v="0.96"/>
    <n v="-14"/>
    <x v="0"/>
    <n v="59.233333333333334"/>
    <x v="216"/>
    <n v="5428"/>
    <n v="312"/>
    <n v="2.9986962190352021E-2"/>
    <s v="Oct-12"/>
    <x v="0"/>
    <n v="2.4583333333333335"/>
  </r>
  <r>
    <x v="38"/>
    <n v="60"/>
    <x v="0"/>
    <x v="1"/>
    <x v="1"/>
    <x v="31"/>
    <x v="1"/>
    <x v="2"/>
    <x v="8"/>
    <x v="85"/>
    <x v="80"/>
    <x v="10"/>
    <n v="30"/>
    <n v="70"/>
    <n v="100"/>
    <n v="41"/>
    <x v="80"/>
    <x v="85"/>
    <x v="99"/>
    <x v="134"/>
    <n v="2"/>
    <n v="-12"/>
    <x v="0"/>
    <n v="69.171428571428578"/>
    <x v="217"/>
    <n v="9222"/>
    <n v="738"/>
    <n v="2.026554856743536E-2"/>
    <s v="Oct-12"/>
    <x v="3"/>
    <n v="2.65"/>
  </r>
  <r>
    <x v="17"/>
    <n v="52"/>
    <x v="0"/>
    <x v="1"/>
    <x v="3"/>
    <x v="1"/>
    <x v="1"/>
    <x v="2"/>
    <x v="8"/>
    <x v="22"/>
    <x v="1"/>
    <x v="11"/>
    <n v="30"/>
    <n v="60"/>
    <n v="100"/>
    <n v="44"/>
    <x v="1"/>
    <x v="22"/>
    <x v="27"/>
    <x v="190"/>
    <n v="1.7333333333333334"/>
    <n v="-33"/>
    <x v="0"/>
    <n v="59.55"/>
    <x v="91"/>
    <n v="3321"/>
    <n v="748"/>
    <n v="1.2912482065997129E-2"/>
    <s v="Oct-12"/>
    <x v="1"/>
    <n v="2.3653846153846154"/>
  </r>
  <r>
    <x v="56"/>
    <n v="56"/>
    <x v="0"/>
    <x v="1"/>
    <x v="3"/>
    <x v="28"/>
    <x v="1"/>
    <x v="2"/>
    <x v="8"/>
    <x v="38"/>
    <x v="53"/>
    <x v="14"/>
    <n v="40"/>
    <n v="50"/>
    <n v="110"/>
    <n v="54"/>
    <x v="53"/>
    <x v="38"/>
    <x v="60"/>
    <x v="191"/>
    <n v="1.4"/>
    <n v="-34"/>
    <x v="0"/>
    <n v="49.68"/>
    <x v="51"/>
    <n v="2016"/>
    <n v="1134"/>
    <n v="6.0468631897203319E-3"/>
    <s v="Oct-12"/>
    <x v="0"/>
    <n v="2.25"/>
  </r>
  <r>
    <x v="47"/>
    <n v="56"/>
    <x v="0"/>
    <x v="1"/>
    <x v="1"/>
    <x v="28"/>
    <x v="0"/>
    <x v="0"/>
    <x v="10"/>
    <x v="38"/>
    <x v="53"/>
    <x v="6"/>
    <n v="40"/>
    <n v="50"/>
    <n v="110"/>
    <n v="54"/>
    <x v="53"/>
    <x v="38"/>
    <x v="60"/>
    <x v="191"/>
    <n v="1.4"/>
    <n v="-34"/>
    <x v="0"/>
    <n v="49.68"/>
    <x v="51"/>
    <n v="2016"/>
    <n v="1134"/>
    <n v="6.0468631897203319E-3"/>
    <s v="Oct-12"/>
    <x v="0"/>
    <n v="2.25"/>
  </r>
  <r>
    <x v="9"/>
    <n v="45"/>
    <x v="0"/>
    <x v="1"/>
    <x v="3"/>
    <x v="10"/>
    <x v="0"/>
    <x v="0"/>
    <x v="0"/>
    <x v="34"/>
    <x v="11"/>
    <x v="8"/>
    <n v="20"/>
    <n v="60"/>
    <n v="90"/>
    <n v="46"/>
    <x v="11"/>
    <x v="34"/>
    <x v="79"/>
    <x v="192"/>
    <n v="2.25"/>
    <n v="-37"/>
    <x v="0"/>
    <n v="59.616666666666667"/>
    <x v="218"/>
    <n v="2622"/>
    <n v="644"/>
    <n v="1.4411027568922305E-2"/>
    <s v="Oct-12"/>
    <x v="3"/>
    <n v="2.5333333333333332"/>
  </r>
  <r>
    <x v="98"/>
    <n v="52"/>
    <x v="1"/>
    <x v="0"/>
    <x v="0"/>
    <x v="17"/>
    <x v="1"/>
    <x v="3"/>
    <x v="5"/>
    <x v="37"/>
    <x v="22"/>
    <x v="18"/>
    <n v="50"/>
    <n v="10"/>
    <n v="120"/>
    <n v="76"/>
    <x v="22"/>
    <x v="37"/>
    <x v="23"/>
    <x v="193"/>
    <n v="1.04"/>
    <n v="-13"/>
    <x v="0"/>
    <n v="10.3"/>
    <x v="219"/>
    <n v="-375"/>
    <n v="3572.0000000000005"/>
    <n v="-5.106382978723404E-4"/>
    <s v="Nov-12"/>
    <x v="8"/>
    <n v="2.4038461538461537"/>
  </r>
  <r>
    <x v="69"/>
    <n v="46"/>
    <x v="1"/>
    <x v="0"/>
    <x v="0"/>
    <x v="10"/>
    <x v="1"/>
    <x v="3"/>
    <x v="7"/>
    <x v="71"/>
    <x v="11"/>
    <x v="18"/>
    <n v="40"/>
    <n v="40"/>
    <n v="110"/>
    <n v="36"/>
    <x v="11"/>
    <x v="71"/>
    <x v="90"/>
    <x v="177"/>
    <n v="1.1499999999999999"/>
    <n v="-8"/>
    <x v="0"/>
    <n v="39.200000000000003"/>
    <x v="220"/>
    <n v="3648"/>
    <n v="504"/>
    <n v="2.0050125313283207E-2"/>
    <s v="Nov-12"/>
    <x v="7"/>
    <n v="2.4782608695652173"/>
  </r>
  <r>
    <x v="0"/>
    <n v="52"/>
    <x v="1"/>
    <x v="0"/>
    <x v="0"/>
    <x v="17"/>
    <x v="0"/>
    <x v="0"/>
    <x v="0"/>
    <x v="64"/>
    <x v="22"/>
    <x v="0"/>
    <n v="40"/>
    <n v="10"/>
    <n v="110"/>
    <n v="77"/>
    <x v="22"/>
    <x v="64"/>
    <x v="111"/>
    <x v="194"/>
    <n v="1.3"/>
    <n v="-14"/>
    <x v="0"/>
    <n v="10.4"/>
    <x v="221"/>
    <n v="-500"/>
    <n v="3619"/>
    <n v="-6.8085106382978727E-4"/>
    <s v="Nov-12"/>
    <x v="10"/>
    <n v="2.4038461538461537"/>
  </r>
  <r>
    <x v="43"/>
    <n v="59"/>
    <x v="1"/>
    <x v="0"/>
    <x v="0"/>
    <x v="27"/>
    <x v="0"/>
    <x v="0"/>
    <x v="1"/>
    <x v="71"/>
    <x v="105"/>
    <x v="0"/>
    <n v="50"/>
    <n v="40"/>
    <n v="120"/>
    <n v="47"/>
    <x v="105"/>
    <x v="71"/>
    <x v="112"/>
    <x v="195"/>
    <n v="1.18"/>
    <n v="-8"/>
    <x v="0"/>
    <n v="39.200000000000003"/>
    <x v="222"/>
    <n v="4416"/>
    <n v="893"/>
    <n v="1.2204424103737604E-2"/>
    <s v="Nov-12"/>
    <x v="6"/>
    <n v="2.3389830508474576"/>
  </r>
  <r>
    <x v="99"/>
    <n v="59"/>
    <x v="1"/>
    <x v="0"/>
    <x v="1"/>
    <x v="27"/>
    <x v="0"/>
    <x v="0"/>
    <x v="10"/>
    <x v="71"/>
    <x v="105"/>
    <x v="1"/>
    <n v="50"/>
    <n v="40"/>
    <n v="120"/>
    <n v="47"/>
    <x v="105"/>
    <x v="71"/>
    <x v="112"/>
    <x v="195"/>
    <n v="1.18"/>
    <n v="-8"/>
    <x v="0"/>
    <n v="39.200000000000003"/>
    <x v="222"/>
    <n v="4416"/>
    <n v="893"/>
    <n v="1.2204424103737604E-2"/>
    <s v="Nov-12"/>
    <x v="6"/>
    <n v="2.3389830508474576"/>
  </r>
  <r>
    <x v="100"/>
    <n v="50"/>
    <x v="1"/>
    <x v="0"/>
    <x v="2"/>
    <x v="10"/>
    <x v="0"/>
    <x v="1"/>
    <x v="3"/>
    <x v="17"/>
    <x v="1"/>
    <x v="19"/>
    <n v="50"/>
    <n v="50"/>
    <n v="120"/>
    <n v="26"/>
    <x v="1"/>
    <x v="17"/>
    <x v="82"/>
    <x v="124"/>
    <n v="1"/>
    <n v="-3"/>
    <x v="0"/>
    <n v="49.06"/>
    <x v="136"/>
    <n v="5781"/>
    <n v="364"/>
    <n v="2.72938443670151E-2"/>
    <s v="Nov-12"/>
    <x v="7"/>
    <n v="2.46"/>
  </r>
  <r>
    <x v="6"/>
    <n v="53"/>
    <x v="1"/>
    <x v="1"/>
    <x v="2"/>
    <x v="1"/>
    <x v="1"/>
    <x v="2"/>
    <x v="4"/>
    <x v="1"/>
    <x v="21"/>
    <x v="5"/>
    <n v="50"/>
    <n v="40"/>
    <n v="120"/>
    <n v="45"/>
    <x v="21"/>
    <x v="1"/>
    <x v="42"/>
    <x v="1"/>
    <n v="1.06"/>
    <n v="-14"/>
    <x v="0"/>
    <n v="39.35"/>
    <x v="1"/>
    <n v="3224"/>
    <n v="765"/>
    <n v="1.2333965844402276E-2"/>
    <s v="Nov-12"/>
    <x v="6"/>
    <n v="2.3396226415094339"/>
  </r>
  <r>
    <x v="9"/>
    <n v="54"/>
    <x v="1"/>
    <x v="1"/>
    <x v="3"/>
    <x v="6"/>
    <x v="1"/>
    <x v="2"/>
    <x v="4"/>
    <x v="33"/>
    <x v="57"/>
    <x v="8"/>
    <n v="50"/>
    <n v="50"/>
    <n v="120"/>
    <n v="26"/>
    <x v="57"/>
    <x v="33"/>
    <x v="46"/>
    <x v="41"/>
    <n v="1.08"/>
    <n v="2"/>
    <x v="0"/>
    <n v="48.96"/>
    <x v="223"/>
    <n v="6864"/>
    <n v="390"/>
    <n v="2.6262626262626265E-2"/>
    <s v="Nov-12"/>
    <x v="7"/>
    <n v="2.4444444444444446"/>
  </r>
  <r>
    <x v="39"/>
    <n v="43"/>
    <x v="1"/>
    <x v="1"/>
    <x v="1"/>
    <x v="10"/>
    <x v="1"/>
    <x v="3"/>
    <x v="7"/>
    <x v="30"/>
    <x v="12"/>
    <x v="17"/>
    <n v="50"/>
    <n v="30"/>
    <n v="120"/>
    <n v="46"/>
    <x v="12"/>
    <x v="30"/>
    <x v="34"/>
    <x v="34"/>
    <n v="0.86"/>
    <n v="-10"/>
    <x v="0"/>
    <n v="29.333333333333332"/>
    <x v="37"/>
    <n v="2180"/>
    <n v="644"/>
    <n v="1.3106159895150722E-2"/>
    <s v="Nov-12"/>
    <x v="9"/>
    <n v="2.5348837209302326"/>
  </r>
  <r>
    <x v="27"/>
    <n v="61"/>
    <x v="1"/>
    <x v="1"/>
    <x v="1"/>
    <x v="21"/>
    <x v="1"/>
    <x v="2"/>
    <x v="9"/>
    <x v="12"/>
    <x v="32"/>
    <x v="10"/>
    <n v="40"/>
    <n v="10"/>
    <n v="110"/>
    <n v="85"/>
    <x v="32"/>
    <x v="12"/>
    <x v="38"/>
    <x v="40"/>
    <n v="1.5249999999999999"/>
    <n v="-9"/>
    <x v="0"/>
    <n v="9.9"/>
    <x v="43"/>
    <n v="147"/>
    <n v="4675"/>
    <n v="1.2368583797155226E-4"/>
    <s v="Nov-12"/>
    <x v="10"/>
    <n v="2.4098360655737703"/>
  </r>
  <r>
    <x v="49"/>
    <n v="55"/>
    <x v="1"/>
    <x v="1"/>
    <x v="3"/>
    <x v="14"/>
    <x v="1"/>
    <x v="2"/>
    <x v="9"/>
    <x v="38"/>
    <x v="21"/>
    <x v="11"/>
    <n v="50"/>
    <n v="30"/>
    <n v="120"/>
    <n v="53"/>
    <x v="21"/>
    <x v="38"/>
    <x v="13"/>
    <x v="196"/>
    <n v="1.1000000000000001"/>
    <n v="-14"/>
    <x v="0"/>
    <n v="29.466666666666665"/>
    <x v="224"/>
    <n v="1984"/>
    <n v="1060"/>
    <n v="6.4516129032258064E-3"/>
    <s v="Nov-12"/>
    <x v="9"/>
    <n v="2.2545454545454544"/>
  </r>
  <r>
    <x v="6"/>
    <n v="82"/>
    <x v="1"/>
    <x v="1"/>
    <x v="2"/>
    <x v="33"/>
    <x v="0"/>
    <x v="0"/>
    <x v="0"/>
    <x v="68"/>
    <x v="106"/>
    <x v="5"/>
    <n v="60"/>
    <n v="30"/>
    <n v="130"/>
    <n v="64"/>
    <x v="106"/>
    <x v="68"/>
    <x v="38"/>
    <x v="197"/>
    <n v="1.3666666666666667"/>
    <n v="8"/>
    <x v="0"/>
    <n v="28.733333333333334"/>
    <x v="225"/>
    <n v="6992"/>
    <n v="1984"/>
    <n v="6.6619915848527347E-3"/>
    <s v="Nov-12"/>
    <x v="10"/>
    <n v="2.2439024390243905"/>
  </r>
  <r>
    <x v="65"/>
    <n v="61"/>
    <x v="1"/>
    <x v="1"/>
    <x v="0"/>
    <x v="21"/>
    <x v="0"/>
    <x v="1"/>
    <x v="11"/>
    <x v="80"/>
    <x v="32"/>
    <x v="13"/>
    <n v="50"/>
    <n v="0"/>
    <n v="120"/>
    <n v="84"/>
    <x v="32"/>
    <x v="80"/>
    <x v="113"/>
    <x v="198"/>
    <n v="1.22"/>
    <n v="2"/>
    <x v="0"/>
    <e v="#DIV/0!"/>
    <x v="226"/>
    <n v="294"/>
    <n v="4620"/>
    <n v="2.4737167594310452E-4"/>
    <s v="Nov-12"/>
    <x v="11"/>
    <n v="2.4098360655737703"/>
  </r>
  <r>
    <x v="16"/>
    <n v="53"/>
    <x v="1"/>
    <x v="1"/>
    <x v="3"/>
    <x v="20"/>
    <x v="0"/>
    <x v="1"/>
    <x v="2"/>
    <x v="31"/>
    <x v="29"/>
    <x v="14"/>
    <n v="30"/>
    <n v="50"/>
    <n v="100"/>
    <n v="39"/>
    <x v="29"/>
    <x v="31"/>
    <x v="36"/>
    <x v="36"/>
    <n v="1.7666666666666666"/>
    <n v="-1"/>
    <x v="0"/>
    <n v="49.02"/>
    <x v="39"/>
    <n v="6909"/>
    <n v="624"/>
    <n v="2.1719858156028369E-2"/>
    <s v="Nov-12"/>
    <x v="2"/>
    <n v="2.6603773584905661"/>
  </r>
  <r>
    <x v="83"/>
    <n v="47"/>
    <x v="2"/>
    <x v="0"/>
    <x v="0"/>
    <x v="22"/>
    <x v="1"/>
    <x v="3"/>
    <x v="5"/>
    <x v="15"/>
    <x v="34"/>
    <x v="18"/>
    <n v="40"/>
    <n v="10"/>
    <n v="110"/>
    <n v="71"/>
    <x v="34"/>
    <x v="15"/>
    <x v="41"/>
    <x v="42"/>
    <n v="1.175"/>
    <n v="-16"/>
    <x v="0"/>
    <n v="10.6"/>
    <x v="46"/>
    <n v="-672"/>
    <n v="2982"/>
    <n v="-1.2755102040816326E-3"/>
    <s v="Dec-12"/>
    <x v="10"/>
    <n v="2.3829787234042552"/>
  </r>
  <r>
    <x v="101"/>
    <n v="54"/>
    <x v="2"/>
    <x v="0"/>
    <x v="0"/>
    <x v="1"/>
    <x v="1"/>
    <x v="3"/>
    <x v="6"/>
    <x v="26"/>
    <x v="35"/>
    <x v="18"/>
    <n v="50"/>
    <n v="40"/>
    <n v="120"/>
    <n v="44"/>
    <x v="35"/>
    <x v="26"/>
    <x v="42"/>
    <x v="29"/>
    <n v="1.08"/>
    <n v="-11"/>
    <x v="0"/>
    <n v="39.274999999999999"/>
    <x v="47"/>
    <n v="3683"/>
    <n v="748"/>
    <n v="1.3432144511347846E-2"/>
    <s v="Dec-12"/>
    <x v="6"/>
    <n v="2.3518518518518516"/>
  </r>
  <r>
    <x v="102"/>
    <n v="67"/>
    <x v="2"/>
    <x v="0"/>
    <x v="1"/>
    <x v="34"/>
    <x v="1"/>
    <x v="2"/>
    <x v="9"/>
    <x v="17"/>
    <x v="107"/>
    <x v="1"/>
    <n v="50"/>
    <n v="30"/>
    <n v="120"/>
    <n v="54"/>
    <x v="107"/>
    <x v="17"/>
    <x v="72"/>
    <x v="199"/>
    <n v="1.34"/>
    <n v="17"/>
    <x v="0"/>
    <n v="28.433333333333334"/>
    <x v="227"/>
    <n v="7896"/>
    <n v="1188"/>
    <n v="1.2716450216450216E-2"/>
    <s v="Dec-12"/>
    <x v="9"/>
    <n v="2.5074626865671643"/>
  </r>
  <r>
    <x v="103"/>
    <n v="54"/>
    <x v="2"/>
    <x v="0"/>
    <x v="0"/>
    <x v="6"/>
    <x v="0"/>
    <x v="1"/>
    <x v="2"/>
    <x v="36"/>
    <x v="33"/>
    <x v="16"/>
    <n v="40"/>
    <n v="50"/>
    <n v="110"/>
    <n v="26"/>
    <x v="33"/>
    <x v="36"/>
    <x v="46"/>
    <x v="47"/>
    <n v="1.35"/>
    <n v="3"/>
    <x v="0"/>
    <n v="48.94"/>
    <x v="52"/>
    <n v="7049"/>
    <n v="390"/>
    <n v="2.6566416040100248E-2"/>
    <s v="Dec-12"/>
    <x v="0"/>
    <n v="2.4629629629629628"/>
  </r>
  <r>
    <x v="62"/>
    <n v="63"/>
    <x v="2"/>
    <x v="1"/>
    <x v="0"/>
    <x v="27"/>
    <x v="1"/>
    <x v="3"/>
    <x v="5"/>
    <x v="18"/>
    <x v="44"/>
    <x v="12"/>
    <n v="60"/>
    <n v="40"/>
    <n v="130"/>
    <n v="40"/>
    <x v="44"/>
    <x v="18"/>
    <x v="51"/>
    <x v="58"/>
    <n v="1.05"/>
    <n v="-4"/>
    <x v="0"/>
    <n v="39.1"/>
    <x v="62"/>
    <n v="5004"/>
    <n v="760"/>
    <n v="1.3631200302915562E-2"/>
    <s v="Dec-12"/>
    <x v="9"/>
    <n v="2.2063492063492065"/>
  </r>
  <r>
    <x v="67"/>
    <n v="49"/>
    <x v="2"/>
    <x v="1"/>
    <x v="2"/>
    <x v="20"/>
    <x v="1"/>
    <x v="2"/>
    <x v="4"/>
    <x v="6"/>
    <x v="11"/>
    <x v="5"/>
    <n v="40"/>
    <n v="40"/>
    <n v="110"/>
    <n v="44"/>
    <x v="11"/>
    <x v="6"/>
    <x v="73"/>
    <x v="200"/>
    <n v="1.2250000000000001"/>
    <n v="-19"/>
    <x v="0"/>
    <n v="39.475000000000001"/>
    <x v="228"/>
    <n v="2394"/>
    <n v="704"/>
    <n v="1.1513157894736841E-2"/>
    <s v="Dec-12"/>
    <x v="7"/>
    <n v="2.3265306122448979"/>
  </r>
  <r>
    <x v="9"/>
    <n v="50"/>
    <x v="2"/>
    <x v="1"/>
    <x v="3"/>
    <x v="10"/>
    <x v="1"/>
    <x v="2"/>
    <x v="4"/>
    <x v="17"/>
    <x v="1"/>
    <x v="8"/>
    <n v="40"/>
    <n v="50"/>
    <n v="110"/>
    <n v="26"/>
    <x v="1"/>
    <x v="17"/>
    <x v="82"/>
    <x v="124"/>
    <n v="1.25"/>
    <n v="-3"/>
    <x v="0"/>
    <n v="49.06"/>
    <x v="136"/>
    <n v="5781"/>
    <n v="364"/>
    <n v="2.72938443670151E-2"/>
    <s v="Dec-12"/>
    <x v="0"/>
    <n v="2.46"/>
  </r>
  <r>
    <x v="10"/>
    <n v="52"/>
    <x v="2"/>
    <x v="1"/>
    <x v="2"/>
    <x v="20"/>
    <x v="1"/>
    <x v="3"/>
    <x v="6"/>
    <x v="8"/>
    <x v="35"/>
    <x v="9"/>
    <n v="40"/>
    <n v="50"/>
    <n v="110"/>
    <n v="38"/>
    <x v="35"/>
    <x v="8"/>
    <x v="6"/>
    <x v="201"/>
    <n v="1.3"/>
    <n v="-13"/>
    <x v="0"/>
    <n v="49.26"/>
    <x v="229"/>
    <n v="4699"/>
    <n v="608"/>
    <n v="1.8208661417322834E-2"/>
    <s v="Dec-12"/>
    <x v="0"/>
    <n v="2.4423076923076925"/>
  </r>
  <r>
    <x v="42"/>
    <n v="55"/>
    <x v="2"/>
    <x v="1"/>
    <x v="2"/>
    <x v="24"/>
    <x v="1"/>
    <x v="2"/>
    <x v="8"/>
    <x v="13"/>
    <x v="41"/>
    <x v="5"/>
    <n v="50"/>
    <n v="10"/>
    <n v="120"/>
    <n v="78"/>
    <x v="41"/>
    <x v="13"/>
    <x v="76"/>
    <x v="202"/>
    <n v="1.1000000000000001"/>
    <n v="-12"/>
    <x v="0"/>
    <n v="10.199999999999999"/>
    <x v="230"/>
    <n v="-262"/>
    <n v="3822.0000000000005"/>
    <n v="-3.1157501168406292E-4"/>
    <s v="Dec-12"/>
    <x v="8"/>
    <n v="2.3818181818181818"/>
  </r>
  <r>
    <x v="10"/>
    <n v="49"/>
    <x v="2"/>
    <x v="1"/>
    <x v="2"/>
    <x v="25"/>
    <x v="1"/>
    <x v="2"/>
    <x v="8"/>
    <x v="64"/>
    <x v="15"/>
    <x v="9"/>
    <n v="40"/>
    <n v="10"/>
    <n v="110"/>
    <n v="73"/>
    <x v="15"/>
    <x v="64"/>
    <x v="43"/>
    <x v="138"/>
    <n v="1.2250000000000001"/>
    <n v="-14"/>
    <x v="0"/>
    <n v="10.4"/>
    <x v="152"/>
    <n v="-472"/>
    <n v="3212"/>
    <n v="-7.7041602465331282E-4"/>
    <s v="Dec-12"/>
    <x v="10"/>
    <n v="2.4081632653061225"/>
  </r>
  <r>
    <x v="12"/>
    <n v="41"/>
    <x v="2"/>
    <x v="1"/>
    <x v="3"/>
    <x v="2"/>
    <x v="1"/>
    <x v="3"/>
    <x v="7"/>
    <x v="12"/>
    <x v="55"/>
    <x v="11"/>
    <n v="40"/>
    <n v="20"/>
    <n v="110"/>
    <n v="56"/>
    <x v="55"/>
    <x v="12"/>
    <x v="1"/>
    <x v="203"/>
    <n v="1.0249999999999999"/>
    <n v="-19"/>
    <x v="0"/>
    <n v="19.95"/>
    <x v="231"/>
    <n v="98"/>
    <n v="728"/>
    <n v="7.8492935635792783E-4"/>
    <s v="Dec-12"/>
    <x v="9"/>
    <n v="2.3902439024390243"/>
  </r>
  <r>
    <x v="12"/>
    <n v="54"/>
    <x v="2"/>
    <x v="1"/>
    <x v="3"/>
    <x v="1"/>
    <x v="1"/>
    <x v="2"/>
    <x v="8"/>
    <x v="2"/>
    <x v="35"/>
    <x v="11"/>
    <n v="50"/>
    <n v="40"/>
    <n v="120"/>
    <n v="45"/>
    <x v="35"/>
    <x v="2"/>
    <x v="44"/>
    <x v="45"/>
    <n v="1.08"/>
    <n v="-12"/>
    <x v="0"/>
    <n v="39.299999999999997"/>
    <x v="50"/>
    <n v="3556"/>
    <n v="765"/>
    <n v="1.2968967114404817E-2"/>
    <s v="Dec-12"/>
    <x v="6"/>
    <n v="2.3518518518518516"/>
  </r>
  <r>
    <x v="47"/>
    <n v="65"/>
    <x v="2"/>
    <x v="1"/>
    <x v="1"/>
    <x v="23"/>
    <x v="0"/>
    <x v="0"/>
    <x v="10"/>
    <x v="57"/>
    <x v="36"/>
    <x v="6"/>
    <n v="60"/>
    <n v="20"/>
    <n v="130"/>
    <n v="58"/>
    <x v="36"/>
    <x v="57"/>
    <x v="49"/>
    <x v="173"/>
    <n v="1.0833333333333333"/>
    <n v="2"/>
    <x v="0"/>
    <n v="18.899999999999999"/>
    <x v="47"/>
    <n v="3190"/>
    <n v="1392"/>
    <n v="6.32183908045977E-3"/>
    <s v="Dec-12"/>
    <x v="8"/>
    <n v="2.2307692307692308"/>
  </r>
  <r>
    <x v="9"/>
    <n v="52"/>
    <x v="2"/>
    <x v="1"/>
    <x v="3"/>
    <x v="20"/>
    <x v="0"/>
    <x v="0"/>
    <x v="10"/>
    <x v="18"/>
    <x v="35"/>
    <x v="8"/>
    <n v="40"/>
    <n v="40"/>
    <n v="110"/>
    <n v="39"/>
    <x v="35"/>
    <x v="18"/>
    <x v="79"/>
    <x v="115"/>
    <n v="1.3"/>
    <n v="-4"/>
    <x v="0"/>
    <n v="39.1"/>
    <x v="45"/>
    <n v="4572"/>
    <n v="624"/>
    <n v="1.7716535433070866E-2"/>
    <s v="Dec-12"/>
    <x v="7"/>
    <n v="2.4423076923076925"/>
  </r>
  <r>
    <x v="15"/>
    <n v="48"/>
    <x v="2"/>
    <x v="1"/>
    <x v="3"/>
    <x v="6"/>
    <x v="0"/>
    <x v="0"/>
    <x v="0"/>
    <x v="2"/>
    <x v="0"/>
    <x v="8"/>
    <n v="40"/>
    <n v="40"/>
    <n v="110"/>
    <n v="46"/>
    <x v="0"/>
    <x v="2"/>
    <x v="47"/>
    <x v="51"/>
    <n v="1.2"/>
    <n v="-12"/>
    <x v="0"/>
    <n v="39.299999999999997"/>
    <x v="56"/>
    <n v="3416"/>
    <n v="690"/>
    <n v="1.5300546448087432E-2"/>
    <s v="Dec-12"/>
    <x v="7"/>
    <n v="2.5416666666666665"/>
  </r>
  <r>
    <x v="16"/>
    <n v="49"/>
    <x v="2"/>
    <x v="1"/>
    <x v="3"/>
    <x v="2"/>
    <x v="0"/>
    <x v="0"/>
    <x v="0"/>
    <x v="43"/>
    <x v="10"/>
    <x v="14"/>
    <n v="40"/>
    <n v="50"/>
    <n v="110"/>
    <n v="25"/>
    <x v="10"/>
    <x v="43"/>
    <x v="107"/>
    <x v="189"/>
    <n v="1.2250000000000001"/>
    <n v="-4"/>
    <x v="0"/>
    <n v="49.08"/>
    <x v="232"/>
    <n v="5520"/>
    <n v="325"/>
    <n v="2.9487179487179487E-2"/>
    <s v="Dec-12"/>
    <x v="0"/>
    <n v="2.4489795918367347"/>
  </r>
  <r>
    <x v="6"/>
    <n v="50"/>
    <x v="2"/>
    <x v="1"/>
    <x v="2"/>
    <x v="10"/>
    <x v="0"/>
    <x v="1"/>
    <x v="2"/>
    <x v="17"/>
    <x v="1"/>
    <x v="5"/>
    <n v="50"/>
    <n v="50"/>
    <n v="120"/>
    <n v="26"/>
    <x v="1"/>
    <x v="17"/>
    <x v="82"/>
    <x v="124"/>
    <n v="1"/>
    <n v="-3"/>
    <x v="0"/>
    <n v="49.06"/>
    <x v="136"/>
    <n v="5781"/>
    <n v="364"/>
    <n v="2.72938443670151E-2"/>
    <s v="Dec-12"/>
    <x v="7"/>
    <n v="2.46"/>
  </r>
  <r>
    <x v="104"/>
    <n v="51"/>
    <x v="3"/>
    <x v="0"/>
    <x v="0"/>
    <x v="0"/>
    <x v="1"/>
    <x v="3"/>
    <x v="5"/>
    <x v="11"/>
    <x v="45"/>
    <x v="18"/>
    <n v="40"/>
    <n v="30"/>
    <n v="110"/>
    <n v="76"/>
    <x v="45"/>
    <x v="11"/>
    <x v="52"/>
    <x v="60"/>
    <n v="1.2749999999999999"/>
    <n v="-37"/>
    <x v="0"/>
    <n v="30.233333333333334"/>
    <x v="64"/>
    <n v="-910"/>
    <n v="3496"/>
    <n v="-1.1705685618729098E-3"/>
    <s v="Oct-13"/>
    <x v="6"/>
    <n v="2.5490196078431371"/>
  </r>
  <r>
    <x v="69"/>
    <n v="52"/>
    <x v="3"/>
    <x v="0"/>
    <x v="0"/>
    <x v="1"/>
    <x v="1"/>
    <x v="3"/>
    <x v="6"/>
    <x v="40"/>
    <x v="41"/>
    <x v="18"/>
    <n v="40"/>
    <n v="60"/>
    <n v="110"/>
    <n v="45"/>
    <x v="41"/>
    <x v="40"/>
    <x v="36"/>
    <x v="61"/>
    <n v="1.3"/>
    <n v="-21"/>
    <x v="0"/>
    <n v="59.35"/>
    <x v="65"/>
    <n v="5109"/>
    <n v="765"/>
    <n v="1.7512348450830714E-2"/>
    <s v="Oct-13"/>
    <x v="2"/>
    <n v="2.5192307692307692"/>
  </r>
  <r>
    <x v="90"/>
    <n v="43"/>
    <x v="3"/>
    <x v="0"/>
    <x v="0"/>
    <x v="2"/>
    <x v="1"/>
    <x v="3"/>
    <x v="7"/>
    <x v="41"/>
    <x v="11"/>
    <x v="18"/>
    <n v="30"/>
    <n v="60"/>
    <n v="100"/>
    <n v="36"/>
    <x v="11"/>
    <x v="41"/>
    <x v="16"/>
    <x v="62"/>
    <n v="1.4333333333333333"/>
    <n v="-18"/>
    <x v="0"/>
    <n v="59.3"/>
    <x v="66"/>
    <n v="4788"/>
    <n v="468"/>
    <n v="2.8340080971659919E-2"/>
    <s v="Oct-13"/>
    <x v="1"/>
    <n v="2.6511627906976742"/>
  </r>
  <r>
    <x v="20"/>
    <n v="51"/>
    <x v="3"/>
    <x v="0"/>
    <x v="2"/>
    <x v="0"/>
    <x v="1"/>
    <x v="2"/>
    <x v="8"/>
    <x v="86"/>
    <x v="21"/>
    <x v="15"/>
    <n v="30"/>
    <n v="30"/>
    <n v="100"/>
    <n v="76"/>
    <x v="21"/>
    <x v="86"/>
    <x v="65"/>
    <x v="204"/>
    <n v="1.7"/>
    <n v="-46"/>
    <x v="0"/>
    <n v="30.533333333333335"/>
    <x v="233"/>
    <n v="-1984"/>
    <n v="3496"/>
    <n v="-2.8050490883590462E-3"/>
    <s v="Oct-13"/>
    <x v="7"/>
    <n v="2.4313725490196076"/>
  </r>
  <r>
    <x v="33"/>
    <n v="72"/>
    <x v="3"/>
    <x v="0"/>
    <x v="1"/>
    <x v="4"/>
    <x v="1"/>
    <x v="2"/>
    <x v="9"/>
    <x v="87"/>
    <x v="47"/>
    <x v="1"/>
    <n v="40"/>
    <n v="50"/>
    <n v="110"/>
    <n v="55"/>
    <x v="47"/>
    <x v="87"/>
    <x v="85"/>
    <x v="205"/>
    <n v="1.8"/>
    <n v="32"/>
    <x v="0"/>
    <n v="48.36"/>
    <x v="234"/>
    <n v="15908"/>
    <n v="1265"/>
    <n v="1.8377409233527566E-2"/>
    <s v="Oct-13"/>
    <x v="0"/>
    <n v="2.6944444444444446"/>
  </r>
  <r>
    <x v="105"/>
    <n v="48"/>
    <x v="3"/>
    <x v="0"/>
    <x v="2"/>
    <x v="2"/>
    <x v="0"/>
    <x v="1"/>
    <x v="3"/>
    <x v="88"/>
    <x v="53"/>
    <x v="2"/>
    <n v="50"/>
    <n v="60"/>
    <n v="120"/>
    <n v="24"/>
    <x v="53"/>
    <x v="88"/>
    <x v="31"/>
    <x v="206"/>
    <n v="0.96"/>
    <n v="8"/>
    <x v="0"/>
    <n v="58.866666666666667"/>
    <x v="235"/>
    <n v="8568"/>
    <n v="312"/>
    <n v="4.1514041514041512E-2"/>
    <s v="Oct-13"/>
    <x v="0"/>
    <n v="2.625"/>
  </r>
  <r>
    <x v="29"/>
    <n v="60"/>
    <x v="3"/>
    <x v="1"/>
    <x v="1"/>
    <x v="31"/>
    <x v="1"/>
    <x v="2"/>
    <x v="8"/>
    <x v="89"/>
    <x v="92"/>
    <x v="10"/>
    <n v="30"/>
    <n v="70"/>
    <n v="100"/>
    <n v="41"/>
    <x v="92"/>
    <x v="89"/>
    <x v="25"/>
    <x v="154"/>
    <n v="2"/>
    <n v="16"/>
    <x v="0"/>
    <n v="68.771428571428572"/>
    <x v="236"/>
    <n v="14534"/>
    <n v="738"/>
    <n v="2.827087442472058E-2"/>
    <s v="Oct-13"/>
    <x v="3"/>
    <n v="2.8166666666666669"/>
  </r>
  <r>
    <x v="49"/>
    <n v="52"/>
    <x v="3"/>
    <x v="1"/>
    <x v="3"/>
    <x v="1"/>
    <x v="1"/>
    <x v="2"/>
    <x v="8"/>
    <x v="54"/>
    <x v="41"/>
    <x v="11"/>
    <n v="30"/>
    <n v="60"/>
    <n v="100"/>
    <n v="44"/>
    <x v="41"/>
    <x v="54"/>
    <x v="79"/>
    <x v="207"/>
    <n v="1.7333333333333334"/>
    <n v="-20"/>
    <x v="0"/>
    <n v="59.333333333333336"/>
    <x v="237"/>
    <n v="5240"/>
    <n v="748"/>
    <n v="1.7961383026493041E-2"/>
    <s v="Oct-13"/>
    <x v="1"/>
    <n v="2.5192307692307692"/>
  </r>
  <r>
    <x v="16"/>
    <n v="56"/>
    <x v="3"/>
    <x v="1"/>
    <x v="3"/>
    <x v="28"/>
    <x v="1"/>
    <x v="2"/>
    <x v="8"/>
    <x v="10"/>
    <x v="108"/>
    <x v="14"/>
    <n v="40"/>
    <n v="50"/>
    <n v="110"/>
    <n v="54"/>
    <x v="108"/>
    <x v="10"/>
    <x v="60"/>
    <x v="208"/>
    <n v="1.4"/>
    <n v="-26"/>
    <x v="0"/>
    <n v="49.52"/>
    <x v="112"/>
    <n v="3216"/>
    <n v="1134"/>
    <n v="8.5287846481876331E-3"/>
    <s v="Oct-13"/>
    <x v="0"/>
    <n v="2.3928571428571428"/>
  </r>
  <r>
    <x v="28"/>
    <n v="56"/>
    <x v="3"/>
    <x v="1"/>
    <x v="1"/>
    <x v="28"/>
    <x v="0"/>
    <x v="0"/>
    <x v="10"/>
    <x v="10"/>
    <x v="108"/>
    <x v="6"/>
    <n v="40"/>
    <n v="50"/>
    <n v="110"/>
    <n v="54"/>
    <x v="108"/>
    <x v="10"/>
    <x v="60"/>
    <x v="208"/>
    <n v="1.4"/>
    <n v="-26"/>
    <x v="0"/>
    <n v="49.52"/>
    <x v="112"/>
    <n v="3216"/>
    <n v="1134"/>
    <n v="8.5287846481876331E-3"/>
    <s v="Oct-13"/>
    <x v="0"/>
    <n v="2.3928571428571428"/>
  </r>
  <r>
    <x v="9"/>
    <n v="45"/>
    <x v="3"/>
    <x v="1"/>
    <x v="3"/>
    <x v="10"/>
    <x v="0"/>
    <x v="0"/>
    <x v="0"/>
    <x v="28"/>
    <x v="26"/>
    <x v="8"/>
    <n v="20"/>
    <n v="60"/>
    <n v="90"/>
    <n v="46"/>
    <x v="26"/>
    <x v="28"/>
    <x v="10"/>
    <x v="209"/>
    <n v="2.25"/>
    <n v="-26"/>
    <x v="0"/>
    <n v="59.43333333333333"/>
    <x v="238"/>
    <n v="4114"/>
    <n v="644"/>
    <n v="2.0070838252656435E-2"/>
    <s v="Oct-13"/>
    <x v="3"/>
    <n v="2.6888888888888891"/>
  </r>
  <r>
    <x v="69"/>
    <n v="52"/>
    <x v="4"/>
    <x v="0"/>
    <x v="0"/>
    <x v="17"/>
    <x v="1"/>
    <x v="3"/>
    <x v="5"/>
    <x v="64"/>
    <x v="33"/>
    <x v="18"/>
    <n v="50"/>
    <n v="10"/>
    <n v="120"/>
    <n v="76"/>
    <x v="33"/>
    <x v="64"/>
    <x v="52"/>
    <x v="194"/>
    <n v="1.04"/>
    <n v="-14"/>
    <x v="0"/>
    <n v="10.4"/>
    <x v="239"/>
    <n v="-532"/>
    <n v="3572"/>
    <n v="-6.3989761638137894E-4"/>
    <s v="Nov-13"/>
    <x v="8"/>
    <n v="2.5576923076923075"/>
  </r>
  <r>
    <x v="104"/>
    <n v="46"/>
    <x v="4"/>
    <x v="0"/>
    <x v="0"/>
    <x v="10"/>
    <x v="1"/>
    <x v="3"/>
    <x v="7"/>
    <x v="17"/>
    <x v="26"/>
    <x v="18"/>
    <n v="40"/>
    <n v="40"/>
    <n v="110"/>
    <n v="36"/>
    <x v="26"/>
    <x v="17"/>
    <x v="107"/>
    <x v="124"/>
    <n v="1.1499999999999999"/>
    <n v="7"/>
    <x v="0"/>
    <n v="38.825000000000003"/>
    <x v="240"/>
    <n v="5687"/>
    <n v="504"/>
    <n v="2.7744982290436836E-2"/>
    <s v="Nov-13"/>
    <x v="7"/>
    <n v="2.6304347826086958"/>
  </r>
  <r>
    <x v="1"/>
    <n v="52"/>
    <x v="4"/>
    <x v="0"/>
    <x v="0"/>
    <x v="17"/>
    <x v="0"/>
    <x v="0"/>
    <x v="0"/>
    <x v="15"/>
    <x v="33"/>
    <x v="0"/>
    <n v="40"/>
    <n v="10"/>
    <n v="110"/>
    <n v="77"/>
    <x v="33"/>
    <x v="15"/>
    <x v="92"/>
    <x v="210"/>
    <n v="1.3"/>
    <n v="-16"/>
    <x v="0"/>
    <n v="10.6"/>
    <x v="241"/>
    <n v="-798"/>
    <n v="3619.0000000000005"/>
    <n v="-9.5984642457206835E-4"/>
    <s v="Nov-13"/>
    <x v="10"/>
    <n v="2.5576923076923075"/>
  </r>
  <r>
    <x v="1"/>
    <n v="59"/>
    <x v="4"/>
    <x v="0"/>
    <x v="0"/>
    <x v="27"/>
    <x v="0"/>
    <x v="0"/>
    <x v="1"/>
    <x v="17"/>
    <x v="32"/>
    <x v="0"/>
    <n v="50"/>
    <n v="40"/>
    <n v="120"/>
    <n v="47"/>
    <x v="32"/>
    <x v="17"/>
    <x v="110"/>
    <x v="211"/>
    <n v="1.18"/>
    <n v="7"/>
    <x v="0"/>
    <n v="38.825000000000003"/>
    <x v="242"/>
    <n v="6909"/>
    <n v="893"/>
    <n v="1.6827783745076978E-2"/>
    <s v="Nov-13"/>
    <x v="6"/>
    <n v="2.4915254237288136"/>
  </r>
  <r>
    <x v="22"/>
    <n v="59"/>
    <x v="4"/>
    <x v="0"/>
    <x v="1"/>
    <x v="27"/>
    <x v="0"/>
    <x v="0"/>
    <x v="10"/>
    <x v="17"/>
    <x v="32"/>
    <x v="1"/>
    <n v="50"/>
    <n v="40"/>
    <n v="120"/>
    <n v="47"/>
    <x v="32"/>
    <x v="17"/>
    <x v="110"/>
    <x v="211"/>
    <n v="1.18"/>
    <n v="7"/>
    <x v="0"/>
    <n v="38.825000000000003"/>
    <x v="242"/>
    <n v="6909"/>
    <n v="893"/>
    <n v="1.6827783745076978E-2"/>
    <s v="Nov-13"/>
    <x v="6"/>
    <n v="2.4915254237288136"/>
  </r>
  <r>
    <x v="106"/>
    <n v="50"/>
    <x v="4"/>
    <x v="0"/>
    <x v="2"/>
    <x v="10"/>
    <x v="0"/>
    <x v="1"/>
    <x v="3"/>
    <x v="50"/>
    <x v="41"/>
    <x v="19"/>
    <n v="50"/>
    <n v="50"/>
    <n v="120"/>
    <n v="26"/>
    <x v="41"/>
    <x v="50"/>
    <x v="8"/>
    <x v="68"/>
    <n v="1"/>
    <n v="20"/>
    <x v="0"/>
    <n v="48.6"/>
    <x v="166"/>
    <n v="9170"/>
    <n v="364"/>
    <n v="3.8167938931297711E-2"/>
    <s v="Nov-13"/>
    <x v="7"/>
    <n v="2.62"/>
  </r>
  <r>
    <x v="31"/>
    <n v="53"/>
    <x v="4"/>
    <x v="1"/>
    <x v="2"/>
    <x v="1"/>
    <x v="1"/>
    <x v="2"/>
    <x v="4"/>
    <x v="40"/>
    <x v="57"/>
    <x v="5"/>
    <n v="50"/>
    <n v="40"/>
    <n v="120"/>
    <n v="45"/>
    <x v="57"/>
    <x v="40"/>
    <x v="73"/>
    <x v="61"/>
    <n v="1.06"/>
    <n v="-1"/>
    <x v="0"/>
    <n v="39.024999999999999"/>
    <x v="65"/>
    <n v="5148"/>
    <n v="765"/>
    <n v="1.7379679144385027E-2"/>
    <s v="Nov-13"/>
    <x v="6"/>
    <n v="2.4905660377358489"/>
  </r>
  <r>
    <x v="9"/>
    <n v="54"/>
    <x v="4"/>
    <x v="1"/>
    <x v="3"/>
    <x v="6"/>
    <x v="1"/>
    <x v="2"/>
    <x v="4"/>
    <x v="61"/>
    <x v="29"/>
    <x v="8"/>
    <n v="50"/>
    <n v="50"/>
    <n v="120"/>
    <n v="26"/>
    <x v="29"/>
    <x v="61"/>
    <x v="105"/>
    <x v="98"/>
    <n v="1.08"/>
    <n v="27"/>
    <x v="0"/>
    <n v="48.46"/>
    <x v="243"/>
    <n v="10857"/>
    <n v="389.99999999999994"/>
    <n v="3.6406619385342794E-2"/>
    <s v="Nov-13"/>
    <x v="7"/>
    <n v="2.6111111111111112"/>
  </r>
  <r>
    <x v="39"/>
    <n v="43"/>
    <x v="4"/>
    <x v="1"/>
    <x v="1"/>
    <x v="10"/>
    <x v="1"/>
    <x v="3"/>
    <x v="7"/>
    <x v="27"/>
    <x v="52"/>
    <x v="17"/>
    <n v="50"/>
    <n v="30"/>
    <n v="120"/>
    <n v="46"/>
    <x v="52"/>
    <x v="27"/>
    <x v="32"/>
    <x v="33"/>
    <n v="0.86"/>
    <n v="0"/>
    <x v="0"/>
    <n v="29"/>
    <x v="100"/>
    <n v="3480"/>
    <n v="644"/>
    <n v="1.8472906403940885E-2"/>
    <s v="Nov-13"/>
    <x v="9"/>
    <n v="2.6976744186046511"/>
  </r>
  <r>
    <x v="11"/>
    <n v="61"/>
    <x v="4"/>
    <x v="1"/>
    <x v="1"/>
    <x v="21"/>
    <x v="1"/>
    <x v="2"/>
    <x v="9"/>
    <x v="12"/>
    <x v="63"/>
    <x v="10"/>
    <n v="40"/>
    <n v="10"/>
    <n v="110"/>
    <n v="85"/>
    <x v="63"/>
    <x v="12"/>
    <x v="71"/>
    <x v="40"/>
    <n v="1.5249999999999999"/>
    <n v="-9"/>
    <x v="0"/>
    <n v="9.9"/>
    <x v="43"/>
    <n v="157"/>
    <n v="4675"/>
    <n v="1.1580775911986103E-4"/>
    <s v="Nov-13"/>
    <x v="10"/>
    <n v="2.5737704918032787"/>
  </r>
  <r>
    <x v="12"/>
    <n v="55"/>
    <x v="4"/>
    <x v="1"/>
    <x v="3"/>
    <x v="14"/>
    <x v="1"/>
    <x v="2"/>
    <x v="9"/>
    <x v="10"/>
    <x v="57"/>
    <x v="11"/>
    <n v="50"/>
    <n v="30"/>
    <n v="120"/>
    <n v="53"/>
    <x v="57"/>
    <x v="10"/>
    <x v="13"/>
    <x v="212"/>
    <n v="1.1000000000000001"/>
    <n v="-6"/>
    <x v="0"/>
    <n v="29.2"/>
    <x v="244"/>
    <n v="3168"/>
    <n v="1060"/>
    <n v="9.0909090909090905E-3"/>
    <s v="Nov-13"/>
    <x v="9"/>
    <n v="2.4"/>
  </r>
  <r>
    <x v="42"/>
    <n v="82"/>
    <x v="4"/>
    <x v="1"/>
    <x v="2"/>
    <x v="33"/>
    <x v="0"/>
    <x v="0"/>
    <x v="0"/>
    <x v="4"/>
    <x v="109"/>
    <x v="5"/>
    <n v="60"/>
    <n v="30"/>
    <n v="130"/>
    <n v="64"/>
    <x v="109"/>
    <x v="4"/>
    <x v="65"/>
    <x v="213"/>
    <n v="1.3666666666666667"/>
    <n v="26"/>
    <x v="0"/>
    <n v="28.133333333333333"/>
    <x v="245"/>
    <n v="10976"/>
    <n v="1984"/>
    <n v="9.2165898617511521E-3"/>
    <s v="Nov-13"/>
    <x v="10"/>
    <n v="2.3902439024390243"/>
  </r>
  <r>
    <x v="65"/>
    <n v="61"/>
    <x v="4"/>
    <x v="1"/>
    <x v="0"/>
    <x v="21"/>
    <x v="0"/>
    <x v="1"/>
    <x v="11"/>
    <x v="83"/>
    <x v="63"/>
    <x v="13"/>
    <n v="50"/>
    <n v="0"/>
    <n v="120"/>
    <n v="84"/>
    <x v="63"/>
    <x v="83"/>
    <x v="114"/>
    <x v="214"/>
    <n v="1.22"/>
    <n v="3"/>
    <x v="0"/>
    <e v="#DIV/0!"/>
    <x v="246"/>
    <n v="471"/>
    <n v="4620"/>
    <n v="3.4742327735958308E-4"/>
    <s v="Nov-13"/>
    <x v="11"/>
    <n v="2.5737704918032787"/>
  </r>
  <r>
    <x v="30"/>
    <n v="53"/>
    <x v="4"/>
    <x v="1"/>
    <x v="3"/>
    <x v="20"/>
    <x v="0"/>
    <x v="1"/>
    <x v="2"/>
    <x v="59"/>
    <x v="61"/>
    <x v="14"/>
    <n v="30"/>
    <n v="50"/>
    <n v="100"/>
    <n v="39"/>
    <x v="61"/>
    <x v="59"/>
    <x v="45"/>
    <x v="95"/>
    <n v="1.7666666666666666"/>
    <n v="23"/>
    <x v="0"/>
    <n v="48.54"/>
    <x v="102"/>
    <n v="10950"/>
    <n v="624"/>
    <n v="3.0416666666666668E-2"/>
    <s v="Nov-13"/>
    <x v="2"/>
    <n v="2.8301886792452828"/>
  </r>
  <r>
    <x v="101"/>
    <n v="47"/>
    <x v="5"/>
    <x v="0"/>
    <x v="0"/>
    <x v="22"/>
    <x v="1"/>
    <x v="3"/>
    <x v="5"/>
    <x v="48"/>
    <x v="16"/>
    <x v="18"/>
    <n v="40"/>
    <n v="10"/>
    <n v="110"/>
    <n v="71"/>
    <x v="16"/>
    <x v="48"/>
    <x v="23"/>
    <x v="99"/>
    <n v="1.175"/>
    <n v="-19"/>
    <x v="0"/>
    <n v="10.9"/>
    <x v="107"/>
    <n v="-1071"/>
    <n v="2982"/>
    <n v="-1.8007202881152461E-3"/>
    <s v="Dec-13"/>
    <x v="10"/>
    <n v="2.5319148936170213"/>
  </r>
  <r>
    <x v="104"/>
    <n v="54"/>
    <x v="5"/>
    <x v="0"/>
    <x v="0"/>
    <x v="1"/>
    <x v="1"/>
    <x v="3"/>
    <x v="6"/>
    <x v="58"/>
    <x v="65"/>
    <x v="18"/>
    <n v="50"/>
    <n v="40"/>
    <n v="120"/>
    <n v="44"/>
    <x v="65"/>
    <x v="58"/>
    <x v="36"/>
    <x v="86"/>
    <n v="1.08"/>
    <n v="3"/>
    <x v="0"/>
    <n v="38.924999999999997"/>
    <x v="108"/>
    <n v="5805"/>
    <n v="748"/>
    <n v="1.8736383442265796E-2"/>
    <s v="Dec-13"/>
    <x v="6"/>
    <n v="2.5"/>
  </r>
  <r>
    <x v="107"/>
    <n v="67"/>
    <x v="5"/>
    <x v="0"/>
    <x v="1"/>
    <x v="34"/>
    <x v="1"/>
    <x v="2"/>
    <x v="9"/>
    <x v="50"/>
    <x v="110"/>
    <x v="1"/>
    <n v="50"/>
    <n v="30"/>
    <n v="120"/>
    <n v="54"/>
    <x v="110"/>
    <x v="50"/>
    <x v="26"/>
    <x v="215"/>
    <n v="1.34"/>
    <n v="40"/>
    <x v="0"/>
    <n v="27.666666666666668"/>
    <x v="247"/>
    <n v="12530"/>
    <n v="1188"/>
    <n v="1.7775520568816656E-2"/>
    <s v="Dec-13"/>
    <x v="9"/>
    <n v="2.6716417910447761"/>
  </r>
  <r>
    <x v="89"/>
    <n v="54"/>
    <x v="5"/>
    <x v="0"/>
    <x v="0"/>
    <x v="6"/>
    <x v="0"/>
    <x v="1"/>
    <x v="2"/>
    <x v="63"/>
    <x v="64"/>
    <x v="16"/>
    <n v="40"/>
    <n v="50"/>
    <n v="110"/>
    <n v="26"/>
    <x v="64"/>
    <x v="63"/>
    <x v="17"/>
    <x v="104"/>
    <n v="1.35"/>
    <n v="29"/>
    <x v="0"/>
    <n v="48.42"/>
    <x v="113"/>
    <n v="11218"/>
    <n v="390"/>
    <n v="3.7089201877934269E-2"/>
    <s v="Dec-13"/>
    <x v="0"/>
    <n v="2.6296296296296298"/>
  </r>
  <r>
    <x v="54"/>
    <n v="63"/>
    <x v="5"/>
    <x v="1"/>
    <x v="0"/>
    <x v="27"/>
    <x v="1"/>
    <x v="3"/>
    <x v="5"/>
    <x v="36"/>
    <x v="74"/>
    <x v="12"/>
    <n v="60"/>
    <n v="40"/>
    <n v="130"/>
    <n v="40"/>
    <x v="74"/>
    <x v="36"/>
    <x v="78"/>
    <x v="113"/>
    <n v="1.05"/>
    <n v="13"/>
    <x v="0"/>
    <n v="38.674999999999997"/>
    <x v="121"/>
    <n v="7844"/>
    <n v="760.00000000000011"/>
    <n v="1.8847795163584636E-2"/>
    <s v="Dec-13"/>
    <x v="9"/>
    <n v="2.3492063492063493"/>
  </r>
  <r>
    <x v="31"/>
    <n v="49"/>
    <x v="5"/>
    <x v="1"/>
    <x v="2"/>
    <x v="20"/>
    <x v="1"/>
    <x v="2"/>
    <x v="4"/>
    <x v="5"/>
    <x v="26"/>
    <x v="5"/>
    <n v="40"/>
    <n v="40"/>
    <n v="110"/>
    <n v="44"/>
    <x v="26"/>
    <x v="5"/>
    <x v="6"/>
    <x v="216"/>
    <n v="1.2250000000000001"/>
    <n v="-9"/>
    <x v="0"/>
    <n v="39.225000000000001"/>
    <x v="248"/>
    <n v="3751"/>
    <n v="704"/>
    <n v="1.6012396694214875E-2"/>
    <s v="Dec-13"/>
    <x v="7"/>
    <n v="2.4693877551020407"/>
  </r>
  <r>
    <x v="9"/>
    <n v="50"/>
    <x v="5"/>
    <x v="1"/>
    <x v="3"/>
    <x v="10"/>
    <x v="1"/>
    <x v="2"/>
    <x v="4"/>
    <x v="50"/>
    <x v="41"/>
    <x v="8"/>
    <n v="40"/>
    <n v="50"/>
    <n v="110"/>
    <n v="26"/>
    <x v="41"/>
    <x v="50"/>
    <x v="8"/>
    <x v="68"/>
    <n v="1.25"/>
    <n v="20"/>
    <x v="0"/>
    <n v="48.6"/>
    <x v="166"/>
    <n v="9170"/>
    <n v="364"/>
    <n v="3.8167938931297711E-2"/>
    <s v="Dec-13"/>
    <x v="0"/>
    <n v="2.62"/>
  </r>
  <r>
    <x v="10"/>
    <n v="52"/>
    <x v="5"/>
    <x v="1"/>
    <x v="2"/>
    <x v="20"/>
    <x v="1"/>
    <x v="3"/>
    <x v="6"/>
    <x v="45"/>
    <x v="65"/>
    <x v="9"/>
    <n v="40"/>
    <n v="50"/>
    <n v="110"/>
    <n v="38"/>
    <x v="65"/>
    <x v="45"/>
    <x v="46"/>
    <x v="217"/>
    <n v="1.3"/>
    <n v="5"/>
    <x v="0"/>
    <n v="48.9"/>
    <x v="249"/>
    <n v="7425"/>
    <n v="608"/>
    <n v="2.5462962962962962E-2"/>
    <s v="Dec-13"/>
    <x v="0"/>
    <n v="2.5961538461538463"/>
  </r>
  <r>
    <x v="31"/>
    <n v="55"/>
    <x v="5"/>
    <x v="1"/>
    <x v="2"/>
    <x v="24"/>
    <x v="1"/>
    <x v="2"/>
    <x v="8"/>
    <x v="37"/>
    <x v="71"/>
    <x v="5"/>
    <n v="50"/>
    <n v="10"/>
    <n v="120"/>
    <n v="78"/>
    <x v="71"/>
    <x v="37"/>
    <x v="12"/>
    <x v="52"/>
    <n v="1.1000000000000001"/>
    <n v="-13"/>
    <x v="0"/>
    <n v="10.3"/>
    <x v="250"/>
    <n v="-420"/>
    <n v="3822"/>
    <n v="-4.3731778425655976E-4"/>
    <s v="Dec-13"/>
    <x v="8"/>
    <n v="2.5454545454545454"/>
  </r>
  <r>
    <x v="10"/>
    <n v="49"/>
    <x v="5"/>
    <x v="1"/>
    <x v="2"/>
    <x v="25"/>
    <x v="1"/>
    <x v="2"/>
    <x v="8"/>
    <x v="15"/>
    <x v="53"/>
    <x v="9"/>
    <n v="40"/>
    <n v="10"/>
    <n v="110"/>
    <n v="73"/>
    <x v="53"/>
    <x v="15"/>
    <x v="104"/>
    <x v="158"/>
    <n v="1.2250000000000001"/>
    <n v="-16"/>
    <x v="0"/>
    <n v="10.6"/>
    <x v="182"/>
    <n v="-756"/>
    <n v="3212.0000000000005"/>
    <n v="-1.0822510822510823E-3"/>
    <s v="Dec-13"/>
    <x v="10"/>
    <n v="2.5714285714285716"/>
  </r>
  <r>
    <x v="49"/>
    <n v="41"/>
    <x v="5"/>
    <x v="1"/>
    <x v="3"/>
    <x v="2"/>
    <x v="1"/>
    <x v="3"/>
    <x v="7"/>
    <x v="12"/>
    <x v="111"/>
    <x v="11"/>
    <n v="40"/>
    <n v="20"/>
    <n v="110"/>
    <n v="56"/>
    <x v="111"/>
    <x v="12"/>
    <x v="51"/>
    <x v="203"/>
    <n v="1.0249999999999999"/>
    <n v="-19"/>
    <x v="0"/>
    <n v="19.95"/>
    <x v="231"/>
    <n v="104"/>
    <n v="728"/>
    <n v="7.3964497041420127E-4"/>
    <s v="Dec-13"/>
    <x v="9"/>
    <n v="2.5365853658536586"/>
  </r>
  <r>
    <x v="12"/>
    <n v="54"/>
    <x v="5"/>
    <x v="1"/>
    <x v="3"/>
    <x v="1"/>
    <x v="1"/>
    <x v="2"/>
    <x v="8"/>
    <x v="41"/>
    <x v="65"/>
    <x v="11"/>
    <n v="50"/>
    <n v="40"/>
    <n v="120"/>
    <n v="45"/>
    <x v="65"/>
    <x v="41"/>
    <x v="73"/>
    <x v="102"/>
    <n v="1.08"/>
    <n v="2"/>
    <x v="0"/>
    <n v="38.950000000000003"/>
    <x v="111"/>
    <n v="5670"/>
    <n v="765"/>
    <n v="1.8300653594771243E-2"/>
    <s v="Dec-13"/>
    <x v="6"/>
    <n v="2.5"/>
  </r>
  <r>
    <x v="47"/>
    <n v="65"/>
    <x v="5"/>
    <x v="1"/>
    <x v="1"/>
    <x v="23"/>
    <x v="0"/>
    <x v="0"/>
    <x v="10"/>
    <x v="9"/>
    <x v="66"/>
    <x v="6"/>
    <n v="60"/>
    <n v="20"/>
    <n v="130"/>
    <n v="58"/>
    <x v="66"/>
    <x v="9"/>
    <x v="43"/>
    <x v="218"/>
    <n v="1.0833333333333333"/>
    <n v="13"/>
    <x v="0"/>
    <n v="18.350000000000001"/>
    <x v="251"/>
    <n v="5115"/>
    <n v="1392"/>
    <n v="8.870967741935484E-3"/>
    <s v="Dec-13"/>
    <x v="8"/>
    <n v="2.3846153846153846"/>
  </r>
  <r>
    <x v="9"/>
    <n v="52"/>
    <x v="5"/>
    <x v="1"/>
    <x v="3"/>
    <x v="20"/>
    <x v="0"/>
    <x v="0"/>
    <x v="10"/>
    <x v="36"/>
    <x v="65"/>
    <x v="8"/>
    <n v="40"/>
    <n v="40"/>
    <n v="110"/>
    <n v="39"/>
    <x v="65"/>
    <x v="36"/>
    <x v="90"/>
    <x v="219"/>
    <n v="1.3"/>
    <n v="13"/>
    <x v="0"/>
    <n v="38.674999999999997"/>
    <x v="252"/>
    <n v="7155"/>
    <n v="624"/>
    <n v="2.4537037037037038E-2"/>
    <s v="Dec-13"/>
    <x v="7"/>
    <n v="2.5961538461538463"/>
  </r>
  <r>
    <x v="9"/>
    <n v="48"/>
    <x v="5"/>
    <x v="1"/>
    <x v="3"/>
    <x v="6"/>
    <x v="0"/>
    <x v="0"/>
    <x v="0"/>
    <x v="41"/>
    <x v="45"/>
    <x v="8"/>
    <n v="40"/>
    <n v="40"/>
    <n v="110"/>
    <n v="46"/>
    <x v="45"/>
    <x v="41"/>
    <x v="75"/>
    <x v="107"/>
    <n v="1.2"/>
    <n v="2"/>
    <x v="0"/>
    <n v="38.950000000000003"/>
    <x v="116"/>
    <n v="5460"/>
    <n v="690"/>
    <n v="2.1538461538461538E-2"/>
    <s v="Dec-13"/>
    <x v="7"/>
    <n v="2.7083333333333335"/>
  </r>
  <r>
    <x v="16"/>
    <n v="49"/>
    <x v="5"/>
    <x v="1"/>
    <x v="3"/>
    <x v="2"/>
    <x v="0"/>
    <x v="0"/>
    <x v="0"/>
    <x v="88"/>
    <x v="51"/>
    <x v="14"/>
    <n v="40"/>
    <n v="50"/>
    <n v="110"/>
    <n v="25"/>
    <x v="51"/>
    <x v="88"/>
    <x v="64"/>
    <x v="206"/>
    <n v="1.2250000000000001"/>
    <n v="18"/>
    <x v="0"/>
    <n v="48.64"/>
    <x v="253"/>
    <n v="8704"/>
    <n v="325"/>
    <n v="4.0865384615384616E-2"/>
    <s v="Dec-13"/>
    <x v="0"/>
    <n v="2.6122448979591835"/>
  </r>
  <r>
    <x v="67"/>
    <n v="50"/>
    <x v="5"/>
    <x v="1"/>
    <x v="2"/>
    <x v="10"/>
    <x v="0"/>
    <x v="1"/>
    <x v="2"/>
    <x v="50"/>
    <x v="41"/>
    <x v="5"/>
    <n v="50"/>
    <n v="50"/>
    <n v="120"/>
    <n v="26"/>
    <x v="41"/>
    <x v="50"/>
    <x v="8"/>
    <x v="68"/>
    <n v="1"/>
    <n v="20"/>
    <x v="0"/>
    <n v="48.6"/>
    <x v="166"/>
    <n v="9170"/>
    <n v="364"/>
    <n v="3.8167938931297711E-2"/>
    <s v="Dec-13"/>
    <x v="7"/>
    <n v="2.62"/>
  </r>
  <r>
    <x v="90"/>
    <n v="21"/>
    <x v="0"/>
    <x v="0"/>
    <x v="0"/>
    <x v="35"/>
    <x v="0"/>
    <x v="0"/>
    <x v="10"/>
    <x v="38"/>
    <x v="112"/>
    <x v="18"/>
    <n v="0"/>
    <n v="30"/>
    <n v="30"/>
    <n v="16"/>
    <x v="112"/>
    <x v="38"/>
    <x v="102"/>
    <x v="220"/>
    <e v="#DIV/0!"/>
    <n v="-14"/>
    <x v="0"/>
    <n v="29.466666666666665"/>
    <x v="254"/>
    <n v="848"/>
    <n v="80"/>
    <n v="6.0377358490566038E-2"/>
    <s v="Oct-12"/>
    <x v="4"/>
    <n v="2.5238095238095237"/>
  </r>
  <r>
    <x v="101"/>
    <n v="27"/>
    <x v="0"/>
    <x v="0"/>
    <x v="0"/>
    <x v="7"/>
    <x v="0"/>
    <x v="0"/>
    <x v="0"/>
    <x v="30"/>
    <x v="7"/>
    <x v="18"/>
    <n v="10"/>
    <n v="30"/>
    <n v="40"/>
    <n v="19"/>
    <x v="7"/>
    <x v="30"/>
    <x v="66"/>
    <x v="117"/>
    <n v="2.7"/>
    <n v="-10"/>
    <x v="0"/>
    <n v="29.333333333333332"/>
    <x v="126"/>
    <n v="1320"/>
    <n v="133"/>
    <n v="4.3290043290043288E-2"/>
    <s v="Oct-12"/>
    <x v="12"/>
    <n v="2.4444444444444446"/>
  </r>
  <r>
    <x v="3"/>
    <n v="56"/>
    <x v="0"/>
    <x v="0"/>
    <x v="2"/>
    <x v="28"/>
    <x v="0"/>
    <x v="0"/>
    <x v="0"/>
    <x v="38"/>
    <x v="53"/>
    <x v="2"/>
    <n v="30"/>
    <n v="20"/>
    <n v="60"/>
    <n v="54"/>
    <x v="53"/>
    <x v="38"/>
    <x v="60"/>
    <x v="191"/>
    <n v="1.8666666666666667"/>
    <n v="-4"/>
    <x v="0"/>
    <n v="19.2"/>
    <x v="51"/>
    <n v="2016"/>
    <n v="1134"/>
    <n v="6.0468631897203319E-3"/>
    <s v="Oct-12"/>
    <x v="1"/>
    <n v="2.25"/>
  </r>
  <r>
    <x v="108"/>
    <n v="54"/>
    <x v="0"/>
    <x v="0"/>
    <x v="2"/>
    <x v="14"/>
    <x v="0"/>
    <x v="0"/>
    <x v="0"/>
    <x v="32"/>
    <x v="10"/>
    <x v="15"/>
    <n v="30"/>
    <n v="20"/>
    <n v="60"/>
    <n v="53"/>
    <x v="10"/>
    <x v="32"/>
    <x v="33"/>
    <x v="37"/>
    <n v="1.8"/>
    <n v="-7"/>
    <x v="0"/>
    <n v="19.350000000000001"/>
    <x v="124"/>
    <n v="1560"/>
    <n v="1060"/>
    <n v="5.4166666666666669E-3"/>
    <s v="Oct-12"/>
    <x v="1"/>
    <n v="2.2222222222222223"/>
  </r>
  <r>
    <x v="109"/>
    <n v="21"/>
    <x v="0"/>
    <x v="0"/>
    <x v="2"/>
    <x v="35"/>
    <x v="0"/>
    <x v="1"/>
    <x v="3"/>
    <x v="25"/>
    <x v="112"/>
    <x v="15"/>
    <n v="20"/>
    <n v="30"/>
    <n v="50"/>
    <n v="17"/>
    <x v="112"/>
    <x v="25"/>
    <x v="115"/>
    <x v="7"/>
    <n v="1.05"/>
    <n v="-15"/>
    <x v="0"/>
    <n v="29.5"/>
    <x v="255"/>
    <n v="795"/>
    <n v="85"/>
    <n v="5.6603773584905662E-2"/>
    <s v="Oct-12"/>
    <x v="5"/>
    <n v="2.5238095238095237"/>
  </r>
  <r>
    <x v="39"/>
    <n v="39"/>
    <x v="0"/>
    <x v="1"/>
    <x v="1"/>
    <x v="13"/>
    <x v="1"/>
    <x v="2"/>
    <x v="4"/>
    <x v="29"/>
    <x v="19"/>
    <x v="17"/>
    <n v="20"/>
    <n v="20"/>
    <n v="50"/>
    <n v="39"/>
    <x v="19"/>
    <x v="29"/>
    <x v="69"/>
    <x v="221"/>
    <n v="1.95"/>
    <n v="-6"/>
    <x v="0"/>
    <n v="19.3"/>
    <x v="256"/>
    <n v="1288"/>
    <n v="467.99999999999994"/>
    <n v="1.2681159420289856E-2"/>
    <s v="Oct-12"/>
    <x v="3"/>
    <n v="2.358974358974359"/>
  </r>
  <r>
    <x v="48"/>
    <n v="23"/>
    <x v="0"/>
    <x v="1"/>
    <x v="3"/>
    <x v="29"/>
    <x v="1"/>
    <x v="2"/>
    <x v="4"/>
    <x v="39"/>
    <x v="78"/>
    <x v="7"/>
    <n v="10"/>
    <n v="30"/>
    <n v="40"/>
    <n v="18"/>
    <x v="78"/>
    <x v="39"/>
    <x v="67"/>
    <x v="136"/>
    <n v="2.2999999999999998"/>
    <n v="-13"/>
    <x v="0"/>
    <n v="29.433333333333334"/>
    <x v="129"/>
    <n v="986"/>
    <n v="108"/>
    <n v="4.8850574712643681E-2"/>
    <s v="Oct-12"/>
    <x v="12"/>
    <n v="2.5217391304347827"/>
  </r>
  <r>
    <x v="46"/>
    <n v="21"/>
    <x v="0"/>
    <x v="1"/>
    <x v="0"/>
    <x v="35"/>
    <x v="1"/>
    <x v="3"/>
    <x v="6"/>
    <x v="25"/>
    <x v="97"/>
    <x v="4"/>
    <n v="10"/>
    <n v="30"/>
    <n v="40"/>
    <n v="16"/>
    <x v="97"/>
    <x v="25"/>
    <x v="102"/>
    <x v="7"/>
    <n v="2.1"/>
    <n v="-15"/>
    <x v="0"/>
    <n v="29.5"/>
    <x v="149"/>
    <n v="780"/>
    <n v="80"/>
    <n v="5.7692307692307696E-2"/>
    <s v="Oct-12"/>
    <x v="12"/>
    <n v="2.4761904761904763"/>
  </r>
  <r>
    <x v="10"/>
    <n v="25"/>
    <x v="0"/>
    <x v="1"/>
    <x v="2"/>
    <x v="8"/>
    <x v="1"/>
    <x v="2"/>
    <x v="12"/>
    <x v="55"/>
    <x v="82"/>
    <x v="9"/>
    <n v="10"/>
    <n v="10"/>
    <n v="40"/>
    <n v="43"/>
    <x v="82"/>
    <x v="55"/>
    <x v="103"/>
    <x v="222"/>
    <n v="2.5"/>
    <n v="-22"/>
    <x v="0"/>
    <n v="11.2"/>
    <x v="257"/>
    <n v="-672"/>
    <n v="387"/>
    <n v="-2.3809523809523808E-2"/>
    <s v="Oct-12"/>
    <x v="3"/>
    <n v="2.2400000000000002"/>
  </r>
  <r>
    <x v="47"/>
    <n v="21"/>
    <x v="0"/>
    <x v="1"/>
    <x v="1"/>
    <x v="35"/>
    <x v="1"/>
    <x v="2"/>
    <x v="8"/>
    <x v="25"/>
    <x v="112"/>
    <x v="6"/>
    <n v="0"/>
    <n v="30"/>
    <n v="30"/>
    <n v="17"/>
    <x v="112"/>
    <x v="25"/>
    <x v="115"/>
    <x v="7"/>
    <e v="#DIV/0!"/>
    <n v="-15"/>
    <x v="0"/>
    <n v="29.5"/>
    <x v="255"/>
    <n v="795"/>
    <n v="85"/>
    <n v="5.6603773584905662E-2"/>
    <s v="Oct-12"/>
    <x v="4"/>
    <n v="2.5238095238095237"/>
  </r>
  <r>
    <x v="48"/>
    <n v="0"/>
    <x v="0"/>
    <x v="1"/>
    <x v="3"/>
    <x v="5"/>
    <x v="1"/>
    <x v="2"/>
    <x v="9"/>
    <x v="71"/>
    <x v="5"/>
    <x v="7"/>
    <n v="0"/>
    <n v="30"/>
    <n v="30"/>
    <n v="11"/>
    <x v="5"/>
    <x v="71"/>
    <x v="88"/>
    <x v="5"/>
    <e v="#DIV/0!"/>
    <n v="2"/>
    <x v="0"/>
    <n v="28.933333333333334"/>
    <x v="148"/>
    <n v="1376"/>
    <e v="#DIV/0!"/>
    <e v="#DIV/0!"/>
    <s v="Oct-12"/>
    <x v="4"/>
    <e v="#DIV/0!"/>
  </r>
  <r>
    <x v="10"/>
    <n v="34"/>
    <x v="0"/>
    <x v="1"/>
    <x v="2"/>
    <x v="13"/>
    <x v="0"/>
    <x v="0"/>
    <x v="0"/>
    <x v="37"/>
    <x v="14"/>
    <x v="9"/>
    <n v="10"/>
    <n v="20"/>
    <n v="40"/>
    <n v="46"/>
    <x v="14"/>
    <x v="37"/>
    <x v="46"/>
    <x v="72"/>
    <n v="3.4"/>
    <n v="-23"/>
    <x v="0"/>
    <n v="20.149999999999999"/>
    <x v="258"/>
    <n v="-231"/>
    <n v="552"/>
    <n v="-3.246753246753247E-3"/>
    <s v="Oct-12"/>
    <x v="5"/>
    <n v="2.2647058823529411"/>
  </r>
  <r>
    <x v="39"/>
    <n v="21"/>
    <x v="0"/>
    <x v="1"/>
    <x v="1"/>
    <x v="35"/>
    <x v="0"/>
    <x v="0"/>
    <x v="10"/>
    <x v="29"/>
    <x v="97"/>
    <x v="17"/>
    <n v="10"/>
    <n v="30"/>
    <n v="40"/>
    <n v="17"/>
    <x v="97"/>
    <x v="29"/>
    <x v="115"/>
    <x v="107"/>
    <n v="2.1"/>
    <n v="-16"/>
    <x v="0"/>
    <n v="29.533333333333335"/>
    <x v="259"/>
    <n v="728"/>
    <n v="85"/>
    <n v="5.3846153846153842E-2"/>
    <s v="Oct-12"/>
    <x v="12"/>
    <n v="2.4761904761904763"/>
  </r>
  <r>
    <x v="17"/>
    <n v="25"/>
    <x v="0"/>
    <x v="1"/>
    <x v="3"/>
    <x v="7"/>
    <x v="0"/>
    <x v="0"/>
    <x v="10"/>
    <x v="39"/>
    <x v="113"/>
    <x v="11"/>
    <n v="10"/>
    <n v="30"/>
    <n v="40"/>
    <n v="19"/>
    <x v="113"/>
    <x v="39"/>
    <x v="100"/>
    <x v="209"/>
    <n v="2.5"/>
    <n v="-13"/>
    <x v="0"/>
    <n v="29.433333333333334"/>
    <x v="260"/>
    <n v="1037"/>
    <n v="133"/>
    <n v="3.9812646370023415E-2"/>
    <s v="Oct-12"/>
    <x v="12"/>
    <n v="2.44"/>
  </r>
  <r>
    <x v="26"/>
    <n v="34"/>
    <x v="0"/>
    <x v="1"/>
    <x v="0"/>
    <x v="13"/>
    <x v="0"/>
    <x v="1"/>
    <x v="3"/>
    <x v="37"/>
    <x v="14"/>
    <x v="12"/>
    <n v="10"/>
    <n v="10"/>
    <n v="40"/>
    <n v="46"/>
    <x v="14"/>
    <x v="37"/>
    <x v="46"/>
    <x v="72"/>
    <n v="3.4"/>
    <n v="-13"/>
    <x v="0"/>
    <n v="10.3"/>
    <x v="258"/>
    <n v="-231"/>
    <n v="552"/>
    <n v="-3.246753246753247E-3"/>
    <s v="Oct-12"/>
    <x v="3"/>
    <n v="2.2647058823529411"/>
  </r>
  <r>
    <x v="10"/>
    <n v="21"/>
    <x v="0"/>
    <x v="1"/>
    <x v="2"/>
    <x v="35"/>
    <x v="0"/>
    <x v="1"/>
    <x v="2"/>
    <x v="29"/>
    <x v="97"/>
    <x v="9"/>
    <n v="20"/>
    <n v="30"/>
    <n v="50"/>
    <n v="17"/>
    <x v="97"/>
    <x v="29"/>
    <x v="115"/>
    <x v="107"/>
    <n v="1.05"/>
    <n v="-16"/>
    <x v="0"/>
    <n v="29.533333333333335"/>
    <x v="259"/>
    <n v="728"/>
    <n v="85"/>
    <n v="5.3846153846153842E-2"/>
    <s v="Oct-12"/>
    <x v="5"/>
    <n v="2.4761904761904763"/>
  </r>
  <r>
    <x v="9"/>
    <n v="39"/>
    <x v="0"/>
    <x v="1"/>
    <x v="3"/>
    <x v="13"/>
    <x v="0"/>
    <x v="1"/>
    <x v="11"/>
    <x v="29"/>
    <x v="19"/>
    <x v="8"/>
    <n v="10"/>
    <n v="20"/>
    <n v="40"/>
    <n v="39"/>
    <x v="19"/>
    <x v="29"/>
    <x v="69"/>
    <x v="221"/>
    <n v="3.9"/>
    <n v="-6"/>
    <x v="0"/>
    <n v="19.3"/>
    <x v="256"/>
    <n v="1288"/>
    <n v="467.99999999999994"/>
    <n v="1.2681159420289856E-2"/>
    <s v="Oct-12"/>
    <x v="5"/>
    <n v="2.358974358974359"/>
  </r>
  <r>
    <x v="78"/>
    <n v="46"/>
    <x v="0"/>
    <x v="1"/>
    <x v="3"/>
    <x v="10"/>
    <x v="0"/>
    <x v="1"/>
    <x v="11"/>
    <x v="5"/>
    <x v="27"/>
    <x v="14"/>
    <n v="20"/>
    <n v="30"/>
    <n v="50"/>
    <n v="36"/>
    <x v="27"/>
    <x v="5"/>
    <x v="90"/>
    <x v="27"/>
    <n v="2.2999999999999998"/>
    <n v="1"/>
    <x v="0"/>
    <n v="28.966666666666665"/>
    <x v="261"/>
    <n v="3503"/>
    <n v="503.99999999999994"/>
    <n v="1.9595448798988623E-2"/>
    <s v="Oct-12"/>
    <x v="5"/>
    <n v="2.4565217391304346"/>
  </r>
  <r>
    <x v="8"/>
    <n v="22"/>
    <x v="1"/>
    <x v="1"/>
    <x v="3"/>
    <x v="29"/>
    <x v="1"/>
    <x v="2"/>
    <x v="4"/>
    <x v="39"/>
    <x v="82"/>
    <x v="7"/>
    <n v="20"/>
    <n v="20"/>
    <n v="50"/>
    <n v="17"/>
    <x v="82"/>
    <x v="39"/>
    <x v="56"/>
    <x v="136"/>
    <n v="1.1000000000000001"/>
    <n v="-3"/>
    <x v="0"/>
    <n v="19.149999999999999"/>
    <x v="262"/>
    <n v="952"/>
    <n v="102"/>
    <n v="5.0595238095238096E-2"/>
    <s v="Nov-12"/>
    <x v="3"/>
    <n v="2.5454545454545454"/>
  </r>
  <r>
    <x v="39"/>
    <n v="34"/>
    <x v="1"/>
    <x v="1"/>
    <x v="1"/>
    <x v="13"/>
    <x v="1"/>
    <x v="2"/>
    <x v="9"/>
    <x v="64"/>
    <x v="99"/>
    <x v="17"/>
    <n v="20"/>
    <n v="-10"/>
    <n v="50"/>
    <n v="46"/>
    <x v="99"/>
    <x v="64"/>
    <x v="46"/>
    <x v="128"/>
    <n v="1.7"/>
    <n v="6"/>
    <x v="0"/>
    <n v="-10.4"/>
    <x v="263"/>
    <n v="-304"/>
    <n v="552"/>
    <n v="-4.3859649122807015E-3"/>
    <s v="Nov-12"/>
    <x v="0"/>
    <n v="2.2352941176470589"/>
  </r>
  <r>
    <x v="56"/>
    <n v="22"/>
    <x v="1"/>
    <x v="1"/>
    <x v="3"/>
    <x v="7"/>
    <x v="1"/>
    <x v="2"/>
    <x v="9"/>
    <x v="78"/>
    <x v="97"/>
    <x v="14"/>
    <n v="20"/>
    <n v="20"/>
    <n v="50"/>
    <n v="19"/>
    <x v="97"/>
    <x v="78"/>
    <x v="67"/>
    <x v="163"/>
    <n v="1.1000000000000001"/>
    <n v="-9"/>
    <x v="0"/>
    <n v="19.45"/>
    <x v="188"/>
    <n v="572"/>
    <n v="133"/>
    <n v="3.021978021978022E-2"/>
    <s v="Nov-12"/>
    <x v="3"/>
    <n v="2.3636363636363638"/>
  </r>
  <r>
    <x v="10"/>
    <n v="33"/>
    <x v="1"/>
    <x v="1"/>
    <x v="2"/>
    <x v="13"/>
    <x v="0"/>
    <x v="0"/>
    <x v="0"/>
    <x v="64"/>
    <x v="83"/>
    <x v="9"/>
    <n v="20"/>
    <n v="0"/>
    <n v="50"/>
    <n v="45"/>
    <x v="83"/>
    <x v="64"/>
    <x v="69"/>
    <x v="128"/>
    <n v="1.65"/>
    <n v="-4"/>
    <x v="0"/>
    <e v="#DIV/0!"/>
    <x v="140"/>
    <n v="-296"/>
    <n v="540"/>
    <n v="-4.5045045045045045E-3"/>
    <s v="Nov-12"/>
    <x v="2"/>
    <n v="2.2424242424242422"/>
  </r>
  <r>
    <x v="39"/>
    <n v="29"/>
    <x v="1"/>
    <x v="1"/>
    <x v="1"/>
    <x v="18"/>
    <x v="0"/>
    <x v="0"/>
    <x v="0"/>
    <x v="79"/>
    <x v="98"/>
    <x v="17"/>
    <n v="20"/>
    <n v="10"/>
    <n v="50"/>
    <n v="30"/>
    <x v="98"/>
    <x v="79"/>
    <x v="3"/>
    <x v="165"/>
    <n v="1.45"/>
    <n v="-5"/>
    <x v="0"/>
    <n v="9.5"/>
    <x v="190"/>
    <n v="320"/>
    <n v="240"/>
    <n v="9.765625E-3"/>
    <s v="Nov-12"/>
    <x v="1"/>
    <n v="2.2068965517241379"/>
  </r>
  <r>
    <x v="12"/>
    <n v="25"/>
    <x v="1"/>
    <x v="1"/>
    <x v="3"/>
    <x v="7"/>
    <x v="0"/>
    <x v="0"/>
    <x v="10"/>
    <x v="60"/>
    <x v="114"/>
    <x v="11"/>
    <n v="20"/>
    <n v="20"/>
    <n v="50"/>
    <n v="19"/>
    <x v="114"/>
    <x v="60"/>
    <x v="100"/>
    <x v="21"/>
    <n v="1.25"/>
    <n v="-1"/>
    <x v="0"/>
    <n v="19.05"/>
    <x v="210"/>
    <n v="1197"/>
    <n v="133"/>
    <n v="4.3083900226757371E-2"/>
    <s v="Nov-12"/>
    <x v="3"/>
    <n v="2.52"/>
  </r>
  <r>
    <x v="10"/>
    <n v="15"/>
    <x v="1"/>
    <x v="1"/>
    <x v="2"/>
    <x v="36"/>
    <x v="0"/>
    <x v="1"/>
    <x v="2"/>
    <x v="72"/>
    <x v="115"/>
    <x v="9"/>
    <n v="10"/>
    <n v="20"/>
    <n v="40"/>
    <n v="16"/>
    <x v="115"/>
    <x v="72"/>
    <x v="116"/>
    <x v="22"/>
    <n v="1.5"/>
    <n v="-12"/>
    <x v="0"/>
    <n v="19.600000000000001"/>
    <x v="264"/>
    <n v="312"/>
    <n v="64"/>
    <n v="5.128205128205128E-2"/>
    <s v="Nov-12"/>
    <x v="5"/>
    <n v="2.6"/>
  </r>
  <r>
    <x v="49"/>
    <n v="32"/>
    <x v="1"/>
    <x v="1"/>
    <x v="3"/>
    <x v="18"/>
    <x v="0"/>
    <x v="1"/>
    <x v="2"/>
    <x v="2"/>
    <x v="81"/>
    <x v="11"/>
    <n v="20"/>
    <n v="30"/>
    <n v="50"/>
    <n v="20"/>
    <x v="81"/>
    <x v="2"/>
    <x v="117"/>
    <x v="3"/>
    <n v="1.6"/>
    <n v="-2"/>
    <x v="0"/>
    <n v="29.066666666666666"/>
    <x v="265"/>
    <n v="2240"/>
    <n v="160"/>
    <n v="4.3749999999999997E-2"/>
    <s v="Nov-12"/>
    <x v="5"/>
    <n v="2.5"/>
  </r>
  <r>
    <x v="9"/>
    <n v="35"/>
    <x v="1"/>
    <x v="1"/>
    <x v="3"/>
    <x v="9"/>
    <x v="0"/>
    <x v="1"/>
    <x v="11"/>
    <x v="76"/>
    <x v="40"/>
    <x v="8"/>
    <n v="20"/>
    <n v="10"/>
    <n v="50"/>
    <n v="38"/>
    <x v="40"/>
    <x v="76"/>
    <x v="15"/>
    <x v="167"/>
    <n v="1.75"/>
    <n v="-1"/>
    <x v="0"/>
    <n v="9.1"/>
    <x v="192"/>
    <n v="738"/>
    <n v="418"/>
    <n v="9.977827050997784E-3"/>
    <s v="Nov-12"/>
    <x v="1"/>
    <n v="2.342857142857143"/>
  </r>
  <r>
    <x v="15"/>
    <n v="34"/>
    <x v="1"/>
    <x v="1"/>
    <x v="3"/>
    <x v="13"/>
    <x v="0"/>
    <x v="1"/>
    <x v="3"/>
    <x v="37"/>
    <x v="99"/>
    <x v="8"/>
    <n v="20"/>
    <n v="0"/>
    <n v="50"/>
    <n v="45"/>
    <x v="99"/>
    <x v="37"/>
    <x v="2"/>
    <x v="72"/>
    <n v="1.7"/>
    <n v="-3"/>
    <x v="0"/>
    <e v="#DIV/0!"/>
    <x v="77"/>
    <n v="-228"/>
    <n v="540"/>
    <n v="-3.2894736842105261E-3"/>
    <s v="Nov-12"/>
    <x v="2"/>
    <n v="2.2352941176470589"/>
  </r>
  <r>
    <x v="105"/>
    <n v="24"/>
    <x v="2"/>
    <x v="0"/>
    <x v="2"/>
    <x v="7"/>
    <x v="0"/>
    <x v="0"/>
    <x v="10"/>
    <x v="14"/>
    <x v="82"/>
    <x v="2"/>
    <n v="10"/>
    <n v="20"/>
    <n v="40"/>
    <n v="20"/>
    <x v="82"/>
    <x v="14"/>
    <x v="100"/>
    <x v="11"/>
    <n v="2.4"/>
    <n v="-8"/>
    <x v="0"/>
    <n v="19.399999999999999"/>
    <x v="149"/>
    <n v="672"/>
    <n v="140"/>
    <n v="3.0612244897959183E-2"/>
    <s v="Dec-12"/>
    <x v="5"/>
    <n v="2.3333333333333335"/>
  </r>
  <r>
    <x v="39"/>
    <n v="38"/>
    <x v="2"/>
    <x v="1"/>
    <x v="1"/>
    <x v="13"/>
    <x v="1"/>
    <x v="2"/>
    <x v="4"/>
    <x v="14"/>
    <x v="101"/>
    <x v="17"/>
    <n v="30"/>
    <n v="0"/>
    <n v="60"/>
    <n v="39"/>
    <x v="101"/>
    <x v="14"/>
    <x v="45"/>
    <x v="174"/>
    <n v="1.2666666666666666"/>
    <n v="12"/>
    <x v="0"/>
    <e v="#DIV/0!"/>
    <x v="200"/>
    <n v="1068"/>
    <n v="468"/>
    <n v="1.1235955056179775E-2"/>
    <s v="Dec-12"/>
    <x v="0"/>
    <n v="2.3421052631578947"/>
  </r>
  <r>
    <x v="48"/>
    <n v="23"/>
    <x v="2"/>
    <x v="1"/>
    <x v="3"/>
    <x v="29"/>
    <x v="1"/>
    <x v="2"/>
    <x v="4"/>
    <x v="39"/>
    <x v="78"/>
    <x v="7"/>
    <n v="20"/>
    <n v="20"/>
    <n v="50"/>
    <n v="18"/>
    <x v="78"/>
    <x v="39"/>
    <x v="67"/>
    <x v="136"/>
    <n v="1.1499999999999999"/>
    <n v="-3"/>
    <x v="0"/>
    <n v="19.149999999999999"/>
    <x v="129"/>
    <n v="986"/>
    <n v="108"/>
    <n v="4.8850574712643681E-2"/>
    <s v="Dec-12"/>
    <x v="3"/>
    <n v="2.5217391304347827"/>
  </r>
  <r>
    <x v="77"/>
    <n v="16"/>
    <x v="2"/>
    <x v="1"/>
    <x v="0"/>
    <x v="36"/>
    <x v="1"/>
    <x v="3"/>
    <x v="6"/>
    <x v="44"/>
    <x v="116"/>
    <x v="4"/>
    <n v="10"/>
    <n v="20"/>
    <n v="40"/>
    <n v="15"/>
    <x v="116"/>
    <x v="44"/>
    <x v="116"/>
    <x v="55"/>
    <n v="1.6"/>
    <n v="-10"/>
    <x v="0"/>
    <n v="19.5"/>
    <x v="190"/>
    <n v="410"/>
    <n v="60"/>
    <n v="6.097560975609756E-2"/>
    <s v="Dec-12"/>
    <x v="5"/>
    <n v="2.5625"/>
  </r>
  <r>
    <x v="46"/>
    <n v="31"/>
    <x v="2"/>
    <x v="1"/>
    <x v="0"/>
    <x v="8"/>
    <x v="1"/>
    <x v="3"/>
    <x v="7"/>
    <x v="72"/>
    <x v="85"/>
    <x v="4"/>
    <n v="30"/>
    <n v="10"/>
    <n v="60"/>
    <n v="30"/>
    <x v="85"/>
    <x v="72"/>
    <x v="8"/>
    <x v="135"/>
    <n v="1.0333333333333334"/>
    <n v="-2"/>
    <x v="0"/>
    <n v="9.1999999999999993"/>
    <x v="149"/>
    <n v="552"/>
    <n v="270"/>
    <n v="1.2882447665056361E-2"/>
    <s v="Dec-12"/>
    <x v="2"/>
    <n v="2.225806451612903"/>
  </r>
  <r>
    <x v="10"/>
    <n v="20"/>
    <x v="2"/>
    <x v="1"/>
    <x v="2"/>
    <x v="7"/>
    <x v="1"/>
    <x v="2"/>
    <x v="12"/>
    <x v="86"/>
    <x v="117"/>
    <x v="9"/>
    <n v="10"/>
    <n v="0"/>
    <n v="40"/>
    <n v="41"/>
    <x v="117"/>
    <x v="86"/>
    <x v="8"/>
    <x v="223"/>
    <n v="2"/>
    <n v="-16"/>
    <x v="0"/>
    <e v="#DIV/0!"/>
    <x v="266"/>
    <n v="-720"/>
    <n v="287"/>
    <n v="-5.0793650793650794E-2"/>
    <s v="Dec-12"/>
    <x v="1"/>
    <n v="2.25"/>
  </r>
  <r>
    <x v="28"/>
    <n v="29"/>
    <x v="2"/>
    <x v="1"/>
    <x v="1"/>
    <x v="18"/>
    <x v="1"/>
    <x v="2"/>
    <x v="8"/>
    <x v="10"/>
    <x v="100"/>
    <x v="6"/>
    <n v="20"/>
    <n v="20"/>
    <n v="50"/>
    <n v="20"/>
    <x v="100"/>
    <x v="10"/>
    <x v="68"/>
    <x v="7"/>
    <n v="1.45"/>
    <n v="4"/>
    <x v="0"/>
    <n v="18.8"/>
    <x v="267"/>
    <n v="1752"/>
    <n v="160"/>
    <n v="4.1095890410958902E-2"/>
    <s v="Dec-12"/>
    <x v="3"/>
    <n v="2.5172413793103448"/>
  </r>
  <r>
    <x v="56"/>
    <n v="24"/>
    <x v="2"/>
    <x v="1"/>
    <x v="3"/>
    <x v="7"/>
    <x v="1"/>
    <x v="2"/>
    <x v="9"/>
    <x v="32"/>
    <x v="82"/>
    <x v="14"/>
    <n v="20"/>
    <n v="20"/>
    <n v="50"/>
    <n v="19"/>
    <x v="82"/>
    <x v="32"/>
    <x v="96"/>
    <x v="171"/>
    <n v="1.2"/>
    <n v="-7"/>
    <x v="0"/>
    <n v="19.350000000000001"/>
    <x v="196"/>
    <n v="728"/>
    <n v="133"/>
    <n v="3.3163265306122451E-2"/>
    <s v="Dec-12"/>
    <x v="3"/>
    <n v="2.3333333333333335"/>
  </r>
  <r>
    <x v="49"/>
    <n v="24"/>
    <x v="2"/>
    <x v="1"/>
    <x v="3"/>
    <x v="29"/>
    <x v="0"/>
    <x v="0"/>
    <x v="10"/>
    <x v="60"/>
    <x v="94"/>
    <x v="11"/>
    <n v="20"/>
    <n v="20"/>
    <n v="50"/>
    <n v="17"/>
    <x v="94"/>
    <x v="60"/>
    <x v="67"/>
    <x v="122"/>
    <n v="1.2"/>
    <n v="-1"/>
    <x v="0"/>
    <n v="19.05"/>
    <x v="260"/>
    <n v="1140"/>
    <n v="102"/>
    <n v="5.2777777777777778E-2"/>
    <s v="Dec-12"/>
    <x v="3"/>
    <n v="2.5"/>
  </r>
  <r>
    <x v="10"/>
    <n v="16"/>
    <x v="2"/>
    <x v="1"/>
    <x v="2"/>
    <x v="36"/>
    <x v="0"/>
    <x v="1"/>
    <x v="2"/>
    <x v="44"/>
    <x v="116"/>
    <x v="9"/>
    <n v="10"/>
    <n v="20"/>
    <n v="40"/>
    <n v="15"/>
    <x v="116"/>
    <x v="44"/>
    <x v="116"/>
    <x v="55"/>
    <n v="1.6"/>
    <n v="-10"/>
    <x v="0"/>
    <n v="19.5"/>
    <x v="190"/>
    <n v="410"/>
    <n v="60"/>
    <n v="6.097560975609756E-2"/>
    <s v="Dec-12"/>
    <x v="5"/>
    <n v="2.5625"/>
  </r>
  <r>
    <x v="17"/>
    <n v="29"/>
    <x v="2"/>
    <x v="1"/>
    <x v="3"/>
    <x v="18"/>
    <x v="0"/>
    <x v="1"/>
    <x v="2"/>
    <x v="65"/>
    <x v="100"/>
    <x v="11"/>
    <n v="20"/>
    <n v="30"/>
    <n v="50"/>
    <n v="19"/>
    <x v="100"/>
    <x v="65"/>
    <x v="53"/>
    <x v="168"/>
    <n v="1.45"/>
    <n v="-5"/>
    <x v="0"/>
    <n v="29.166666666666668"/>
    <x v="193"/>
    <n v="1825"/>
    <n v="152"/>
    <n v="4.2808219178082189E-2"/>
    <s v="Dec-12"/>
    <x v="5"/>
    <n v="2.5172413793103448"/>
  </r>
  <r>
    <x v="90"/>
    <n v="21"/>
    <x v="3"/>
    <x v="0"/>
    <x v="0"/>
    <x v="35"/>
    <x v="0"/>
    <x v="0"/>
    <x v="10"/>
    <x v="10"/>
    <x v="82"/>
    <x v="18"/>
    <n v="0"/>
    <n v="30"/>
    <n v="30"/>
    <n v="16"/>
    <x v="82"/>
    <x v="10"/>
    <x v="118"/>
    <x v="224"/>
    <e v="#DIV/0!"/>
    <n v="-6"/>
    <x v="0"/>
    <n v="29.2"/>
    <x v="268"/>
    <n v="1344"/>
    <n v="80"/>
    <n v="8.5714285714285715E-2"/>
    <s v="Oct-13"/>
    <x v="4"/>
    <n v="2.6666666666666665"/>
  </r>
  <r>
    <x v="90"/>
    <n v="27"/>
    <x v="3"/>
    <x v="0"/>
    <x v="0"/>
    <x v="7"/>
    <x v="0"/>
    <x v="0"/>
    <x v="0"/>
    <x v="27"/>
    <x v="49"/>
    <x v="18"/>
    <n v="10"/>
    <n v="30"/>
    <n v="40"/>
    <n v="19"/>
    <x v="49"/>
    <x v="27"/>
    <x v="80"/>
    <x v="140"/>
    <n v="2.7"/>
    <n v="0"/>
    <x v="0"/>
    <n v="29"/>
    <x v="157"/>
    <n v="2100"/>
    <n v="133"/>
    <n v="6.1224489795918366E-2"/>
    <s v="Oct-13"/>
    <x v="12"/>
    <n v="2.5925925925925926"/>
  </r>
  <r>
    <x v="110"/>
    <n v="56"/>
    <x v="3"/>
    <x v="0"/>
    <x v="2"/>
    <x v="28"/>
    <x v="0"/>
    <x v="0"/>
    <x v="0"/>
    <x v="10"/>
    <x v="108"/>
    <x v="2"/>
    <n v="30"/>
    <n v="20"/>
    <n v="60"/>
    <n v="54"/>
    <x v="108"/>
    <x v="10"/>
    <x v="60"/>
    <x v="208"/>
    <n v="1.8666666666666667"/>
    <n v="4"/>
    <x v="0"/>
    <n v="18.8"/>
    <x v="112"/>
    <n v="3216"/>
    <n v="1134"/>
    <n v="8.5287846481876331E-3"/>
    <s v="Oct-13"/>
    <x v="1"/>
    <n v="2.3928571428571428"/>
  </r>
  <r>
    <x v="25"/>
    <n v="54"/>
    <x v="3"/>
    <x v="0"/>
    <x v="2"/>
    <x v="14"/>
    <x v="0"/>
    <x v="0"/>
    <x v="0"/>
    <x v="60"/>
    <x v="51"/>
    <x v="15"/>
    <n v="30"/>
    <n v="20"/>
    <n v="60"/>
    <n v="53"/>
    <x v="51"/>
    <x v="60"/>
    <x v="26"/>
    <x v="96"/>
    <n v="1.8"/>
    <n v="-1"/>
    <x v="0"/>
    <n v="19.05"/>
    <x v="155"/>
    <n v="2432"/>
    <n v="1060"/>
    <n v="7.4218749999999997E-3"/>
    <s v="Oct-13"/>
    <x v="1"/>
    <n v="2.3703703703703702"/>
  </r>
  <r>
    <x v="108"/>
    <n v="21"/>
    <x v="3"/>
    <x v="0"/>
    <x v="2"/>
    <x v="35"/>
    <x v="0"/>
    <x v="1"/>
    <x v="3"/>
    <x v="57"/>
    <x v="82"/>
    <x v="15"/>
    <n v="20"/>
    <n v="30"/>
    <n v="50"/>
    <n v="17"/>
    <x v="82"/>
    <x v="57"/>
    <x v="119"/>
    <x v="225"/>
    <n v="1.05"/>
    <n v="-8"/>
    <x v="0"/>
    <n v="29.266666666666666"/>
    <x v="269"/>
    <n v="1232"/>
    <n v="85"/>
    <n v="7.8571428571428584E-2"/>
    <s v="Oct-13"/>
    <x v="5"/>
    <n v="2.6666666666666665"/>
  </r>
  <r>
    <x v="39"/>
    <n v="39"/>
    <x v="3"/>
    <x v="1"/>
    <x v="1"/>
    <x v="13"/>
    <x v="1"/>
    <x v="2"/>
    <x v="4"/>
    <x v="6"/>
    <x v="55"/>
    <x v="17"/>
    <n v="20"/>
    <n v="20"/>
    <n v="50"/>
    <n v="39"/>
    <x v="55"/>
    <x v="6"/>
    <x v="45"/>
    <x v="120"/>
    <n v="1.95"/>
    <n v="1"/>
    <x v="0"/>
    <n v="18.95"/>
    <x v="270"/>
    <n v="2058"/>
    <n v="468"/>
    <n v="1.7857142857142856E-2"/>
    <s v="Oct-13"/>
    <x v="3"/>
    <n v="2.5128205128205128"/>
  </r>
  <r>
    <x v="8"/>
    <n v="23"/>
    <x v="3"/>
    <x v="1"/>
    <x v="3"/>
    <x v="29"/>
    <x v="1"/>
    <x v="2"/>
    <x v="4"/>
    <x v="65"/>
    <x v="89"/>
    <x v="7"/>
    <n v="10"/>
    <n v="30"/>
    <n v="40"/>
    <n v="18"/>
    <x v="89"/>
    <x v="65"/>
    <x v="102"/>
    <x v="156"/>
    <n v="2.2999999999999998"/>
    <n v="-5"/>
    <x v="0"/>
    <n v="29.166666666666668"/>
    <x v="180"/>
    <n v="1550"/>
    <n v="107.99999999999999"/>
    <n v="6.7204301075268827E-2"/>
    <s v="Oct-13"/>
    <x v="12"/>
    <n v="2.6956521739130435"/>
  </r>
  <r>
    <x v="74"/>
    <n v="21"/>
    <x v="3"/>
    <x v="1"/>
    <x v="0"/>
    <x v="35"/>
    <x v="1"/>
    <x v="3"/>
    <x v="6"/>
    <x v="57"/>
    <x v="103"/>
    <x v="4"/>
    <n v="10"/>
    <n v="30"/>
    <n v="40"/>
    <n v="16"/>
    <x v="103"/>
    <x v="57"/>
    <x v="120"/>
    <x v="225"/>
    <n v="2.1"/>
    <n v="-8"/>
    <x v="0"/>
    <n v="29.266666666666666"/>
    <x v="148"/>
    <n v="1210"/>
    <n v="80"/>
    <n v="0.08"/>
    <s v="Oct-13"/>
    <x v="12"/>
    <n v="2.6190476190476191"/>
  </r>
  <r>
    <x v="10"/>
    <n v="25"/>
    <x v="3"/>
    <x v="1"/>
    <x v="2"/>
    <x v="8"/>
    <x v="1"/>
    <x v="2"/>
    <x v="12"/>
    <x v="90"/>
    <x v="94"/>
    <x v="9"/>
    <n v="10"/>
    <n v="10"/>
    <n v="40"/>
    <n v="43"/>
    <x v="94"/>
    <x v="90"/>
    <x v="69"/>
    <x v="226"/>
    <n v="2.5"/>
    <n v="-28"/>
    <x v="0"/>
    <n v="11.8"/>
    <x v="271"/>
    <n v="-1080"/>
    <n v="387"/>
    <n v="-3.3333333333333333E-2"/>
    <s v="Oct-13"/>
    <x v="3"/>
    <n v="2.4"/>
  </r>
  <r>
    <x v="28"/>
    <n v="21"/>
    <x v="3"/>
    <x v="1"/>
    <x v="1"/>
    <x v="35"/>
    <x v="1"/>
    <x v="2"/>
    <x v="8"/>
    <x v="57"/>
    <x v="82"/>
    <x v="6"/>
    <n v="0"/>
    <n v="30"/>
    <n v="30"/>
    <n v="17"/>
    <x v="82"/>
    <x v="57"/>
    <x v="119"/>
    <x v="225"/>
    <e v="#DIV/0!"/>
    <n v="-8"/>
    <x v="0"/>
    <n v="29.266666666666666"/>
    <x v="269"/>
    <n v="1232"/>
    <n v="85"/>
    <n v="7.8571428571428584E-2"/>
    <s v="Oct-13"/>
    <x v="4"/>
    <n v="2.6666666666666665"/>
  </r>
  <r>
    <x v="48"/>
    <n v="0"/>
    <x v="3"/>
    <x v="1"/>
    <x v="3"/>
    <x v="5"/>
    <x v="1"/>
    <x v="2"/>
    <x v="9"/>
    <x v="17"/>
    <x v="48"/>
    <x v="7"/>
    <n v="0"/>
    <n v="30"/>
    <n v="30"/>
    <n v="11"/>
    <x v="48"/>
    <x v="17"/>
    <x v="101"/>
    <x v="5"/>
    <e v="#DIV/0!"/>
    <n v="17"/>
    <x v="0"/>
    <n v="28.433333333333334"/>
    <x v="178"/>
    <n v="2162"/>
    <e v="#DIV/0!"/>
    <e v="#DIV/0!"/>
    <s v="Oct-13"/>
    <x v="4"/>
    <e v="#DIV/0!"/>
  </r>
  <r>
    <x v="10"/>
    <n v="34"/>
    <x v="3"/>
    <x v="1"/>
    <x v="2"/>
    <x v="13"/>
    <x v="0"/>
    <x v="0"/>
    <x v="0"/>
    <x v="64"/>
    <x v="40"/>
    <x v="9"/>
    <n v="10"/>
    <n v="20"/>
    <n v="40"/>
    <n v="46"/>
    <x v="40"/>
    <x v="64"/>
    <x v="32"/>
    <x v="128"/>
    <n v="3.4"/>
    <n v="-24"/>
    <x v="0"/>
    <n v="20.2"/>
    <x v="263"/>
    <n v="-328"/>
    <n v="552"/>
    <n v="-4.0650406504065036E-3"/>
    <s v="Oct-13"/>
    <x v="5"/>
    <n v="2.4117647058823528"/>
  </r>
  <r>
    <x v="39"/>
    <n v="21"/>
    <x v="3"/>
    <x v="1"/>
    <x v="1"/>
    <x v="35"/>
    <x v="0"/>
    <x v="0"/>
    <x v="10"/>
    <x v="6"/>
    <x v="103"/>
    <x v="17"/>
    <n v="10"/>
    <n v="30"/>
    <n v="40"/>
    <n v="17"/>
    <x v="103"/>
    <x v="6"/>
    <x v="119"/>
    <x v="227"/>
    <n v="2.1"/>
    <n v="-9"/>
    <x v="0"/>
    <n v="29.3"/>
    <x v="272"/>
    <n v="1155"/>
    <n v="85"/>
    <n v="7.636363636363637E-2"/>
    <s v="Oct-13"/>
    <x v="12"/>
    <n v="2.6190476190476191"/>
  </r>
  <r>
    <x v="17"/>
    <n v="25"/>
    <x v="3"/>
    <x v="1"/>
    <x v="3"/>
    <x v="7"/>
    <x v="0"/>
    <x v="0"/>
    <x v="10"/>
    <x v="65"/>
    <x v="118"/>
    <x v="11"/>
    <n v="10"/>
    <n v="30"/>
    <n v="40"/>
    <n v="19"/>
    <x v="118"/>
    <x v="65"/>
    <x v="80"/>
    <x v="228"/>
    <n v="2.5"/>
    <n v="-5"/>
    <x v="0"/>
    <n v="29.166666666666668"/>
    <x v="193"/>
    <n v="1625"/>
    <n v="133"/>
    <n v="5.4945054945054951E-2"/>
    <s v="Oct-13"/>
    <x v="12"/>
    <n v="2.6"/>
  </r>
  <r>
    <x v="26"/>
    <n v="34"/>
    <x v="3"/>
    <x v="1"/>
    <x v="0"/>
    <x v="13"/>
    <x v="0"/>
    <x v="1"/>
    <x v="3"/>
    <x v="64"/>
    <x v="40"/>
    <x v="12"/>
    <n v="10"/>
    <n v="10"/>
    <n v="40"/>
    <n v="46"/>
    <x v="40"/>
    <x v="64"/>
    <x v="32"/>
    <x v="128"/>
    <n v="3.4"/>
    <n v="-14"/>
    <x v="0"/>
    <n v="10.4"/>
    <x v="263"/>
    <n v="-328"/>
    <n v="552"/>
    <n v="-4.0650406504065036E-3"/>
    <s v="Oct-13"/>
    <x v="3"/>
    <n v="2.4117647058823528"/>
  </r>
  <r>
    <x v="10"/>
    <n v="21"/>
    <x v="3"/>
    <x v="1"/>
    <x v="2"/>
    <x v="35"/>
    <x v="0"/>
    <x v="1"/>
    <x v="2"/>
    <x v="6"/>
    <x v="103"/>
    <x v="9"/>
    <n v="20"/>
    <n v="30"/>
    <n v="50"/>
    <n v="17"/>
    <x v="103"/>
    <x v="6"/>
    <x v="119"/>
    <x v="227"/>
    <n v="1.05"/>
    <n v="-9"/>
    <x v="0"/>
    <n v="29.3"/>
    <x v="272"/>
    <n v="1155"/>
    <n v="85"/>
    <n v="7.636363636363637E-2"/>
    <s v="Oct-13"/>
    <x v="5"/>
    <n v="2.6190476190476191"/>
  </r>
  <r>
    <x v="9"/>
    <n v="39"/>
    <x v="3"/>
    <x v="1"/>
    <x v="3"/>
    <x v="13"/>
    <x v="0"/>
    <x v="1"/>
    <x v="11"/>
    <x v="6"/>
    <x v="55"/>
    <x v="8"/>
    <n v="10"/>
    <n v="20"/>
    <n v="40"/>
    <n v="39"/>
    <x v="55"/>
    <x v="6"/>
    <x v="45"/>
    <x v="120"/>
    <n v="3.9"/>
    <n v="1"/>
    <x v="0"/>
    <n v="18.95"/>
    <x v="270"/>
    <n v="2058"/>
    <n v="468"/>
    <n v="1.7857142857142856E-2"/>
    <s v="Oct-13"/>
    <x v="5"/>
    <n v="2.5128205128205128"/>
  </r>
  <r>
    <x v="30"/>
    <n v="46"/>
    <x v="3"/>
    <x v="1"/>
    <x v="3"/>
    <x v="10"/>
    <x v="0"/>
    <x v="1"/>
    <x v="11"/>
    <x v="43"/>
    <x v="10"/>
    <x v="14"/>
    <n v="20"/>
    <n v="30"/>
    <n v="50"/>
    <n v="36"/>
    <x v="10"/>
    <x v="43"/>
    <x v="107"/>
    <x v="84"/>
    <n v="2.2999999999999998"/>
    <n v="16"/>
    <x v="0"/>
    <n v="28.466666666666665"/>
    <x v="273"/>
    <n v="5520"/>
    <n v="504"/>
    <n v="2.7380952380952381E-2"/>
    <s v="Oct-13"/>
    <x v="5"/>
    <n v="2.6086956521739131"/>
  </r>
  <r>
    <x v="8"/>
    <n v="22"/>
    <x v="4"/>
    <x v="1"/>
    <x v="3"/>
    <x v="29"/>
    <x v="1"/>
    <x v="2"/>
    <x v="4"/>
    <x v="65"/>
    <x v="94"/>
    <x v="7"/>
    <n v="20"/>
    <n v="20"/>
    <n v="50"/>
    <n v="17"/>
    <x v="94"/>
    <x v="65"/>
    <x v="91"/>
    <x v="156"/>
    <n v="1.1000000000000001"/>
    <n v="5"/>
    <x v="0"/>
    <n v="18.75"/>
    <x v="274"/>
    <n v="1500"/>
    <n v="101.99999999999999"/>
    <n v="6.9444444444444448E-2"/>
    <s v="Nov-13"/>
    <x v="3"/>
    <n v="2.7272727272727271"/>
  </r>
  <r>
    <x v="39"/>
    <n v="34"/>
    <x v="4"/>
    <x v="1"/>
    <x v="1"/>
    <x v="13"/>
    <x v="1"/>
    <x v="2"/>
    <x v="9"/>
    <x v="15"/>
    <x v="24"/>
    <x v="17"/>
    <n v="20"/>
    <n v="-10"/>
    <n v="50"/>
    <n v="46"/>
    <x v="24"/>
    <x v="15"/>
    <x v="10"/>
    <x v="149"/>
    <n v="1.7"/>
    <n v="4"/>
    <x v="0"/>
    <n v="-10.6"/>
    <x v="275"/>
    <n v="-486"/>
    <n v="552"/>
    <n v="-6.1728395061728392E-3"/>
    <s v="Nov-13"/>
    <x v="0"/>
    <n v="2.3823529411764706"/>
  </r>
  <r>
    <x v="16"/>
    <n v="22"/>
    <x v="4"/>
    <x v="1"/>
    <x v="3"/>
    <x v="7"/>
    <x v="1"/>
    <x v="2"/>
    <x v="9"/>
    <x v="38"/>
    <x v="103"/>
    <x v="14"/>
    <n v="20"/>
    <n v="20"/>
    <n v="50"/>
    <n v="19"/>
    <x v="103"/>
    <x v="38"/>
    <x v="56"/>
    <x v="177"/>
    <n v="1.1000000000000001"/>
    <n v="-4"/>
    <x v="0"/>
    <n v="19.2"/>
    <x v="205"/>
    <n v="880"/>
    <n v="133"/>
    <n v="4.1558441558441558E-2"/>
    <s v="Nov-13"/>
    <x v="3"/>
    <n v="2.5"/>
  </r>
  <r>
    <x v="10"/>
    <n v="33"/>
    <x v="4"/>
    <x v="1"/>
    <x v="2"/>
    <x v="13"/>
    <x v="0"/>
    <x v="0"/>
    <x v="0"/>
    <x v="15"/>
    <x v="95"/>
    <x v="9"/>
    <n v="20"/>
    <n v="0"/>
    <n v="50"/>
    <n v="45"/>
    <x v="95"/>
    <x v="15"/>
    <x v="58"/>
    <x v="149"/>
    <n v="1.65"/>
    <n v="-6"/>
    <x v="0"/>
    <e v="#DIV/0!"/>
    <x v="170"/>
    <n v="-474"/>
    <n v="540"/>
    <n v="-6.3291139240506328E-3"/>
    <s v="Nov-13"/>
    <x v="2"/>
    <n v="2.393939393939394"/>
  </r>
  <r>
    <x v="39"/>
    <n v="29"/>
    <x v="4"/>
    <x v="1"/>
    <x v="1"/>
    <x v="18"/>
    <x v="0"/>
    <x v="0"/>
    <x v="0"/>
    <x v="7"/>
    <x v="8"/>
    <x v="17"/>
    <n v="20"/>
    <n v="10"/>
    <n v="50"/>
    <n v="30"/>
    <x v="8"/>
    <x v="7"/>
    <x v="8"/>
    <x v="179"/>
    <n v="1.45"/>
    <n v="-3"/>
    <x v="0"/>
    <n v="9.3000000000000007"/>
    <x v="8"/>
    <n v="476"/>
    <n v="240"/>
    <n v="1.2867647058823529E-2"/>
    <s v="Nov-13"/>
    <x v="1"/>
    <n v="2.3448275862068964"/>
  </r>
  <r>
    <x v="49"/>
    <n v="25"/>
    <x v="4"/>
    <x v="1"/>
    <x v="3"/>
    <x v="7"/>
    <x v="0"/>
    <x v="0"/>
    <x v="10"/>
    <x v="2"/>
    <x v="119"/>
    <x v="11"/>
    <n v="20"/>
    <n v="20"/>
    <n v="50"/>
    <n v="19"/>
    <x v="119"/>
    <x v="2"/>
    <x v="56"/>
    <x v="148"/>
    <n v="1.25"/>
    <n v="8"/>
    <x v="0"/>
    <n v="18.600000000000001"/>
    <x v="32"/>
    <n v="1876"/>
    <n v="133"/>
    <n v="5.9701492537313432E-2"/>
    <s v="Nov-13"/>
    <x v="3"/>
    <n v="2.68"/>
  </r>
  <r>
    <x v="10"/>
    <n v="15"/>
    <x v="4"/>
    <x v="1"/>
    <x v="2"/>
    <x v="36"/>
    <x v="0"/>
    <x v="1"/>
    <x v="2"/>
    <x v="14"/>
    <x v="120"/>
    <x v="9"/>
    <n v="10"/>
    <n v="20"/>
    <n v="40"/>
    <n v="16"/>
    <x v="120"/>
    <x v="14"/>
    <x v="121"/>
    <x v="7"/>
    <n v="1.5"/>
    <n v="-8"/>
    <x v="0"/>
    <n v="19.399999999999999"/>
    <x v="276"/>
    <n v="504"/>
    <n v="64"/>
    <n v="7.1428571428571425E-2"/>
    <s v="Nov-13"/>
    <x v="5"/>
    <n v="2.8"/>
  </r>
  <r>
    <x v="12"/>
    <n v="32"/>
    <x v="4"/>
    <x v="1"/>
    <x v="3"/>
    <x v="18"/>
    <x v="0"/>
    <x v="1"/>
    <x v="2"/>
    <x v="41"/>
    <x v="39"/>
    <x v="11"/>
    <n v="20"/>
    <n v="30"/>
    <n v="50"/>
    <n v="20"/>
    <x v="39"/>
    <x v="41"/>
    <x v="96"/>
    <x v="89"/>
    <n v="1.6"/>
    <n v="12"/>
    <x v="0"/>
    <n v="28.6"/>
    <x v="94"/>
    <n v="3570"/>
    <n v="160"/>
    <n v="6.1764705882352944E-2"/>
    <s v="Nov-13"/>
    <x v="5"/>
    <n v="2.65625"/>
  </r>
  <r>
    <x v="9"/>
    <n v="35"/>
    <x v="4"/>
    <x v="1"/>
    <x v="3"/>
    <x v="9"/>
    <x v="0"/>
    <x v="1"/>
    <x v="11"/>
    <x v="32"/>
    <x v="70"/>
    <x v="8"/>
    <n v="20"/>
    <n v="10"/>
    <n v="50"/>
    <n v="38"/>
    <x v="70"/>
    <x v="32"/>
    <x v="107"/>
    <x v="181"/>
    <n v="1.75"/>
    <n v="3"/>
    <x v="0"/>
    <n v="8.6999999999999993"/>
    <x v="195"/>
    <n v="1131"/>
    <n v="418"/>
    <n v="1.3584117032392895E-2"/>
    <s v="Nov-13"/>
    <x v="1"/>
    <n v="2.4857142857142858"/>
  </r>
  <r>
    <x v="9"/>
    <n v="34"/>
    <x v="4"/>
    <x v="1"/>
    <x v="3"/>
    <x v="13"/>
    <x v="0"/>
    <x v="1"/>
    <x v="3"/>
    <x v="64"/>
    <x v="24"/>
    <x v="8"/>
    <n v="20"/>
    <n v="0"/>
    <n v="50"/>
    <n v="45"/>
    <x v="24"/>
    <x v="64"/>
    <x v="58"/>
    <x v="128"/>
    <n v="1.7"/>
    <n v="-4"/>
    <x v="0"/>
    <e v="#DIV/0!"/>
    <x v="140"/>
    <n v="-324"/>
    <n v="540"/>
    <n v="-4.1152263374485592E-3"/>
    <s v="Nov-13"/>
    <x v="2"/>
    <n v="2.3823529411764706"/>
  </r>
  <r>
    <x v="79"/>
    <n v="24"/>
    <x v="5"/>
    <x v="0"/>
    <x v="2"/>
    <x v="7"/>
    <x v="0"/>
    <x v="0"/>
    <x v="10"/>
    <x v="47"/>
    <x v="94"/>
    <x v="2"/>
    <n v="10"/>
    <n v="20"/>
    <n v="40"/>
    <n v="20"/>
    <x v="94"/>
    <x v="47"/>
    <x v="74"/>
    <x v="70"/>
    <n v="2.4"/>
    <n v="-2"/>
    <x v="0"/>
    <n v="19.100000000000001"/>
    <x v="179"/>
    <n v="1080"/>
    <n v="140"/>
    <n v="4.2857142857142858E-2"/>
    <s v="Dec-13"/>
    <x v="5"/>
    <n v="2.5"/>
  </r>
  <r>
    <x v="39"/>
    <n v="38"/>
    <x v="5"/>
    <x v="1"/>
    <x v="1"/>
    <x v="13"/>
    <x v="1"/>
    <x v="2"/>
    <x v="4"/>
    <x v="47"/>
    <x v="104"/>
    <x v="17"/>
    <n v="30"/>
    <n v="0"/>
    <n v="60"/>
    <n v="39"/>
    <x v="104"/>
    <x v="47"/>
    <x v="45"/>
    <x v="186"/>
    <n v="1.2666666666666666"/>
    <n v="18"/>
    <x v="0"/>
    <e v="#DIV/0!"/>
    <x v="40"/>
    <n v="1710"/>
    <n v="468"/>
    <n v="1.5789473684210527E-2"/>
    <s v="Dec-13"/>
    <x v="0"/>
    <n v="2.5"/>
  </r>
  <r>
    <x v="8"/>
    <n v="23"/>
    <x v="5"/>
    <x v="1"/>
    <x v="3"/>
    <x v="29"/>
    <x v="1"/>
    <x v="2"/>
    <x v="4"/>
    <x v="65"/>
    <x v="89"/>
    <x v="7"/>
    <n v="20"/>
    <n v="20"/>
    <n v="50"/>
    <n v="18"/>
    <x v="89"/>
    <x v="65"/>
    <x v="102"/>
    <x v="156"/>
    <n v="1.1499999999999999"/>
    <n v="5"/>
    <x v="0"/>
    <n v="18.75"/>
    <x v="180"/>
    <n v="1550"/>
    <n v="107.99999999999999"/>
    <n v="6.7204301075268827E-2"/>
    <s v="Dec-13"/>
    <x v="3"/>
    <n v="2.6956521739130435"/>
  </r>
  <r>
    <x v="46"/>
    <n v="16"/>
    <x v="5"/>
    <x v="1"/>
    <x v="0"/>
    <x v="36"/>
    <x v="1"/>
    <x v="3"/>
    <x v="6"/>
    <x v="25"/>
    <x v="121"/>
    <x v="4"/>
    <n v="10"/>
    <n v="20"/>
    <n v="40"/>
    <n v="15"/>
    <x v="121"/>
    <x v="25"/>
    <x v="122"/>
    <x v="110"/>
    <n v="1.6"/>
    <n v="-5"/>
    <x v="0"/>
    <n v="19.25"/>
    <x v="277"/>
    <n v="660"/>
    <n v="60"/>
    <n v="8.5227272727272721E-2"/>
    <s v="Dec-13"/>
    <x v="5"/>
    <n v="2.75"/>
  </r>
  <r>
    <x v="77"/>
    <n v="31"/>
    <x v="5"/>
    <x v="1"/>
    <x v="0"/>
    <x v="8"/>
    <x v="1"/>
    <x v="3"/>
    <x v="7"/>
    <x v="14"/>
    <x v="83"/>
    <x v="4"/>
    <n v="30"/>
    <n v="10"/>
    <n v="60"/>
    <n v="30"/>
    <x v="83"/>
    <x v="14"/>
    <x v="9"/>
    <x v="155"/>
    <n v="1.0333333333333334"/>
    <n v="2"/>
    <x v="0"/>
    <n v="8.8000000000000007"/>
    <x v="179"/>
    <n v="888"/>
    <n v="270"/>
    <n v="1.8018018018018018E-2"/>
    <s v="Dec-13"/>
    <x v="2"/>
    <n v="2.3870967741935485"/>
  </r>
  <r>
    <x v="10"/>
    <n v="20"/>
    <x v="5"/>
    <x v="1"/>
    <x v="2"/>
    <x v="7"/>
    <x v="1"/>
    <x v="2"/>
    <x v="12"/>
    <x v="91"/>
    <x v="122"/>
    <x v="9"/>
    <n v="10"/>
    <n v="0"/>
    <n v="40"/>
    <n v="41"/>
    <x v="122"/>
    <x v="91"/>
    <x v="16"/>
    <x v="229"/>
    <n v="2"/>
    <n v="-24"/>
    <x v="0"/>
    <e v="#DIV/0!"/>
    <x v="278"/>
    <n v="-1152"/>
    <n v="287"/>
    <n v="-7.1428571428571425E-2"/>
    <s v="Dec-13"/>
    <x v="1"/>
    <n v="2.4"/>
  </r>
  <r>
    <x v="28"/>
    <n v="29"/>
    <x v="5"/>
    <x v="1"/>
    <x v="1"/>
    <x v="18"/>
    <x v="1"/>
    <x v="2"/>
    <x v="8"/>
    <x v="18"/>
    <x v="25"/>
    <x v="6"/>
    <n v="20"/>
    <n v="20"/>
    <n v="50"/>
    <n v="20"/>
    <x v="25"/>
    <x v="18"/>
    <x v="74"/>
    <x v="90"/>
    <n v="1.45"/>
    <n v="16"/>
    <x v="0"/>
    <n v="18.2"/>
    <x v="279"/>
    <n v="2808"/>
    <n v="160"/>
    <n v="5.7692307692307696E-2"/>
    <s v="Dec-13"/>
    <x v="3"/>
    <n v="2.6896551724137931"/>
  </r>
  <r>
    <x v="32"/>
    <n v="24"/>
    <x v="5"/>
    <x v="1"/>
    <x v="3"/>
    <x v="7"/>
    <x v="1"/>
    <x v="2"/>
    <x v="9"/>
    <x v="60"/>
    <x v="94"/>
    <x v="14"/>
    <n v="20"/>
    <n v="20"/>
    <n v="50"/>
    <n v="19"/>
    <x v="94"/>
    <x v="60"/>
    <x v="67"/>
    <x v="21"/>
    <n v="1.2"/>
    <n v="-1"/>
    <x v="0"/>
    <n v="19.05"/>
    <x v="210"/>
    <n v="1140"/>
    <n v="133"/>
    <n v="4.5238095238095237E-2"/>
    <s v="Dec-13"/>
    <x v="3"/>
    <n v="2.5"/>
  </r>
  <r>
    <x v="12"/>
    <n v="24"/>
    <x v="5"/>
    <x v="1"/>
    <x v="3"/>
    <x v="29"/>
    <x v="0"/>
    <x v="0"/>
    <x v="10"/>
    <x v="2"/>
    <x v="98"/>
    <x v="11"/>
    <n v="20"/>
    <n v="20"/>
    <n v="50"/>
    <n v="17"/>
    <x v="98"/>
    <x v="2"/>
    <x v="95"/>
    <x v="106"/>
    <n v="1.2"/>
    <n v="8"/>
    <x v="0"/>
    <n v="18.600000000000001"/>
    <x v="280"/>
    <n v="1792"/>
    <n v="102"/>
    <n v="7.2916666666666671E-2"/>
    <s v="Dec-13"/>
    <x v="3"/>
    <n v="2.6666666666666665"/>
  </r>
  <r>
    <x v="10"/>
    <n v="16"/>
    <x v="5"/>
    <x v="1"/>
    <x v="2"/>
    <x v="36"/>
    <x v="0"/>
    <x v="1"/>
    <x v="2"/>
    <x v="25"/>
    <x v="121"/>
    <x v="9"/>
    <n v="10"/>
    <n v="20"/>
    <n v="40"/>
    <n v="15"/>
    <x v="121"/>
    <x v="25"/>
    <x v="122"/>
    <x v="110"/>
    <n v="1.6"/>
    <n v="-5"/>
    <x v="0"/>
    <n v="19.25"/>
    <x v="277"/>
    <n v="660"/>
    <n v="60"/>
    <n v="8.5227272727272721E-2"/>
    <s v="Dec-13"/>
    <x v="5"/>
    <n v="2.75"/>
  </r>
  <r>
    <x v="49"/>
    <n v="29"/>
    <x v="5"/>
    <x v="1"/>
    <x v="3"/>
    <x v="18"/>
    <x v="0"/>
    <x v="1"/>
    <x v="2"/>
    <x v="8"/>
    <x v="25"/>
    <x v="11"/>
    <n v="20"/>
    <n v="30"/>
    <n v="50"/>
    <n v="19"/>
    <x v="25"/>
    <x v="8"/>
    <x v="67"/>
    <x v="182"/>
    <n v="1.45"/>
    <n v="7"/>
    <x v="0"/>
    <n v="28.766666666666666"/>
    <x v="207"/>
    <n v="2886"/>
    <n v="152"/>
    <n v="5.9294871794871792E-2"/>
    <s v="Dec-13"/>
    <x v="5"/>
    <n v="2.6896551724137931"/>
  </r>
  <r>
    <x v="18"/>
    <n v="76"/>
    <x v="0"/>
    <x v="0"/>
    <x v="1"/>
    <x v="28"/>
    <x v="1"/>
    <x v="2"/>
    <x v="4"/>
    <x v="92"/>
    <x v="76"/>
    <x v="1"/>
    <n v="40"/>
    <n v="80"/>
    <n v="120"/>
    <n v="33"/>
    <x v="76"/>
    <x v="92"/>
    <x v="26"/>
    <x v="230"/>
    <n v="1.9"/>
    <n v="-2"/>
    <x v="0"/>
    <n v="79.025000000000006"/>
    <x v="281"/>
    <n v="14586"/>
    <n v="693"/>
    <n v="1.9862490450725745E-2"/>
    <s v="Oct-12"/>
    <x v="1"/>
    <n v="2.4605263157894739"/>
  </r>
  <r>
    <x v="99"/>
    <n v="52"/>
    <x v="0"/>
    <x v="0"/>
    <x v="1"/>
    <x v="1"/>
    <x v="0"/>
    <x v="0"/>
    <x v="10"/>
    <x v="1"/>
    <x v="1"/>
    <x v="1"/>
    <n v="30"/>
    <n v="70"/>
    <n v="110"/>
    <n v="45"/>
    <x v="1"/>
    <x v="1"/>
    <x v="1"/>
    <x v="1"/>
    <n v="1.7333333333333334"/>
    <n v="-44"/>
    <x v="0"/>
    <n v="69.628571428571433"/>
    <x v="1"/>
    <n v="3198"/>
    <n v="765"/>
    <n v="1.2434241989478718E-2"/>
    <s v="Oct-12"/>
    <x v="1"/>
    <n v="2.3653846153846154"/>
  </r>
  <r>
    <x v="111"/>
    <n v="76"/>
    <x v="0"/>
    <x v="0"/>
    <x v="0"/>
    <x v="28"/>
    <x v="0"/>
    <x v="1"/>
    <x v="2"/>
    <x v="92"/>
    <x v="76"/>
    <x v="16"/>
    <n v="50"/>
    <n v="80"/>
    <n v="130"/>
    <n v="33"/>
    <x v="76"/>
    <x v="92"/>
    <x v="26"/>
    <x v="230"/>
    <n v="1.52"/>
    <n v="-2"/>
    <x v="0"/>
    <n v="79.025000000000006"/>
    <x v="281"/>
    <n v="14586"/>
    <n v="693"/>
    <n v="1.9862490450725745E-2"/>
    <s v="Oct-12"/>
    <x v="2"/>
    <n v="2.4605263157894739"/>
  </r>
  <r>
    <x v="24"/>
    <n v="72"/>
    <x v="0"/>
    <x v="0"/>
    <x v="0"/>
    <x v="4"/>
    <x v="0"/>
    <x v="1"/>
    <x v="11"/>
    <x v="45"/>
    <x v="4"/>
    <x v="16"/>
    <n v="50"/>
    <n v="50"/>
    <n v="130"/>
    <n v="55"/>
    <x v="4"/>
    <x v="45"/>
    <x v="0"/>
    <x v="188"/>
    <n v="1.44"/>
    <n v="5"/>
    <x v="0"/>
    <n v="48.9"/>
    <x v="215"/>
    <n v="10010"/>
    <n v="1265"/>
    <n v="1.3139034878165312E-2"/>
    <s v="Oct-12"/>
    <x v="6"/>
    <n v="2.5277777777777777"/>
  </r>
  <r>
    <x v="95"/>
    <n v="65"/>
    <x v="0"/>
    <x v="1"/>
    <x v="0"/>
    <x v="14"/>
    <x v="1"/>
    <x v="3"/>
    <x v="5"/>
    <x v="3"/>
    <x v="64"/>
    <x v="12"/>
    <n v="50"/>
    <n v="70"/>
    <n v="130"/>
    <n v="42"/>
    <x v="64"/>
    <x v="3"/>
    <x v="33"/>
    <x v="120"/>
    <n v="1.3"/>
    <n v="-35"/>
    <x v="0"/>
    <n v="69.5"/>
    <x v="131"/>
    <n v="4970"/>
    <n v="840"/>
    <n v="1.232394366197183E-2"/>
    <s v="Oct-12"/>
    <x v="0"/>
    <n v="2.1846153846153844"/>
  </r>
  <r>
    <x v="95"/>
    <n v="32"/>
    <x v="0"/>
    <x v="1"/>
    <x v="0"/>
    <x v="18"/>
    <x v="1"/>
    <x v="2"/>
    <x v="4"/>
    <x v="2"/>
    <x v="95"/>
    <x v="12"/>
    <n v="30"/>
    <n v="80"/>
    <n v="110"/>
    <n v="19"/>
    <x v="95"/>
    <x v="2"/>
    <x v="57"/>
    <x v="3"/>
    <n v="1.0666666666666667"/>
    <n v="-52"/>
    <x v="0"/>
    <n v="79.650000000000006"/>
    <x v="32"/>
    <n v="2212"/>
    <n v="152"/>
    <n v="4.4303797468354431E-2"/>
    <s v="Oct-12"/>
    <x v="3"/>
    <n v="2.46875"/>
  </r>
  <r>
    <x v="47"/>
    <n v="82"/>
    <x v="0"/>
    <x v="1"/>
    <x v="1"/>
    <x v="15"/>
    <x v="1"/>
    <x v="2"/>
    <x v="4"/>
    <x v="56"/>
    <x v="17"/>
    <x v="6"/>
    <n v="50"/>
    <n v="60"/>
    <n v="130"/>
    <n v="58"/>
    <x v="17"/>
    <x v="56"/>
    <x v="65"/>
    <x v="231"/>
    <n v="1.64"/>
    <n v="5"/>
    <x v="0"/>
    <n v="58.916666666666664"/>
    <x v="282"/>
    <n v="13325"/>
    <n v="1566"/>
    <n v="1.1743450767841012E-2"/>
    <s v="Oct-12"/>
    <x v="7"/>
    <n v="2.5"/>
  </r>
  <r>
    <x v="65"/>
    <n v="56"/>
    <x v="0"/>
    <x v="1"/>
    <x v="0"/>
    <x v="28"/>
    <x v="1"/>
    <x v="3"/>
    <x v="6"/>
    <x v="25"/>
    <x v="53"/>
    <x v="13"/>
    <n v="40"/>
    <n v="50"/>
    <n v="120"/>
    <n v="55"/>
    <x v="53"/>
    <x v="25"/>
    <x v="54"/>
    <x v="232"/>
    <n v="1.4"/>
    <n v="-35"/>
    <x v="0"/>
    <n v="49.7"/>
    <x v="283"/>
    <n v="1890"/>
    <n v="1155"/>
    <n v="5.6689342403628117E-3"/>
    <s v="Oct-12"/>
    <x v="7"/>
    <n v="2.25"/>
  </r>
  <r>
    <x v="47"/>
    <n v="91"/>
    <x v="0"/>
    <x v="1"/>
    <x v="1"/>
    <x v="16"/>
    <x v="1"/>
    <x v="2"/>
    <x v="9"/>
    <x v="20"/>
    <x v="18"/>
    <x v="6"/>
    <n v="50"/>
    <n v="70"/>
    <n v="130"/>
    <n v="51"/>
    <x v="18"/>
    <x v="20"/>
    <x v="19"/>
    <x v="21"/>
    <n v="1.82"/>
    <n v="6"/>
    <x v="0"/>
    <n v="68.914285714285711"/>
    <x v="21"/>
    <n v="16568"/>
    <n v="1428"/>
    <n v="1.2450851900393186E-2"/>
    <s v="Oct-12"/>
    <x v="0"/>
    <n v="2.3956043956043955"/>
  </r>
  <r>
    <x v="112"/>
    <n v="60"/>
    <x v="0"/>
    <x v="1"/>
    <x v="0"/>
    <x v="31"/>
    <x v="0"/>
    <x v="0"/>
    <x v="10"/>
    <x v="67"/>
    <x v="80"/>
    <x v="13"/>
    <n v="40"/>
    <n v="80"/>
    <n v="120"/>
    <n v="42"/>
    <x v="80"/>
    <x v="67"/>
    <x v="81"/>
    <x v="122"/>
    <n v="1.5"/>
    <n v="-23"/>
    <x v="0"/>
    <n v="79.287499999999994"/>
    <x v="133"/>
    <n v="9063"/>
    <n v="756"/>
    <n v="1.9916142557651992E-2"/>
    <s v="Oct-12"/>
    <x v="1"/>
    <n v="2.65"/>
  </r>
  <r>
    <x v="83"/>
    <n v="55"/>
    <x v="1"/>
    <x v="0"/>
    <x v="0"/>
    <x v="14"/>
    <x v="1"/>
    <x v="2"/>
    <x v="4"/>
    <x v="38"/>
    <x v="21"/>
    <x v="18"/>
    <n v="70"/>
    <n v="40"/>
    <n v="150"/>
    <n v="53"/>
    <x v="21"/>
    <x v="38"/>
    <x v="13"/>
    <x v="196"/>
    <n v="0.7857142857142857"/>
    <n v="-24"/>
    <x v="0"/>
    <n v="39.6"/>
    <x v="224"/>
    <n v="1984"/>
    <n v="1060"/>
    <n v="6.4516129032258064E-3"/>
    <s v="Nov-12"/>
    <x v="8"/>
    <n v="2.2545454545454544"/>
  </r>
  <r>
    <x v="87"/>
    <n v="59"/>
    <x v="1"/>
    <x v="0"/>
    <x v="0"/>
    <x v="27"/>
    <x v="1"/>
    <x v="3"/>
    <x v="6"/>
    <x v="9"/>
    <x v="105"/>
    <x v="18"/>
    <n v="50"/>
    <n v="50"/>
    <n v="130"/>
    <n v="46"/>
    <x v="105"/>
    <x v="9"/>
    <x v="123"/>
    <x v="233"/>
    <n v="1.18"/>
    <n v="-17"/>
    <x v="0"/>
    <n v="49.34"/>
    <x v="284"/>
    <n v="4554"/>
    <n v="874"/>
    <n v="1.2585812356979406E-2"/>
    <s v="Nov-12"/>
    <x v="6"/>
    <n v="2.3389830508474576"/>
  </r>
  <r>
    <x v="73"/>
    <n v="75"/>
    <x v="1"/>
    <x v="0"/>
    <x v="3"/>
    <x v="23"/>
    <x v="0"/>
    <x v="1"/>
    <x v="3"/>
    <x v="93"/>
    <x v="90"/>
    <x v="3"/>
    <n v="50"/>
    <n v="40"/>
    <n v="130"/>
    <n v="55"/>
    <x v="90"/>
    <x v="93"/>
    <x v="83"/>
    <x v="234"/>
    <n v="1.5"/>
    <n v="19"/>
    <x v="0"/>
    <n v="38.524999999999999"/>
    <x v="285"/>
    <n v="11151"/>
    <n v="1320"/>
    <n v="1.3007054673721341E-2"/>
    <s v="Nov-12"/>
    <x v="9"/>
    <n v="2.52"/>
  </r>
  <r>
    <x v="26"/>
    <n v="69"/>
    <x v="1"/>
    <x v="1"/>
    <x v="0"/>
    <x v="28"/>
    <x v="1"/>
    <x v="3"/>
    <x v="5"/>
    <x v="68"/>
    <x v="61"/>
    <x v="12"/>
    <n v="60"/>
    <n v="40"/>
    <n v="140"/>
    <n v="43"/>
    <x v="61"/>
    <x v="68"/>
    <x v="85"/>
    <x v="129"/>
    <n v="1.1499999999999999"/>
    <n v="-2"/>
    <x v="0"/>
    <n v="39.049999999999997"/>
    <x v="142"/>
    <n v="5700"/>
    <n v="903"/>
    <n v="1.2063492063492064E-2"/>
    <s v="Nov-12"/>
    <x v="10"/>
    <n v="2.1739130434782608"/>
  </r>
  <r>
    <x v="12"/>
    <n v="46"/>
    <x v="1"/>
    <x v="1"/>
    <x v="3"/>
    <x v="10"/>
    <x v="1"/>
    <x v="3"/>
    <x v="5"/>
    <x v="71"/>
    <x v="11"/>
    <x v="11"/>
    <n v="50"/>
    <n v="50"/>
    <n v="130"/>
    <n v="36"/>
    <x v="11"/>
    <x v="71"/>
    <x v="90"/>
    <x v="177"/>
    <n v="0.92"/>
    <n v="-18"/>
    <x v="0"/>
    <n v="49.36"/>
    <x v="220"/>
    <n v="3648"/>
    <n v="504"/>
    <n v="2.0050125313283207E-2"/>
    <s v="Nov-12"/>
    <x v="6"/>
    <n v="2.4782608695652173"/>
  </r>
  <r>
    <x v="32"/>
    <n v="75"/>
    <x v="1"/>
    <x v="1"/>
    <x v="3"/>
    <x v="4"/>
    <x v="1"/>
    <x v="2"/>
    <x v="4"/>
    <x v="16"/>
    <x v="20"/>
    <x v="14"/>
    <n v="70"/>
    <n v="40"/>
    <n v="150"/>
    <n v="44"/>
    <x v="20"/>
    <x v="16"/>
    <x v="63"/>
    <x v="235"/>
    <n v="1.0714285714285714"/>
    <n v="5"/>
    <x v="0"/>
    <n v="38.875"/>
    <x v="26"/>
    <n v="7380"/>
    <n v="1012"/>
    <n v="1.193001060445387E-2"/>
    <s v="Nov-12"/>
    <x v="8"/>
    <n v="2.1866666666666665"/>
  </r>
  <r>
    <x v="31"/>
    <n v="61"/>
    <x v="1"/>
    <x v="1"/>
    <x v="2"/>
    <x v="21"/>
    <x v="1"/>
    <x v="2"/>
    <x v="8"/>
    <x v="80"/>
    <x v="32"/>
    <x v="5"/>
    <n v="60"/>
    <n v="10"/>
    <n v="140"/>
    <n v="84"/>
    <x v="32"/>
    <x v="80"/>
    <x v="113"/>
    <x v="198"/>
    <n v="1.0166666666666666"/>
    <n v="-8"/>
    <x v="0"/>
    <n v="9.8000000000000007"/>
    <x v="226"/>
    <n v="294"/>
    <n v="4620"/>
    <n v="2.4737167594310452E-4"/>
    <s v="Nov-12"/>
    <x v="13"/>
    <n v="2.4098360655737703"/>
  </r>
  <r>
    <x v="29"/>
    <n v="47"/>
    <x v="1"/>
    <x v="1"/>
    <x v="1"/>
    <x v="2"/>
    <x v="1"/>
    <x v="3"/>
    <x v="7"/>
    <x v="24"/>
    <x v="30"/>
    <x v="10"/>
    <n v="50"/>
    <n v="60"/>
    <n v="130"/>
    <n v="24"/>
    <x v="30"/>
    <x v="24"/>
    <x v="37"/>
    <x v="38"/>
    <n v="0.94"/>
    <n v="-16"/>
    <x v="0"/>
    <n v="59.266666666666666"/>
    <x v="41"/>
    <n v="5060"/>
    <n v="312"/>
    <n v="2.9431438127090301E-2"/>
    <s v="Nov-12"/>
    <x v="7"/>
    <n v="2.4468085106382977"/>
  </r>
  <r>
    <x v="49"/>
    <n v="52"/>
    <x v="1"/>
    <x v="1"/>
    <x v="3"/>
    <x v="17"/>
    <x v="1"/>
    <x v="3"/>
    <x v="6"/>
    <x v="64"/>
    <x v="22"/>
    <x v="11"/>
    <n v="60"/>
    <n v="10"/>
    <n v="140"/>
    <n v="77"/>
    <x v="22"/>
    <x v="64"/>
    <x v="111"/>
    <x v="194"/>
    <n v="0.8666666666666667"/>
    <n v="-14"/>
    <x v="0"/>
    <n v="10.4"/>
    <x v="221"/>
    <n v="-500"/>
    <n v="3619"/>
    <n v="-6.8085106382978727E-4"/>
    <s v="Nov-12"/>
    <x v="13"/>
    <n v="2.4038461538461537"/>
  </r>
  <r>
    <x v="9"/>
    <n v="53"/>
    <x v="1"/>
    <x v="1"/>
    <x v="3"/>
    <x v="1"/>
    <x v="1"/>
    <x v="3"/>
    <x v="7"/>
    <x v="22"/>
    <x v="21"/>
    <x v="8"/>
    <n v="60"/>
    <n v="50"/>
    <n v="140"/>
    <n v="44"/>
    <x v="21"/>
    <x v="22"/>
    <x v="1"/>
    <x v="190"/>
    <n v="0.8833333333333333"/>
    <n v="-23"/>
    <x v="0"/>
    <n v="49.46"/>
    <x v="91"/>
    <n v="3348"/>
    <n v="748"/>
    <n v="1.2808349146110056E-2"/>
    <s v="Nov-12"/>
    <x v="9"/>
    <n v="2.3396226415094339"/>
  </r>
  <r>
    <x v="12"/>
    <n v="59"/>
    <x v="1"/>
    <x v="1"/>
    <x v="3"/>
    <x v="27"/>
    <x v="1"/>
    <x v="2"/>
    <x v="8"/>
    <x v="9"/>
    <x v="105"/>
    <x v="11"/>
    <n v="50"/>
    <n v="50"/>
    <n v="130"/>
    <n v="46"/>
    <x v="105"/>
    <x v="9"/>
    <x v="123"/>
    <x v="233"/>
    <n v="1.18"/>
    <n v="-17"/>
    <x v="0"/>
    <n v="49.34"/>
    <x v="284"/>
    <n v="4554"/>
    <n v="874"/>
    <n v="1.2585812356979406E-2"/>
    <s v="Nov-12"/>
    <x v="6"/>
    <n v="2.3389830508474576"/>
  </r>
  <r>
    <x v="41"/>
    <n v="53"/>
    <x v="1"/>
    <x v="1"/>
    <x v="0"/>
    <x v="20"/>
    <x v="0"/>
    <x v="0"/>
    <x v="10"/>
    <x v="21"/>
    <x v="29"/>
    <x v="13"/>
    <n v="50"/>
    <n v="50"/>
    <n v="130"/>
    <n v="40"/>
    <x v="29"/>
    <x v="21"/>
    <x v="73"/>
    <x v="7"/>
    <n v="1.06"/>
    <n v="-2"/>
    <x v="0"/>
    <n v="49.04"/>
    <x v="286"/>
    <n v="6768"/>
    <n v="640"/>
    <n v="2.1276595744680851E-2"/>
    <s v="Nov-12"/>
    <x v="6"/>
    <n v="2.6603773584905661"/>
  </r>
  <r>
    <x v="67"/>
    <n v="54"/>
    <x v="1"/>
    <x v="1"/>
    <x v="2"/>
    <x v="6"/>
    <x v="0"/>
    <x v="1"/>
    <x v="2"/>
    <x v="94"/>
    <x v="57"/>
    <x v="5"/>
    <n v="50"/>
    <n v="60"/>
    <n v="130"/>
    <n v="27"/>
    <x v="57"/>
    <x v="94"/>
    <x v="40"/>
    <x v="236"/>
    <n v="1.08"/>
    <n v="-9"/>
    <x v="0"/>
    <n v="59.15"/>
    <x v="287"/>
    <n v="6732"/>
    <n v="405"/>
    <n v="2.5757575757575757E-2"/>
    <s v="Nov-12"/>
    <x v="7"/>
    <n v="2.4444444444444446"/>
  </r>
  <r>
    <x v="113"/>
    <n v="46"/>
    <x v="2"/>
    <x v="0"/>
    <x v="0"/>
    <x v="1"/>
    <x v="1"/>
    <x v="2"/>
    <x v="4"/>
    <x v="70"/>
    <x v="84"/>
    <x v="18"/>
    <n v="50"/>
    <n v="40"/>
    <n v="130"/>
    <n v="51"/>
    <x v="84"/>
    <x v="70"/>
    <x v="1"/>
    <x v="132"/>
    <n v="0.92"/>
    <n v="-34"/>
    <x v="0"/>
    <n v="39.85"/>
    <x v="129"/>
    <n v="618"/>
    <n v="867"/>
    <n v="3.4266133637921191E-3"/>
    <s v="Dec-12"/>
    <x v="9"/>
    <n v="2.2391304347826089"/>
  </r>
  <r>
    <x v="89"/>
    <n v="67"/>
    <x v="2"/>
    <x v="0"/>
    <x v="0"/>
    <x v="34"/>
    <x v="0"/>
    <x v="1"/>
    <x v="11"/>
    <x v="17"/>
    <x v="107"/>
    <x v="16"/>
    <n v="50"/>
    <n v="40"/>
    <n v="130"/>
    <n v="54"/>
    <x v="107"/>
    <x v="17"/>
    <x v="72"/>
    <x v="199"/>
    <n v="1.34"/>
    <n v="7"/>
    <x v="0"/>
    <n v="38.825000000000003"/>
    <x v="227"/>
    <n v="7896"/>
    <n v="1188"/>
    <n v="1.2716450216450216E-2"/>
    <s v="Dec-12"/>
    <x v="9"/>
    <n v="2.5074626865671643"/>
  </r>
  <r>
    <x v="114"/>
    <n v="54"/>
    <x v="2"/>
    <x v="0"/>
    <x v="2"/>
    <x v="6"/>
    <x v="0"/>
    <x v="1"/>
    <x v="3"/>
    <x v="33"/>
    <x v="33"/>
    <x v="19"/>
    <n v="50"/>
    <n v="60"/>
    <n v="130"/>
    <n v="27"/>
    <x v="33"/>
    <x v="33"/>
    <x v="40"/>
    <x v="41"/>
    <n v="1.08"/>
    <n v="-8"/>
    <x v="0"/>
    <n v="59.133333333333333"/>
    <x v="45"/>
    <n v="6916"/>
    <n v="405"/>
    <n v="2.606516290726817E-2"/>
    <s v="Dec-12"/>
    <x v="7"/>
    <n v="2.4629629629629628"/>
  </r>
  <r>
    <x v="115"/>
    <n v="67"/>
    <x v="2"/>
    <x v="0"/>
    <x v="3"/>
    <x v="34"/>
    <x v="0"/>
    <x v="1"/>
    <x v="3"/>
    <x v="17"/>
    <x v="107"/>
    <x v="3"/>
    <n v="40"/>
    <n v="50"/>
    <n v="120"/>
    <n v="54"/>
    <x v="107"/>
    <x v="17"/>
    <x v="72"/>
    <x v="199"/>
    <n v="1.675"/>
    <n v="-3"/>
    <x v="0"/>
    <n v="49.06"/>
    <x v="227"/>
    <n v="7896"/>
    <n v="1188"/>
    <n v="1.2716450216450216E-2"/>
    <s v="Dec-12"/>
    <x v="7"/>
    <n v="2.5074626865671643"/>
  </r>
  <r>
    <x v="12"/>
    <n v="41"/>
    <x v="2"/>
    <x v="1"/>
    <x v="3"/>
    <x v="2"/>
    <x v="1"/>
    <x v="3"/>
    <x v="5"/>
    <x v="65"/>
    <x v="38"/>
    <x v="11"/>
    <n v="40"/>
    <n v="50"/>
    <n v="120"/>
    <n v="35"/>
    <x v="38"/>
    <x v="65"/>
    <x v="82"/>
    <x v="237"/>
    <n v="1.0249999999999999"/>
    <n v="-25"/>
    <x v="0"/>
    <n v="49.5"/>
    <x v="288"/>
    <n v="2525"/>
    <n v="455"/>
    <n v="1.9040365575019039E-2"/>
    <s v="Dec-12"/>
    <x v="7"/>
    <n v="2.4634146341463414"/>
  </r>
  <r>
    <x v="65"/>
    <n v="65"/>
    <x v="2"/>
    <x v="1"/>
    <x v="0"/>
    <x v="23"/>
    <x v="1"/>
    <x v="3"/>
    <x v="6"/>
    <x v="57"/>
    <x v="36"/>
    <x v="13"/>
    <n v="60"/>
    <n v="30"/>
    <n v="140"/>
    <n v="58"/>
    <x v="36"/>
    <x v="57"/>
    <x v="49"/>
    <x v="173"/>
    <n v="1.0833333333333333"/>
    <n v="-8"/>
    <x v="0"/>
    <n v="29.266666666666666"/>
    <x v="47"/>
    <n v="3190"/>
    <n v="1392"/>
    <n v="6.32183908045977E-3"/>
    <s v="Dec-12"/>
    <x v="8"/>
    <n v="2.2307692307692308"/>
  </r>
  <r>
    <x v="12"/>
    <n v="47"/>
    <x v="2"/>
    <x v="1"/>
    <x v="3"/>
    <x v="22"/>
    <x v="1"/>
    <x v="3"/>
    <x v="6"/>
    <x v="11"/>
    <x v="34"/>
    <x v="11"/>
    <n v="50"/>
    <n v="20"/>
    <n v="130"/>
    <n v="72"/>
    <x v="34"/>
    <x v="11"/>
    <x v="63"/>
    <x v="14"/>
    <n v="0.94"/>
    <n v="-27"/>
    <x v="0"/>
    <n v="20.350000000000001"/>
    <x v="289"/>
    <n v="-784"/>
    <n v="3024"/>
    <n v="-1.488095238095238E-3"/>
    <s v="Dec-12"/>
    <x v="8"/>
    <n v="2.3829787234042552"/>
  </r>
  <r>
    <x v="15"/>
    <n v="49"/>
    <x v="2"/>
    <x v="1"/>
    <x v="3"/>
    <x v="20"/>
    <x v="1"/>
    <x v="3"/>
    <x v="7"/>
    <x v="6"/>
    <x v="11"/>
    <x v="8"/>
    <n v="50"/>
    <n v="50"/>
    <n v="130"/>
    <n v="44"/>
    <x v="11"/>
    <x v="6"/>
    <x v="73"/>
    <x v="200"/>
    <n v="0.98"/>
    <n v="-29"/>
    <x v="0"/>
    <n v="49.58"/>
    <x v="228"/>
    <n v="2394"/>
    <n v="704"/>
    <n v="1.1513157894736841E-2"/>
    <s v="Dec-12"/>
    <x v="6"/>
    <n v="2.3265306122448979"/>
  </r>
  <r>
    <x v="30"/>
    <n v="65"/>
    <x v="2"/>
    <x v="1"/>
    <x v="3"/>
    <x v="23"/>
    <x v="1"/>
    <x v="2"/>
    <x v="8"/>
    <x v="34"/>
    <x v="36"/>
    <x v="14"/>
    <n v="60"/>
    <n v="30"/>
    <n v="140"/>
    <n v="57"/>
    <x v="36"/>
    <x v="34"/>
    <x v="43"/>
    <x v="43"/>
    <n v="1.0833333333333333"/>
    <n v="-7"/>
    <x v="0"/>
    <n v="29.233333333333334"/>
    <x v="48"/>
    <n v="3335"/>
    <n v="1368"/>
    <n v="6.6091954022988505E-3"/>
    <s v="Dec-12"/>
    <x v="8"/>
    <n v="2.2307692307692308"/>
  </r>
  <r>
    <x v="38"/>
    <n v="68"/>
    <x v="2"/>
    <x v="1"/>
    <x v="1"/>
    <x v="26"/>
    <x v="0"/>
    <x v="0"/>
    <x v="0"/>
    <x v="1"/>
    <x v="43"/>
    <x v="10"/>
    <n v="60"/>
    <n v="30"/>
    <n v="140"/>
    <n v="59"/>
    <x v="43"/>
    <x v="1"/>
    <x v="0"/>
    <x v="238"/>
    <n v="1.1333333333333333"/>
    <n v="-4"/>
    <x v="0"/>
    <n v="29.133333333333333"/>
    <x v="290"/>
    <n v="3978"/>
    <n v="1475"/>
    <n v="6.7973856209150333E-3"/>
    <s v="Dec-12"/>
    <x v="8"/>
    <n v="2.25"/>
  </r>
  <r>
    <x v="116"/>
    <n v="76"/>
    <x v="3"/>
    <x v="0"/>
    <x v="1"/>
    <x v="28"/>
    <x v="1"/>
    <x v="2"/>
    <x v="4"/>
    <x v="95"/>
    <x v="87"/>
    <x v="1"/>
    <n v="40"/>
    <n v="80"/>
    <n v="120"/>
    <n v="33"/>
    <x v="87"/>
    <x v="95"/>
    <x v="25"/>
    <x v="239"/>
    <n v="1.9"/>
    <n v="36"/>
    <x v="0"/>
    <n v="78.55"/>
    <x v="291"/>
    <n v="23084"/>
    <n v="693"/>
    <n v="2.7757836803062933E-2"/>
    <s v="Oct-13"/>
    <x v="1"/>
    <n v="2.6184210526315788"/>
  </r>
  <r>
    <x v="60"/>
    <n v="52"/>
    <x v="3"/>
    <x v="0"/>
    <x v="1"/>
    <x v="1"/>
    <x v="0"/>
    <x v="0"/>
    <x v="10"/>
    <x v="40"/>
    <x v="41"/>
    <x v="1"/>
    <n v="30"/>
    <n v="70"/>
    <n v="110"/>
    <n v="45"/>
    <x v="41"/>
    <x v="40"/>
    <x v="36"/>
    <x v="61"/>
    <n v="1.7333333333333334"/>
    <n v="-31"/>
    <x v="0"/>
    <n v="69.442857142857136"/>
    <x v="65"/>
    <n v="5109"/>
    <n v="765"/>
    <n v="1.7512348450830714E-2"/>
    <s v="Oct-13"/>
    <x v="1"/>
    <n v="2.5192307692307692"/>
  </r>
  <r>
    <x v="117"/>
    <n v="76"/>
    <x v="3"/>
    <x v="0"/>
    <x v="0"/>
    <x v="28"/>
    <x v="0"/>
    <x v="1"/>
    <x v="2"/>
    <x v="95"/>
    <x v="87"/>
    <x v="16"/>
    <n v="50"/>
    <n v="80"/>
    <n v="130"/>
    <n v="33"/>
    <x v="87"/>
    <x v="95"/>
    <x v="25"/>
    <x v="239"/>
    <n v="1.52"/>
    <n v="36"/>
    <x v="0"/>
    <n v="78.55"/>
    <x v="291"/>
    <n v="23084"/>
    <n v="693"/>
    <n v="2.7757836803062933E-2"/>
    <s v="Oct-13"/>
    <x v="2"/>
    <n v="2.6184210526315788"/>
  </r>
  <r>
    <x v="117"/>
    <n v="72"/>
    <x v="3"/>
    <x v="0"/>
    <x v="0"/>
    <x v="4"/>
    <x v="0"/>
    <x v="1"/>
    <x v="11"/>
    <x v="87"/>
    <x v="47"/>
    <x v="16"/>
    <n v="50"/>
    <n v="50"/>
    <n v="130"/>
    <n v="55"/>
    <x v="47"/>
    <x v="87"/>
    <x v="85"/>
    <x v="205"/>
    <n v="1.44"/>
    <n v="32"/>
    <x v="0"/>
    <n v="48.36"/>
    <x v="234"/>
    <n v="15908"/>
    <n v="1265"/>
    <n v="1.8377409233527566E-2"/>
    <s v="Oct-13"/>
    <x v="6"/>
    <n v="2.6944444444444446"/>
  </r>
  <r>
    <x v="54"/>
    <n v="65"/>
    <x v="3"/>
    <x v="1"/>
    <x v="0"/>
    <x v="14"/>
    <x v="1"/>
    <x v="3"/>
    <x v="5"/>
    <x v="33"/>
    <x v="91"/>
    <x v="12"/>
    <n v="50"/>
    <n v="70"/>
    <n v="130"/>
    <n v="42"/>
    <x v="91"/>
    <x v="33"/>
    <x v="44"/>
    <x v="143"/>
    <n v="1.3"/>
    <n v="-18"/>
    <x v="0"/>
    <n v="69.257142857142853"/>
    <x v="162"/>
    <n v="7852"/>
    <n v="840"/>
    <n v="1.7218543046357615E-2"/>
    <s v="Oct-13"/>
    <x v="0"/>
    <n v="2.3230769230769233"/>
  </r>
  <r>
    <x v="40"/>
    <n v="32"/>
    <x v="3"/>
    <x v="1"/>
    <x v="0"/>
    <x v="18"/>
    <x v="1"/>
    <x v="2"/>
    <x v="4"/>
    <x v="41"/>
    <x v="102"/>
    <x v="12"/>
    <n v="30"/>
    <n v="80"/>
    <n v="110"/>
    <n v="19"/>
    <x v="102"/>
    <x v="41"/>
    <x v="74"/>
    <x v="89"/>
    <n v="1.0666666666666667"/>
    <n v="-38"/>
    <x v="0"/>
    <n v="79.474999999999994"/>
    <x v="95"/>
    <n v="3528"/>
    <n v="152"/>
    <n v="6.25E-2"/>
    <s v="Oct-13"/>
    <x v="3"/>
    <n v="2.625"/>
  </r>
  <r>
    <x v="47"/>
    <n v="82"/>
    <x v="3"/>
    <x v="1"/>
    <x v="1"/>
    <x v="15"/>
    <x v="1"/>
    <x v="2"/>
    <x v="4"/>
    <x v="96"/>
    <x v="18"/>
    <x v="6"/>
    <n v="50"/>
    <n v="60"/>
    <n v="130"/>
    <n v="58"/>
    <x v="18"/>
    <x v="96"/>
    <x v="43"/>
    <x v="240"/>
    <n v="1.64"/>
    <n v="36"/>
    <x v="0"/>
    <n v="58.4"/>
    <x v="292"/>
    <n v="20928"/>
    <n v="1566"/>
    <n v="1.6309887869520895E-2"/>
    <s v="Oct-13"/>
    <x v="7"/>
    <n v="2.6585365853658538"/>
  </r>
  <r>
    <x v="112"/>
    <n v="56"/>
    <x v="3"/>
    <x v="1"/>
    <x v="0"/>
    <x v="28"/>
    <x v="1"/>
    <x v="3"/>
    <x v="6"/>
    <x v="57"/>
    <x v="108"/>
    <x v="13"/>
    <n v="40"/>
    <n v="50"/>
    <n v="120"/>
    <n v="55"/>
    <x v="108"/>
    <x v="57"/>
    <x v="85"/>
    <x v="241"/>
    <n v="1.4"/>
    <n v="-28"/>
    <x v="0"/>
    <n v="49.56"/>
    <x v="73"/>
    <n v="2948"/>
    <n v="1155"/>
    <n v="7.818052594171997E-3"/>
    <s v="Oct-13"/>
    <x v="7"/>
    <n v="2.3928571428571428"/>
  </r>
  <r>
    <x v="47"/>
    <n v="91"/>
    <x v="3"/>
    <x v="1"/>
    <x v="1"/>
    <x v="16"/>
    <x v="1"/>
    <x v="2"/>
    <x v="9"/>
    <x v="52"/>
    <x v="54"/>
    <x v="6"/>
    <n v="50"/>
    <n v="70"/>
    <n v="130"/>
    <n v="51"/>
    <x v="54"/>
    <x v="52"/>
    <x v="63"/>
    <x v="79"/>
    <n v="1.82"/>
    <n v="43"/>
    <x v="0"/>
    <n v="68.385714285714286"/>
    <x v="84"/>
    <n v="26216"/>
    <n v="1428"/>
    <n v="1.7395320197044335E-2"/>
    <s v="Oct-13"/>
    <x v="0"/>
    <n v="2.5494505494505493"/>
  </r>
  <r>
    <x v="65"/>
    <n v="60"/>
    <x v="3"/>
    <x v="1"/>
    <x v="0"/>
    <x v="31"/>
    <x v="0"/>
    <x v="0"/>
    <x v="10"/>
    <x v="74"/>
    <x v="92"/>
    <x v="13"/>
    <n v="40"/>
    <n v="80"/>
    <n v="120"/>
    <n v="42"/>
    <x v="92"/>
    <x v="74"/>
    <x v="94"/>
    <x v="144"/>
    <n v="1.5"/>
    <n v="5"/>
    <x v="0"/>
    <n v="78.9375"/>
    <x v="163"/>
    <n v="14365"/>
    <n v="756"/>
    <n v="2.7942143326758713E-2"/>
    <s v="Oct-13"/>
    <x v="1"/>
    <n v="2.8166666666666669"/>
  </r>
  <r>
    <x v="90"/>
    <n v="55"/>
    <x v="4"/>
    <x v="0"/>
    <x v="0"/>
    <x v="14"/>
    <x v="1"/>
    <x v="2"/>
    <x v="4"/>
    <x v="10"/>
    <x v="57"/>
    <x v="18"/>
    <n v="70"/>
    <n v="40"/>
    <n v="150"/>
    <n v="53"/>
    <x v="57"/>
    <x v="10"/>
    <x v="13"/>
    <x v="212"/>
    <n v="0.7857142857142857"/>
    <n v="-16"/>
    <x v="0"/>
    <n v="39.4"/>
    <x v="244"/>
    <n v="3168"/>
    <n v="1060"/>
    <n v="9.0909090909090905E-3"/>
    <s v="Nov-13"/>
    <x v="8"/>
    <n v="2.4"/>
  </r>
  <r>
    <x v="104"/>
    <n v="59"/>
    <x v="4"/>
    <x v="0"/>
    <x v="0"/>
    <x v="27"/>
    <x v="1"/>
    <x v="3"/>
    <x v="6"/>
    <x v="31"/>
    <x v="32"/>
    <x v="18"/>
    <n v="50"/>
    <n v="50"/>
    <n v="130"/>
    <n v="46"/>
    <x v="32"/>
    <x v="31"/>
    <x v="42"/>
    <x v="242"/>
    <n v="1.18"/>
    <n v="-1"/>
    <x v="0"/>
    <n v="49.02"/>
    <x v="293"/>
    <n v="7203"/>
    <n v="874"/>
    <n v="1.7543859649122806E-2"/>
    <s v="Nov-13"/>
    <x v="6"/>
    <n v="2.4915254237288136"/>
  </r>
  <r>
    <x v="64"/>
    <n v="75"/>
    <x v="4"/>
    <x v="0"/>
    <x v="3"/>
    <x v="23"/>
    <x v="0"/>
    <x v="1"/>
    <x v="3"/>
    <x v="97"/>
    <x v="123"/>
    <x v="3"/>
    <n v="50"/>
    <n v="40"/>
    <n v="130"/>
    <n v="55"/>
    <x v="123"/>
    <x v="97"/>
    <x v="84"/>
    <x v="243"/>
    <n v="1.5"/>
    <n v="48"/>
    <x v="0"/>
    <n v="37.799999999999997"/>
    <x v="294"/>
    <n v="17688"/>
    <n v="1320"/>
    <n v="1.824212271973466E-2"/>
    <s v="Nov-13"/>
    <x v="9"/>
    <n v="2.68"/>
  </r>
  <r>
    <x v="40"/>
    <n v="69"/>
    <x v="4"/>
    <x v="1"/>
    <x v="0"/>
    <x v="28"/>
    <x v="1"/>
    <x v="3"/>
    <x v="5"/>
    <x v="4"/>
    <x v="42"/>
    <x v="12"/>
    <n v="60"/>
    <n v="40"/>
    <n v="140"/>
    <n v="43"/>
    <x v="42"/>
    <x v="4"/>
    <x v="97"/>
    <x v="126"/>
    <n v="1.1499999999999999"/>
    <n v="16"/>
    <x v="0"/>
    <n v="38.6"/>
    <x v="172"/>
    <n v="8960"/>
    <n v="903"/>
    <n v="1.6666666666666666E-2"/>
    <s v="Nov-13"/>
    <x v="10"/>
    <n v="2.318840579710145"/>
  </r>
  <r>
    <x v="12"/>
    <n v="46"/>
    <x v="4"/>
    <x v="1"/>
    <x v="3"/>
    <x v="10"/>
    <x v="1"/>
    <x v="3"/>
    <x v="5"/>
    <x v="17"/>
    <x v="26"/>
    <x v="11"/>
    <n v="50"/>
    <n v="50"/>
    <n v="130"/>
    <n v="36"/>
    <x v="26"/>
    <x v="17"/>
    <x v="107"/>
    <x v="124"/>
    <n v="0.92"/>
    <n v="-3"/>
    <x v="0"/>
    <n v="49.06"/>
    <x v="240"/>
    <n v="5687"/>
    <n v="504"/>
    <n v="2.7744982290436836E-2"/>
    <s v="Nov-13"/>
    <x v="6"/>
    <n v="2.6304347826086958"/>
  </r>
  <r>
    <x v="16"/>
    <n v="75"/>
    <x v="4"/>
    <x v="1"/>
    <x v="3"/>
    <x v="4"/>
    <x v="1"/>
    <x v="2"/>
    <x v="4"/>
    <x v="49"/>
    <x v="56"/>
    <x v="14"/>
    <n v="70"/>
    <n v="40"/>
    <n v="150"/>
    <n v="44"/>
    <x v="56"/>
    <x v="49"/>
    <x v="13"/>
    <x v="244"/>
    <n v="1.0714285714285714"/>
    <n v="27"/>
    <x v="0"/>
    <n v="38.325000000000003"/>
    <x v="295"/>
    <n v="11725"/>
    <n v="1012"/>
    <n v="1.6645962732919253E-2"/>
    <s v="Nov-13"/>
    <x v="8"/>
    <n v="2.3333333333333335"/>
  </r>
  <r>
    <x v="42"/>
    <n v="61"/>
    <x v="4"/>
    <x v="1"/>
    <x v="2"/>
    <x v="21"/>
    <x v="1"/>
    <x v="2"/>
    <x v="8"/>
    <x v="83"/>
    <x v="63"/>
    <x v="5"/>
    <n v="60"/>
    <n v="10"/>
    <n v="140"/>
    <n v="84"/>
    <x v="63"/>
    <x v="83"/>
    <x v="114"/>
    <x v="214"/>
    <n v="1.0166666666666666"/>
    <n v="-7"/>
    <x v="0"/>
    <n v="9.6999999999999993"/>
    <x v="246"/>
    <n v="471"/>
    <n v="4620"/>
    <n v="3.4742327735958308E-4"/>
    <s v="Nov-13"/>
    <x v="13"/>
    <n v="2.5737704918032787"/>
  </r>
  <r>
    <x v="11"/>
    <n v="47"/>
    <x v="4"/>
    <x v="1"/>
    <x v="1"/>
    <x v="2"/>
    <x v="1"/>
    <x v="3"/>
    <x v="7"/>
    <x v="56"/>
    <x v="1"/>
    <x v="10"/>
    <n v="50"/>
    <n v="60"/>
    <n v="130"/>
    <n v="24"/>
    <x v="1"/>
    <x v="56"/>
    <x v="31"/>
    <x v="68"/>
    <n v="0.94"/>
    <n v="5"/>
    <x v="0"/>
    <n v="58.916666666666664"/>
    <x v="104"/>
    <n v="7995"/>
    <n v="312"/>
    <n v="4.065040650406504E-2"/>
    <s v="Nov-13"/>
    <x v="7"/>
    <n v="2.6170212765957448"/>
  </r>
  <r>
    <x v="17"/>
    <n v="52"/>
    <x v="4"/>
    <x v="1"/>
    <x v="3"/>
    <x v="17"/>
    <x v="1"/>
    <x v="3"/>
    <x v="6"/>
    <x v="15"/>
    <x v="33"/>
    <x v="11"/>
    <n v="60"/>
    <n v="10"/>
    <n v="140"/>
    <n v="77"/>
    <x v="33"/>
    <x v="15"/>
    <x v="92"/>
    <x v="210"/>
    <n v="0.8666666666666667"/>
    <n v="-16"/>
    <x v="0"/>
    <n v="10.6"/>
    <x v="241"/>
    <n v="-798"/>
    <n v="3619.0000000000005"/>
    <n v="-9.5984642457206835E-4"/>
    <s v="Nov-13"/>
    <x v="13"/>
    <n v="2.5576923076923075"/>
  </r>
  <r>
    <x v="9"/>
    <n v="53"/>
    <x v="4"/>
    <x v="1"/>
    <x v="3"/>
    <x v="1"/>
    <x v="1"/>
    <x v="3"/>
    <x v="7"/>
    <x v="54"/>
    <x v="57"/>
    <x v="8"/>
    <n v="60"/>
    <n v="50"/>
    <n v="140"/>
    <n v="44"/>
    <x v="57"/>
    <x v="54"/>
    <x v="36"/>
    <x v="207"/>
    <n v="0.8833333333333333"/>
    <n v="-10"/>
    <x v="0"/>
    <n v="49.2"/>
    <x v="237"/>
    <n v="5280"/>
    <n v="748"/>
    <n v="1.7825311942959002E-2"/>
    <s v="Nov-13"/>
    <x v="9"/>
    <n v="2.4905660377358489"/>
  </r>
  <r>
    <x v="49"/>
    <n v="59"/>
    <x v="4"/>
    <x v="1"/>
    <x v="3"/>
    <x v="27"/>
    <x v="1"/>
    <x v="2"/>
    <x v="8"/>
    <x v="31"/>
    <x v="32"/>
    <x v="11"/>
    <n v="50"/>
    <n v="50"/>
    <n v="130"/>
    <n v="46"/>
    <x v="32"/>
    <x v="31"/>
    <x v="42"/>
    <x v="242"/>
    <n v="1.18"/>
    <n v="-1"/>
    <x v="0"/>
    <n v="49.02"/>
    <x v="293"/>
    <n v="7203"/>
    <n v="874"/>
    <n v="1.7543859649122806E-2"/>
    <s v="Nov-13"/>
    <x v="6"/>
    <n v="2.4915254237288136"/>
  </r>
  <r>
    <x v="14"/>
    <n v="53"/>
    <x v="4"/>
    <x v="1"/>
    <x v="0"/>
    <x v="20"/>
    <x v="0"/>
    <x v="0"/>
    <x v="10"/>
    <x v="53"/>
    <x v="61"/>
    <x v="13"/>
    <n v="50"/>
    <n v="50"/>
    <n v="130"/>
    <n v="40"/>
    <x v="61"/>
    <x v="53"/>
    <x v="2"/>
    <x v="245"/>
    <n v="1.06"/>
    <n v="21"/>
    <x v="0"/>
    <n v="48.58"/>
    <x v="296"/>
    <n v="10650"/>
    <n v="640"/>
    <n v="2.9583333333333333E-2"/>
    <s v="Nov-13"/>
    <x v="6"/>
    <n v="2.8301886792452828"/>
  </r>
  <r>
    <x v="6"/>
    <n v="54"/>
    <x v="4"/>
    <x v="1"/>
    <x v="2"/>
    <x v="6"/>
    <x v="0"/>
    <x v="1"/>
    <x v="2"/>
    <x v="20"/>
    <x v="29"/>
    <x v="5"/>
    <n v="50"/>
    <n v="60"/>
    <n v="130"/>
    <n v="27"/>
    <x v="29"/>
    <x v="20"/>
    <x v="22"/>
    <x v="246"/>
    <n v="1.08"/>
    <n v="16"/>
    <x v="0"/>
    <n v="58.733333333333334"/>
    <x v="297"/>
    <n v="10716"/>
    <n v="405"/>
    <n v="3.59338061465721E-2"/>
    <s v="Nov-13"/>
    <x v="7"/>
    <n v="2.6111111111111112"/>
  </r>
  <r>
    <x v="83"/>
    <n v="46"/>
    <x v="5"/>
    <x v="0"/>
    <x v="0"/>
    <x v="1"/>
    <x v="1"/>
    <x v="2"/>
    <x v="4"/>
    <x v="76"/>
    <x v="96"/>
    <x v="18"/>
    <n v="50"/>
    <n v="40"/>
    <n v="130"/>
    <n v="51"/>
    <x v="96"/>
    <x v="76"/>
    <x v="99"/>
    <x v="152"/>
    <n v="0.92"/>
    <n v="-31"/>
    <x v="0"/>
    <n v="39.774999999999999"/>
    <x v="160"/>
    <n v="990"/>
    <n v="867"/>
    <n v="4.8128342245989308E-3"/>
    <s v="Dec-13"/>
    <x v="9"/>
    <n v="2.3913043478260869"/>
  </r>
  <r>
    <x v="52"/>
    <n v="67"/>
    <x v="5"/>
    <x v="0"/>
    <x v="0"/>
    <x v="34"/>
    <x v="0"/>
    <x v="1"/>
    <x v="11"/>
    <x v="50"/>
    <x v="110"/>
    <x v="16"/>
    <n v="50"/>
    <n v="40"/>
    <n v="130"/>
    <n v="54"/>
    <x v="110"/>
    <x v="50"/>
    <x v="26"/>
    <x v="215"/>
    <n v="1.34"/>
    <n v="30"/>
    <x v="0"/>
    <n v="38.25"/>
    <x v="247"/>
    <n v="12530"/>
    <n v="1188"/>
    <n v="1.7775520568816656E-2"/>
    <s v="Dec-13"/>
    <x v="9"/>
    <n v="2.6716417910447761"/>
  </r>
  <r>
    <x v="118"/>
    <n v="54"/>
    <x v="5"/>
    <x v="0"/>
    <x v="2"/>
    <x v="6"/>
    <x v="0"/>
    <x v="1"/>
    <x v="3"/>
    <x v="61"/>
    <x v="64"/>
    <x v="19"/>
    <n v="50"/>
    <n v="60"/>
    <n v="130"/>
    <n v="27"/>
    <x v="64"/>
    <x v="61"/>
    <x v="22"/>
    <x v="98"/>
    <n v="1.08"/>
    <n v="17"/>
    <x v="0"/>
    <n v="58.716666666666669"/>
    <x v="106"/>
    <n v="10934"/>
    <n v="404.99999999999994"/>
    <n v="3.615023474178404E-2"/>
    <s v="Dec-13"/>
    <x v="7"/>
    <n v="2.6296296296296298"/>
  </r>
  <r>
    <x v="45"/>
    <n v="67"/>
    <x v="5"/>
    <x v="0"/>
    <x v="3"/>
    <x v="34"/>
    <x v="0"/>
    <x v="1"/>
    <x v="3"/>
    <x v="50"/>
    <x v="110"/>
    <x v="3"/>
    <n v="40"/>
    <n v="50"/>
    <n v="120"/>
    <n v="54"/>
    <x v="110"/>
    <x v="50"/>
    <x v="26"/>
    <x v="215"/>
    <n v="1.675"/>
    <n v="20"/>
    <x v="0"/>
    <n v="48.6"/>
    <x v="247"/>
    <n v="12530"/>
    <n v="1188"/>
    <n v="1.7775520568816656E-2"/>
    <s v="Dec-13"/>
    <x v="7"/>
    <n v="2.6716417910447761"/>
  </r>
  <r>
    <x v="49"/>
    <n v="41"/>
    <x v="5"/>
    <x v="1"/>
    <x v="3"/>
    <x v="2"/>
    <x v="1"/>
    <x v="3"/>
    <x v="5"/>
    <x v="8"/>
    <x v="68"/>
    <x v="11"/>
    <n v="40"/>
    <n v="50"/>
    <n v="120"/>
    <n v="35"/>
    <x v="68"/>
    <x v="8"/>
    <x v="37"/>
    <x v="247"/>
    <n v="1.0249999999999999"/>
    <n v="-13"/>
    <x v="0"/>
    <n v="49.26"/>
    <x v="298"/>
    <n v="3996"/>
    <n v="455"/>
    <n v="2.6353276353276354E-2"/>
    <s v="Dec-13"/>
    <x v="7"/>
    <n v="2.6341463414634148"/>
  </r>
  <r>
    <x v="41"/>
    <n v="65"/>
    <x v="5"/>
    <x v="1"/>
    <x v="0"/>
    <x v="23"/>
    <x v="1"/>
    <x v="3"/>
    <x v="6"/>
    <x v="9"/>
    <x v="66"/>
    <x v="13"/>
    <n v="60"/>
    <n v="30"/>
    <n v="140"/>
    <n v="58"/>
    <x v="66"/>
    <x v="9"/>
    <x v="43"/>
    <x v="218"/>
    <n v="1.0833333333333333"/>
    <n v="3"/>
    <x v="0"/>
    <n v="28.9"/>
    <x v="251"/>
    <n v="5115"/>
    <n v="1392"/>
    <n v="8.870967741935484E-3"/>
    <s v="Dec-13"/>
    <x v="8"/>
    <n v="2.3846153846153846"/>
  </r>
  <r>
    <x v="49"/>
    <n v="47"/>
    <x v="5"/>
    <x v="1"/>
    <x v="3"/>
    <x v="22"/>
    <x v="1"/>
    <x v="3"/>
    <x v="6"/>
    <x v="46"/>
    <x v="16"/>
    <x v="11"/>
    <n v="50"/>
    <n v="20"/>
    <n v="130"/>
    <n v="72"/>
    <x v="16"/>
    <x v="46"/>
    <x v="111"/>
    <x v="248"/>
    <n v="0.94"/>
    <n v="-30"/>
    <x v="0"/>
    <n v="20.5"/>
    <x v="299"/>
    <n v="-1190"/>
    <n v="3024"/>
    <n v="-2.0008003201280513E-3"/>
    <s v="Dec-13"/>
    <x v="8"/>
    <n v="2.5319148936170213"/>
  </r>
  <r>
    <x v="9"/>
    <n v="49"/>
    <x v="5"/>
    <x v="1"/>
    <x v="3"/>
    <x v="20"/>
    <x v="1"/>
    <x v="3"/>
    <x v="7"/>
    <x v="5"/>
    <x v="26"/>
    <x v="8"/>
    <n v="50"/>
    <n v="50"/>
    <n v="130"/>
    <n v="44"/>
    <x v="26"/>
    <x v="5"/>
    <x v="6"/>
    <x v="216"/>
    <n v="0.98"/>
    <n v="-19"/>
    <x v="0"/>
    <n v="49.38"/>
    <x v="248"/>
    <n v="3751"/>
    <n v="704"/>
    <n v="1.6012396694214875E-2"/>
    <s v="Dec-13"/>
    <x v="6"/>
    <n v="2.4693877551020407"/>
  </r>
  <r>
    <x v="30"/>
    <n v="65"/>
    <x v="5"/>
    <x v="1"/>
    <x v="3"/>
    <x v="23"/>
    <x v="1"/>
    <x v="2"/>
    <x v="8"/>
    <x v="28"/>
    <x v="66"/>
    <x v="14"/>
    <n v="60"/>
    <n v="30"/>
    <n v="140"/>
    <n v="57"/>
    <x v="66"/>
    <x v="28"/>
    <x v="72"/>
    <x v="100"/>
    <n v="1.0833333333333333"/>
    <n v="4"/>
    <x v="0"/>
    <n v="28.866666666666667"/>
    <x v="109"/>
    <n v="5270"/>
    <n v="1368"/>
    <n v="9.1397849462365593E-3"/>
    <s v="Dec-13"/>
    <x v="8"/>
    <n v="2.3846153846153846"/>
  </r>
  <r>
    <x v="11"/>
    <n v="68"/>
    <x v="5"/>
    <x v="1"/>
    <x v="1"/>
    <x v="26"/>
    <x v="0"/>
    <x v="0"/>
    <x v="0"/>
    <x v="40"/>
    <x v="73"/>
    <x v="10"/>
    <n v="60"/>
    <n v="30"/>
    <n v="140"/>
    <n v="59"/>
    <x v="73"/>
    <x v="40"/>
    <x v="124"/>
    <x v="249"/>
    <n v="1.1333333333333333"/>
    <n v="9"/>
    <x v="0"/>
    <n v="28.7"/>
    <x v="300"/>
    <n v="6357"/>
    <n v="1475"/>
    <n v="9.5705521472392637E-3"/>
    <s v="Dec-13"/>
    <x v="8"/>
    <n v="2.3970588235294117"/>
  </r>
  <r>
    <x v="34"/>
    <n v="39"/>
    <x v="0"/>
    <x v="0"/>
    <x v="1"/>
    <x v="13"/>
    <x v="1"/>
    <x v="3"/>
    <x v="5"/>
    <x v="1"/>
    <x v="31"/>
    <x v="1"/>
    <n v="40"/>
    <n v="80"/>
    <n v="130"/>
    <n v="25"/>
    <x v="31"/>
    <x v="1"/>
    <x v="105"/>
    <x v="159"/>
    <n v="0.97499999999999998"/>
    <n v="-54"/>
    <x v="0"/>
    <n v="79.674999999999997"/>
    <x v="183"/>
    <n v="2340"/>
    <n v="300"/>
    <n v="2.4074074074074074E-2"/>
    <s v="Oct-12"/>
    <x v="2"/>
    <n v="2.3076923076923075"/>
  </r>
  <r>
    <x v="22"/>
    <n v="239"/>
    <x v="0"/>
    <x v="0"/>
    <x v="1"/>
    <x v="37"/>
    <x v="1"/>
    <x v="3"/>
    <x v="7"/>
    <x v="98"/>
    <x v="124"/>
    <x v="1"/>
    <n v="350"/>
    <n v="340"/>
    <n v="770"/>
    <n v="96"/>
    <x v="124"/>
    <x v="98"/>
    <x v="125"/>
    <x v="55"/>
    <n v="0.68285714285714283"/>
    <n v="-155"/>
    <x v="0"/>
    <n v="339.45588235294116"/>
    <x v="301"/>
    <n v="96200"/>
    <n v="7104"/>
    <n v="4.807692307692308E-3"/>
    <s v="Oct-12"/>
    <x v="15"/>
    <n v="2.1757322175732217"/>
  </r>
  <r>
    <x v="19"/>
    <n v="123"/>
    <x v="0"/>
    <x v="0"/>
    <x v="1"/>
    <x v="38"/>
    <x v="1"/>
    <x v="2"/>
    <x v="8"/>
    <x v="99"/>
    <x v="125"/>
    <x v="1"/>
    <n v="70"/>
    <n v="100"/>
    <n v="190"/>
    <n v="46"/>
    <x v="125"/>
    <x v="99"/>
    <x v="126"/>
    <x v="250"/>
    <n v="1.7571428571428571"/>
    <n v="33"/>
    <x v="0"/>
    <n v="98.67"/>
    <x v="302"/>
    <n v="40166"/>
    <n v="1564"/>
    <n v="1.2952863264511102E-2"/>
    <s v="Oct-12"/>
    <x v="9"/>
    <n v="2.4552845528455283"/>
  </r>
  <r>
    <x v="29"/>
    <n v="48"/>
    <x v="0"/>
    <x v="1"/>
    <x v="1"/>
    <x v="2"/>
    <x v="1"/>
    <x v="3"/>
    <x v="5"/>
    <x v="16"/>
    <x v="15"/>
    <x v="10"/>
    <n v="70"/>
    <n v="80"/>
    <n v="160"/>
    <n v="25"/>
    <x v="15"/>
    <x v="16"/>
    <x v="15"/>
    <x v="17"/>
    <n v="0.68571428571428572"/>
    <n v="-35"/>
    <x v="0"/>
    <n v="79.4375"/>
    <x v="17"/>
    <n v="5310"/>
    <n v="325"/>
    <n v="2.9335071707953065E-2"/>
    <s v="Oct-12"/>
    <x v="6"/>
    <n v="2.4583333333333335"/>
  </r>
  <r>
    <x v="29"/>
    <n v="48"/>
    <x v="0"/>
    <x v="1"/>
    <x v="1"/>
    <x v="2"/>
    <x v="1"/>
    <x v="3"/>
    <x v="7"/>
    <x v="17"/>
    <x v="16"/>
    <x v="10"/>
    <n v="70"/>
    <n v="80"/>
    <n v="160"/>
    <n v="24"/>
    <x v="16"/>
    <x v="17"/>
    <x v="16"/>
    <x v="18"/>
    <n v="0.68571428571428572"/>
    <n v="-33"/>
    <x v="0"/>
    <n v="79.412499999999994"/>
    <x v="18"/>
    <n v="5593"/>
    <n v="312"/>
    <n v="3.0381383322559793E-2"/>
    <s v="Oct-12"/>
    <x v="6"/>
    <n v="2.4791666666666665"/>
  </r>
  <r>
    <x v="39"/>
    <n v="45"/>
    <x v="0"/>
    <x v="1"/>
    <x v="1"/>
    <x v="10"/>
    <x v="1"/>
    <x v="3"/>
    <x v="7"/>
    <x v="34"/>
    <x v="11"/>
    <x v="17"/>
    <n v="50"/>
    <n v="80"/>
    <n v="160"/>
    <n v="46"/>
    <x v="11"/>
    <x v="34"/>
    <x v="79"/>
    <x v="192"/>
    <n v="0.9"/>
    <n v="-57"/>
    <x v="0"/>
    <n v="79.712500000000006"/>
    <x v="218"/>
    <n v="2622"/>
    <n v="644"/>
    <n v="1.4411027568922305E-2"/>
    <s v="Oct-12"/>
    <x v="6"/>
    <n v="2.5333333333333332"/>
  </r>
  <r>
    <x v="7"/>
    <n v="90"/>
    <x v="0"/>
    <x v="1"/>
    <x v="1"/>
    <x v="39"/>
    <x v="1"/>
    <x v="3"/>
    <x v="7"/>
    <x v="62"/>
    <x v="17"/>
    <x v="6"/>
    <n v="130"/>
    <n v="140"/>
    <n v="290"/>
    <n v="41"/>
    <x v="17"/>
    <x v="62"/>
    <x v="108"/>
    <x v="251"/>
    <n v="0.69230769230769229"/>
    <n v="-66"/>
    <x v="0"/>
    <n v="139.47142857142856"/>
    <x v="303"/>
    <n v="15170"/>
    <n v="1189"/>
    <n v="1.244743481917578E-2"/>
    <s v="Oct-12"/>
    <x v="16"/>
    <n v="2.2777777777777777"/>
  </r>
  <r>
    <x v="39"/>
    <n v="25"/>
    <x v="0"/>
    <x v="1"/>
    <x v="1"/>
    <x v="8"/>
    <x v="1"/>
    <x v="2"/>
    <x v="9"/>
    <x v="55"/>
    <x v="82"/>
    <x v="17"/>
    <n v="10"/>
    <n v="10"/>
    <n v="30"/>
    <n v="43"/>
    <x v="82"/>
    <x v="55"/>
    <x v="103"/>
    <x v="222"/>
    <n v="2.5"/>
    <n v="-22"/>
    <x v="0"/>
    <n v="11.2"/>
    <x v="257"/>
    <n v="-672"/>
    <n v="387"/>
    <n v="-2.3809523809523808E-2"/>
    <s v="Oct-12"/>
    <x v="5"/>
    <n v="2.2400000000000002"/>
  </r>
  <r>
    <x v="29"/>
    <n v="103"/>
    <x v="0"/>
    <x v="1"/>
    <x v="1"/>
    <x v="40"/>
    <x v="0"/>
    <x v="0"/>
    <x v="10"/>
    <x v="100"/>
    <x v="126"/>
    <x v="10"/>
    <n v="80"/>
    <n v="110"/>
    <n v="210"/>
    <n v="46"/>
    <x v="126"/>
    <x v="100"/>
    <x v="127"/>
    <x v="252"/>
    <n v="1.2875000000000001"/>
    <n v="-23"/>
    <x v="0"/>
    <n v="109.2090909090909"/>
    <x v="304"/>
    <n v="20532"/>
    <n v="1518"/>
    <n v="1.1171032357473035E-2"/>
    <s v="Oct-12"/>
    <x v="10"/>
    <n v="2.29126213592233"/>
  </r>
  <r>
    <x v="27"/>
    <n v="79"/>
    <x v="0"/>
    <x v="1"/>
    <x v="1"/>
    <x v="30"/>
    <x v="0"/>
    <x v="0"/>
    <x v="0"/>
    <x v="28"/>
    <x v="79"/>
    <x v="10"/>
    <n v="60"/>
    <n v="60"/>
    <n v="150"/>
    <n v="64"/>
    <x v="79"/>
    <x v="28"/>
    <x v="12"/>
    <x v="119"/>
    <n v="1.3166666666666667"/>
    <n v="-26"/>
    <x v="0"/>
    <n v="59.43333333333333"/>
    <x v="130"/>
    <n v="6018"/>
    <n v="1920"/>
    <n v="6.4030131826741995E-3"/>
    <s v="Oct-12"/>
    <x v="9"/>
    <n v="2.240506329113924"/>
  </r>
  <r>
    <x v="47"/>
    <n v="96"/>
    <x v="0"/>
    <x v="1"/>
    <x v="1"/>
    <x v="41"/>
    <x v="0"/>
    <x v="0"/>
    <x v="0"/>
    <x v="39"/>
    <x v="127"/>
    <x v="6"/>
    <n v="80"/>
    <n v="40"/>
    <n v="200"/>
    <n v="117"/>
    <x v="127"/>
    <x v="39"/>
    <x v="128"/>
    <x v="253"/>
    <n v="1.2"/>
    <n v="-23"/>
    <x v="0"/>
    <n v="39.575000000000003"/>
    <x v="305"/>
    <n v="3910"/>
    <n v="10179"/>
    <n v="8.4957521239380316E-4"/>
    <s v="Oct-12"/>
    <x v="17"/>
    <n v="2.3958333333333335"/>
  </r>
  <r>
    <x v="57"/>
    <n v="225"/>
    <x v="1"/>
    <x v="0"/>
    <x v="1"/>
    <x v="42"/>
    <x v="1"/>
    <x v="3"/>
    <x v="7"/>
    <x v="101"/>
    <x v="128"/>
    <x v="1"/>
    <n v="260"/>
    <n v="230"/>
    <n v="580"/>
    <n v="91"/>
    <x v="128"/>
    <x v="101"/>
    <x v="129"/>
    <x v="254"/>
    <n v="0.86538461538461542"/>
    <n v="-56"/>
    <x v="0"/>
    <n v="229.24347826086955"/>
    <x v="306"/>
    <n v="85260"/>
    <n v="6279"/>
    <n v="5.1464063886424135E-3"/>
    <s v="Nov-12"/>
    <x v="18"/>
    <n v="2.1777777777777776"/>
  </r>
  <r>
    <x v="119"/>
    <n v="75"/>
    <x v="1"/>
    <x v="0"/>
    <x v="1"/>
    <x v="23"/>
    <x v="1"/>
    <x v="2"/>
    <x v="9"/>
    <x v="93"/>
    <x v="90"/>
    <x v="1"/>
    <n v="50"/>
    <n v="40"/>
    <n v="140"/>
    <n v="55"/>
    <x v="90"/>
    <x v="93"/>
    <x v="83"/>
    <x v="234"/>
    <n v="1.5"/>
    <n v="19"/>
    <x v="0"/>
    <n v="38.524999999999999"/>
    <x v="285"/>
    <n v="11151"/>
    <n v="1320"/>
    <n v="1.3007054673721341E-2"/>
    <s v="Nov-12"/>
    <x v="10"/>
    <n v="2.52"/>
  </r>
  <r>
    <x v="2"/>
    <n v="118"/>
    <x v="1"/>
    <x v="0"/>
    <x v="1"/>
    <x v="40"/>
    <x v="1"/>
    <x v="2"/>
    <x v="8"/>
    <x v="102"/>
    <x v="129"/>
    <x v="1"/>
    <n v="90"/>
    <n v="100"/>
    <n v="220"/>
    <n v="45"/>
    <x v="129"/>
    <x v="102"/>
    <x v="130"/>
    <x v="255"/>
    <n v="1.3111111111111111"/>
    <n v="27"/>
    <x v="0"/>
    <n v="98.73"/>
    <x v="307"/>
    <n v="36830"/>
    <n v="1485"/>
    <n v="1.3270637408568443E-2"/>
    <s v="Nov-12"/>
    <x v="11"/>
    <n v="2.4576271186440679"/>
  </r>
  <r>
    <x v="7"/>
    <n v="78"/>
    <x v="1"/>
    <x v="1"/>
    <x v="1"/>
    <x v="26"/>
    <x v="1"/>
    <x v="2"/>
    <x v="4"/>
    <x v="103"/>
    <x v="130"/>
    <x v="6"/>
    <n v="60"/>
    <n v="40"/>
    <n v="150"/>
    <n v="57"/>
    <x v="130"/>
    <x v="103"/>
    <x v="106"/>
    <x v="256"/>
    <n v="1.3"/>
    <n v="22"/>
    <x v="0"/>
    <n v="38.450000000000003"/>
    <x v="308"/>
    <n v="12214"/>
    <n v="1425"/>
    <n v="1.2588832487309645E-2"/>
    <s v="Nov-12"/>
    <x v="8"/>
    <n v="2.5256410256410255"/>
  </r>
  <r>
    <x v="7"/>
    <n v="88"/>
    <x v="1"/>
    <x v="1"/>
    <x v="1"/>
    <x v="39"/>
    <x v="1"/>
    <x v="3"/>
    <x v="7"/>
    <x v="53"/>
    <x v="131"/>
    <x v="6"/>
    <n v="100"/>
    <n v="90"/>
    <n v="230"/>
    <n v="41"/>
    <x v="131"/>
    <x v="53"/>
    <x v="111"/>
    <x v="257"/>
    <n v="0.88"/>
    <n v="-19"/>
    <x v="0"/>
    <n v="89.211111111111109"/>
    <x v="309"/>
    <n v="14200"/>
    <n v="1189"/>
    <n v="1.2241379310344826E-2"/>
    <s v="Nov-12"/>
    <x v="14"/>
    <n v="2.2727272727272729"/>
  </r>
  <r>
    <x v="7"/>
    <n v="102"/>
    <x v="1"/>
    <x v="1"/>
    <x v="1"/>
    <x v="33"/>
    <x v="1"/>
    <x v="2"/>
    <x v="9"/>
    <x v="104"/>
    <x v="132"/>
    <x v="6"/>
    <n v="80"/>
    <n v="60"/>
    <n v="180"/>
    <n v="54"/>
    <x v="132"/>
    <x v="104"/>
    <x v="71"/>
    <x v="258"/>
    <n v="1.2749999999999999"/>
    <n v="29"/>
    <x v="0"/>
    <n v="58.516666666666666"/>
    <x v="310"/>
    <n v="21805"/>
    <n v="1674"/>
    <n v="1.1718235681369323E-2"/>
    <s v="Nov-12"/>
    <x v="11"/>
    <n v="2.4019607843137254"/>
  </r>
  <r>
    <x v="55"/>
    <n v="101"/>
    <x v="1"/>
    <x v="1"/>
    <x v="1"/>
    <x v="40"/>
    <x v="0"/>
    <x v="0"/>
    <x v="10"/>
    <x v="74"/>
    <x v="133"/>
    <x v="10"/>
    <n v="90"/>
    <n v="80"/>
    <n v="210"/>
    <n v="45"/>
    <x v="133"/>
    <x v="74"/>
    <x v="38"/>
    <x v="259"/>
    <n v="1.1222222222222222"/>
    <n v="5"/>
    <x v="0"/>
    <n v="78.9375"/>
    <x v="311"/>
    <n v="19635"/>
    <n v="1485"/>
    <n v="1.1150465695920242E-2"/>
    <s v="Nov-12"/>
    <x v="13"/>
    <n v="2.2871287128712869"/>
  </r>
  <r>
    <x v="39"/>
    <n v="15"/>
    <x v="1"/>
    <x v="1"/>
    <x v="1"/>
    <x v="36"/>
    <x v="0"/>
    <x v="0"/>
    <x v="10"/>
    <x v="76"/>
    <x v="115"/>
    <x v="17"/>
    <n v="10"/>
    <n v="10"/>
    <n v="30"/>
    <n v="15"/>
    <x v="115"/>
    <x v="76"/>
    <x v="121"/>
    <x v="115"/>
    <n v="1.5"/>
    <n v="-1"/>
    <x v="0"/>
    <n v="9.1"/>
    <x v="312"/>
    <n v="351"/>
    <n v="60"/>
    <n v="5.7692307692307696E-2"/>
    <s v="Nov-12"/>
    <x v="5"/>
    <n v="2.6"/>
  </r>
  <r>
    <x v="55"/>
    <n v="82"/>
    <x v="1"/>
    <x v="1"/>
    <x v="1"/>
    <x v="33"/>
    <x v="0"/>
    <x v="0"/>
    <x v="0"/>
    <x v="68"/>
    <x v="106"/>
    <x v="10"/>
    <n v="70"/>
    <n v="40"/>
    <n v="170"/>
    <n v="64"/>
    <x v="106"/>
    <x v="68"/>
    <x v="38"/>
    <x v="197"/>
    <n v="1.1714285714285715"/>
    <n v="-2"/>
    <x v="0"/>
    <n v="39.049999999999997"/>
    <x v="225"/>
    <n v="6992"/>
    <n v="1984"/>
    <n v="6.6619915848527347E-3"/>
    <s v="Nov-12"/>
    <x v="13"/>
    <n v="2.2439024390243905"/>
  </r>
  <r>
    <x v="28"/>
    <n v="94"/>
    <x v="1"/>
    <x v="1"/>
    <x v="1"/>
    <x v="43"/>
    <x v="0"/>
    <x v="0"/>
    <x v="0"/>
    <x v="25"/>
    <x v="134"/>
    <x v="6"/>
    <n v="80"/>
    <n v="20"/>
    <n v="200"/>
    <n v="115"/>
    <x v="134"/>
    <x v="25"/>
    <x v="131"/>
    <x v="260"/>
    <n v="1.175"/>
    <n v="-5"/>
    <x v="0"/>
    <n v="19.25"/>
    <x v="313"/>
    <n v="3360"/>
    <n v="9775"/>
    <n v="7.8781512605042019E-4"/>
    <s v="Nov-12"/>
    <x v="19"/>
    <n v="2.3829787234042552"/>
  </r>
  <r>
    <x v="120"/>
    <n v="241"/>
    <x v="2"/>
    <x v="0"/>
    <x v="1"/>
    <x v="37"/>
    <x v="1"/>
    <x v="3"/>
    <x v="7"/>
    <x v="105"/>
    <x v="135"/>
    <x v="1"/>
    <n v="280"/>
    <n v="240"/>
    <n v="620"/>
    <n v="96"/>
    <x v="135"/>
    <x v="105"/>
    <x v="132"/>
    <x v="261"/>
    <n v="0.86071428571428577"/>
    <n v="-52"/>
    <x v="0"/>
    <n v="239.21666666666667"/>
    <x v="314"/>
    <n v="98700"/>
    <n v="7104.0000000000009"/>
    <n v="4.8391248391248384E-3"/>
    <s v="Dec-12"/>
    <x v="20"/>
    <n v="2.1784232365145226"/>
  </r>
  <r>
    <x v="120"/>
    <n v="123"/>
    <x v="2"/>
    <x v="0"/>
    <x v="1"/>
    <x v="38"/>
    <x v="1"/>
    <x v="2"/>
    <x v="8"/>
    <x v="99"/>
    <x v="125"/>
    <x v="1"/>
    <n v="90"/>
    <n v="110"/>
    <n v="230"/>
    <n v="46"/>
    <x v="125"/>
    <x v="99"/>
    <x v="126"/>
    <x v="250"/>
    <n v="1.3666666666666667"/>
    <n v="23"/>
    <x v="0"/>
    <n v="108.7909090909091"/>
    <x v="302"/>
    <n v="40166"/>
    <n v="1564"/>
    <n v="1.2952863264511102E-2"/>
    <s v="Dec-12"/>
    <x v="11"/>
    <n v="2.4552845528455283"/>
  </r>
  <r>
    <x v="39"/>
    <n v="92"/>
    <x v="2"/>
    <x v="1"/>
    <x v="1"/>
    <x v="16"/>
    <x v="1"/>
    <x v="3"/>
    <x v="5"/>
    <x v="38"/>
    <x v="42"/>
    <x v="17"/>
    <n v="100"/>
    <n v="40"/>
    <n v="190"/>
    <n v="52"/>
    <x v="42"/>
    <x v="38"/>
    <x v="50"/>
    <x v="56"/>
    <n v="0.92"/>
    <n v="-24"/>
    <x v="0"/>
    <n v="39.6"/>
    <x v="60"/>
    <n v="2560"/>
    <n v="1456"/>
    <n v="3.5714285714285713E-3"/>
    <s v="Dec-12"/>
    <x v="16"/>
    <n v="1.7391304347826086"/>
  </r>
  <r>
    <x v="47"/>
    <n v="88"/>
    <x v="2"/>
    <x v="1"/>
    <x v="1"/>
    <x v="39"/>
    <x v="1"/>
    <x v="2"/>
    <x v="4"/>
    <x v="106"/>
    <x v="136"/>
    <x v="6"/>
    <n v="60"/>
    <n v="60"/>
    <n v="170"/>
    <n v="61"/>
    <x v="136"/>
    <x v="106"/>
    <x v="127"/>
    <x v="262"/>
    <n v="1.4666666666666666"/>
    <n v="12"/>
    <x v="0"/>
    <n v="58.8"/>
    <x v="315"/>
    <n v="15912"/>
    <n v="1769"/>
    <n v="1.1234201903573101E-2"/>
    <s v="Dec-12"/>
    <x v="8"/>
    <n v="2.5113636363636362"/>
  </r>
  <r>
    <x v="11"/>
    <n v="49"/>
    <x v="2"/>
    <x v="1"/>
    <x v="1"/>
    <x v="2"/>
    <x v="1"/>
    <x v="3"/>
    <x v="7"/>
    <x v="43"/>
    <x v="10"/>
    <x v="10"/>
    <n v="50"/>
    <n v="70"/>
    <n v="140"/>
    <n v="25"/>
    <x v="10"/>
    <x v="43"/>
    <x v="107"/>
    <x v="189"/>
    <n v="0.98"/>
    <n v="-24"/>
    <x v="0"/>
    <n v="69.342857142857142"/>
    <x v="232"/>
    <n v="5520"/>
    <n v="325"/>
    <n v="2.9487179487179487E-2"/>
    <s v="Dec-12"/>
    <x v="7"/>
    <n v="2.4489795918367347"/>
  </r>
  <r>
    <x v="39"/>
    <n v="48"/>
    <x v="2"/>
    <x v="1"/>
    <x v="1"/>
    <x v="6"/>
    <x v="1"/>
    <x v="3"/>
    <x v="7"/>
    <x v="22"/>
    <x v="0"/>
    <x v="17"/>
    <n v="50"/>
    <n v="50"/>
    <n v="140"/>
    <n v="47"/>
    <x v="0"/>
    <x v="22"/>
    <x v="78"/>
    <x v="263"/>
    <n v="0.96"/>
    <n v="-23"/>
    <x v="0"/>
    <n v="49.46"/>
    <x v="316"/>
    <n v="3294"/>
    <n v="705"/>
    <n v="1.4754098360655738E-2"/>
    <s v="Dec-12"/>
    <x v="9"/>
    <n v="2.5416666666666665"/>
  </r>
  <r>
    <x v="47"/>
    <n v="81"/>
    <x v="2"/>
    <x v="1"/>
    <x v="1"/>
    <x v="32"/>
    <x v="1"/>
    <x v="3"/>
    <x v="7"/>
    <x v="107"/>
    <x v="86"/>
    <x v="6"/>
    <n v="90"/>
    <n v="100"/>
    <n v="220"/>
    <n v="38"/>
    <x v="86"/>
    <x v="107"/>
    <x v="63"/>
    <x v="264"/>
    <n v="0.9"/>
    <n v="-34"/>
    <x v="0"/>
    <n v="99.34"/>
    <x v="317"/>
    <n v="12210"/>
    <n v="988"/>
    <n v="1.372141372141372E-2"/>
    <s v="Dec-12"/>
    <x v="11"/>
    <n v="2.2839506172839505"/>
  </r>
  <r>
    <x v="39"/>
    <n v="20"/>
    <x v="2"/>
    <x v="1"/>
    <x v="1"/>
    <x v="7"/>
    <x v="1"/>
    <x v="2"/>
    <x v="9"/>
    <x v="108"/>
    <x v="117"/>
    <x v="17"/>
    <n v="10"/>
    <n v="-10"/>
    <n v="30"/>
    <n v="40"/>
    <x v="117"/>
    <x v="108"/>
    <x v="64"/>
    <x v="265"/>
    <n v="2"/>
    <n v="-5"/>
    <x v="0"/>
    <n v="-11.5"/>
    <x v="318"/>
    <n v="-675"/>
    <n v="280"/>
    <n v="-4.7619047619047616E-2"/>
    <s v="Dec-12"/>
    <x v="1"/>
    <n v="2.25"/>
  </r>
  <r>
    <x v="7"/>
    <n v="134"/>
    <x v="2"/>
    <x v="1"/>
    <x v="1"/>
    <x v="11"/>
    <x v="1"/>
    <x v="2"/>
    <x v="9"/>
    <x v="109"/>
    <x v="137"/>
    <x v="6"/>
    <n v="100"/>
    <n v="90"/>
    <n v="240"/>
    <n v="65"/>
    <x v="137"/>
    <x v="109"/>
    <x v="133"/>
    <x v="266"/>
    <n v="1.34"/>
    <n v="31"/>
    <x v="0"/>
    <n v="88.655555555555551"/>
    <x v="319"/>
    <n v="38720"/>
    <n v="2665"/>
    <n v="9.2225609756097556E-3"/>
    <s v="Dec-12"/>
    <x v="16"/>
    <n v="2.3880597014925371"/>
  </r>
  <r>
    <x v="29"/>
    <n v="94"/>
    <x v="2"/>
    <x v="1"/>
    <x v="1"/>
    <x v="33"/>
    <x v="0"/>
    <x v="0"/>
    <x v="10"/>
    <x v="61"/>
    <x v="138"/>
    <x v="10"/>
    <n v="80"/>
    <n v="70"/>
    <n v="190"/>
    <n v="43"/>
    <x v="138"/>
    <x v="61"/>
    <x v="52"/>
    <x v="267"/>
    <n v="1.175"/>
    <n v="7"/>
    <x v="0"/>
    <n v="68.900000000000006"/>
    <x v="320"/>
    <n v="16478"/>
    <n v="1333"/>
    <n v="1.1606873681037081E-2"/>
    <s v="Dec-12"/>
    <x v="11"/>
    <n v="2.2765957446808511"/>
  </r>
  <r>
    <x v="39"/>
    <n v="16"/>
    <x v="2"/>
    <x v="1"/>
    <x v="1"/>
    <x v="36"/>
    <x v="0"/>
    <x v="0"/>
    <x v="10"/>
    <x v="76"/>
    <x v="116"/>
    <x v="17"/>
    <n v="10"/>
    <n v="10"/>
    <n v="30"/>
    <n v="16"/>
    <x v="116"/>
    <x v="76"/>
    <x v="118"/>
    <x v="115"/>
    <n v="1.6"/>
    <n v="-1"/>
    <x v="0"/>
    <n v="9.1"/>
    <x v="321"/>
    <n v="369"/>
    <n v="64"/>
    <n v="5.4878048780487805E-2"/>
    <s v="Dec-12"/>
    <x v="5"/>
    <n v="2.5625"/>
  </r>
  <r>
    <x v="28"/>
    <n v="105"/>
    <x v="2"/>
    <x v="1"/>
    <x v="1"/>
    <x v="44"/>
    <x v="0"/>
    <x v="0"/>
    <x v="0"/>
    <x v="30"/>
    <x v="139"/>
    <x v="6"/>
    <n v="90"/>
    <n v="30"/>
    <n v="230"/>
    <n v="125"/>
    <x v="139"/>
    <x v="30"/>
    <x v="134"/>
    <x v="268"/>
    <n v="1.1666666666666667"/>
    <n v="-10"/>
    <x v="0"/>
    <n v="29.333333333333332"/>
    <x v="322"/>
    <n v="5000"/>
    <n v="11875"/>
    <n v="8.4210526315789467E-4"/>
    <s v="Dec-12"/>
    <x v="21"/>
    <n v="2.3809523809523809"/>
  </r>
  <r>
    <x v="121"/>
    <n v="39"/>
    <x v="3"/>
    <x v="0"/>
    <x v="1"/>
    <x v="13"/>
    <x v="1"/>
    <x v="3"/>
    <x v="5"/>
    <x v="40"/>
    <x v="62"/>
    <x v="1"/>
    <n v="40"/>
    <n v="80"/>
    <n v="130"/>
    <n v="25"/>
    <x v="62"/>
    <x v="40"/>
    <x v="28"/>
    <x v="170"/>
    <n v="0.97499999999999998"/>
    <n v="-41"/>
    <x v="0"/>
    <n v="79.512500000000003"/>
    <x v="201"/>
    <n v="3744"/>
    <n v="300"/>
    <n v="3.3854166666666664E-2"/>
    <s v="Oct-13"/>
    <x v="2"/>
    <n v="2.4615384615384617"/>
  </r>
  <r>
    <x v="116"/>
    <n v="239"/>
    <x v="3"/>
    <x v="0"/>
    <x v="1"/>
    <x v="37"/>
    <x v="1"/>
    <x v="3"/>
    <x v="7"/>
    <x v="110"/>
    <x v="140"/>
    <x v="1"/>
    <n v="350"/>
    <n v="340"/>
    <n v="770"/>
    <n v="96"/>
    <x v="140"/>
    <x v="110"/>
    <x v="135"/>
    <x v="269"/>
    <n v="0.68285714285714283"/>
    <n v="-65"/>
    <x v="0"/>
    <n v="339.19117647058823"/>
    <x v="323"/>
    <n v="152350"/>
    <n v="7104"/>
    <n v="6.7079715094155523E-3"/>
    <s v="Oct-13"/>
    <x v="15"/>
    <n v="2.3179916317991633"/>
  </r>
  <r>
    <x v="119"/>
    <n v="123"/>
    <x v="3"/>
    <x v="0"/>
    <x v="1"/>
    <x v="38"/>
    <x v="1"/>
    <x v="2"/>
    <x v="8"/>
    <x v="111"/>
    <x v="141"/>
    <x v="1"/>
    <n v="70"/>
    <n v="100"/>
    <n v="190"/>
    <n v="46"/>
    <x v="141"/>
    <x v="111"/>
    <x v="61"/>
    <x v="270"/>
    <n v="1.7571428571428571"/>
    <n v="97"/>
    <x v="0"/>
    <n v="98.03"/>
    <x v="324"/>
    <n v="63434"/>
    <n v="1564"/>
    <n v="1.7994154183412495E-2"/>
    <s v="Oct-13"/>
    <x v="9"/>
    <n v="2.6178861788617884"/>
  </r>
  <r>
    <x v="38"/>
    <n v="48"/>
    <x v="3"/>
    <x v="1"/>
    <x v="1"/>
    <x v="2"/>
    <x v="1"/>
    <x v="3"/>
    <x v="5"/>
    <x v="49"/>
    <x v="53"/>
    <x v="10"/>
    <n v="70"/>
    <n v="80"/>
    <n v="160"/>
    <n v="25"/>
    <x v="53"/>
    <x v="49"/>
    <x v="3"/>
    <x v="75"/>
    <n v="0.68571428571428572"/>
    <n v="-13"/>
    <x v="0"/>
    <n v="79.162499999999994"/>
    <x v="80"/>
    <n v="8442"/>
    <n v="325"/>
    <n v="4.0903540903540904E-2"/>
    <s v="Oct-13"/>
    <x v="6"/>
    <n v="2.625"/>
  </r>
  <r>
    <x v="55"/>
    <n v="48"/>
    <x v="3"/>
    <x v="1"/>
    <x v="1"/>
    <x v="2"/>
    <x v="1"/>
    <x v="3"/>
    <x v="7"/>
    <x v="50"/>
    <x v="35"/>
    <x v="10"/>
    <n v="70"/>
    <n v="80"/>
    <n v="160"/>
    <n v="24"/>
    <x v="35"/>
    <x v="50"/>
    <x v="28"/>
    <x v="76"/>
    <n v="0.68571428571428572"/>
    <n v="-10"/>
    <x v="0"/>
    <n v="79.125"/>
    <x v="81"/>
    <n v="8890"/>
    <n v="312"/>
    <n v="4.2398546335554212E-2"/>
    <s v="Oct-13"/>
    <x v="6"/>
    <n v="2.6458333333333335"/>
  </r>
  <r>
    <x v="39"/>
    <n v="45"/>
    <x v="3"/>
    <x v="1"/>
    <x v="1"/>
    <x v="10"/>
    <x v="1"/>
    <x v="3"/>
    <x v="7"/>
    <x v="28"/>
    <x v="26"/>
    <x v="17"/>
    <n v="50"/>
    <n v="80"/>
    <n v="160"/>
    <n v="46"/>
    <x v="26"/>
    <x v="28"/>
    <x v="10"/>
    <x v="209"/>
    <n v="0.9"/>
    <n v="-46"/>
    <x v="0"/>
    <n v="79.575000000000003"/>
    <x v="238"/>
    <n v="4114"/>
    <n v="644"/>
    <n v="2.0070838252656435E-2"/>
    <s v="Oct-13"/>
    <x v="6"/>
    <n v="2.6888888888888891"/>
  </r>
  <r>
    <x v="7"/>
    <n v="90"/>
    <x v="3"/>
    <x v="1"/>
    <x v="1"/>
    <x v="39"/>
    <x v="1"/>
    <x v="3"/>
    <x v="7"/>
    <x v="112"/>
    <x v="18"/>
    <x v="6"/>
    <n v="130"/>
    <n v="140"/>
    <n v="290"/>
    <n v="41"/>
    <x v="18"/>
    <x v="112"/>
    <x v="13"/>
    <x v="271"/>
    <n v="0.69230769230769229"/>
    <n v="-30"/>
    <x v="0"/>
    <n v="139.21428571428572"/>
    <x v="234"/>
    <n v="23980"/>
    <n v="1189"/>
    <n v="1.7399557102182852E-2"/>
    <s v="Oct-13"/>
    <x v="16"/>
    <n v="2.4222222222222221"/>
  </r>
  <r>
    <x v="39"/>
    <n v="25"/>
    <x v="3"/>
    <x v="1"/>
    <x v="1"/>
    <x v="8"/>
    <x v="1"/>
    <x v="2"/>
    <x v="9"/>
    <x v="90"/>
    <x v="94"/>
    <x v="17"/>
    <n v="10"/>
    <n v="10"/>
    <n v="30"/>
    <n v="43"/>
    <x v="94"/>
    <x v="90"/>
    <x v="69"/>
    <x v="226"/>
    <n v="2.5"/>
    <n v="-28"/>
    <x v="0"/>
    <n v="11.8"/>
    <x v="271"/>
    <n v="-1080"/>
    <n v="387"/>
    <n v="-3.3333333333333333E-2"/>
    <s v="Oct-13"/>
    <x v="5"/>
    <n v="2.4"/>
  </r>
  <r>
    <x v="11"/>
    <n v="103"/>
    <x v="3"/>
    <x v="1"/>
    <x v="1"/>
    <x v="40"/>
    <x v="0"/>
    <x v="0"/>
    <x v="10"/>
    <x v="113"/>
    <x v="142"/>
    <x v="10"/>
    <n v="80"/>
    <n v="110"/>
    <n v="210"/>
    <n v="46"/>
    <x v="142"/>
    <x v="113"/>
    <x v="43"/>
    <x v="272"/>
    <n v="1.2875000000000001"/>
    <n v="19"/>
    <x v="0"/>
    <n v="108.82727272727273"/>
    <x v="325"/>
    <n v="32379"/>
    <n v="1518"/>
    <n v="1.5574067366896052E-2"/>
    <s v="Oct-13"/>
    <x v="10"/>
    <n v="2.436893203883495"/>
  </r>
  <r>
    <x v="29"/>
    <n v="79"/>
    <x v="3"/>
    <x v="1"/>
    <x v="1"/>
    <x v="30"/>
    <x v="0"/>
    <x v="0"/>
    <x v="0"/>
    <x v="35"/>
    <x v="90"/>
    <x v="10"/>
    <n v="60"/>
    <n v="60"/>
    <n v="150"/>
    <n v="64"/>
    <x v="90"/>
    <x v="35"/>
    <x v="92"/>
    <x v="142"/>
    <n v="1.3166666666666667"/>
    <n v="-10"/>
    <x v="0"/>
    <n v="59.166666666666664"/>
    <x v="161"/>
    <n v="9450"/>
    <n v="1920"/>
    <n v="8.8183421516754863E-3"/>
    <s v="Oct-13"/>
    <x v="9"/>
    <n v="2.3924050632911391"/>
  </r>
  <r>
    <x v="7"/>
    <n v="96"/>
    <x v="3"/>
    <x v="1"/>
    <x v="1"/>
    <x v="41"/>
    <x v="0"/>
    <x v="0"/>
    <x v="0"/>
    <x v="65"/>
    <x v="132"/>
    <x v="6"/>
    <n v="80"/>
    <n v="40"/>
    <n v="200"/>
    <n v="117"/>
    <x v="132"/>
    <x v="65"/>
    <x v="136"/>
    <x v="273"/>
    <n v="1.2"/>
    <n v="-15"/>
    <x v="0"/>
    <n v="39.375"/>
    <x v="89"/>
    <n v="6125"/>
    <n v="10179"/>
    <n v="1.1728829462819611E-3"/>
    <s v="Oct-13"/>
    <x v="17"/>
    <n v="2.5520833333333335"/>
  </r>
  <r>
    <x v="116"/>
    <n v="225"/>
    <x v="4"/>
    <x v="0"/>
    <x v="1"/>
    <x v="42"/>
    <x v="1"/>
    <x v="3"/>
    <x v="7"/>
    <x v="114"/>
    <x v="143"/>
    <x v="1"/>
    <n v="260"/>
    <n v="230"/>
    <n v="580"/>
    <n v="91"/>
    <x v="143"/>
    <x v="114"/>
    <x v="137"/>
    <x v="274"/>
    <n v="0.86538461538461542"/>
    <n v="28"/>
    <x v="0"/>
    <n v="228.87826086956522"/>
    <x v="326"/>
    <n v="134676"/>
    <n v="6279"/>
    <n v="7.1630851241046151E-3"/>
    <s v="Nov-13"/>
    <x v="18"/>
    <n v="2.3199999999999998"/>
  </r>
  <r>
    <x v="51"/>
    <n v="75"/>
    <x v="4"/>
    <x v="0"/>
    <x v="1"/>
    <x v="23"/>
    <x v="1"/>
    <x v="2"/>
    <x v="9"/>
    <x v="97"/>
    <x v="123"/>
    <x v="1"/>
    <n v="50"/>
    <n v="40"/>
    <n v="140"/>
    <n v="55"/>
    <x v="123"/>
    <x v="97"/>
    <x v="84"/>
    <x v="243"/>
    <n v="1.5"/>
    <n v="48"/>
    <x v="0"/>
    <n v="37.799999999999997"/>
    <x v="294"/>
    <n v="17688"/>
    <n v="1320"/>
    <n v="1.824212271973466E-2"/>
    <s v="Nov-13"/>
    <x v="10"/>
    <n v="2.68"/>
  </r>
  <r>
    <x v="18"/>
    <n v="118"/>
    <x v="4"/>
    <x v="0"/>
    <x v="1"/>
    <x v="40"/>
    <x v="1"/>
    <x v="2"/>
    <x v="8"/>
    <x v="105"/>
    <x v="144"/>
    <x v="1"/>
    <n v="90"/>
    <n v="100"/>
    <n v="220"/>
    <n v="45"/>
    <x v="144"/>
    <x v="105"/>
    <x v="72"/>
    <x v="275"/>
    <n v="1.3111111111111111"/>
    <n v="88"/>
    <x v="0"/>
    <n v="98.12"/>
    <x v="327"/>
    <n v="58092"/>
    <n v="1485"/>
    <n v="1.8436795135824264E-2"/>
    <s v="Nov-13"/>
    <x v="11"/>
    <n v="2.6186440677966103"/>
  </r>
  <r>
    <x v="28"/>
    <n v="78"/>
    <x v="4"/>
    <x v="1"/>
    <x v="1"/>
    <x v="26"/>
    <x v="1"/>
    <x v="2"/>
    <x v="4"/>
    <x v="115"/>
    <x v="145"/>
    <x v="6"/>
    <n v="60"/>
    <n v="40"/>
    <n v="150"/>
    <n v="57"/>
    <x v="145"/>
    <x v="115"/>
    <x v="41"/>
    <x v="276"/>
    <n v="1.3"/>
    <n v="52"/>
    <x v="0"/>
    <n v="37.700000000000003"/>
    <x v="328"/>
    <n v="19320"/>
    <n v="1425"/>
    <n v="1.7523809523809525E-2"/>
    <s v="Nov-13"/>
    <x v="8"/>
    <n v="2.6923076923076925"/>
  </r>
  <r>
    <x v="7"/>
    <n v="88"/>
    <x v="4"/>
    <x v="1"/>
    <x v="1"/>
    <x v="39"/>
    <x v="1"/>
    <x v="3"/>
    <x v="7"/>
    <x v="116"/>
    <x v="146"/>
    <x v="6"/>
    <n v="100"/>
    <n v="90"/>
    <n v="230"/>
    <n v="41"/>
    <x v="146"/>
    <x v="116"/>
    <x v="13"/>
    <x v="277"/>
    <n v="0.88"/>
    <n v="15"/>
    <x v="0"/>
    <n v="88.833333333333329"/>
    <x v="329"/>
    <n v="22365"/>
    <n v="1189"/>
    <n v="1.6998542982030112E-2"/>
    <s v="Nov-13"/>
    <x v="14"/>
    <n v="2.4204545454545454"/>
  </r>
  <r>
    <x v="47"/>
    <n v="102"/>
    <x v="4"/>
    <x v="1"/>
    <x v="1"/>
    <x v="33"/>
    <x v="1"/>
    <x v="2"/>
    <x v="9"/>
    <x v="117"/>
    <x v="147"/>
    <x v="6"/>
    <n v="80"/>
    <n v="60"/>
    <n v="180"/>
    <n v="54"/>
    <x v="147"/>
    <x v="117"/>
    <x v="111"/>
    <x v="278"/>
    <n v="1.2749999999999999"/>
    <n v="72"/>
    <x v="0"/>
    <n v="57.8"/>
    <x v="330"/>
    <n v="34452"/>
    <n v="1674"/>
    <n v="1.6314423433444566E-2"/>
    <s v="Nov-13"/>
    <x v="11"/>
    <n v="2.5588235294117645"/>
  </r>
  <r>
    <x v="38"/>
    <n v="101"/>
    <x v="4"/>
    <x v="1"/>
    <x v="1"/>
    <x v="40"/>
    <x v="0"/>
    <x v="0"/>
    <x v="10"/>
    <x v="118"/>
    <x v="148"/>
    <x v="10"/>
    <n v="90"/>
    <n v="80"/>
    <n v="210"/>
    <n v="45"/>
    <x v="148"/>
    <x v="118"/>
    <x v="24"/>
    <x v="279"/>
    <n v="1.1222222222222222"/>
    <n v="46"/>
    <x v="0"/>
    <n v="78.424999999999997"/>
    <x v="331"/>
    <n v="30996"/>
    <n v="1485"/>
    <n v="1.5521064301552107E-2"/>
    <s v="Nov-13"/>
    <x v="13"/>
    <n v="2.4356435643564356"/>
  </r>
  <r>
    <x v="39"/>
    <n v="15"/>
    <x v="4"/>
    <x v="1"/>
    <x v="1"/>
    <x v="36"/>
    <x v="0"/>
    <x v="0"/>
    <x v="10"/>
    <x v="32"/>
    <x v="120"/>
    <x v="17"/>
    <n v="10"/>
    <n v="10"/>
    <n v="30"/>
    <n v="15"/>
    <x v="120"/>
    <x v="32"/>
    <x v="122"/>
    <x v="170"/>
    <n v="1.5"/>
    <n v="3"/>
    <x v="0"/>
    <n v="8.6999999999999993"/>
    <x v="332"/>
    <n v="546"/>
    <n v="60"/>
    <n v="7.7380952380952384E-2"/>
    <s v="Nov-13"/>
    <x v="5"/>
    <n v="2.8"/>
  </r>
  <r>
    <x v="55"/>
    <n v="82"/>
    <x v="4"/>
    <x v="1"/>
    <x v="1"/>
    <x v="33"/>
    <x v="0"/>
    <x v="0"/>
    <x v="0"/>
    <x v="4"/>
    <x v="109"/>
    <x v="10"/>
    <n v="70"/>
    <n v="40"/>
    <n v="170"/>
    <n v="64"/>
    <x v="109"/>
    <x v="4"/>
    <x v="65"/>
    <x v="213"/>
    <n v="1.1714285714285715"/>
    <n v="16"/>
    <x v="0"/>
    <n v="38.6"/>
    <x v="245"/>
    <n v="10976"/>
    <n v="1984"/>
    <n v="9.2165898617511521E-3"/>
    <s v="Nov-13"/>
    <x v="13"/>
    <n v="2.3902439024390243"/>
  </r>
  <r>
    <x v="47"/>
    <n v="94"/>
    <x v="4"/>
    <x v="1"/>
    <x v="1"/>
    <x v="43"/>
    <x v="0"/>
    <x v="0"/>
    <x v="0"/>
    <x v="57"/>
    <x v="149"/>
    <x v="6"/>
    <n v="80"/>
    <n v="20"/>
    <n v="200"/>
    <n v="115"/>
    <x v="149"/>
    <x v="57"/>
    <x v="138"/>
    <x v="280"/>
    <n v="1.175"/>
    <n v="2"/>
    <x v="0"/>
    <n v="18.899999999999999"/>
    <x v="333"/>
    <n v="5258"/>
    <n v="9774.9999999999982"/>
    <n v="1.0829436377061286E-3"/>
    <s v="Nov-13"/>
    <x v="19"/>
    <n v="2.5425531914893615"/>
  </r>
  <r>
    <x v="2"/>
    <n v="241"/>
    <x v="5"/>
    <x v="0"/>
    <x v="1"/>
    <x v="37"/>
    <x v="1"/>
    <x v="3"/>
    <x v="7"/>
    <x v="119"/>
    <x v="150"/>
    <x v="1"/>
    <n v="280"/>
    <n v="240"/>
    <n v="620"/>
    <n v="96"/>
    <x v="150"/>
    <x v="119"/>
    <x v="139"/>
    <x v="281"/>
    <n v="0.86071428571428577"/>
    <n v="39"/>
    <x v="0"/>
    <n v="238.83750000000001"/>
    <x v="334"/>
    <n v="155961"/>
    <n v="7104"/>
    <n v="6.7446695353672098E-3"/>
    <s v="Dec-13"/>
    <x v="20"/>
    <n v="2.3195020746887969"/>
  </r>
  <r>
    <x v="50"/>
    <n v="123"/>
    <x v="5"/>
    <x v="0"/>
    <x v="1"/>
    <x v="38"/>
    <x v="1"/>
    <x v="2"/>
    <x v="8"/>
    <x v="111"/>
    <x v="141"/>
    <x v="1"/>
    <n v="90"/>
    <n v="110"/>
    <n v="230"/>
    <n v="46"/>
    <x v="141"/>
    <x v="111"/>
    <x v="61"/>
    <x v="270"/>
    <n v="1.3666666666666667"/>
    <n v="87"/>
    <x v="0"/>
    <n v="108.2090909090909"/>
    <x v="324"/>
    <n v="63434"/>
    <n v="1564"/>
    <n v="1.7994154183412495E-2"/>
    <s v="Dec-13"/>
    <x v="11"/>
    <n v="2.6178861788617884"/>
  </r>
  <r>
    <x v="39"/>
    <n v="92"/>
    <x v="5"/>
    <x v="1"/>
    <x v="1"/>
    <x v="16"/>
    <x v="1"/>
    <x v="3"/>
    <x v="5"/>
    <x v="10"/>
    <x v="72"/>
    <x v="17"/>
    <n v="100"/>
    <n v="40"/>
    <n v="190"/>
    <n v="52"/>
    <x v="72"/>
    <x v="10"/>
    <x v="77"/>
    <x v="111"/>
    <n v="0.92"/>
    <n v="-16"/>
    <x v="0"/>
    <n v="39.4"/>
    <x v="119"/>
    <n v="4104"/>
    <n v="1456"/>
    <n v="5.0125313283208017E-3"/>
    <s v="Dec-13"/>
    <x v="16"/>
    <n v="1.8586956521739131"/>
  </r>
  <r>
    <x v="7"/>
    <n v="88"/>
    <x v="5"/>
    <x v="1"/>
    <x v="1"/>
    <x v="39"/>
    <x v="1"/>
    <x v="2"/>
    <x v="4"/>
    <x v="120"/>
    <x v="126"/>
    <x v="6"/>
    <n v="60"/>
    <n v="60"/>
    <n v="170"/>
    <n v="61"/>
    <x v="126"/>
    <x v="120"/>
    <x v="111"/>
    <x v="282"/>
    <n v="1.4666666666666666"/>
    <n v="47"/>
    <x v="0"/>
    <n v="58.216666666666669"/>
    <x v="335"/>
    <n v="25252"/>
    <n v="1769"/>
    <n v="1.5634132086499122E-2"/>
    <s v="Dec-13"/>
    <x v="8"/>
    <n v="2.6818181818181817"/>
  </r>
  <r>
    <x v="38"/>
    <n v="49"/>
    <x v="5"/>
    <x v="1"/>
    <x v="1"/>
    <x v="2"/>
    <x v="1"/>
    <x v="3"/>
    <x v="7"/>
    <x v="88"/>
    <x v="51"/>
    <x v="10"/>
    <n v="50"/>
    <n v="70"/>
    <n v="140"/>
    <n v="25"/>
    <x v="51"/>
    <x v="88"/>
    <x v="64"/>
    <x v="206"/>
    <n v="0.98"/>
    <n v="-2"/>
    <x v="0"/>
    <n v="69.028571428571425"/>
    <x v="253"/>
    <n v="8704"/>
    <n v="325"/>
    <n v="4.0865384615384616E-2"/>
    <s v="Dec-13"/>
    <x v="7"/>
    <n v="2.6122448979591835"/>
  </r>
  <r>
    <x v="39"/>
    <n v="48"/>
    <x v="5"/>
    <x v="1"/>
    <x v="1"/>
    <x v="6"/>
    <x v="1"/>
    <x v="3"/>
    <x v="7"/>
    <x v="54"/>
    <x v="45"/>
    <x v="17"/>
    <n v="50"/>
    <n v="50"/>
    <n v="140"/>
    <n v="47"/>
    <x v="45"/>
    <x v="54"/>
    <x v="6"/>
    <x v="126"/>
    <n v="0.96"/>
    <n v="-10"/>
    <x v="0"/>
    <n v="49.2"/>
    <x v="336"/>
    <n v="5200"/>
    <n v="705"/>
    <n v="2.0512820512820513E-2"/>
    <s v="Dec-13"/>
    <x v="9"/>
    <n v="2.7083333333333335"/>
  </r>
  <r>
    <x v="28"/>
    <n v="81"/>
    <x v="5"/>
    <x v="1"/>
    <x v="1"/>
    <x v="32"/>
    <x v="1"/>
    <x v="3"/>
    <x v="7"/>
    <x v="121"/>
    <x v="130"/>
    <x v="6"/>
    <n v="90"/>
    <n v="100"/>
    <n v="220"/>
    <n v="38"/>
    <x v="130"/>
    <x v="121"/>
    <x v="44"/>
    <x v="283"/>
    <n v="0.9"/>
    <n v="-2"/>
    <x v="0"/>
    <n v="99.02"/>
    <x v="337"/>
    <n v="19306"/>
    <n v="988"/>
    <n v="1.9133151112846546E-2"/>
    <s v="Dec-13"/>
    <x v="11"/>
    <n v="2.4320987654320989"/>
  </r>
  <r>
    <x v="39"/>
    <n v="20"/>
    <x v="5"/>
    <x v="1"/>
    <x v="1"/>
    <x v="7"/>
    <x v="1"/>
    <x v="2"/>
    <x v="9"/>
    <x v="122"/>
    <x v="122"/>
    <x v="17"/>
    <n v="10"/>
    <n v="-10"/>
    <n v="30"/>
    <n v="40"/>
    <x v="122"/>
    <x v="122"/>
    <x v="86"/>
    <x v="284"/>
    <n v="2"/>
    <n v="-12"/>
    <x v="0"/>
    <n v="-12.2"/>
    <x v="338"/>
    <n v="-1056"/>
    <n v="280"/>
    <n v="-6.5476190476190479E-2"/>
    <s v="Dec-13"/>
    <x v="1"/>
    <n v="2.4"/>
  </r>
  <r>
    <x v="7"/>
    <n v="134"/>
    <x v="5"/>
    <x v="1"/>
    <x v="1"/>
    <x v="11"/>
    <x v="1"/>
    <x v="2"/>
    <x v="9"/>
    <x v="123"/>
    <x v="151"/>
    <x v="6"/>
    <n v="100"/>
    <n v="90"/>
    <n v="240"/>
    <n v="65"/>
    <x v="151"/>
    <x v="123"/>
    <x v="140"/>
    <x v="285"/>
    <n v="1.34"/>
    <n v="90"/>
    <x v="0"/>
    <n v="88"/>
    <x v="339"/>
    <n v="61380"/>
    <n v="2665"/>
    <n v="1.287461554967456E-2"/>
    <s v="Dec-13"/>
    <x v="16"/>
    <n v="2.544776119402985"/>
  </r>
  <r>
    <x v="38"/>
    <n v="94"/>
    <x v="5"/>
    <x v="1"/>
    <x v="1"/>
    <x v="33"/>
    <x v="0"/>
    <x v="0"/>
    <x v="10"/>
    <x v="124"/>
    <x v="152"/>
    <x v="10"/>
    <n v="80"/>
    <n v="70"/>
    <n v="190"/>
    <n v="43"/>
    <x v="152"/>
    <x v="124"/>
    <x v="35"/>
    <x v="286"/>
    <n v="1.175"/>
    <n v="44"/>
    <x v="0"/>
    <n v="68.371428571428567"/>
    <x v="340"/>
    <n v="25992"/>
    <n v="1333"/>
    <n v="1.6129032258064516E-2"/>
    <s v="Dec-13"/>
    <x v="11"/>
    <n v="2.4255319148936172"/>
  </r>
  <r>
    <x v="39"/>
    <n v="16"/>
    <x v="5"/>
    <x v="1"/>
    <x v="1"/>
    <x v="36"/>
    <x v="0"/>
    <x v="0"/>
    <x v="10"/>
    <x v="32"/>
    <x v="121"/>
    <x v="17"/>
    <n v="10"/>
    <n v="10"/>
    <n v="30"/>
    <n v="16"/>
    <x v="121"/>
    <x v="32"/>
    <x v="116"/>
    <x v="170"/>
    <n v="1.6"/>
    <n v="3"/>
    <x v="0"/>
    <n v="8.6999999999999993"/>
    <x v="341"/>
    <n v="572"/>
    <n v="64"/>
    <n v="7.3863636363636367E-2"/>
    <s v="Dec-13"/>
    <x v="5"/>
    <n v="2.75"/>
  </r>
  <r>
    <x v="28"/>
    <n v="105"/>
    <x v="5"/>
    <x v="1"/>
    <x v="1"/>
    <x v="44"/>
    <x v="0"/>
    <x v="0"/>
    <x v="0"/>
    <x v="27"/>
    <x v="153"/>
    <x v="6"/>
    <n v="90"/>
    <n v="30"/>
    <n v="230"/>
    <n v="125"/>
    <x v="153"/>
    <x v="27"/>
    <x v="141"/>
    <x v="287"/>
    <n v="1.1666666666666667"/>
    <n v="0"/>
    <x v="0"/>
    <n v="29"/>
    <x v="342"/>
    <n v="7980"/>
    <n v="11875"/>
    <n v="1.1871784724970321E-3"/>
    <s v="Dec-13"/>
    <x v="21"/>
    <n v="2.5333333333333332"/>
  </r>
  <r>
    <x v="6"/>
    <n v="125"/>
    <x v="0"/>
    <x v="1"/>
    <x v="2"/>
    <x v="11"/>
    <x v="1"/>
    <x v="3"/>
    <x v="7"/>
    <x v="125"/>
    <x v="154"/>
    <x v="5"/>
    <n v="100"/>
    <n v="130"/>
    <n v="260"/>
    <n v="73"/>
    <x v="154"/>
    <x v="125"/>
    <x v="142"/>
    <x v="288"/>
    <n v="1.25"/>
    <n v="-15"/>
    <x v="0"/>
    <n v="129.11538461538461"/>
    <x v="343"/>
    <n v="35995"/>
    <n v="2993"/>
    <n v="8.9612717213434102E-3"/>
    <s v="Oct-12"/>
    <x v="13"/>
    <n v="2.504"/>
  </r>
  <r>
    <x v="31"/>
    <n v="60"/>
    <x v="0"/>
    <x v="1"/>
    <x v="2"/>
    <x v="12"/>
    <x v="1"/>
    <x v="2"/>
    <x v="8"/>
    <x v="12"/>
    <x v="13"/>
    <x v="5"/>
    <n v="40"/>
    <n v="40"/>
    <n v="130"/>
    <n v="83"/>
    <x v="13"/>
    <x v="12"/>
    <x v="12"/>
    <x v="13"/>
    <n v="1.5"/>
    <n v="-39"/>
    <x v="0"/>
    <n v="39.975000000000001"/>
    <x v="13"/>
    <n v="144"/>
    <n v="4482"/>
    <n v="1.2860082304526747E-4"/>
    <s v="Oct-12"/>
    <x v="9"/>
    <n v="2.4"/>
  </r>
  <r>
    <x v="31"/>
    <n v="130"/>
    <x v="1"/>
    <x v="1"/>
    <x v="2"/>
    <x v="22"/>
    <x v="1"/>
    <x v="3"/>
    <x v="7"/>
    <x v="126"/>
    <x v="155"/>
    <x v="5"/>
    <n v="110"/>
    <n v="130"/>
    <n v="290"/>
    <n v="73"/>
    <x v="155"/>
    <x v="126"/>
    <x v="143"/>
    <x v="289"/>
    <n v="1.1818181818181819"/>
    <n v="-8"/>
    <x v="0"/>
    <n v="129.06153846153848"/>
    <x v="344"/>
    <n v="39650"/>
    <n v="3066"/>
    <n v="8.9377289377289369E-3"/>
    <s v="Nov-12"/>
    <x v="17"/>
    <n v="2.5"/>
  </r>
  <r>
    <x v="31"/>
    <n v="115"/>
    <x v="2"/>
    <x v="1"/>
    <x v="2"/>
    <x v="45"/>
    <x v="1"/>
    <x v="3"/>
    <x v="7"/>
    <x v="116"/>
    <x v="156"/>
    <x v="5"/>
    <n v="100"/>
    <n v="110"/>
    <n v="260"/>
    <n v="69"/>
    <x v="156"/>
    <x v="116"/>
    <x v="144"/>
    <x v="290"/>
    <n v="1.1499999999999999"/>
    <n v="-5"/>
    <x v="0"/>
    <n v="109.04545454545455"/>
    <x v="345"/>
    <n v="30345"/>
    <n v="2553"/>
    <n v="9.819508089404282E-3"/>
    <s v="Dec-12"/>
    <x v="16"/>
    <n v="2.5130434782608697"/>
  </r>
  <r>
    <x v="31"/>
    <n v="125"/>
    <x v="3"/>
    <x v="1"/>
    <x v="2"/>
    <x v="11"/>
    <x v="1"/>
    <x v="3"/>
    <x v="7"/>
    <x v="127"/>
    <x v="157"/>
    <x v="5"/>
    <n v="100"/>
    <n v="130"/>
    <n v="260"/>
    <n v="73"/>
    <x v="157"/>
    <x v="127"/>
    <x v="130"/>
    <x v="291"/>
    <n v="1.25"/>
    <n v="41"/>
    <x v="0"/>
    <n v="128.6846153846154"/>
    <x v="346"/>
    <n v="57114"/>
    <n v="2993"/>
    <n v="1.2487220680590039E-2"/>
    <s v="Oct-13"/>
    <x v="13"/>
    <n v="2.6720000000000002"/>
  </r>
  <r>
    <x v="67"/>
    <n v="60"/>
    <x v="3"/>
    <x v="1"/>
    <x v="2"/>
    <x v="12"/>
    <x v="1"/>
    <x v="2"/>
    <x v="8"/>
    <x v="12"/>
    <x v="43"/>
    <x v="5"/>
    <n v="40"/>
    <n v="40"/>
    <n v="130"/>
    <n v="83"/>
    <x v="43"/>
    <x v="12"/>
    <x v="59"/>
    <x v="13"/>
    <n v="1.5"/>
    <n v="-39"/>
    <x v="0"/>
    <n v="39.975000000000001"/>
    <x v="13"/>
    <n v="153"/>
    <n v="4482"/>
    <n v="1.2103606874848704E-4"/>
    <s v="Oct-13"/>
    <x v="9"/>
    <n v="2.5499999999999998"/>
  </r>
  <r>
    <x v="31"/>
    <n v="130"/>
    <x v="4"/>
    <x v="1"/>
    <x v="2"/>
    <x v="22"/>
    <x v="1"/>
    <x v="3"/>
    <x v="7"/>
    <x v="128"/>
    <x v="158"/>
    <x v="5"/>
    <n v="110"/>
    <n v="130"/>
    <n v="290"/>
    <n v="73"/>
    <x v="158"/>
    <x v="128"/>
    <x v="145"/>
    <x v="292"/>
    <n v="1.1818181818181819"/>
    <n v="51"/>
    <x v="0"/>
    <n v="128.6076923076923"/>
    <x v="347"/>
    <n v="62626"/>
    <n v="3066"/>
    <n v="1.2455271125791357E-2"/>
    <s v="Nov-13"/>
    <x v="17"/>
    <n v="2.6615384615384614"/>
  </r>
  <r>
    <x v="67"/>
    <n v="115"/>
    <x v="5"/>
    <x v="1"/>
    <x v="2"/>
    <x v="45"/>
    <x v="1"/>
    <x v="3"/>
    <x v="7"/>
    <x v="129"/>
    <x v="159"/>
    <x v="5"/>
    <n v="100"/>
    <n v="110"/>
    <n v="260"/>
    <n v="69"/>
    <x v="159"/>
    <x v="129"/>
    <x v="59"/>
    <x v="293"/>
    <n v="1.1499999999999999"/>
    <n v="46"/>
    <x v="0"/>
    <n v="108.58181818181818"/>
    <x v="348"/>
    <n v="48048"/>
    <n v="2553.0000000000005"/>
    <n v="1.3689013689013688E-2"/>
    <s v="Dec-13"/>
    <x v="16"/>
    <n v="2.6782608695652175"/>
  </r>
  <r>
    <x v="35"/>
    <n v="91"/>
    <x v="0"/>
    <x v="0"/>
    <x v="2"/>
    <x v="16"/>
    <x v="1"/>
    <x v="3"/>
    <x v="5"/>
    <x v="20"/>
    <x v="18"/>
    <x v="2"/>
    <n v="70"/>
    <n v="90"/>
    <n v="180"/>
    <n v="51"/>
    <x v="18"/>
    <x v="20"/>
    <x v="19"/>
    <x v="21"/>
    <n v="1.3"/>
    <n v="-14"/>
    <x v="0"/>
    <n v="89.155555555555551"/>
    <x v="21"/>
    <n v="16568"/>
    <n v="1428"/>
    <n v="1.2450851900393186E-2"/>
    <s v="Oct-12"/>
    <x v="9"/>
    <n v="2.3956043956043955"/>
  </r>
  <r>
    <x v="122"/>
    <n v="86"/>
    <x v="0"/>
    <x v="0"/>
    <x v="2"/>
    <x v="16"/>
    <x v="1"/>
    <x v="2"/>
    <x v="4"/>
    <x v="130"/>
    <x v="160"/>
    <x v="2"/>
    <n v="70"/>
    <n v="90"/>
    <n v="180"/>
    <n v="56"/>
    <x v="160"/>
    <x v="130"/>
    <x v="19"/>
    <x v="33"/>
    <n v="1.2285714285714286"/>
    <n v="-30"/>
    <x v="0"/>
    <n v="89.333333333333329"/>
    <x v="349"/>
    <n v="12120"/>
    <n v="1568"/>
    <n v="1.0608203677510608E-2"/>
    <s v="Oct-12"/>
    <x v="9"/>
    <n v="2.3488372093023258"/>
  </r>
  <r>
    <x v="59"/>
    <n v="82"/>
    <x v="0"/>
    <x v="0"/>
    <x v="2"/>
    <x v="15"/>
    <x v="1"/>
    <x v="3"/>
    <x v="7"/>
    <x v="19"/>
    <x v="17"/>
    <x v="2"/>
    <n v="60"/>
    <n v="90"/>
    <n v="170"/>
    <n v="59"/>
    <x v="17"/>
    <x v="19"/>
    <x v="18"/>
    <x v="20"/>
    <n v="1.3666666666666667"/>
    <n v="-26"/>
    <x v="0"/>
    <n v="89.288888888888891"/>
    <x v="20"/>
    <n v="13120"/>
    <n v="1593"/>
    <n v="1.156278229448961E-2"/>
    <s v="Oct-12"/>
    <x v="6"/>
    <n v="2.5"/>
  </r>
  <r>
    <x v="84"/>
    <n v="72"/>
    <x v="0"/>
    <x v="0"/>
    <x v="2"/>
    <x v="4"/>
    <x v="1"/>
    <x v="3"/>
    <x v="7"/>
    <x v="131"/>
    <x v="161"/>
    <x v="15"/>
    <n v="50"/>
    <n v="330"/>
    <n v="400"/>
    <n v="54"/>
    <x v="161"/>
    <x v="131"/>
    <x v="4"/>
    <x v="294"/>
    <n v="1.44"/>
    <n v="18"/>
    <x v="0"/>
    <n v="328.94545454545454"/>
    <x v="350"/>
    <n v="164952"/>
    <n v="1242"/>
    <n v="3.1920748486516236E-2"/>
    <s v="Oct-12"/>
    <x v="7"/>
    <n v="6.583333333333333"/>
  </r>
  <r>
    <x v="123"/>
    <n v="260"/>
    <x v="0"/>
    <x v="0"/>
    <x v="2"/>
    <x v="46"/>
    <x v="1"/>
    <x v="3"/>
    <x v="7"/>
    <x v="132"/>
    <x v="162"/>
    <x v="19"/>
    <n v="210"/>
    <n v="230"/>
    <n v="540"/>
    <n v="143"/>
    <x v="162"/>
    <x v="132"/>
    <x v="146"/>
    <x v="21"/>
    <n v="1.2380952380952381"/>
    <n v="17"/>
    <x v="0"/>
    <n v="228.92608695652174"/>
    <x v="351"/>
    <n v="160550"/>
    <n v="13013"/>
    <n v="4.1758241758241763E-3"/>
    <s v="Oct-12"/>
    <x v="22"/>
    <n v="2.5"/>
  </r>
  <r>
    <x v="122"/>
    <n v="96"/>
    <x v="0"/>
    <x v="0"/>
    <x v="2"/>
    <x v="41"/>
    <x v="1"/>
    <x v="2"/>
    <x v="8"/>
    <x v="47"/>
    <x v="127"/>
    <x v="2"/>
    <n v="80"/>
    <n v="50"/>
    <n v="210"/>
    <n v="116"/>
    <x v="127"/>
    <x v="47"/>
    <x v="147"/>
    <x v="295"/>
    <n v="1.2"/>
    <n v="-32"/>
    <x v="0"/>
    <n v="49.64"/>
    <x v="352"/>
    <n v="4140"/>
    <n v="10092"/>
    <n v="8.9955022488755621E-4"/>
    <s v="Oct-12"/>
    <x v="17"/>
    <n v="2.3958333333333335"/>
  </r>
  <r>
    <x v="124"/>
    <n v="125"/>
    <x v="0"/>
    <x v="0"/>
    <x v="2"/>
    <x v="47"/>
    <x v="1"/>
    <x v="2"/>
    <x v="8"/>
    <x v="133"/>
    <x v="85"/>
    <x v="19"/>
    <n v="110"/>
    <n v="-170"/>
    <n v="50"/>
    <n v="146"/>
    <x v="85"/>
    <x v="133"/>
    <x v="148"/>
    <x v="296"/>
    <n v="1.1363636363636365"/>
    <n v="-32"/>
    <x v="0"/>
    <n v="-171.18823529411765"/>
    <x v="353"/>
    <n v="-13938"/>
    <n v="16498"/>
    <n v="-2.5907400282159803E-2"/>
    <s v="Oct-12"/>
    <x v="23"/>
    <n v="0.55200000000000005"/>
  </r>
  <r>
    <x v="108"/>
    <n v="161"/>
    <x v="0"/>
    <x v="0"/>
    <x v="2"/>
    <x v="48"/>
    <x v="1"/>
    <x v="2"/>
    <x v="12"/>
    <x v="115"/>
    <x v="141"/>
    <x v="15"/>
    <n v="140"/>
    <n v="120"/>
    <n v="300"/>
    <n v="69"/>
    <x v="141"/>
    <x v="115"/>
    <x v="134"/>
    <x v="297"/>
    <n v="1.1499999999999999"/>
    <n v="-28"/>
    <x v="0"/>
    <n v="119.23333333333333"/>
    <x v="354"/>
    <n v="29624"/>
    <n v="3105.0000000000005"/>
    <n v="6.3492063492063483E-3"/>
    <s v="Oct-12"/>
    <x v="19"/>
    <n v="2"/>
  </r>
  <r>
    <x v="100"/>
    <n v="239"/>
    <x v="0"/>
    <x v="0"/>
    <x v="2"/>
    <x v="49"/>
    <x v="1"/>
    <x v="2"/>
    <x v="12"/>
    <x v="134"/>
    <x v="163"/>
    <x v="19"/>
    <n v="210"/>
    <n v="450"/>
    <n v="720"/>
    <n v="91"/>
    <x v="163"/>
    <x v="134"/>
    <x v="149"/>
    <x v="298"/>
    <n v="1.138095238095238"/>
    <n v="-15"/>
    <x v="0"/>
    <n v="449.03333333333336"/>
    <x v="355"/>
    <n v="332775"/>
    <n v="6006"/>
    <n v="8.6155674390968502E-3"/>
    <s v="Oct-12"/>
    <x v="24"/>
    <n v="3.2008368200836821"/>
  </r>
  <r>
    <x v="125"/>
    <n v="22"/>
    <x v="0"/>
    <x v="0"/>
    <x v="2"/>
    <x v="7"/>
    <x v="0"/>
    <x v="0"/>
    <x v="10"/>
    <x v="44"/>
    <x v="77"/>
    <x v="2"/>
    <n v="0"/>
    <n v="20"/>
    <n v="20"/>
    <n v="19"/>
    <x v="77"/>
    <x v="44"/>
    <x v="67"/>
    <x v="34"/>
    <e v="#DIV/0!"/>
    <n v="-10"/>
    <x v="0"/>
    <n v="19.5"/>
    <x v="128"/>
    <n v="510"/>
    <n v="133"/>
    <n v="2.8011204481792718E-2"/>
    <s v="Oct-12"/>
    <x v="4"/>
    <n v="2.3181818181818183"/>
  </r>
  <r>
    <x v="124"/>
    <n v="255"/>
    <x v="0"/>
    <x v="0"/>
    <x v="2"/>
    <x v="50"/>
    <x v="0"/>
    <x v="0"/>
    <x v="0"/>
    <x v="113"/>
    <x v="164"/>
    <x v="19"/>
    <n v="140"/>
    <n v="70"/>
    <n v="290"/>
    <n v="129"/>
    <x v="164"/>
    <x v="113"/>
    <x v="150"/>
    <x v="299"/>
    <n v="1.8214285714285714"/>
    <n v="59"/>
    <x v="0"/>
    <n v="68.157142857142858"/>
    <x v="356"/>
    <n v="66177"/>
    <n v="12384"/>
    <n v="2.6193957115009745E-3"/>
    <s v="Oct-12"/>
    <x v="23"/>
    <n v="2.0117647058823529"/>
  </r>
  <r>
    <x v="123"/>
    <n v="239"/>
    <x v="0"/>
    <x v="0"/>
    <x v="2"/>
    <x v="37"/>
    <x v="0"/>
    <x v="0"/>
    <x v="1"/>
    <x v="135"/>
    <x v="20"/>
    <x v="19"/>
    <n v="130"/>
    <n v="-100"/>
    <n v="80"/>
    <n v="95"/>
    <x v="20"/>
    <x v="135"/>
    <x v="151"/>
    <x v="300"/>
    <n v="1.8384615384615384"/>
    <n v="-70"/>
    <x v="0"/>
    <n v="-101.7"/>
    <x v="357"/>
    <n v="-27880"/>
    <n v="7030"/>
    <n v="-1.4007910349373764E-2"/>
    <s v="Oct-12"/>
    <x v="19"/>
    <n v="0.68619246861924688"/>
  </r>
  <r>
    <x v="126"/>
    <n v="108"/>
    <x v="0"/>
    <x v="0"/>
    <x v="2"/>
    <x v="30"/>
    <x v="0"/>
    <x v="1"/>
    <x v="2"/>
    <x v="125"/>
    <x v="165"/>
    <x v="19"/>
    <n v="110"/>
    <n v="140"/>
    <n v="280"/>
    <n v="42"/>
    <x v="165"/>
    <x v="125"/>
    <x v="152"/>
    <x v="157"/>
    <n v="0.98181818181818181"/>
    <n v="-25"/>
    <x v="0"/>
    <n v="139.17857142857142"/>
    <x v="358"/>
    <n v="30475"/>
    <n v="1260"/>
    <n v="1.4465408805031447E-2"/>
    <s v="Oct-12"/>
    <x v="14"/>
    <n v="2.4537037037037037"/>
  </r>
  <r>
    <x v="127"/>
    <n v="123"/>
    <x v="0"/>
    <x v="0"/>
    <x v="2"/>
    <x v="38"/>
    <x v="0"/>
    <x v="1"/>
    <x v="11"/>
    <x v="136"/>
    <x v="125"/>
    <x v="19"/>
    <n v="130"/>
    <n v="160"/>
    <n v="320"/>
    <n v="45"/>
    <x v="125"/>
    <x v="136"/>
    <x v="153"/>
    <x v="301"/>
    <n v="0.94615384615384612"/>
    <n v="-26"/>
    <x v="0"/>
    <n v="159.16249999999999"/>
    <x v="359"/>
    <n v="40468"/>
    <n v="1530"/>
    <n v="1.3050253213868329E-2"/>
    <s v="Oct-12"/>
    <x v="17"/>
    <n v="2.4552845528455283"/>
  </r>
  <r>
    <x v="114"/>
    <n v="76"/>
    <x v="0"/>
    <x v="0"/>
    <x v="2"/>
    <x v="28"/>
    <x v="0"/>
    <x v="1"/>
    <x v="3"/>
    <x v="92"/>
    <x v="76"/>
    <x v="19"/>
    <n v="80"/>
    <n v="100"/>
    <n v="200"/>
    <n v="33"/>
    <x v="76"/>
    <x v="92"/>
    <x v="26"/>
    <x v="230"/>
    <n v="0.95"/>
    <n v="-22"/>
    <x v="0"/>
    <n v="99.22"/>
    <x v="281"/>
    <n v="14586"/>
    <n v="693"/>
    <n v="1.9862490450725745E-2"/>
    <s v="Oct-12"/>
    <x v="10"/>
    <n v="2.4605263157894739"/>
  </r>
  <r>
    <x v="105"/>
    <n v="102"/>
    <x v="1"/>
    <x v="0"/>
    <x v="2"/>
    <x v="33"/>
    <x v="1"/>
    <x v="3"/>
    <x v="5"/>
    <x v="104"/>
    <x v="132"/>
    <x v="2"/>
    <n v="90"/>
    <n v="90"/>
    <n v="220"/>
    <n v="54"/>
    <x v="132"/>
    <x v="104"/>
    <x v="71"/>
    <x v="258"/>
    <n v="1.1333333333333333"/>
    <n v="-1"/>
    <x v="0"/>
    <n v="89.011111111111106"/>
    <x v="310"/>
    <n v="21805"/>
    <n v="1674"/>
    <n v="1.1718235681369323E-2"/>
    <s v="Nov-12"/>
    <x v="13"/>
    <n v="2.4019607843137254"/>
  </r>
  <r>
    <x v="35"/>
    <n v="77"/>
    <x v="1"/>
    <x v="0"/>
    <x v="2"/>
    <x v="26"/>
    <x v="1"/>
    <x v="2"/>
    <x v="4"/>
    <x v="94"/>
    <x v="166"/>
    <x v="2"/>
    <n v="70"/>
    <n v="60"/>
    <n v="170"/>
    <n v="52"/>
    <x v="166"/>
    <x v="94"/>
    <x v="111"/>
    <x v="302"/>
    <n v="1.1000000000000001"/>
    <n v="-9"/>
    <x v="0"/>
    <n v="59.15"/>
    <x v="360"/>
    <n v="9180"/>
    <n v="1300"/>
    <n v="1.1333333333333334E-2"/>
    <s v="Nov-12"/>
    <x v="8"/>
    <n v="2.3376623376623376"/>
  </r>
  <r>
    <x v="128"/>
    <n v="78"/>
    <x v="1"/>
    <x v="0"/>
    <x v="2"/>
    <x v="26"/>
    <x v="1"/>
    <x v="3"/>
    <x v="7"/>
    <x v="137"/>
    <x v="130"/>
    <x v="2"/>
    <n v="70"/>
    <n v="60"/>
    <n v="170"/>
    <n v="56"/>
    <x v="130"/>
    <x v="137"/>
    <x v="48"/>
    <x v="303"/>
    <n v="1.1142857142857143"/>
    <n v="3"/>
    <x v="0"/>
    <n v="58.95"/>
    <x v="361"/>
    <n v="12411"/>
    <n v="1400"/>
    <n v="1.2791878172588833E-2"/>
    <s v="Nov-12"/>
    <x v="8"/>
    <n v="2.5256410256410255"/>
  </r>
  <r>
    <x v="80"/>
    <n v="75"/>
    <x v="1"/>
    <x v="0"/>
    <x v="2"/>
    <x v="23"/>
    <x v="1"/>
    <x v="3"/>
    <x v="7"/>
    <x v="138"/>
    <x v="167"/>
    <x v="15"/>
    <n v="60"/>
    <n v="300"/>
    <n v="400"/>
    <n v="55"/>
    <x v="167"/>
    <x v="138"/>
    <x v="83"/>
    <x v="304"/>
    <n v="1.25"/>
    <n v="24"/>
    <x v="0"/>
    <n v="298.92"/>
    <x v="362"/>
    <n v="147096"/>
    <n v="1320"/>
    <n v="2.9735682819383259E-2"/>
    <s v="Nov-12"/>
    <x v="10"/>
    <n v="6.0533333333333337"/>
  </r>
  <r>
    <x v="129"/>
    <n v="249"/>
    <x v="1"/>
    <x v="0"/>
    <x v="2"/>
    <x v="41"/>
    <x v="1"/>
    <x v="3"/>
    <x v="7"/>
    <x v="139"/>
    <x v="168"/>
    <x v="19"/>
    <n v="220"/>
    <n v="230"/>
    <n v="560"/>
    <n v="138"/>
    <x v="168"/>
    <x v="139"/>
    <x v="154"/>
    <x v="305"/>
    <n v="1.1318181818181818"/>
    <n v="6"/>
    <x v="0"/>
    <n v="228.97391304347826"/>
    <x v="363"/>
    <n v="147028"/>
    <n v="12006"/>
    <n v="4.3541632073208977E-3"/>
    <s v="Nov-12"/>
    <x v="25"/>
    <n v="2.5020080321285141"/>
  </r>
  <r>
    <x v="128"/>
    <n v="94"/>
    <x v="1"/>
    <x v="0"/>
    <x v="2"/>
    <x v="43"/>
    <x v="1"/>
    <x v="2"/>
    <x v="8"/>
    <x v="25"/>
    <x v="134"/>
    <x v="2"/>
    <n v="90"/>
    <n v="20"/>
    <n v="210"/>
    <n v="115"/>
    <x v="134"/>
    <x v="25"/>
    <x v="131"/>
    <x v="260"/>
    <n v="1.0444444444444445"/>
    <n v="-5"/>
    <x v="0"/>
    <n v="19.25"/>
    <x v="313"/>
    <n v="3360"/>
    <n v="9775"/>
    <n v="7.8781512605042019E-4"/>
    <s v="Nov-12"/>
    <x v="26"/>
    <n v="2.3829787234042552"/>
  </r>
  <r>
    <x v="129"/>
    <n v="121"/>
    <x v="1"/>
    <x v="0"/>
    <x v="2"/>
    <x v="51"/>
    <x v="1"/>
    <x v="2"/>
    <x v="8"/>
    <x v="133"/>
    <x v="113"/>
    <x v="19"/>
    <n v="110"/>
    <n v="-190"/>
    <n v="50"/>
    <n v="142"/>
    <x v="113"/>
    <x v="133"/>
    <x v="155"/>
    <x v="306"/>
    <n v="1.1000000000000001"/>
    <n v="-12"/>
    <x v="0"/>
    <n v="-191.06315789473683"/>
    <x v="364"/>
    <n v="-12322"/>
    <n v="15478"/>
    <n v="-3.0380508347119868E-2"/>
    <s v="Nov-12"/>
    <x v="27"/>
    <n v="0.50413223140495866"/>
  </r>
  <r>
    <x v="63"/>
    <n v="181"/>
    <x v="1"/>
    <x v="0"/>
    <x v="2"/>
    <x v="52"/>
    <x v="1"/>
    <x v="2"/>
    <x v="12"/>
    <x v="140"/>
    <x v="169"/>
    <x v="15"/>
    <n v="170"/>
    <n v="120"/>
    <n v="350"/>
    <n v="74"/>
    <x v="169"/>
    <x v="140"/>
    <x v="156"/>
    <x v="307"/>
    <n v="1.0647058823529412"/>
    <n v="-12"/>
    <x v="0"/>
    <n v="119.1"/>
    <x v="365"/>
    <n v="39204"/>
    <n v="3699.9999999999995"/>
    <n v="5.9504132231404964E-3"/>
    <s v="Nov-12"/>
    <x v="28"/>
    <n v="2.0055248618784529"/>
  </r>
  <r>
    <x v="130"/>
    <n v="211"/>
    <x v="1"/>
    <x v="0"/>
    <x v="2"/>
    <x v="53"/>
    <x v="1"/>
    <x v="2"/>
    <x v="12"/>
    <x v="141"/>
    <x v="170"/>
    <x v="19"/>
    <n v="200"/>
    <n v="390"/>
    <n v="660"/>
    <n v="83"/>
    <x v="170"/>
    <x v="141"/>
    <x v="157"/>
    <x v="308"/>
    <n v="1.0549999999999999"/>
    <n v="-9"/>
    <x v="0"/>
    <n v="389.02307692307693"/>
    <x v="366"/>
    <n v="257175"/>
    <n v="4897"/>
    <n v="9.5668549905838039E-3"/>
    <s v="Nov-12"/>
    <x v="24"/>
    <n v="3.1990521327014219"/>
  </r>
  <r>
    <x v="35"/>
    <n v="22"/>
    <x v="1"/>
    <x v="0"/>
    <x v="2"/>
    <x v="7"/>
    <x v="0"/>
    <x v="0"/>
    <x v="10"/>
    <x v="78"/>
    <x v="97"/>
    <x v="2"/>
    <n v="10"/>
    <n v="10"/>
    <n v="30"/>
    <n v="19"/>
    <x v="97"/>
    <x v="78"/>
    <x v="67"/>
    <x v="163"/>
    <n v="2.2000000000000002"/>
    <n v="1"/>
    <x v="0"/>
    <n v="8.9"/>
    <x v="188"/>
    <n v="572"/>
    <n v="133"/>
    <n v="3.021978021978022E-2"/>
    <s v="Nov-12"/>
    <x v="5"/>
    <n v="2.3636363636363638"/>
  </r>
  <r>
    <x v="131"/>
    <n v="245"/>
    <x v="1"/>
    <x v="0"/>
    <x v="2"/>
    <x v="54"/>
    <x v="0"/>
    <x v="0"/>
    <x v="0"/>
    <x v="142"/>
    <x v="171"/>
    <x v="19"/>
    <n v="180"/>
    <n v="140"/>
    <n v="420"/>
    <n v="127"/>
    <x v="171"/>
    <x v="142"/>
    <x v="158"/>
    <x v="309"/>
    <n v="1.3611111111111112"/>
    <n v="64"/>
    <x v="0"/>
    <n v="138.54285714285714"/>
    <x v="367"/>
    <n v="117504"/>
    <n v="11811.000000000002"/>
    <n v="3.8082437275985658E-3"/>
    <s v="Nov-12"/>
    <x v="29"/>
    <n v="2.3510204081632655"/>
  </r>
  <r>
    <x v="106"/>
    <n v="225"/>
    <x v="1"/>
    <x v="0"/>
    <x v="2"/>
    <x v="42"/>
    <x v="0"/>
    <x v="0"/>
    <x v="1"/>
    <x v="143"/>
    <x v="42"/>
    <x v="19"/>
    <n v="160"/>
    <n v="-120"/>
    <n v="110"/>
    <n v="91"/>
    <x v="42"/>
    <x v="143"/>
    <x v="129"/>
    <x v="310"/>
    <n v="1.40625"/>
    <n v="-36"/>
    <x v="0"/>
    <n v="-121.3"/>
    <x v="368"/>
    <n v="-24960"/>
    <n v="6279.0000000000009"/>
    <n v="-1.4130434782608694E-2"/>
    <s v="Nov-12"/>
    <x v="28"/>
    <n v="0.71111111111111114"/>
  </r>
  <r>
    <x v="114"/>
    <n v="81"/>
    <x v="1"/>
    <x v="0"/>
    <x v="2"/>
    <x v="34"/>
    <x v="0"/>
    <x v="1"/>
    <x v="2"/>
    <x v="144"/>
    <x v="172"/>
    <x v="19"/>
    <n v="80"/>
    <n v="90"/>
    <n v="200"/>
    <n v="33"/>
    <x v="172"/>
    <x v="144"/>
    <x v="35"/>
    <x v="279"/>
    <n v="1.0125"/>
    <n v="-6"/>
    <x v="0"/>
    <n v="89.066666666666663"/>
    <x v="369"/>
    <n v="16632"/>
    <n v="726"/>
    <n v="1.928374655647383E-2"/>
    <s v="Nov-12"/>
    <x v="8"/>
    <n v="2.4444444444444446"/>
  </r>
  <r>
    <x v="123"/>
    <n v="118"/>
    <x v="1"/>
    <x v="0"/>
    <x v="2"/>
    <x v="40"/>
    <x v="0"/>
    <x v="1"/>
    <x v="11"/>
    <x v="102"/>
    <x v="129"/>
    <x v="19"/>
    <n v="120"/>
    <n v="130"/>
    <n v="290"/>
    <n v="45"/>
    <x v="129"/>
    <x v="102"/>
    <x v="130"/>
    <x v="255"/>
    <n v="0.98333333333333328"/>
    <n v="-3"/>
    <x v="0"/>
    <n v="129.02307692307693"/>
    <x v="307"/>
    <n v="36830"/>
    <n v="1485"/>
    <n v="1.3270637408568443E-2"/>
    <s v="Nov-12"/>
    <x v="17"/>
    <n v="2.4576271186440679"/>
  </r>
  <r>
    <x v="91"/>
    <n v="134"/>
    <x v="2"/>
    <x v="0"/>
    <x v="2"/>
    <x v="11"/>
    <x v="1"/>
    <x v="3"/>
    <x v="5"/>
    <x v="126"/>
    <x v="137"/>
    <x v="2"/>
    <n v="120"/>
    <n v="110"/>
    <n v="280"/>
    <n v="64"/>
    <x v="137"/>
    <x v="126"/>
    <x v="142"/>
    <x v="311"/>
    <n v="1.1166666666666667"/>
    <n v="12"/>
    <x v="0"/>
    <n v="108.89090909090909"/>
    <x v="370"/>
    <n v="39040"/>
    <n v="2624"/>
    <n v="9.2987804878048776E-3"/>
    <s v="Dec-12"/>
    <x v="30"/>
    <n v="2.3880597014925371"/>
  </r>
  <r>
    <x v="59"/>
    <n v="83"/>
    <x v="2"/>
    <x v="0"/>
    <x v="2"/>
    <x v="15"/>
    <x v="1"/>
    <x v="2"/>
    <x v="4"/>
    <x v="85"/>
    <x v="173"/>
    <x v="2"/>
    <n v="80"/>
    <n v="70"/>
    <n v="190"/>
    <n v="54"/>
    <x v="173"/>
    <x v="85"/>
    <x v="52"/>
    <x v="312"/>
    <n v="1.0375000000000001"/>
    <n v="-12"/>
    <x v="0"/>
    <n v="69.171428571428578"/>
    <x v="371"/>
    <n v="11310"/>
    <n v="1457.9999999999998"/>
    <n v="1.1016144349477683E-2"/>
    <s v="Dec-12"/>
    <x v="11"/>
    <n v="2.3493975903614457"/>
  </r>
  <r>
    <x v="128"/>
    <n v="88"/>
    <x v="2"/>
    <x v="0"/>
    <x v="2"/>
    <x v="39"/>
    <x v="1"/>
    <x v="3"/>
    <x v="7"/>
    <x v="59"/>
    <x v="136"/>
    <x v="2"/>
    <n v="70"/>
    <n v="80"/>
    <n v="190"/>
    <n v="60"/>
    <x v="136"/>
    <x v="59"/>
    <x v="159"/>
    <x v="313"/>
    <n v="1.2571428571428571"/>
    <n v="-7"/>
    <x v="0"/>
    <n v="79.087500000000006"/>
    <x v="372"/>
    <n v="16133"/>
    <n v="1740"/>
    <n v="1.1390232485567172E-2"/>
    <s v="Dec-12"/>
    <x v="8"/>
    <n v="2.5113636363636362"/>
  </r>
  <r>
    <x v="53"/>
    <n v="67"/>
    <x v="2"/>
    <x v="0"/>
    <x v="2"/>
    <x v="34"/>
    <x v="1"/>
    <x v="3"/>
    <x v="7"/>
    <x v="145"/>
    <x v="174"/>
    <x v="15"/>
    <n v="60"/>
    <n v="360"/>
    <n v="450"/>
    <n v="53"/>
    <x v="174"/>
    <x v="145"/>
    <x v="24"/>
    <x v="314"/>
    <n v="1.1166666666666667"/>
    <n v="30"/>
    <x v="0"/>
    <n v="358.91666666666669"/>
    <x v="373"/>
    <n v="198900"/>
    <n v="1166"/>
    <n v="3.4759358288770054E-2"/>
    <s v="Dec-12"/>
    <x v="9"/>
    <n v="7.6119402985074629"/>
  </r>
  <r>
    <x v="124"/>
    <n v="279"/>
    <x v="2"/>
    <x v="0"/>
    <x v="2"/>
    <x v="55"/>
    <x v="1"/>
    <x v="3"/>
    <x v="7"/>
    <x v="146"/>
    <x v="175"/>
    <x v="19"/>
    <n v="250"/>
    <n v="250"/>
    <n v="620"/>
    <n v="149"/>
    <x v="175"/>
    <x v="146"/>
    <x v="160"/>
    <x v="315"/>
    <n v="1.1160000000000001"/>
    <n v="21"/>
    <x v="0"/>
    <n v="248.916"/>
    <x v="374"/>
    <n v="189429"/>
    <n v="14453"/>
    <n v="3.9968732946919754E-3"/>
    <s v="Dec-12"/>
    <x v="31"/>
    <n v="2.5053763440860215"/>
  </r>
  <r>
    <x v="58"/>
    <n v="105"/>
    <x v="2"/>
    <x v="0"/>
    <x v="2"/>
    <x v="44"/>
    <x v="1"/>
    <x v="2"/>
    <x v="8"/>
    <x v="6"/>
    <x v="139"/>
    <x v="2"/>
    <n v="100"/>
    <n v="30"/>
    <n v="240"/>
    <n v="124"/>
    <x v="139"/>
    <x v="6"/>
    <x v="161"/>
    <x v="316"/>
    <n v="1.05"/>
    <n v="-9"/>
    <x v="0"/>
    <n v="29.3"/>
    <x v="375"/>
    <n v="5250"/>
    <n v="11780"/>
    <n v="8.8421052631578942E-4"/>
    <s v="Dec-12"/>
    <x v="32"/>
    <n v="2.3809523809523809"/>
  </r>
  <r>
    <x v="132"/>
    <n v="135"/>
    <x v="2"/>
    <x v="0"/>
    <x v="2"/>
    <x v="56"/>
    <x v="1"/>
    <x v="2"/>
    <x v="8"/>
    <x v="147"/>
    <x v="7"/>
    <x v="19"/>
    <n v="130"/>
    <n v="-210"/>
    <n v="60"/>
    <n v="155"/>
    <x v="7"/>
    <x v="147"/>
    <x v="162"/>
    <x v="317"/>
    <n v="1.0384615384615385"/>
    <n v="-14"/>
    <x v="0"/>
    <n v="-211.06666666666666"/>
    <x v="376"/>
    <n v="-14784"/>
    <n v="18910"/>
    <n v="-2.7819175360158967E-2"/>
    <s v="Dec-12"/>
    <x v="24"/>
    <n v="0.48888888888888887"/>
  </r>
  <r>
    <x v="53"/>
    <n v="153"/>
    <x v="2"/>
    <x v="0"/>
    <x v="2"/>
    <x v="22"/>
    <x v="1"/>
    <x v="2"/>
    <x v="12"/>
    <x v="100"/>
    <x v="176"/>
    <x v="15"/>
    <n v="150"/>
    <n v="80"/>
    <n v="290"/>
    <n v="66"/>
    <x v="176"/>
    <x v="100"/>
    <x v="163"/>
    <x v="130"/>
    <n v="1.02"/>
    <n v="7"/>
    <x v="0"/>
    <n v="78.912499999999994"/>
    <x v="377"/>
    <n v="26622"/>
    <n v="2771.9999999999995"/>
    <n v="6.7693744164332402E-3"/>
    <s v="Dec-12"/>
    <x v="32"/>
    <n v="2"/>
  </r>
  <r>
    <x v="100"/>
    <n v="250"/>
    <x v="2"/>
    <x v="0"/>
    <x v="2"/>
    <x v="57"/>
    <x v="1"/>
    <x v="2"/>
    <x v="12"/>
    <x v="148"/>
    <x v="177"/>
    <x v="19"/>
    <n v="240"/>
    <n v="320"/>
    <n v="640"/>
    <n v="95"/>
    <x v="177"/>
    <x v="148"/>
    <x v="164"/>
    <x v="318"/>
    <n v="1.0416666666666667"/>
    <n v="-8"/>
    <x v="0"/>
    <n v="319.02499999999998"/>
    <x v="378"/>
    <n v="204984"/>
    <n v="6650"/>
    <n v="6.7840834964122635E-3"/>
    <s v="Dec-12"/>
    <x v="33"/>
    <n v="2.6280000000000001"/>
  </r>
  <r>
    <x v="133"/>
    <n v="294"/>
    <x v="2"/>
    <x v="0"/>
    <x v="2"/>
    <x v="58"/>
    <x v="0"/>
    <x v="0"/>
    <x v="0"/>
    <x v="149"/>
    <x v="178"/>
    <x v="19"/>
    <n v="220"/>
    <n v="210"/>
    <n v="540"/>
    <n v="144"/>
    <x v="178"/>
    <x v="149"/>
    <x v="165"/>
    <x v="319"/>
    <n v="1.3363636363636364"/>
    <n v="99"/>
    <x v="0"/>
    <n v="208.52857142857144"/>
    <x v="379"/>
    <n v="230823"/>
    <n v="15984"/>
    <n v="3.7266181844495096E-3"/>
    <s v="Dec-12"/>
    <x v="25"/>
    <n v="2.5408163265306123"/>
  </r>
  <r>
    <x v="127"/>
    <n v="241"/>
    <x v="2"/>
    <x v="0"/>
    <x v="2"/>
    <x v="37"/>
    <x v="0"/>
    <x v="0"/>
    <x v="1"/>
    <x v="150"/>
    <x v="74"/>
    <x v="19"/>
    <n v="180"/>
    <n v="-150"/>
    <n v="100"/>
    <n v="96"/>
    <x v="74"/>
    <x v="150"/>
    <x v="132"/>
    <x v="320"/>
    <n v="1.3388888888888888"/>
    <n v="-39"/>
    <x v="0"/>
    <n v="-151.26"/>
    <x v="380"/>
    <n v="-27972"/>
    <n v="7104"/>
    <n v="-1.7257121986851715E-2"/>
    <s v="Dec-12"/>
    <x v="34"/>
    <n v="0.61410788381742742"/>
  </r>
  <r>
    <x v="127"/>
    <n v="86"/>
    <x v="2"/>
    <x v="0"/>
    <x v="2"/>
    <x v="23"/>
    <x v="0"/>
    <x v="1"/>
    <x v="2"/>
    <x v="104"/>
    <x v="145"/>
    <x v="19"/>
    <n v="90"/>
    <n v="90"/>
    <n v="210"/>
    <n v="35"/>
    <x v="145"/>
    <x v="104"/>
    <x v="72"/>
    <x v="321"/>
    <n v="0.9555555555555556"/>
    <n v="-1"/>
    <x v="0"/>
    <n v="89.011111111111106"/>
    <x v="381"/>
    <n v="18690"/>
    <n v="840"/>
    <n v="1.7658730158730158E-2"/>
    <s v="Dec-12"/>
    <x v="11"/>
    <n v="2.441860465116279"/>
  </r>
  <r>
    <x v="100"/>
    <n v="123"/>
    <x v="2"/>
    <x v="0"/>
    <x v="2"/>
    <x v="38"/>
    <x v="0"/>
    <x v="1"/>
    <x v="11"/>
    <x v="99"/>
    <x v="125"/>
    <x v="19"/>
    <n v="120"/>
    <n v="150"/>
    <n v="310"/>
    <n v="46"/>
    <x v="125"/>
    <x v="99"/>
    <x v="126"/>
    <x v="250"/>
    <n v="1.0249999999999999"/>
    <n v="-17"/>
    <x v="0"/>
    <n v="149.11333333333334"/>
    <x v="302"/>
    <n v="40166"/>
    <n v="1564"/>
    <n v="1.2952863264511102E-2"/>
    <s v="Dec-12"/>
    <x v="17"/>
    <n v="2.4552845528455283"/>
  </r>
  <r>
    <x v="105"/>
    <n v="91"/>
    <x v="3"/>
    <x v="0"/>
    <x v="2"/>
    <x v="16"/>
    <x v="1"/>
    <x v="3"/>
    <x v="5"/>
    <x v="52"/>
    <x v="54"/>
    <x v="2"/>
    <n v="70"/>
    <n v="90"/>
    <n v="180"/>
    <n v="51"/>
    <x v="54"/>
    <x v="52"/>
    <x v="63"/>
    <x v="79"/>
    <n v="1.3"/>
    <n v="23"/>
    <x v="0"/>
    <n v="88.74444444444444"/>
    <x v="84"/>
    <n v="26216"/>
    <n v="1428"/>
    <n v="1.7395320197044335E-2"/>
    <s v="Oct-13"/>
    <x v="9"/>
    <n v="2.5494505494505493"/>
  </r>
  <r>
    <x v="88"/>
    <n v="86"/>
    <x v="3"/>
    <x v="0"/>
    <x v="2"/>
    <x v="16"/>
    <x v="1"/>
    <x v="2"/>
    <x v="4"/>
    <x v="104"/>
    <x v="179"/>
    <x v="2"/>
    <n v="70"/>
    <n v="90"/>
    <n v="180"/>
    <n v="56"/>
    <x v="179"/>
    <x v="104"/>
    <x v="4"/>
    <x v="322"/>
    <n v="1.2285714285714286"/>
    <n v="-1"/>
    <x v="0"/>
    <n v="89.011111111111106"/>
    <x v="382"/>
    <n v="19135"/>
    <n v="1568"/>
    <n v="1.4784053156146178E-2"/>
    <s v="Oct-13"/>
    <x v="9"/>
    <n v="2.5"/>
  </r>
  <r>
    <x v="21"/>
    <n v="82"/>
    <x v="3"/>
    <x v="0"/>
    <x v="2"/>
    <x v="15"/>
    <x v="1"/>
    <x v="3"/>
    <x v="7"/>
    <x v="51"/>
    <x v="18"/>
    <x v="2"/>
    <n v="60"/>
    <n v="90"/>
    <n v="170"/>
    <n v="59"/>
    <x v="18"/>
    <x v="51"/>
    <x v="49"/>
    <x v="78"/>
    <n v="1.3666666666666667"/>
    <n v="5"/>
    <x v="0"/>
    <n v="88.944444444444443"/>
    <x v="83"/>
    <n v="20710"/>
    <n v="1593"/>
    <n v="1.6139993204213388E-2"/>
    <s v="Oct-13"/>
    <x v="6"/>
    <n v="2.6585365853658538"/>
  </r>
  <r>
    <x v="84"/>
    <n v="72"/>
    <x v="3"/>
    <x v="0"/>
    <x v="2"/>
    <x v="4"/>
    <x v="1"/>
    <x v="3"/>
    <x v="7"/>
    <x v="151"/>
    <x v="180"/>
    <x v="15"/>
    <n v="50"/>
    <n v="330"/>
    <n v="400"/>
    <n v="54"/>
    <x v="180"/>
    <x v="151"/>
    <x v="166"/>
    <x v="323"/>
    <n v="1.44"/>
    <n v="186"/>
    <x v="0"/>
    <n v="328.43636363636364"/>
    <x v="383"/>
    <n v="260580"/>
    <n v="1242"/>
    <n v="4.4425312096427035E-2"/>
    <s v="Oct-13"/>
    <x v="7"/>
    <n v="7.0138888888888893"/>
  </r>
  <r>
    <x v="127"/>
    <n v="260"/>
    <x v="3"/>
    <x v="0"/>
    <x v="2"/>
    <x v="46"/>
    <x v="1"/>
    <x v="3"/>
    <x v="7"/>
    <x v="152"/>
    <x v="181"/>
    <x v="19"/>
    <n v="210"/>
    <n v="230"/>
    <n v="540"/>
    <n v="143"/>
    <x v="181"/>
    <x v="152"/>
    <x v="167"/>
    <x v="324"/>
    <n v="1.2380952380952381"/>
    <n v="137"/>
    <x v="1"/>
    <n v="228.40434782608696"/>
    <x v="384"/>
    <n v="254331"/>
    <n v="13013"/>
    <n v="5.8195772481486763E-3"/>
    <s v="Oct-13"/>
    <x v="22"/>
    <n v="2.6653846153846152"/>
  </r>
  <r>
    <x v="134"/>
    <n v="96"/>
    <x v="3"/>
    <x v="0"/>
    <x v="2"/>
    <x v="41"/>
    <x v="1"/>
    <x v="2"/>
    <x v="8"/>
    <x v="22"/>
    <x v="132"/>
    <x v="2"/>
    <n v="80"/>
    <n v="50"/>
    <n v="210"/>
    <n v="116"/>
    <x v="132"/>
    <x v="22"/>
    <x v="168"/>
    <x v="325"/>
    <n v="1.2"/>
    <n v="-23"/>
    <x v="0"/>
    <n v="49.46"/>
    <x v="371"/>
    <n v="6615"/>
    <n v="10092"/>
    <n v="1.2667135819845179E-3"/>
    <s v="Oct-13"/>
    <x v="17"/>
    <n v="2.5520833333333335"/>
  </r>
  <r>
    <x v="106"/>
    <n v="125"/>
    <x v="3"/>
    <x v="0"/>
    <x v="2"/>
    <x v="47"/>
    <x v="1"/>
    <x v="2"/>
    <x v="8"/>
    <x v="153"/>
    <x v="83"/>
    <x v="19"/>
    <n v="110"/>
    <n v="-170"/>
    <n v="50"/>
    <n v="146"/>
    <x v="83"/>
    <x v="153"/>
    <x v="169"/>
    <x v="326"/>
    <n v="1.1363636363636365"/>
    <n v="-130"/>
    <x v="0"/>
    <n v="-171.76470588235293"/>
    <x v="385"/>
    <n v="-22200"/>
    <n v="16498"/>
    <n v="-3.5876584549150922E-2"/>
    <s v="Oct-13"/>
    <x v="23"/>
    <n v="0.59199999999999997"/>
  </r>
  <r>
    <x v="63"/>
    <n v="161"/>
    <x v="3"/>
    <x v="0"/>
    <x v="2"/>
    <x v="48"/>
    <x v="1"/>
    <x v="2"/>
    <x v="12"/>
    <x v="154"/>
    <x v="182"/>
    <x v="15"/>
    <n v="140"/>
    <n v="120"/>
    <n v="300"/>
    <n v="69"/>
    <x v="182"/>
    <x v="154"/>
    <x v="170"/>
    <x v="327"/>
    <n v="1.1499999999999999"/>
    <n v="17"/>
    <x v="0"/>
    <n v="118.85833333333333"/>
    <x v="386"/>
    <n v="46991"/>
    <n v="3105"/>
    <n v="8.875931324910916E-3"/>
    <s v="Oct-13"/>
    <x v="19"/>
    <n v="2.1304347826086958"/>
  </r>
  <r>
    <x v="132"/>
    <n v="239"/>
    <x v="3"/>
    <x v="0"/>
    <x v="2"/>
    <x v="49"/>
    <x v="1"/>
    <x v="2"/>
    <x v="12"/>
    <x v="155"/>
    <x v="183"/>
    <x v="19"/>
    <n v="210"/>
    <n v="450"/>
    <n v="720"/>
    <n v="91"/>
    <x v="183"/>
    <x v="155"/>
    <x v="126"/>
    <x v="328"/>
    <n v="1.138095238095238"/>
    <n v="196"/>
    <x v="1"/>
    <n v="448.56444444444446"/>
    <x v="387"/>
    <n v="526490"/>
    <n v="6006"/>
    <n v="1.200966722439115E-2"/>
    <s v="Oct-13"/>
    <x v="24"/>
    <n v="3.4100418410041842"/>
  </r>
  <r>
    <x v="79"/>
    <n v="22"/>
    <x v="3"/>
    <x v="0"/>
    <x v="2"/>
    <x v="7"/>
    <x v="0"/>
    <x v="0"/>
    <x v="10"/>
    <x v="25"/>
    <x v="88"/>
    <x v="2"/>
    <n v="0"/>
    <n v="20"/>
    <n v="20"/>
    <n v="19"/>
    <x v="88"/>
    <x v="25"/>
    <x v="56"/>
    <x v="33"/>
    <e v="#DIV/0!"/>
    <n v="-5"/>
    <x v="0"/>
    <n v="19.25"/>
    <x v="159"/>
    <n v="810"/>
    <n v="133"/>
    <n v="3.968253968253968E-2"/>
    <s v="Oct-13"/>
    <x v="4"/>
    <n v="2.4545454545454546"/>
  </r>
  <r>
    <x v="118"/>
    <n v="255"/>
    <x v="3"/>
    <x v="0"/>
    <x v="2"/>
    <x v="50"/>
    <x v="0"/>
    <x v="0"/>
    <x v="0"/>
    <x v="156"/>
    <x v="184"/>
    <x v="19"/>
    <n v="140"/>
    <n v="70"/>
    <n v="290"/>
    <n v="129"/>
    <x v="184"/>
    <x v="156"/>
    <x v="171"/>
    <x v="329"/>
    <n v="1.8214285714285714"/>
    <n v="121"/>
    <x v="0"/>
    <n v="67.271428571428572"/>
    <x v="388"/>
    <n v="104477"/>
    <n v="12384"/>
    <n v="3.6372638634978669E-3"/>
    <s v="Oct-13"/>
    <x v="23"/>
    <n v="2.1450980392156862"/>
  </r>
  <r>
    <x v="131"/>
    <n v="239"/>
    <x v="3"/>
    <x v="0"/>
    <x v="2"/>
    <x v="37"/>
    <x v="0"/>
    <x v="0"/>
    <x v="1"/>
    <x v="157"/>
    <x v="56"/>
    <x v="19"/>
    <n v="130"/>
    <n v="-100"/>
    <n v="80"/>
    <n v="95"/>
    <x v="56"/>
    <x v="157"/>
    <x v="172"/>
    <x v="330"/>
    <n v="1.8384615384615384"/>
    <n v="-152"/>
    <x v="0"/>
    <n v="-102.52"/>
    <x v="389"/>
    <n v="-44100"/>
    <n v="7030"/>
    <n v="-1.9459459459459458E-2"/>
    <s v="Oct-13"/>
    <x v="19"/>
    <n v="0.73221757322175729"/>
  </r>
  <r>
    <x v="118"/>
    <n v="108"/>
    <x v="3"/>
    <x v="0"/>
    <x v="2"/>
    <x v="30"/>
    <x v="0"/>
    <x v="1"/>
    <x v="2"/>
    <x v="127"/>
    <x v="185"/>
    <x v="19"/>
    <n v="110"/>
    <n v="140"/>
    <n v="280"/>
    <n v="42"/>
    <x v="185"/>
    <x v="127"/>
    <x v="54"/>
    <x v="331"/>
    <n v="0.98181818181818181"/>
    <n v="31"/>
    <x v="0"/>
    <n v="138.77857142857144"/>
    <x v="390"/>
    <n v="48222"/>
    <n v="1260"/>
    <n v="2.021276595744681E-2"/>
    <s v="Oct-13"/>
    <x v="14"/>
    <n v="2.6111111111111112"/>
  </r>
  <r>
    <x v="100"/>
    <n v="123"/>
    <x v="3"/>
    <x v="0"/>
    <x v="2"/>
    <x v="38"/>
    <x v="0"/>
    <x v="1"/>
    <x v="11"/>
    <x v="158"/>
    <x v="141"/>
    <x v="19"/>
    <n v="130"/>
    <n v="160"/>
    <n v="320"/>
    <n v="45"/>
    <x v="141"/>
    <x v="158"/>
    <x v="49"/>
    <x v="332"/>
    <n v="0.94615384615384612"/>
    <n v="39"/>
    <x v="0"/>
    <n v="158.75624999999999"/>
    <x v="391"/>
    <n v="64078"/>
    <n v="1530"/>
    <n v="1.8176835951772011E-2"/>
    <s v="Oct-13"/>
    <x v="17"/>
    <n v="2.6178861788617884"/>
  </r>
  <r>
    <x v="133"/>
    <n v="76"/>
    <x v="3"/>
    <x v="0"/>
    <x v="2"/>
    <x v="28"/>
    <x v="0"/>
    <x v="1"/>
    <x v="3"/>
    <x v="95"/>
    <x v="87"/>
    <x v="19"/>
    <n v="80"/>
    <n v="100"/>
    <n v="200"/>
    <n v="33"/>
    <x v="87"/>
    <x v="95"/>
    <x v="25"/>
    <x v="239"/>
    <n v="0.95"/>
    <n v="16"/>
    <x v="0"/>
    <n v="98.84"/>
    <x v="291"/>
    <n v="23084"/>
    <n v="693"/>
    <n v="2.7757836803062933E-2"/>
    <s v="Oct-13"/>
    <x v="10"/>
    <n v="2.6184210526315788"/>
  </r>
  <r>
    <x v="79"/>
    <n v="102"/>
    <x v="4"/>
    <x v="0"/>
    <x v="2"/>
    <x v="33"/>
    <x v="1"/>
    <x v="3"/>
    <x v="5"/>
    <x v="117"/>
    <x v="147"/>
    <x v="2"/>
    <n v="90"/>
    <n v="90"/>
    <n v="220"/>
    <n v="54"/>
    <x v="147"/>
    <x v="117"/>
    <x v="111"/>
    <x v="278"/>
    <n v="1.1333333333333333"/>
    <n v="42"/>
    <x v="0"/>
    <n v="88.533333333333331"/>
    <x v="330"/>
    <n v="34452"/>
    <n v="1674"/>
    <n v="1.6314423433444566E-2"/>
    <s v="Nov-13"/>
    <x v="13"/>
    <n v="2.5588235294117645"/>
  </r>
  <r>
    <x v="105"/>
    <n v="77"/>
    <x v="4"/>
    <x v="0"/>
    <x v="2"/>
    <x v="26"/>
    <x v="1"/>
    <x v="2"/>
    <x v="4"/>
    <x v="20"/>
    <x v="186"/>
    <x v="2"/>
    <n v="70"/>
    <n v="60"/>
    <n v="170"/>
    <n v="52"/>
    <x v="186"/>
    <x v="20"/>
    <x v="11"/>
    <x v="333"/>
    <n v="1.1000000000000001"/>
    <n v="16"/>
    <x v="0"/>
    <n v="58.733333333333334"/>
    <x v="392"/>
    <n v="14592"/>
    <n v="1300"/>
    <n v="1.5833333333333335E-2"/>
    <s v="Nov-13"/>
    <x v="8"/>
    <n v="2.4935064935064934"/>
  </r>
  <r>
    <x v="110"/>
    <n v="78"/>
    <x v="4"/>
    <x v="0"/>
    <x v="2"/>
    <x v="26"/>
    <x v="1"/>
    <x v="3"/>
    <x v="7"/>
    <x v="159"/>
    <x v="145"/>
    <x v="2"/>
    <n v="70"/>
    <n v="60"/>
    <n v="170"/>
    <n v="56"/>
    <x v="145"/>
    <x v="159"/>
    <x v="173"/>
    <x v="334"/>
    <n v="1.1142857142857143"/>
    <n v="33"/>
    <x v="0"/>
    <n v="58.45"/>
    <x v="393"/>
    <n v="19530"/>
    <n v="1400"/>
    <n v="1.7714285714285714E-2"/>
    <s v="Nov-13"/>
    <x v="8"/>
    <n v="2.6923076923076925"/>
  </r>
  <r>
    <x v="84"/>
    <n v="75"/>
    <x v="4"/>
    <x v="0"/>
    <x v="2"/>
    <x v="23"/>
    <x v="1"/>
    <x v="3"/>
    <x v="7"/>
    <x v="160"/>
    <x v="187"/>
    <x v="15"/>
    <n v="60"/>
    <n v="300"/>
    <n v="400"/>
    <n v="55"/>
    <x v="187"/>
    <x v="160"/>
    <x v="174"/>
    <x v="335"/>
    <n v="1.25"/>
    <n v="181"/>
    <x v="0"/>
    <n v="298.39666666666665"/>
    <x v="394"/>
    <n v="232804"/>
    <n v="1320"/>
    <n v="4.1408402203856755E-2"/>
    <s v="Nov-13"/>
    <x v="10"/>
    <n v="6.4533333333333331"/>
  </r>
  <r>
    <x v="133"/>
    <n v="249"/>
    <x v="4"/>
    <x v="0"/>
    <x v="2"/>
    <x v="41"/>
    <x v="1"/>
    <x v="3"/>
    <x v="7"/>
    <x v="161"/>
    <x v="188"/>
    <x v="19"/>
    <n v="220"/>
    <n v="230"/>
    <n v="560"/>
    <n v="138"/>
    <x v="188"/>
    <x v="161"/>
    <x v="175"/>
    <x v="336"/>
    <n v="1.1318181818181818"/>
    <n v="120"/>
    <x v="0"/>
    <n v="228.47826086956522"/>
    <x v="395"/>
    <n v="232400"/>
    <n v="12006"/>
    <n v="6.0587176291372388E-3"/>
    <s v="Nov-13"/>
    <x v="25"/>
    <n v="2.6666666666666665"/>
  </r>
  <r>
    <x v="91"/>
    <n v="94"/>
    <x v="4"/>
    <x v="0"/>
    <x v="2"/>
    <x v="43"/>
    <x v="1"/>
    <x v="2"/>
    <x v="8"/>
    <x v="57"/>
    <x v="149"/>
    <x v="2"/>
    <n v="90"/>
    <n v="20"/>
    <n v="210"/>
    <n v="115"/>
    <x v="149"/>
    <x v="57"/>
    <x v="138"/>
    <x v="280"/>
    <n v="1.0444444444444445"/>
    <n v="2"/>
    <x v="0"/>
    <n v="18.899999999999999"/>
    <x v="333"/>
    <n v="5258"/>
    <n v="9774.9999999999982"/>
    <n v="1.0829436377061286E-3"/>
    <s v="Nov-13"/>
    <x v="26"/>
    <n v="2.5425531914893615"/>
  </r>
  <r>
    <x v="106"/>
    <n v="121"/>
    <x v="4"/>
    <x v="0"/>
    <x v="2"/>
    <x v="51"/>
    <x v="1"/>
    <x v="2"/>
    <x v="8"/>
    <x v="153"/>
    <x v="118"/>
    <x v="19"/>
    <n v="110"/>
    <n v="-190"/>
    <n v="50"/>
    <n v="142"/>
    <x v="118"/>
    <x v="153"/>
    <x v="176"/>
    <x v="337"/>
    <n v="1.1000000000000001"/>
    <n v="-110"/>
    <x v="0"/>
    <n v="-191.57894736842104"/>
    <x v="396"/>
    <n v="-19500"/>
    <n v="15478"/>
    <n v="-4.2342978122794639E-2"/>
    <s v="Nov-13"/>
    <x v="27"/>
    <n v="0.53719008264462809"/>
  </r>
  <r>
    <x v="70"/>
    <n v="181"/>
    <x v="4"/>
    <x v="0"/>
    <x v="2"/>
    <x v="52"/>
    <x v="1"/>
    <x v="2"/>
    <x v="12"/>
    <x v="162"/>
    <x v="189"/>
    <x v="15"/>
    <n v="170"/>
    <n v="120"/>
    <n v="350"/>
    <n v="74"/>
    <x v="189"/>
    <x v="162"/>
    <x v="177"/>
    <x v="220"/>
    <n v="1.0647058823529412"/>
    <n v="40"/>
    <x v="0"/>
    <n v="118.66666666666667"/>
    <x v="397"/>
    <n v="61920"/>
    <n v="3700"/>
    <n v="8.2687338501292E-3"/>
    <s v="Nov-13"/>
    <x v="28"/>
    <n v="2.1381215469613259"/>
  </r>
  <r>
    <x v="135"/>
    <n v="211"/>
    <x v="4"/>
    <x v="0"/>
    <x v="2"/>
    <x v="53"/>
    <x v="1"/>
    <x v="2"/>
    <x v="12"/>
    <x v="163"/>
    <x v="190"/>
    <x v="19"/>
    <n v="200"/>
    <n v="390"/>
    <n v="660"/>
    <n v="83"/>
    <x v="190"/>
    <x v="163"/>
    <x v="114"/>
    <x v="338"/>
    <n v="1.0549999999999999"/>
    <n v="175"/>
    <x v="0"/>
    <n v="388.55128205128204"/>
    <x v="398"/>
    <n v="406235"/>
    <n v="4897"/>
    <n v="1.331887508545296E-2"/>
    <s v="Nov-13"/>
    <x v="24"/>
    <n v="3.4075829383886256"/>
  </r>
  <r>
    <x v="134"/>
    <n v="22"/>
    <x v="4"/>
    <x v="0"/>
    <x v="2"/>
    <x v="7"/>
    <x v="0"/>
    <x v="0"/>
    <x v="10"/>
    <x v="38"/>
    <x v="103"/>
    <x v="2"/>
    <n v="10"/>
    <n v="10"/>
    <n v="30"/>
    <n v="19"/>
    <x v="103"/>
    <x v="38"/>
    <x v="56"/>
    <x v="177"/>
    <n v="2.2000000000000002"/>
    <n v="6"/>
    <x v="0"/>
    <n v="8.4"/>
    <x v="205"/>
    <n v="880"/>
    <n v="133"/>
    <n v="4.1558441558441558E-2"/>
    <s v="Nov-13"/>
    <x v="5"/>
    <n v="2.5"/>
  </r>
  <r>
    <x v="118"/>
    <n v="245"/>
    <x v="4"/>
    <x v="0"/>
    <x v="2"/>
    <x v="54"/>
    <x v="0"/>
    <x v="0"/>
    <x v="0"/>
    <x v="164"/>
    <x v="191"/>
    <x v="19"/>
    <n v="180"/>
    <n v="140"/>
    <n v="420"/>
    <n v="127"/>
    <x v="191"/>
    <x v="164"/>
    <x v="178"/>
    <x v="339"/>
    <n v="1.3611111111111112"/>
    <n v="163"/>
    <x v="0"/>
    <n v="137.83571428571429"/>
    <x v="399"/>
    <n v="186042"/>
    <n v="11811"/>
    <n v="5.3062940002101509E-3"/>
    <s v="Nov-13"/>
    <x v="29"/>
    <n v="2.5061224489795917"/>
  </r>
  <r>
    <x v="114"/>
    <n v="225"/>
    <x v="4"/>
    <x v="0"/>
    <x v="2"/>
    <x v="42"/>
    <x v="0"/>
    <x v="0"/>
    <x v="1"/>
    <x v="165"/>
    <x v="72"/>
    <x v="19"/>
    <n v="160"/>
    <n v="-120"/>
    <n v="110"/>
    <n v="91"/>
    <x v="72"/>
    <x v="165"/>
    <x v="146"/>
    <x v="340"/>
    <n v="1.40625"/>
    <n v="-112"/>
    <x v="0"/>
    <n v="-121.93333333333334"/>
    <x v="400"/>
    <n v="-39672"/>
    <n v="6279"/>
    <n v="-1.9662683278243918E-2"/>
    <s v="Nov-13"/>
    <x v="28"/>
    <n v="0.76"/>
  </r>
  <r>
    <x v="126"/>
    <n v="81"/>
    <x v="4"/>
    <x v="0"/>
    <x v="2"/>
    <x v="34"/>
    <x v="0"/>
    <x v="1"/>
    <x v="2"/>
    <x v="166"/>
    <x v="192"/>
    <x v="19"/>
    <n v="80"/>
    <n v="90"/>
    <n v="200"/>
    <n v="33"/>
    <x v="192"/>
    <x v="166"/>
    <x v="32"/>
    <x v="341"/>
    <n v="1.0125"/>
    <n v="35"/>
    <x v="0"/>
    <n v="88.611111111111114"/>
    <x v="401"/>
    <n v="26375"/>
    <n v="726"/>
    <n v="2.6928048255062471E-2"/>
    <s v="Nov-13"/>
    <x v="8"/>
    <n v="2.6049382716049383"/>
  </r>
  <r>
    <x v="106"/>
    <n v="118"/>
    <x v="4"/>
    <x v="0"/>
    <x v="2"/>
    <x v="40"/>
    <x v="0"/>
    <x v="1"/>
    <x v="11"/>
    <x v="105"/>
    <x v="144"/>
    <x v="19"/>
    <n v="120"/>
    <n v="130"/>
    <n v="290"/>
    <n v="45"/>
    <x v="144"/>
    <x v="105"/>
    <x v="72"/>
    <x v="275"/>
    <n v="0.98333333333333328"/>
    <n v="58"/>
    <x v="0"/>
    <n v="128.55384615384617"/>
    <x v="327"/>
    <n v="58092"/>
    <n v="1485"/>
    <n v="1.8436795135824264E-2"/>
    <s v="Nov-13"/>
    <x v="17"/>
    <n v="2.6186440677966103"/>
  </r>
  <r>
    <x v="134"/>
    <n v="134"/>
    <x v="5"/>
    <x v="0"/>
    <x v="2"/>
    <x v="11"/>
    <x v="1"/>
    <x v="3"/>
    <x v="5"/>
    <x v="128"/>
    <x v="151"/>
    <x v="2"/>
    <n v="120"/>
    <n v="110"/>
    <n v="280"/>
    <n v="64"/>
    <x v="151"/>
    <x v="128"/>
    <x v="179"/>
    <x v="342"/>
    <n v="1.1166666666666667"/>
    <n v="71"/>
    <x v="0"/>
    <n v="108.35454545454546"/>
    <x v="402"/>
    <n v="61721"/>
    <n v="2624"/>
    <n v="1.2946141191617196E-2"/>
    <s v="Dec-13"/>
    <x v="30"/>
    <n v="2.544776119402985"/>
  </r>
  <r>
    <x v="125"/>
    <n v="83"/>
    <x v="5"/>
    <x v="0"/>
    <x v="2"/>
    <x v="15"/>
    <x v="1"/>
    <x v="2"/>
    <x v="4"/>
    <x v="89"/>
    <x v="193"/>
    <x v="2"/>
    <n v="80"/>
    <n v="70"/>
    <n v="190"/>
    <n v="54"/>
    <x v="193"/>
    <x v="89"/>
    <x v="43"/>
    <x v="343"/>
    <n v="1.0375000000000001"/>
    <n v="16"/>
    <x v="0"/>
    <n v="68.771428571428572"/>
    <x v="403"/>
    <n v="17888"/>
    <n v="1458"/>
    <n v="1.5313390313390313E-2"/>
    <s v="Dec-13"/>
    <x v="11"/>
    <n v="2.5060240963855422"/>
  </r>
  <r>
    <x v="59"/>
    <n v="88"/>
    <x v="5"/>
    <x v="0"/>
    <x v="2"/>
    <x v="39"/>
    <x v="1"/>
    <x v="3"/>
    <x v="7"/>
    <x v="140"/>
    <x v="126"/>
    <x v="2"/>
    <n v="70"/>
    <n v="80"/>
    <n v="190"/>
    <n v="60"/>
    <x v="126"/>
    <x v="140"/>
    <x v="23"/>
    <x v="344"/>
    <n v="1.2571428571428571"/>
    <n v="28"/>
    <x v="0"/>
    <n v="78.650000000000006"/>
    <x v="404"/>
    <n v="25488"/>
    <n v="1740"/>
    <n v="1.5780245470485097E-2"/>
    <s v="Dec-13"/>
    <x v="8"/>
    <n v="2.6818181818181817"/>
  </r>
  <r>
    <x v="53"/>
    <n v="67"/>
    <x v="5"/>
    <x v="0"/>
    <x v="2"/>
    <x v="34"/>
    <x v="1"/>
    <x v="3"/>
    <x v="7"/>
    <x v="167"/>
    <x v="194"/>
    <x v="15"/>
    <n v="60"/>
    <n v="360"/>
    <n v="450"/>
    <n v="53"/>
    <x v="194"/>
    <x v="167"/>
    <x v="180"/>
    <x v="345"/>
    <n v="1.1166666666666667"/>
    <n v="219"/>
    <x v="0"/>
    <n v="358.39166666666665"/>
    <x v="405"/>
    <n v="314397"/>
    <n v="1166"/>
    <n v="4.8468106479156198E-2"/>
    <s v="Dec-13"/>
    <x v="9"/>
    <n v="8.1044776119402986"/>
  </r>
  <r>
    <x v="123"/>
    <n v="279"/>
    <x v="5"/>
    <x v="0"/>
    <x v="2"/>
    <x v="55"/>
    <x v="1"/>
    <x v="3"/>
    <x v="7"/>
    <x v="168"/>
    <x v="195"/>
    <x v="19"/>
    <n v="250"/>
    <n v="250"/>
    <n v="620"/>
    <n v="149"/>
    <x v="195"/>
    <x v="168"/>
    <x v="181"/>
    <x v="346"/>
    <n v="1.1160000000000001"/>
    <n v="152"/>
    <x v="1"/>
    <n v="248.392"/>
    <x v="406"/>
    <n v="299490"/>
    <n v="14452.999999999998"/>
    <n v="5.5628589220231102E-3"/>
    <s v="Dec-13"/>
    <x v="31"/>
    <n v="2.6702508960573477"/>
  </r>
  <r>
    <x v="58"/>
    <n v="105"/>
    <x v="5"/>
    <x v="0"/>
    <x v="2"/>
    <x v="44"/>
    <x v="1"/>
    <x v="2"/>
    <x v="8"/>
    <x v="5"/>
    <x v="153"/>
    <x v="2"/>
    <n v="100"/>
    <n v="30"/>
    <n v="240"/>
    <n v="124"/>
    <x v="153"/>
    <x v="5"/>
    <x v="182"/>
    <x v="347"/>
    <n v="1.05"/>
    <n v="1"/>
    <x v="0"/>
    <n v="28.966666666666665"/>
    <x v="407"/>
    <n v="8246"/>
    <n v="11780"/>
    <n v="1.2267510882469331E-3"/>
    <s v="Dec-13"/>
    <x v="32"/>
    <n v="2.5333333333333332"/>
  </r>
  <r>
    <x v="124"/>
    <n v="135"/>
    <x v="5"/>
    <x v="0"/>
    <x v="2"/>
    <x v="56"/>
    <x v="1"/>
    <x v="2"/>
    <x v="8"/>
    <x v="169"/>
    <x v="49"/>
    <x v="19"/>
    <n v="130"/>
    <n v="-210"/>
    <n v="60"/>
    <n v="155"/>
    <x v="49"/>
    <x v="169"/>
    <x v="183"/>
    <x v="348"/>
    <n v="1.0384615384615385"/>
    <n v="-122"/>
    <x v="0"/>
    <n v="-211.58095238095237"/>
    <x v="408"/>
    <n v="-23240"/>
    <n v="18910"/>
    <n v="-3.8875878220140513E-2"/>
    <s v="Dec-13"/>
    <x v="24"/>
    <n v="0.51851851851851849"/>
  </r>
  <r>
    <x v="84"/>
    <n v="153"/>
    <x v="5"/>
    <x v="0"/>
    <x v="2"/>
    <x v="22"/>
    <x v="1"/>
    <x v="2"/>
    <x v="12"/>
    <x v="113"/>
    <x v="196"/>
    <x v="15"/>
    <n v="150"/>
    <n v="80"/>
    <n v="290"/>
    <n v="66"/>
    <x v="196"/>
    <x v="113"/>
    <x v="184"/>
    <x v="150"/>
    <n v="1.02"/>
    <n v="49"/>
    <x v="0"/>
    <n v="78.387500000000003"/>
    <x v="409"/>
    <n v="42054"/>
    <n v="2772"/>
    <n v="9.4215600350569684E-3"/>
    <s v="Dec-13"/>
    <x v="32"/>
    <n v="2.130718954248366"/>
  </r>
  <r>
    <x v="114"/>
    <n v="250"/>
    <x v="5"/>
    <x v="0"/>
    <x v="2"/>
    <x v="57"/>
    <x v="1"/>
    <x v="2"/>
    <x v="12"/>
    <x v="170"/>
    <x v="197"/>
    <x v="19"/>
    <n v="240"/>
    <n v="320"/>
    <n v="640"/>
    <n v="95"/>
    <x v="197"/>
    <x v="170"/>
    <x v="185"/>
    <x v="349"/>
    <n v="1.0416666666666667"/>
    <n v="143"/>
    <x v="0"/>
    <n v="318.55312500000002"/>
    <x v="410"/>
    <n v="324100"/>
    <n v="6650"/>
    <n v="9.4489795918367338E-3"/>
    <s v="Dec-13"/>
    <x v="33"/>
    <n v="2.8"/>
  </r>
  <r>
    <x v="131"/>
    <n v="294"/>
    <x v="5"/>
    <x v="0"/>
    <x v="2"/>
    <x v="58"/>
    <x v="0"/>
    <x v="0"/>
    <x v="0"/>
    <x v="171"/>
    <x v="198"/>
    <x v="19"/>
    <n v="220"/>
    <n v="210"/>
    <n v="540"/>
    <n v="144"/>
    <x v="198"/>
    <x v="171"/>
    <x v="132"/>
    <x v="350"/>
    <n v="1.3363636363636364"/>
    <n v="249"/>
    <x v="1"/>
    <n v="207.81428571428572"/>
    <x v="411"/>
    <n v="365364"/>
    <n v="15984"/>
    <n v="5.1948933858481598E-3"/>
    <s v="Dec-13"/>
    <x v="25"/>
    <n v="2.7074829931972788"/>
  </r>
  <r>
    <x v="127"/>
    <n v="241"/>
    <x v="5"/>
    <x v="0"/>
    <x v="2"/>
    <x v="37"/>
    <x v="0"/>
    <x v="0"/>
    <x v="1"/>
    <x v="172"/>
    <x v="199"/>
    <x v="19"/>
    <n v="180"/>
    <n v="-150"/>
    <n v="100"/>
    <n v="96"/>
    <x v="199"/>
    <x v="172"/>
    <x v="165"/>
    <x v="351"/>
    <n v="1.3388888888888888"/>
    <n v="-130"/>
    <x v="0"/>
    <n v="-151.86666666666667"/>
    <x v="412"/>
    <n v="-44240"/>
    <n v="7104"/>
    <n v="-2.3947998631542934E-2"/>
    <s v="Dec-13"/>
    <x v="34"/>
    <n v="0.65560165975103735"/>
  </r>
  <r>
    <x v="100"/>
    <n v="86"/>
    <x v="5"/>
    <x v="0"/>
    <x v="2"/>
    <x v="23"/>
    <x v="0"/>
    <x v="1"/>
    <x v="2"/>
    <x v="117"/>
    <x v="134"/>
    <x v="19"/>
    <n v="90"/>
    <n v="90"/>
    <n v="210"/>
    <n v="35"/>
    <x v="134"/>
    <x v="117"/>
    <x v="36"/>
    <x v="352"/>
    <n v="0.9555555555555556"/>
    <n v="42"/>
    <x v="0"/>
    <n v="88.533333333333331"/>
    <x v="413"/>
    <n v="29568"/>
    <n v="840"/>
    <n v="2.4553571428571428E-2"/>
    <s v="Dec-13"/>
    <x v="11"/>
    <n v="2.6046511627906979"/>
  </r>
  <r>
    <x v="114"/>
    <n v="123"/>
    <x v="5"/>
    <x v="0"/>
    <x v="2"/>
    <x v="38"/>
    <x v="0"/>
    <x v="1"/>
    <x v="11"/>
    <x v="111"/>
    <x v="141"/>
    <x v="19"/>
    <n v="120"/>
    <n v="150"/>
    <n v="310"/>
    <n v="46"/>
    <x v="141"/>
    <x v="111"/>
    <x v="61"/>
    <x v="270"/>
    <n v="1.0249999999999999"/>
    <n v="47"/>
    <x v="0"/>
    <n v="148.68666666666667"/>
    <x v="324"/>
    <n v="63434"/>
    <n v="1564"/>
    <n v="1.7994154183412495E-2"/>
    <s v="Dec-13"/>
    <x v="17"/>
    <n v="2.6178861788617884"/>
  </r>
  <r>
    <x v="23"/>
    <n v="108"/>
    <x v="0"/>
    <x v="0"/>
    <x v="0"/>
    <x v="30"/>
    <x v="1"/>
    <x v="3"/>
    <x v="5"/>
    <x v="95"/>
    <x v="165"/>
    <x v="0"/>
    <n v="100"/>
    <n v="150"/>
    <n v="260"/>
    <n v="41"/>
    <x v="165"/>
    <x v="95"/>
    <x v="127"/>
    <x v="353"/>
    <n v="1.08"/>
    <n v="-34"/>
    <x v="0"/>
    <n v="149.22666666666666"/>
    <x v="414"/>
    <n v="30740"/>
    <n v="1230"/>
    <n v="1.459119496855346E-2"/>
    <s v="Oct-12"/>
    <x v="8"/>
    <n v="2.4537037037037037"/>
  </r>
  <r>
    <x v="117"/>
    <n v="122"/>
    <x v="0"/>
    <x v="0"/>
    <x v="0"/>
    <x v="59"/>
    <x v="1"/>
    <x v="3"/>
    <x v="5"/>
    <x v="125"/>
    <x v="200"/>
    <x v="16"/>
    <n v="110"/>
    <n v="160"/>
    <n v="300"/>
    <n v="61"/>
    <x v="200"/>
    <x v="125"/>
    <x v="186"/>
    <x v="354"/>
    <n v="1.1090909090909091"/>
    <n v="-45"/>
    <x v="0"/>
    <n v="159.28125"/>
    <x v="415"/>
    <n v="34270"/>
    <n v="2379"/>
    <n v="9.8950266735501648E-3"/>
    <s v="Oct-12"/>
    <x v="14"/>
    <n v="2.442622950819672"/>
  </r>
  <r>
    <x v="0"/>
    <n v="72"/>
    <x v="0"/>
    <x v="0"/>
    <x v="0"/>
    <x v="4"/>
    <x v="1"/>
    <x v="2"/>
    <x v="4"/>
    <x v="4"/>
    <x v="4"/>
    <x v="0"/>
    <n v="100"/>
    <n v="130"/>
    <n v="260"/>
    <n v="54"/>
    <x v="4"/>
    <x v="4"/>
    <x v="4"/>
    <x v="4"/>
    <n v="0.72"/>
    <n v="-74"/>
    <x v="0"/>
    <n v="129.56923076923076"/>
    <x v="4"/>
    <n v="10192"/>
    <n v="1242"/>
    <n v="1.3377926421404684E-2"/>
    <s v="Oct-12"/>
    <x v="13"/>
    <n v="2.5277777777777777"/>
  </r>
  <r>
    <x v="82"/>
    <n v="239"/>
    <x v="0"/>
    <x v="0"/>
    <x v="0"/>
    <x v="49"/>
    <x v="1"/>
    <x v="2"/>
    <x v="4"/>
    <x v="173"/>
    <x v="201"/>
    <x v="16"/>
    <n v="340"/>
    <n v="300"/>
    <n v="710"/>
    <n v="90"/>
    <x v="201"/>
    <x v="173"/>
    <x v="187"/>
    <x v="355"/>
    <n v="0.70294117647058818"/>
    <n v="-151"/>
    <x v="0"/>
    <n v="299.50333333333333"/>
    <x v="416"/>
    <n v="71222"/>
    <n v="5939.9999999999991"/>
    <n v="4.7229618359325475E-3"/>
    <s v="Oct-12"/>
    <x v="35"/>
    <n v="2"/>
  </r>
  <r>
    <x v="69"/>
    <n v="54"/>
    <x v="0"/>
    <x v="0"/>
    <x v="0"/>
    <x v="14"/>
    <x v="1"/>
    <x v="2"/>
    <x v="4"/>
    <x v="14"/>
    <x v="10"/>
    <x v="18"/>
    <n v="70"/>
    <n v="70"/>
    <n v="170"/>
    <n v="54"/>
    <x v="10"/>
    <x v="14"/>
    <x v="13"/>
    <x v="15"/>
    <n v="0.77142857142857146"/>
    <n v="-58"/>
    <x v="0"/>
    <n v="69.828571428571422"/>
    <x v="15"/>
    <n v="1440"/>
    <n v="1080"/>
    <n v="5.0000000000000001E-3"/>
    <s v="Oct-12"/>
    <x v="10"/>
    <n v="2.2222222222222223"/>
  </r>
  <r>
    <x v="1"/>
    <n v="123"/>
    <x v="0"/>
    <x v="0"/>
    <x v="0"/>
    <x v="38"/>
    <x v="1"/>
    <x v="3"/>
    <x v="6"/>
    <x v="99"/>
    <x v="125"/>
    <x v="0"/>
    <n v="120"/>
    <n v="160"/>
    <n v="300"/>
    <n v="46"/>
    <x v="125"/>
    <x v="99"/>
    <x v="126"/>
    <x v="250"/>
    <n v="1.0249999999999999"/>
    <n v="-27"/>
    <x v="0"/>
    <n v="159.16874999999999"/>
    <x v="302"/>
    <n v="40166"/>
    <n v="1564"/>
    <n v="1.2952863264511102E-2"/>
    <s v="Oct-12"/>
    <x v="14"/>
    <n v="2.4552845528455283"/>
  </r>
  <r>
    <x v="117"/>
    <n v="154"/>
    <x v="0"/>
    <x v="0"/>
    <x v="0"/>
    <x v="52"/>
    <x v="1"/>
    <x v="3"/>
    <x v="7"/>
    <x v="174"/>
    <x v="202"/>
    <x v="16"/>
    <n v="150"/>
    <n v="160"/>
    <n v="370"/>
    <n v="93"/>
    <x v="202"/>
    <x v="174"/>
    <x v="188"/>
    <x v="356"/>
    <n v="1.0266666666666666"/>
    <n v="-40"/>
    <x v="0"/>
    <n v="159.25"/>
    <x v="417"/>
    <n v="44040"/>
    <n v="4650"/>
    <n v="6.5395095367847406E-3"/>
    <s v="Oct-12"/>
    <x v="32"/>
    <n v="2.383116883116883"/>
  </r>
  <r>
    <x v="0"/>
    <n v="76"/>
    <x v="0"/>
    <x v="0"/>
    <x v="0"/>
    <x v="28"/>
    <x v="1"/>
    <x v="2"/>
    <x v="8"/>
    <x v="63"/>
    <x v="76"/>
    <x v="0"/>
    <n v="100"/>
    <n v="170"/>
    <n v="280"/>
    <n v="32"/>
    <x v="76"/>
    <x v="63"/>
    <x v="13"/>
    <x v="118"/>
    <n v="0.76"/>
    <n v="-91"/>
    <x v="0"/>
    <n v="169.53529411764706"/>
    <x v="127"/>
    <n v="14773"/>
    <n v="672"/>
    <n v="2.0117137764196588E-2"/>
    <s v="Oct-12"/>
    <x v="8"/>
    <n v="2.4605263157894739"/>
  </r>
  <r>
    <x v="117"/>
    <n v="257"/>
    <x v="0"/>
    <x v="0"/>
    <x v="0"/>
    <x v="60"/>
    <x v="1"/>
    <x v="2"/>
    <x v="8"/>
    <x v="175"/>
    <x v="203"/>
    <x v="16"/>
    <n v="370"/>
    <n v="420"/>
    <n v="890"/>
    <n v="117"/>
    <x v="203"/>
    <x v="175"/>
    <x v="169"/>
    <x v="126"/>
    <n v="0.69459459459459461"/>
    <n v="-196"/>
    <x v="0"/>
    <n v="419.46666666666664"/>
    <x v="418"/>
    <n v="133952"/>
    <n v="9828"/>
    <n v="4.459308807134894E-3"/>
    <s v="Oct-12"/>
    <x v="36"/>
    <n v="2.3268482490272375"/>
  </r>
  <r>
    <x v="98"/>
    <n v="161"/>
    <x v="0"/>
    <x v="0"/>
    <x v="0"/>
    <x v="48"/>
    <x v="1"/>
    <x v="2"/>
    <x v="8"/>
    <x v="115"/>
    <x v="141"/>
    <x v="18"/>
    <n v="230"/>
    <n v="190"/>
    <n v="470"/>
    <n v="69"/>
    <x v="141"/>
    <x v="115"/>
    <x v="134"/>
    <x v="297"/>
    <n v="0.7"/>
    <n v="-98"/>
    <x v="0"/>
    <n v="189.51578947368421"/>
    <x v="354"/>
    <n v="29624"/>
    <n v="3105.0000000000005"/>
    <n v="6.3492063492063483E-3"/>
    <s v="Oct-12"/>
    <x v="29"/>
    <n v="2"/>
  </r>
  <r>
    <x v="23"/>
    <n v="161"/>
    <x v="0"/>
    <x v="0"/>
    <x v="0"/>
    <x v="48"/>
    <x v="0"/>
    <x v="0"/>
    <x v="10"/>
    <x v="115"/>
    <x v="141"/>
    <x v="0"/>
    <n v="120"/>
    <n v="110"/>
    <n v="260"/>
    <n v="69"/>
    <x v="141"/>
    <x v="115"/>
    <x v="134"/>
    <x v="297"/>
    <n v="1.3416666666666666"/>
    <n v="-18"/>
    <x v="0"/>
    <n v="109.16363636363636"/>
    <x v="354"/>
    <n v="29624"/>
    <n v="3105.0000000000005"/>
    <n v="6.3492063492063483E-3"/>
    <s v="Oct-12"/>
    <x v="16"/>
    <n v="2"/>
  </r>
  <r>
    <x v="52"/>
    <n v="123"/>
    <x v="0"/>
    <x v="0"/>
    <x v="0"/>
    <x v="38"/>
    <x v="0"/>
    <x v="0"/>
    <x v="10"/>
    <x v="99"/>
    <x v="125"/>
    <x v="16"/>
    <n v="90"/>
    <n v="140"/>
    <n v="240"/>
    <n v="46"/>
    <x v="125"/>
    <x v="99"/>
    <x v="126"/>
    <x v="250"/>
    <n v="1.3666666666666667"/>
    <n v="-7"/>
    <x v="0"/>
    <n v="139.05000000000001"/>
    <x v="302"/>
    <n v="40166"/>
    <n v="1564"/>
    <n v="1.2952863264511102E-2"/>
    <s v="Oct-12"/>
    <x v="10"/>
    <n v="2.4552845528455283"/>
  </r>
  <r>
    <x v="117"/>
    <n v="108"/>
    <x v="0"/>
    <x v="0"/>
    <x v="0"/>
    <x v="30"/>
    <x v="0"/>
    <x v="0"/>
    <x v="1"/>
    <x v="95"/>
    <x v="165"/>
    <x v="16"/>
    <n v="80"/>
    <n v="120"/>
    <n v="210"/>
    <n v="41"/>
    <x v="165"/>
    <x v="95"/>
    <x v="127"/>
    <x v="353"/>
    <n v="1.35"/>
    <n v="-4"/>
    <x v="0"/>
    <n v="119.03333333333333"/>
    <x v="414"/>
    <n v="30740"/>
    <n v="1230"/>
    <n v="1.459119496855346E-2"/>
    <s v="Oct-12"/>
    <x v="9"/>
    <n v="2.4537037037037037"/>
  </r>
  <r>
    <x v="104"/>
    <n v="82"/>
    <x v="0"/>
    <x v="0"/>
    <x v="0"/>
    <x v="15"/>
    <x v="0"/>
    <x v="1"/>
    <x v="2"/>
    <x v="56"/>
    <x v="17"/>
    <x v="18"/>
    <n v="50"/>
    <n v="60"/>
    <n v="140"/>
    <n v="58"/>
    <x v="17"/>
    <x v="56"/>
    <x v="65"/>
    <x v="231"/>
    <n v="1.64"/>
    <n v="5"/>
    <x v="0"/>
    <n v="58.916666666666664"/>
    <x v="282"/>
    <n v="13325"/>
    <n v="1566"/>
    <n v="1.1743450767841012E-2"/>
    <s v="Oct-12"/>
    <x v="6"/>
    <n v="2.5"/>
  </r>
  <r>
    <x v="69"/>
    <n v="91"/>
    <x v="0"/>
    <x v="0"/>
    <x v="0"/>
    <x v="16"/>
    <x v="0"/>
    <x v="1"/>
    <x v="11"/>
    <x v="20"/>
    <x v="18"/>
    <x v="18"/>
    <n v="50"/>
    <n v="80"/>
    <n v="150"/>
    <n v="51"/>
    <x v="18"/>
    <x v="20"/>
    <x v="19"/>
    <x v="21"/>
    <n v="1.82"/>
    <n v="-4"/>
    <x v="0"/>
    <n v="79.05"/>
    <x v="21"/>
    <n v="16568"/>
    <n v="1428"/>
    <n v="1.2450851900393186E-2"/>
    <s v="Oct-12"/>
    <x v="7"/>
    <n v="2.3956043956043955"/>
  </r>
  <r>
    <x v="43"/>
    <n v="90"/>
    <x v="0"/>
    <x v="0"/>
    <x v="0"/>
    <x v="39"/>
    <x v="0"/>
    <x v="1"/>
    <x v="3"/>
    <x v="62"/>
    <x v="17"/>
    <x v="0"/>
    <n v="50"/>
    <n v="80"/>
    <n v="140"/>
    <n v="41"/>
    <x v="17"/>
    <x v="62"/>
    <x v="108"/>
    <x v="251"/>
    <n v="1.8"/>
    <n v="-6"/>
    <x v="0"/>
    <n v="79.075000000000003"/>
    <x v="303"/>
    <n v="15170"/>
    <n v="1189"/>
    <n v="1.244743481917578E-2"/>
    <s v="Oct-12"/>
    <x v="0"/>
    <n v="2.2777777777777777"/>
  </r>
  <r>
    <x v="77"/>
    <n v="10"/>
    <x v="0"/>
    <x v="1"/>
    <x v="0"/>
    <x v="61"/>
    <x v="1"/>
    <x v="3"/>
    <x v="5"/>
    <x v="13"/>
    <x v="204"/>
    <x v="4"/>
    <n v="0"/>
    <n v="10"/>
    <n v="10"/>
    <n v="15"/>
    <x v="204"/>
    <x v="13"/>
    <x v="189"/>
    <x v="357"/>
    <e v="#DIV/0!"/>
    <n v="-12"/>
    <x v="0"/>
    <n v="10.199999999999999"/>
    <x v="419"/>
    <n v="-46"/>
    <n v="45"/>
    <n v="-2.8985507246376808E-2"/>
    <s v="Oct-12"/>
    <x v="4"/>
    <n v="2.2999999999999998"/>
  </r>
  <r>
    <x v="65"/>
    <n v="86"/>
    <x v="0"/>
    <x v="1"/>
    <x v="0"/>
    <x v="16"/>
    <x v="1"/>
    <x v="3"/>
    <x v="5"/>
    <x v="176"/>
    <x v="160"/>
    <x v="13"/>
    <n v="80"/>
    <n v="100"/>
    <n v="200"/>
    <n v="55"/>
    <x v="160"/>
    <x v="176"/>
    <x v="18"/>
    <x v="358"/>
    <n v="1.075"/>
    <n v="-39"/>
    <x v="0"/>
    <n v="99.39"/>
    <x v="420"/>
    <n v="12322"/>
    <n v="1540.0000000000002"/>
    <n v="1.0785007072135784E-2"/>
    <s v="Oct-12"/>
    <x v="10"/>
    <n v="2.3488372093023258"/>
  </r>
  <r>
    <x v="62"/>
    <n v="79"/>
    <x v="0"/>
    <x v="1"/>
    <x v="0"/>
    <x v="30"/>
    <x v="1"/>
    <x v="3"/>
    <x v="7"/>
    <x v="3"/>
    <x v="79"/>
    <x v="12"/>
    <n v="70"/>
    <n v="70"/>
    <n v="170"/>
    <n v="63"/>
    <x v="79"/>
    <x v="3"/>
    <x v="19"/>
    <x v="221"/>
    <n v="1.1285714285714286"/>
    <n v="-35"/>
    <x v="0"/>
    <n v="69.5"/>
    <x v="421"/>
    <n v="6195"/>
    <n v="1889.9999999999998"/>
    <n v="6.5913370998116763E-3"/>
    <s v="Oct-12"/>
    <x v="10"/>
    <n v="2.240506329113924"/>
  </r>
  <r>
    <x v="65"/>
    <n v="96"/>
    <x v="0"/>
    <x v="1"/>
    <x v="0"/>
    <x v="41"/>
    <x v="1"/>
    <x v="3"/>
    <x v="7"/>
    <x v="47"/>
    <x v="127"/>
    <x v="13"/>
    <n v="90"/>
    <n v="60"/>
    <n v="230"/>
    <n v="116"/>
    <x v="127"/>
    <x v="47"/>
    <x v="147"/>
    <x v="295"/>
    <n v="1.0666666666666667"/>
    <n v="-42"/>
    <x v="0"/>
    <n v="59.7"/>
    <x v="352"/>
    <n v="4140"/>
    <n v="10092"/>
    <n v="8.9955022488755621E-4"/>
    <s v="Oct-12"/>
    <x v="30"/>
    <n v="2.3958333333333335"/>
  </r>
  <r>
    <x v="26"/>
    <n v="40"/>
    <x v="0"/>
    <x v="1"/>
    <x v="0"/>
    <x v="9"/>
    <x v="1"/>
    <x v="2"/>
    <x v="8"/>
    <x v="18"/>
    <x v="9"/>
    <x v="12"/>
    <n v="50"/>
    <n v="90"/>
    <n v="140"/>
    <n v="23"/>
    <x v="9"/>
    <x v="18"/>
    <x v="17"/>
    <x v="19"/>
    <n v="0.8"/>
    <n v="-54"/>
    <x v="0"/>
    <n v="89.6"/>
    <x v="19"/>
    <n v="3564"/>
    <n v="252.99999999999997"/>
    <n v="3.3057851239669422E-2"/>
    <s v="Oct-12"/>
    <x v="2"/>
    <n v="2.4750000000000001"/>
  </r>
  <r>
    <x v="94"/>
    <n v="80"/>
    <x v="0"/>
    <x v="1"/>
    <x v="0"/>
    <x v="23"/>
    <x v="1"/>
    <x v="2"/>
    <x v="8"/>
    <x v="21"/>
    <x v="75"/>
    <x v="13"/>
    <n v="110"/>
    <n v="120"/>
    <n v="250"/>
    <n v="46"/>
    <x v="75"/>
    <x v="21"/>
    <x v="4"/>
    <x v="22"/>
    <n v="0.72727272727272729"/>
    <n v="-72"/>
    <x v="0"/>
    <n v="119.6"/>
    <x v="123"/>
    <n v="8352"/>
    <n v="1104"/>
    <n v="1.1494252873563218E-2"/>
    <s v="Oct-12"/>
    <x v="13"/>
    <n v="2.1749999999999998"/>
  </r>
  <r>
    <x v="5"/>
    <n v="257"/>
    <x v="0"/>
    <x v="1"/>
    <x v="0"/>
    <x v="60"/>
    <x v="0"/>
    <x v="0"/>
    <x v="10"/>
    <x v="175"/>
    <x v="203"/>
    <x v="4"/>
    <n v="200"/>
    <n v="210"/>
    <n v="480"/>
    <n v="117"/>
    <x v="203"/>
    <x v="175"/>
    <x v="169"/>
    <x v="126"/>
    <n v="1.2849999999999999"/>
    <n v="14"/>
    <x v="0"/>
    <n v="208.93333333333334"/>
    <x v="418"/>
    <n v="133952"/>
    <n v="9828"/>
    <n v="4.459308807134894E-3"/>
    <s v="Oct-12"/>
    <x v="24"/>
    <n v="2.3268482490272375"/>
  </r>
  <r>
    <x v="77"/>
    <n v="122"/>
    <x v="0"/>
    <x v="1"/>
    <x v="0"/>
    <x v="59"/>
    <x v="0"/>
    <x v="0"/>
    <x v="0"/>
    <x v="124"/>
    <x v="200"/>
    <x v="4"/>
    <n v="90"/>
    <n v="130"/>
    <n v="240"/>
    <n v="62"/>
    <x v="200"/>
    <x v="124"/>
    <x v="144"/>
    <x v="359"/>
    <n v="1.3555555555555556"/>
    <n v="-16"/>
    <x v="0"/>
    <n v="129.12307692307692"/>
    <x v="422"/>
    <n v="33972"/>
    <n v="2418"/>
    <n v="9.8089829633453782E-3"/>
    <s v="Oct-12"/>
    <x v="8"/>
    <n v="2.442622950819672"/>
  </r>
  <r>
    <x v="13"/>
    <n v="86"/>
    <x v="0"/>
    <x v="1"/>
    <x v="0"/>
    <x v="32"/>
    <x v="0"/>
    <x v="0"/>
    <x v="0"/>
    <x v="77"/>
    <x v="12"/>
    <x v="12"/>
    <n v="60"/>
    <n v="10"/>
    <n v="80"/>
    <n v="49"/>
    <x v="12"/>
    <x v="77"/>
    <x v="106"/>
    <x v="160"/>
    <n v="1.4333333333333333"/>
    <n v="-36"/>
    <x v="0"/>
    <n v="12.6"/>
    <x v="184"/>
    <n v="-2834"/>
    <n v="1274"/>
    <n v="-9.1743119266055051E-3"/>
    <s v="Oct-12"/>
    <x v="7"/>
    <n v="1.2674418604651163"/>
  </r>
  <r>
    <x v="46"/>
    <n v="239"/>
    <x v="0"/>
    <x v="1"/>
    <x v="0"/>
    <x v="49"/>
    <x v="0"/>
    <x v="1"/>
    <x v="2"/>
    <x v="173"/>
    <x v="201"/>
    <x v="4"/>
    <n v="170"/>
    <n v="110"/>
    <n v="340"/>
    <n v="90"/>
    <x v="201"/>
    <x v="173"/>
    <x v="187"/>
    <x v="355"/>
    <n v="1.4058823529411764"/>
    <n v="39"/>
    <x v="0"/>
    <n v="108.64545454545454"/>
    <x v="416"/>
    <n v="71222"/>
    <n v="5939.9999999999991"/>
    <n v="4.7229618359325475E-3"/>
    <s v="Oct-12"/>
    <x v="28"/>
    <n v="2"/>
  </r>
  <r>
    <x v="46"/>
    <n v="255"/>
    <x v="0"/>
    <x v="1"/>
    <x v="0"/>
    <x v="50"/>
    <x v="0"/>
    <x v="1"/>
    <x v="11"/>
    <x v="177"/>
    <x v="205"/>
    <x v="4"/>
    <n v="170"/>
    <n v="130"/>
    <n v="400"/>
    <n v="129"/>
    <x v="205"/>
    <x v="177"/>
    <x v="150"/>
    <x v="360"/>
    <n v="1.5"/>
    <n v="53"/>
    <x v="0"/>
    <n v="128.59230769230768"/>
    <x v="423"/>
    <n v="103761"/>
    <n v="12384"/>
    <n v="3.3619929453262785E-3"/>
    <s v="Oct-12"/>
    <x v="24"/>
    <n v="2.223529411764706"/>
  </r>
  <r>
    <x v="40"/>
    <n v="25"/>
    <x v="0"/>
    <x v="1"/>
    <x v="0"/>
    <x v="8"/>
    <x v="0"/>
    <x v="1"/>
    <x v="11"/>
    <x v="84"/>
    <x v="82"/>
    <x v="12"/>
    <n v="10"/>
    <n v="0"/>
    <n v="30"/>
    <n v="42"/>
    <x v="82"/>
    <x v="84"/>
    <x v="190"/>
    <x v="361"/>
    <n v="2.5"/>
    <n v="-11"/>
    <x v="0"/>
    <e v="#DIV/0!"/>
    <x v="241"/>
    <n v="-616"/>
    <n v="377.99999999999994"/>
    <n v="-2.1825396825396828E-2"/>
    <s v="Oct-12"/>
    <x v="3"/>
    <n v="2.2400000000000002"/>
  </r>
  <r>
    <x v="1"/>
    <n v="81"/>
    <x v="1"/>
    <x v="0"/>
    <x v="0"/>
    <x v="34"/>
    <x v="1"/>
    <x v="3"/>
    <x v="5"/>
    <x v="144"/>
    <x v="172"/>
    <x v="0"/>
    <n v="80"/>
    <n v="80"/>
    <n v="190"/>
    <n v="33"/>
    <x v="172"/>
    <x v="144"/>
    <x v="35"/>
    <x v="279"/>
    <n v="1.0125"/>
    <n v="4"/>
    <x v="0"/>
    <n v="78.95"/>
    <x v="369"/>
    <n v="16632"/>
    <n v="726"/>
    <n v="1.928374655647383E-2"/>
    <s v="Nov-12"/>
    <x v="8"/>
    <n v="2.4444444444444446"/>
  </r>
  <r>
    <x v="117"/>
    <n v="113"/>
    <x v="1"/>
    <x v="0"/>
    <x v="0"/>
    <x v="62"/>
    <x v="1"/>
    <x v="3"/>
    <x v="5"/>
    <x v="178"/>
    <x v="206"/>
    <x v="16"/>
    <n v="110"/>
    <n v="110"/>
    <n v="270"/>
    <n v="59"/>
    <x v="206"/>
    <x v="178"/>
    <x v="191"/>
    <x v="362"/>
    <n v="1.0272727272727273"/>
    <n v="-4"/>
    <x v="0"/>
    <n v="109.03636363636363"/>
    <x v="424"/>
    <n v="29468"/>
    <n v="2124"/>
    <n v="1.0591526778577139E-2"/>
    <s v="Nov-12"/>
    <x v="17"/>
    <n v="2.4601769911504423"/>
  </r>
  <r>
    <x v="0"/>
    <n v="75"/>
    <x v="1"/>
    <x v="0"/>
    <x v="0"/>
    <x v="23"/>
    <x v="1"/>
    <x v="2"/>
    <x v="4"/>
    <x v="85"/>
    <x v="90"/>
    <x v="0"/>
    <n v="90"/>
    <n v="100"/>
    <n v="240"/>
    <n v="56"/>
    <x v="90"/>
    <x v="85"/>
    <x v="108"/>
    <x v="363"/>
    <n v="0.83333333333333337"/>
    <n v="-42"/>
    <x v="0"/>
    <n v="99.42"/>
    <x v="425"/>
    <n v="10962"/>
    <n v="1344"/>
    <n v="1.2786596119929453E-2"/>
    <s v="Nov-12"/>
    <x v="14"/>
    <n v="2.52"/>
  </r>
  <r>
    <x v="24"/>
    <n v="211"/>
    <x v="1"/>
    <x v="0"/>
    <x v="0"/>
    <x v="53"/>
    <x v="1"/>
    <x v="2"/>
    <x v="4"/>
    <x v="113"/>
    <x v="207"/>
    <x v="16"/>
    <n v="270"/>
    <n v="200"/>
    <n v="540"/>
    <n v="83"/>
    <x v="207"/>
    <x v="113"/>
    <x v="157"/>
    <x v="364"/>
    <n v="0.78148148148148144"/>
    <n v="-71"/>
    <x v="0"/>
    <n v="199.35499999999999"/>
    <x v="426"/>
    <n v="54567"/>
    <n v="4897"/>
    <n v="5.1688904916456302E-3"/>
    <s v="Nov-12"/>
    <x v="37"/>
    <n v="2.0047393364928912"/>
  </r>
  <r>
    <x v="1"/>
    <n v="118"/>
    <x v="1"/>
    <x v="0"/>
    <x v="0"/>
    <x v="40"/>
    <x v="1"/>
    <x v="3"/>
    <x v="6"/>
    <x v="179"/>
    <x v="129"/>
    <x v="0"/>
    <n v="110"/>
    <n v="130"/>
    <n v="280"/>
    <n v="44"/>
    <x v="129"/>
    <x v="179"/>
    <x v="192"/>
    <x v="365"/>
    <n v="1.0727272727272728"/>
    <n v="-2"/>
    <x v="0"/>
    <n v="129.01538461538462"/>
    <x v="427"/>
    <n v="37120"/>
    <n v="1452"/>
    <n v="1.3375130616509927E-2"/>
    <s v="Nov-12"/>
    <x v="16"/>
    <n v="2.4576271186440679"/>
  </r>
  <r>
    <x v="117"/>
    <n v="173"/>
    <x v="1"/>
    <x v="0"/>
    <x v="0"/>
    <x v="63"/>
    <x v="1"/>
    <x v="3"/>
    <x v="7"/>
    <x v="180"/>
    <x v="208"/>
    <x v="16"/>
    <n v="170"/>
    <n v="140"/>
    <n v="400"/>
    <n v="100"/>
    <x v="208"/>
    <x v="180"/>
    <x v="193"/>
    <x v="366"/>
    <n v="1.0176470588235293"/>
    <n v="-1"/>
    <x v="0"/>
    <n v="139.00714285714287"/>
    <x v="428"/>
    <n v="57268"/>
    <n v="5700"/>
    <n v="5.9189235223982284E-3"/>
    <s v="Nov-12"/>
    <x v="38"/>
    <n v="2.3815028901734103"/>
  </r>
  <r>
    <x v="0"/>
    <n v="50"/>
    <x v="1"/>
    <x v="0"/>
    <x v="0"/>
    <x v="10"/>
    <x v="1"/>
    <x v="2"/>
    <x v="8"/>
    <x v="21"/>
    <x v="1"/>
    <x v="0"/>
    <n v="60"/>
    <n v="70"/>
    <n v="150"/>
    <n v="25"/>
    <x v="1"/>
    <x v="21"/>
    <x v="21"/>
    <x v="23"/>
    <n v="0.83333333333333337"/>
    <n v="-22"/>
    <x v="0"/>
    <n v="69.314285714285717"/>
    <x v="23"/>
    <n v="5904"/>
    <n v="350"/>
    <n v="2.7874564459930314E-2"/>
    <s v="Nov-12"/>
    <x v="6"/>
    <n v="2.46"/>
  </r>
  <r>
    <x v="136"/>
    <n v="228"/>
    <x v="1"/>
    <x v="0"/>
    <x v="0"/>
    <x v="64"/>
    <x v="1"/>
    <x v="2"/>
    <x v="8"/>
    <x v="181"/>
    <x v="209"/>
    <x v="16"/>
    <n v="290"/>
    <n v="290"/>
    <n v="680"/>
    <n v="108"/>
    <x v="209"/>
    <x v="181"/>
    <x v="194"/>
    <x v="367"/>
    <n v="0.78620689655172415"/>
    <n v="-94"/>
    <x v="0"/>
    <n v="289.3241379310345"/>
    <x v="429"/>
    <n v="104272"/>
    <n v="8100"/>
    <n v="4.9122807017543861E-3"/>
    <s v="Nov-12"/>
    <x v="39"/>
    <n v="2.3333333333333335"/>
  </r>
  <r>
    <x v="93"/>
    <n v="181"/>
    <x v="1"/>
    <x v="0"/>
    <x v="0"/>
    <x v="52"/>
    <x v="1"/>
    <x v="2"/>
    <x v="8"/>
    <x v="120"/>
    <x v="169"/>
    <x v="18"/>
    <n v="230"/>
    <n v="170"/>
    <n v="460"/>
    <n v="75"/>
    <x v="169"/>
    <x v="120"/>
    <x v="195"/>
    <x v="368"/>
    <n v="0.78695652173913044"/>
    <n v="-63"/>
    <x v="0"/>
    <n v="169.37058823529412"/>
    <x v="430"/>
    <n v="38841"/>
    <n v="3750"/>
    <n v="5.8953168044077135E-3"/>
    <s v="Nov-12"/>
    <x v="40"/>
    <n v="2.0055248618784529"/>
  </r>
  <r>
    <x v="1"/>
    <n v="181"/>
    <x v="1"/>
    <x v="0"/>
    <x v="0"/>
    <x v="52"/>
    <x v="0"/>
    <x v="0"/>
    <x v="10"/>
    <x v="120"/>
    <x v="169"/>
    <x v="0"/>
    <n v="170"/>
    <n v="100"/>
    <n v="330"/>
    <n v="75"/>
    <x v="169"/>
    <x v="120"/>
    <x v="195"/>
    <x v="368"/>
    <n v="1.0647058823529412"/>
    <n v="7"/>
    <x v="0"/>
    <n v="98.93"/>
    <x v="430"/>
    <n v="38841"/>
    <n v="3750"/>
    <n v="5.8953168044077135E-3"/>
    <s v="Nov-12"/>
    <x v="28"/>
    <n v="2.0055248618784529"/>
  </r>
  <r>
    <x v="82"/>
    <n v="118"/>
    <x v="1"/>
    <x v="0"/>
    <x v="0"/>
    <x v="40"/>
    <x v="0"/>
    <x v="0"/>
    <x v="10"/>
    <x v="102"/>
    <x v="129"/>
    <x v="16"/>
    <n v="110"/>
    <n v="110"/>
    <n v="260"/>
    <n v="45"/>
    <x v="129"/>
    <x v="102"/>
    <x v="130"/>
    <x v="255"/>
    <n v="1.0727272727272728"/>
    <n v="17"/>
    <x v="0"/>
    <n v="108.84545454545454"/>
    <x v="307"/>
    <n v="36830"/>
    <n v="1485"/>
    <n v="1.3270637408568443E-2"/>
    <s v="Nov-12"/>
    <x v="16"/>
    <n v="2.4576271186440679"/>
  </r>
  <r>
    <x v="89"/>
    <n v="81"/>
    <x v="1"/>
    <x v="0"/>
    <x v="0"/>
    <x v="34"/>
    <x v="0"/>
    <x v="0"/>
    <x v="1"/>
    <x v="144"/>
    <x v="172"/>
    <x v="16"/>
    <n v="70"/>
    <n v="80"/>
    <n v="180"/>
    <n v="33"/>
    <x v="172"/>
    <x v="144"/>
    <x v="35"/>
    <x v="279"/>
    <n v="1.1571428571428573"/>
    <n v="4"/>
    <x v="0"/>
    <n v="78.95"/>
    <x v="369"/>
    <n v="16632"/>
    <n v="726"/>
    <n v="1.928374655647383E-2"/>
    <s v="Nov-12"/>
    <x v="10"/>
    <n v="2.4444444444444446"/>
  </r>
  <r>
    <x v="87"/>
    <n v="78"/>
    <x v="1"/>
    <x v="0"/>
    <x v="0"/>
    <x v="26"/>
    <x v="0"/>
    <x v="1"/>
    <x v="2"/>
    <x v="103"/>
    <x v="130"/>
    <x v="18"/>
    <n v="60"/>
    <n v="60"/>
    <n v="160"/>
    <n v="57"/>
    <x v="130"/>
    <x v="103"/>
    <x v="106"/>
    <x v="256"/>
    <n v="1.3"/>
    <n v="2"/>
    <x v="0"/>
    <n v="58.966666666666669"/>
    <x v="308"/>
    <n v="12214"/>
    <n v="1425"/>
    <n v="1.2588832487309645E-2"/>
    <s v="Nov-12"/>
    <x v="10"/>
    <n v="2.5256410256410255"/>
  </r>
  <r>
    <x v="89"/>
    <n v="75"/>
    <x v="1"/>
    <x v="0"/>
    <x v="0"/>
    <x v="23"/>
    <x v="0"/>
    <x v="1"/>
    <x v="11"/>
    <x v="93"/>
    <x v="90"/>
    <x v="16"/>
    <n v="60"/>
    <n v="50"/>
    <n v="150"/>
    <n v="55"/>
    <x v="90"/>
    <x v="93"/>
    <x v="83"/>
    <x v="234"/>
    <n v="1.25"/>
    <n v="9"/>
    <x v="0"/>
    <n v="48.82"/>
    <x v="285"/>
    <n v="11151"/>
    <n v="1320"/>
    <n v="1.3007054673721341E-2"/>
    <s v="Nov-12"/>
    <x v="10"/>
    <n v="2.52"/>
  </r>
  <r>
    <x v="83"/>
    <n v="102"/>
    <x v="1"/>
    <x v="0"/>
    <x v="0"/>
    <x v="33"/>
    <x v="0"/>
    <x v="1"/>
    <x v="11"/>
    <x v="104"/>
    <x v="132"/>
    <x v="18"/>
    <n v="80"/>
    <n v="70"/>
    <n v="200"/>
    <n v="54"/>
    <x v="132"/>
    <x v="104"/>
    <x v="71"/>
    <x v="258"/>
    <n v="1.2749999999999999"/>
    <n v="19"/>
    <x v="0"/>
    <n v="68.728571428571428"/>
    <x v="310"/>
    <n v="21805"/>
    <n v="1674"/>
    <n v="1.1718235681369323E-2"/>
    <s v="Nov-12"/>
    <x v="13"/>
    <n v="2.4019607843137254"/>
  </r>
  <r>
    <x v="23"/>
    <n v="88"/>
    <x v="1"/>
    <x v="0"/>
    <x v="0"/>
    <x v="39"/>
    <x v="0"/>
    <x v="1"/>
    <x v="3"/>
    <x v="50"/>
    <x v="131"/>
    <x v="0"/>
    <n v="70"/>
    <n v="60"/>
    <n v="160"/>
    <n v="42"/>
    <x v="131"/>
    <x v="50"/>
    <x v="83"/>
    <x v="369"/>
    <n v="1.2571428571428571"/>
    <n v="10"/>
    <x v="0"/>
    <n v="58.833333333333336"/>
    <x v="431"/>
    <n v="14000"/>
    <n v="1218"/>
    <n v="1.2068965517241379E-2"/>
    <s v="Nov-12"/>
    <x v="10"/>
    <n v="2.2727272727272729"/>
  </r>
  <r>
    <x v="77"/>
    <n v="10"/>
    <x v="1"/>
    <x v="1"/>
    <x v="0"/>
    <x v="61"/>
    <x v="1"/>
    <x v="3"/>
    <x v="5"/>
    <x v="37"/>
    <x v="204"/>
    <x v="4"/>
    <n v="0"/>
    <n v="10"/>
    <n v="20"/>
    <n v="16"/>
    <x v="204"/>
    <x v="37"/>
    <x v="196"/>
    <x v="160"/>
    <e v="#DIV/0!"/>
    <n v="-13"/>
    <x v="0"/>
    <n v="10.3"/>
    <x v="432"/>
    <n v="-69"/>
    <n v="48"/>
    <n v="-4.3478260869565216E-2"/>
    <s v="Nov-12"/>
    <x v="12"/>
    <n v="2.2999999999999998"/>
  </r>
  <r>
    <x v="14"/>
    <n v="77"/>
    <x v="1"/>
    <x v="1"/>
    <x v="0"/>
    <x v="26"/>
    <x v="1"/>
    <x v="3"/>
    <x v="5"/>
    <x v="94"/>
    <x v="166"/>
    <x v="13"/>
    <n v="70"/>
    <n v="60"/>
    <n v="170"/>
    <n v="52"/>
    <x v="166"/>
    <x v="94"/>
    <x v="111"/>
    <x v="302"/>
    <n v="1.1000000000000001"/>
    <n v="-9"/>
    <x v="0"/>
    <n v="59.15"/>
    <x v="360"/>
    <n v="9180"/>
    <n v="1300"/>
    <n v="1.1333333333333334E-2"/>
    <s v="Nov-12"/>
    <x v="8"/>
    <n v="2.3376623376623376"/>
  </r>
  <r>
    <x v="46"/>
    <n v="15"/>
    <x v="1"/>
    <x v="1"/>
    <x v="0"/>
    <x v="36"/>
    <x v="1"/>
    <x v="3"/>
    <x v="6"/>
    <x v="72"/>
    <x v="115"/>
    <x v="4"/>
    <n v="10"/>
    <n v="10"/>
    <n v="30"/>
    <n v="16"/>
    <x v="115"/>
    <x v="72"/>
    <x v="116"/>
    <x v="22"/>
    <n v="1.5"/>
    <n v="-2"/>
    <x v="0"/>
    <n v="9.1999999999999993"/>
    <x v="264"/>
    <n v="312"/>
    <n v="64"/>
    <n v="5.128205128205128E-2"/>
    <s v="Nov-12"/>
    <x v="5"/>
    <n v="2.6"/>
  </r>
  <r>
    <x v="13"/>
    <n v="82"/>
    <x v="1"/>
    <x v="1"/>
    <x v="0"/>
    <x v="33"/>
    <x v="1"/>
    <x v="3"/>
    <x v="7"/>
    <x v="68"/>
    <x v="106"/>
    <x v="12"/>
    <n v="80"/>
    <n v="40"/>
    <n v="180"/>
    <n v="64"/>
    <x v="106"/>
    <x v="68"/>
    <x v="38"/>
    <x v="197"/>
    <n v="1.0249999999999999"/>
    <n v="-2"/>
    <x v="0"/>
    <n v="39.049999999999997"/>
    <x v="225"/>
    <n v="6992"/>
    <n v="1984"/>
    <n v="6.6619915848527347E-3"/>
    <s v="Nov-12"/>
    <x v="14"/>
    <n v="2.2439024390243905"/>
  </r>
  <r>
    <x v="14"/>
    <n v="94"/>
    <x v="1"/>
    <x v="1"/>
    <x v="0"/>
    <x v="43"/>
    <x v="1"/>
    <x v="3"/>
    <x v="7"/>
    <x v="38"/>
    <x v="134"/>
    <x v="13"/>
    <n v="90"/>
    <n v="30"/>
    <n v="220"/>
    <n v="114"/>
    <x v="134"/>
    <x v="38"/>
    <x v="197"/>
    <x v="370"/>
    <n v="1.0444444444444445"/>
    <n v="-14"/>
    <x v="0"/>
    <n v="29.466666666666665"/>
    <x v="433"/>
    <n v="3584"/>
    <n v="9690"/>
    <n v="8.4033613445378145E-4"/>
    <s v="Nov-12"/>
    <x v="26"/>
    <n v="2.3829787234042552"/>
  </r>
  <r>
    <x v="26"/>
    <n v="54"/>
    <x v="1"/>
    <x v="1"/>
    <x v="0"/>
    <x v="6"/>
    <x v="1"/>
    <x v="2"/>
    <x v="8"/>
    <x v="94"/>
    <x v="57"/>
    <x v="12"/>
    <n v="60"/>
    <n v="80"/>
    <n v="160"/>
    <n v="27"/>
    <x v="57"/>
    <x v="94"/>
    <x v="40"/>
    <x v="236"/>
    <n v="0.9"/>
    <n v="-29"/>
    <x v="0"/>
    <n v="79.362499999999997"/>
    <x v="287"/>
    <n v="6732"/>
    <n v="405"/>
    <n v="2.5757575757575757E-2"/>
    <s v="Nov-12"/>
    <x v="6"/>
    <n v="2.4444444444444446"/>
  </r>
  <r>
    <x v="41"/>
    <n v="75"/>
    <x v="1"/>
    <x v="1"/>
    <x v="0"/>
    <x v="4"/>
    <x v="1"/>
    <x v="2"/>
    <x v="8"/>
    <x v="16"/>
    <x v="20"/>
    <x v="13"/>
    <n v="90"/>
    <n v="70"/>
    <n v="200"/>
    <n v="44"/>
    <x v="20"/>
    <x v="16"/>
    <x v="63"/>
    <x v="235"/>
    <n v="0.83333333333333337"/>
    <n v="-25"/>
    <x v="0"/>
    <n v="69.357142857142861"/>
    <x v="26"/>
    <n v="7380"/>
    <n v="1012"/>
    <n v="1.193001060445387E-2"/>
    <s v="Nov-12"/>
    <x v="13"/>
    <n v="2.1866666666666665"/>
  </r>
  <r>
    <x v="5"/>
    <n v="228"/>
    <x v="1"/>
    <x v="1"/>
    <x v="0"/>
    <x v="64"/>
    <x v="0"/>
    <x v="0"/>
    <x v="10"/>
    <x v="181"/>
    <x v="209"/>
    <x v="4"/>
    <n v="210"/>
    <n v="180"/>
    <n v="490"/>
    <n v="108"/>
    <x v="209"/>
    <x v="181"/>
    <x v="194"/>
    <x v="367"/>
    <n v="1.0857142857142856"/>
    <n v="16"/>
    <x v="0"/>
    <n v="178.9111111111111"/>
    <x v="429"/>
    <n v="104272"/>
    <n v="8100"/>
    <n v="4.9122807017543861E-3"/>
    <s v="Nov-12"/>
    <x v="22"/>
    <n v="2.3333333333333335"/>
  </r>
  <r>
    <x v="5"/>
    <n v="113"/>
    <x v="1"/>
    <x v="1"/>
    <x v="0"/>
    <x v="62"/>
    <x v="0"/>
    <x v="0"/>
    <x v="0"/>
    <x v="120"/>
    <x v="206"/>
    <x v="4"/>
    <n v="100"/>
    <n v="100"/>
    <n v="250"/>
    <n v="58"/>
    <x v="206"/>
    <x v="120"/>
    <x v="198"/>
    <x v="371"/>
    <n v="1.1299999999999999"/>
    <n v="7"/>
    <x v="0"/>
    <n v="98.93"/>
    <x v="434"/>
    <n v="29746"/>
    <n v="2088"/>
    <n v="1.069144684252598E-2"/>
    <s v="Nov-12"/>
    <x v="16"/>
    <n v="2.4601769911504423"/>
  </r>
  <r>
    <x v="5"/>
    <n v="211"/>
    <x v="1"/>
    <x v="1"/>
    <x v="0"/>
    <x v="53"/>
    <x v="0"/>
    <x v="1"/>
    <x v="2"/>
    <x v="113"/>
    <x v="207"/>
    <x v="4"/>
    <n v="170"/>
    <n v="110"/>
    <n v="350"/>
    <n v="83"/>
    <x v="207"/>
    <x v="113"/>
    <x v="157"/>
    <x v="364"/>
    <n v="1.2411764705882353"/>
    <n v="19"/>
    <x v="0"/>
    <n v="108.82727272727273"/>
    <x v="426"/>
    <n v="54567"/>
    <n v="4897"/>
    <n v="5.1688904916456302E-3"/>
    <s v="Nov-12"/>
    <x v="27"/>
    <n v="2.0047393364928912"/>
  </r>
  <r>
    <x v="66"/>
    <n v="245"/>
    <x v="1"/>
    <x v="1"/>
    <x v="0"/>
    <x v="54"/>
    <x v="0"/>
    <x v="1"/>
    <x v="11"/>
    <x v="182"/>
    <x v="210"/>
    <x v="4"/>
    <n v="200"/>
    <n v="130"/>
    <n v="450"/>
    <n v="127"/>
    <x v="210"/>
    <x v="182"/>
    <x v="158"/>
    <x v="372"/>
    <n v="1.2250000000000001"/>
    <n v="43"/>
    <x v="0"/>
    <n v="128.66923076923078"/>
    <x v="435"/>
    <n v="94285"/>
    <n v="11811"/>
    <n v="3.4132386307586071E-3"/>
    <s v="Nov-12"/>
    <x v="33"/>
    <n v="2.2244897959183674"/>
  </r>
  <r>
    <x v="43"/>
    <n v="86"/>
    <x v="2"/>
    <x v="0"/>
    <x v="0"/>
    <x v="23"/>
    <x v="1"/>
    <x v="3"/>
    <x v="5"/>
    <x v="97"/>
    <x v="145"/>
    <x v="0"/>
    <n v="80"/>
    <n v="90"/>
    <n v="200"/>
    <n v="36"/>
    <x v="145"/>
    <x v="97"/>
    <x v="43"/>
    <x v="243"/>
    <n v="1.075"/>
    <n v="-2"/>
    <x v="0"/>
    <n v="89.022222222222226"/>
    <x v="436"/>
    <n v="18480"/>
    <n v="864"/>
    <n v="1.7460317460317461E-2"/>
    <s v="Dec-12"/>
    <x v="8"/>
    <n v="2.441860465116279"/>
  </r>
  <r>
    <x v="89"/>
    <n v="127"/>
    <x v="2"/>
    <x v="0"/>
    <x v="0"/>
    <x v="19"/>
    <x v="1"/>
    <x v="3"/>
    <x v="5"/>
    <x v="126"/>
    <x v="211"/>
    <x v="16"/>
    <n v="120"/>
    <n v="130"/>
    <n v="300"/>
    <n v="63"/>
    <x v="211"/>
    <x v="126"/>
    <x v="199"/>
    <x v="373"/>
    <n v="1.0583333333333333"/>
    <n v="-8"/>
    <x v="0"/>
    <n v="129.06153846153848"/>
    <x v="437"/>
    <n v="38064"/>
    <n v="2520"/>
    <n v="9.7756410256410256E-3"/>
    <s v="Dec-12"/>
    <x v="30"/>
    <n v="2.4566929133858268"/>
  </r>
  <r>
    <x v="1"/>
    <n v="67"/>
    <x v="2"/>
    <x v="0"/>
    <x v="0"/>
    <x v="34"/>
    <x v="1"/>
    <x v="2"/>
    <x v="4"/>
    <x v="17"/>
    <x v="107"/>
    <x v="0"/>
    <n v="80"/>
    <n v="80"/>
    <n v="210"/>
    <n v="54"/>
    <x v="107"/>
    <x v="17"/>
    <x v="72"/>
    <x v="199"/>
    <n v="0.83750000000000002"/>
    <n v="-33"/>
    <x v="0"/>
    <n v="79.412499999999994"/>
    <x v="227"/>
    <n v="7896"/>
    <n v="1188"/>
    <n v="1.2716450216450216E-2"/>
    <s v="Dec-12"/>
    <x v="13"/>
    <n v="2.5074626865671643"/>
  </r>
  <r>
    <x v="89"/>
    <n v="250"/>
    <x v="2"/>
    <x v="0"/>
    <x v="0"/>
    <x v="57"/>
    <x v="1"/>
    <x v="2"/>
    <x v="4"/>
    <x v="183"/>
    <x v="212"/>
    <x v="16"/>
    <n v="320"/>
    <n v="240"/>
    <n v="640"/>
    <n v="94"/>
    <x v="212"/>
    <x v="183"/>
    <x v="200"/>
    <x v="374"/>
    <n v="0.78125"/>
    <n v="-83"/>
    <x v="0"/>
    <n v="239.34583333333333"/>
    <x v="438"/>
    <n v="78657"/>
    <n v="6580"/>
    <n v="4.476760764185914E-3"/>
    <s v="Dec-12"/>
    <x v="41"/>
    <n v="2.004"/>
  </r>
  <r>
    <x v="23"/>
    <n v="123"/>
    <x v="2"/>
    <x v="0"/>
    <x v="0"/>
    <x v="38"/>
    <x v="1"/>
    <x v="3"/>
    <x v="6"/>
    <x v="136"/>
    <x v="125"/>
    <x v="0"/>
    <n v="120"/>
    <n v="130"/>
    <n v="290"/>
    <n v="45"/>
    <x v="125"/>
    <x v="136"/>
    <x v="153"/>
    <x v="301"/>
    <n v="1.0249999999999999"/>
    <n v="4"/>
    <x v="0"/>
    <n v="128.96923076923076"/>
    <x v="359"/>
    <n v="40468"/>
    <n v="1530"/>
    <n v="1.3050253213868329E-2"/>
    <s v="Dec-12"/>
    <x v="17"/>
    <n v="2.4552845528455283"/>
  </r>
  <r>
    <x v="24"/>
    <n v="224"/>
    <x v="2"/>
    <x v="0"/>
    <x v="0"/>
    <x v="65"/>
    <x v="1"/>
    <x v="3"/>
    <x v="7"/>
    <x v="184"/>
    <x v="213"/>
    <x v="16"/>
    <n v="220"/>
    <n v="190"/>
    <n v="520"/>
    <n v="116"/>
    <x v="213"/>
    <x v="184"/>
    <x v="201"/>
    <x v="375"/>
    <n v="1.0181818181818181"/>
    <n v="4"/>
    <x v="0"/>
    <n v="188.97894736842105"/>
    <x v="439"/>
    <n v="103596"/>
    <n v="8468"/>
    <n v="4.9766558924631884E-3"/>
    <s v="Dec-12"/>
    <x v="25"/>
    <n v="2.3839285714285716"/>
  </r>
  <r>
    <x v="1"/>
    <n v="54"/>
    <x v="2"/>
    <x v="0"/>
    <x v="0"/>
    <x v="6"/>
    <x v="1"/>
    <x v="2"/>
    <x v="8"/>
    <x v="36"/>
    <x v="33"/>
    <x v="0"/>
    <n v="60"/>
    <n v="90"/>
    <n v="170"/>
    <n v="26"/>
    <x v="33"/>
    <x v="36"/>
    <x v="46"/>
    <x v="47"/>
    <n v="0.9"/>
    <n v="-37"/>
    <x v="0"/>
    <n v="89.411111111111111"/>
    <x v="52"/>
    <n v="7049"/>
    <n v="390"/>
    <n v="2.6566416040100248E-2"/>
    <s v="Dec-12"/>
    <x v="6"/>
    <n v="2.4629629629629628"/>
  </r>
  <r>
    <x v="117"/>
    <n v="247"/>
    <x v="2"/>
    <x v="0"/>
    <x v="0"/>
    <x v="66"/>
    <x v="1"/>
    <x v="2"/>
    <x v="8"/>
    <x v="185"/>
    <x v="171"/>
    <x v="16"/>
    <n v="310"/>
    <n v="320"/>
    <n v="730"/>
    <n v="113"/>
    <x v="171"/>
    <x v="185"/>
    <x v="202"/>
    <x v="126"/>
    <n v="0.79677419354838708"/>
    <n v="-104"/>
    <x v="0"/>
    <n v="319.32499999999999"/>
    <x v="440"/>
    <n v="124416"/>
    <n v="9153"/>
    <n v="4.6296296296296294E-3"/>
    <s v="Dec-12"/>
    <x v="35"/>
    <n v="2.331983805668016"/>
  </r>
  <r>
    <x v="113"/>
    <n v="153"/>
    <x v="2"/>
    <x v="0"/>
    <x v="0"/>
    <x v="22"/>
    <x v="1"/>
    <x v="2"/>
    <x v="8"/>
    <x v="100"/>
    <x v="176"/>
    <x v="18"/>
    <n v="190"/>
    <n v="140"/>
    <n v="390"/>
    <n v="66"/>
    <x v="176"/>
    <x v="100"/>
    <x v="163"/>
    <x v="130"/>
    <n v="0.80526315789473679"/>
    <n v="-53"/>
    <x v="0"/>
    <n v="139.37857142857143"/>
    <x v="377"/>
    <n v="26622"/>
    <n v="2771.9999999999995"/>
    <n v="6.7693744164332402E-3"/>
    <s v="Dec-12"/>
    <x v="34"/>
    <n v="2"/>
  </r>
  <r>
    <x v="0"/>
    <n v="153"/>
    <x v="2"/>
    <x v="0"/>
    <x v="0"/>
    <x v="22"/>
    <x v="0"/>
    <x v="0"/>
    <x v="10"/>
    <x v="100"/>
    <x v="176"/>
    <x v="0"/>
    <n v="140"/>
    <n v="80"/>
    <n v="280"/>
    <n v="66"/>
    <x v="176"/>
    <x v="100"/>
    <x v="163"/>
    <x v="130"/>
    <n v="1.0928571428571427"/>
    <n v="7"/>
    <x v="0"/>
    <n v="78.912499999999994"/>
    <x v="377"/>
    <n v="26622"/>
    <n v="2771.9999999999995"/>
    <n v="6.7693744164332402E-3"/>
    <s v="Dec-12"/>
    <x v="21"/>
    <n v="2"/>
  </r>
  <r>
    <x v="103"/>
    <n v="123"/>
    <x v="2"/>
    <x v="0"/>
    <x v="0"/>
    <x v="38"/>
    <x v="0"/>
    <x v="0"/>
    <x v="10"/>
    <x v="99"/>
    <x v="125"/>
    <x v="16"/>
    <n v="110"/>
    <n v="130"/>
    <n v="280"/>
    <n v="46"/>
    <x v="125"/>
    <x v="99"/>
    <x v="126"/>
    <x v="250"/>
    <n v="1.1181818181818182"/>
    <n v="3"/>
    <x v="0"/>
    <n v="128.97692307692307"/>
    <x v="302"/>
    <n v="40166"/>
    <n v="1564"/>
    <n v="1.2952863264511102E-2"/>
    <s v="Dec-12"/>
    <x v="16"/>
    <n v="2.4552845528455283"/>
  </r>
  <r>
    <x v="89"/>
    <n v="86"/>
    <x v="2"/>
    <x v="0"/>
    <x v="0"/>
    <x v="23"/>
    <x v="0"/>
    <x v="0"/>
    <x v="1"/>
    <x v="97"/>
    <x v="145"/>
    <x v="16"/>
    <n v="80"/>
    <n v="80"/>
    <n v="190"/>
    <n v="36"/>
    <x v="145"/>
    <x v="97"/>
    <x v="43"/>
    <x v="243"/>
    <n v="1.075"/>
    <n v="8"/>
    <x v="0"/>
    <n v="78.900000000000006"/>
    <x v="436"/>
    <n v="18480"/>
    <n v="864"/>
    <n v="1.7460317460317461E-2"/>
    <s v="Dec-12"/>
    <x v="8"/>
    <n v="2.441860465116279"/>
  </r>
  <r>
    <x v="101"/>
    <n v="88"/>
    <x v="2"/>
    <x v="0"/>
    <x v="0"/>
    <x v="39"/>
    <x v="0"/>
    <x v="1"/>
    <x v="2"/>
    <x v="106"/>
    <x v="136"/>
    <x v="18"/>
    <n v="70"/>
    <n v="70"/>
    <n v="180"/>
    <n v="61"/>
    <x v="136"/>
    <x v="106"/>
    <x v="127"/>
    <x v="262"/>
    <n v="1.2571428571428571"/>
    <n v="2"/>
    <x v="0"/>
    <n v="68.971428571428575"/>
    <x v="315"/>
    <n v="15912"/>
    <n v="1769"/>
    <n v="1.1234201903573101E-2"/>
    <s v="Dec-12"/>
    <x v="8"/>
    <n v="2.5113636363636362"/>
  </r>
  <r>
    <x v="113"/>
    <n v="134"/>
    <x v="2"/>
    <x v="0"/>
    <x v="0"/>
    <x v="11"/>
    <x v="0"/>
    <x v="1"/>
    <x v="11"/>
    <x v="109"/>
    <x v="137"/>
    <x v="18"/>
    <n v="110"/>
    <n v="90"/>
    <n v="260"/>
    <n v="65"/>
    <x v="137"/>
    <x v="109"/>
    <x v="133"/>
    <x v="266"/>
    <n v="1.2181818181818183"/>
    <n v="31"/>
    <x v="0"/>
    <n v="88.655555555555551"/>
    <x v="319"/>
    <n v="38720"/>
    <n v="2665"/>
    <n v="9.2225609756097556E-3"/>
    <s v="Dec-12"/>
    <x v="30"/>
    <n v="2.3880597014925371"/>
  </r>
  <r>
    <x v="23"/>
    <n v="81"/>
    <x v="2"/>
    <x v="0"/>
    <x v="0"/>
    <x v="32"/>
    <x v="0"/>
    <x v="1"/>
    <x v="3"/>
    <x v="107"/>
    <x v="86"/>
    <x v="0"/>
    <n v="60"/>
    <n v="60"/>
    <n v="150"/>
    <n v="38"/>
    <x v="86"/>
    <x v="107"/>
    <x v="63"/>
    <x v="264"/>
    <n v="1.35"/>
    <n v="6"/>
    <x v="0"/>
    <n v="58.9"/>
    <x v="317"/>
    <n v="12210"/>
    <n v="988"/>
    <n v="1.372141372141372E-2"/>
    <s v="Dec-12"/>
    <x v="9"/>
    <n v="2.2839506172839505"/>
  </r>
  <r>
    <x v="66"/>
    <n v="10"/>
    <x v="2"/>
    <x v="1"/>
    <x v="0"/>
    <x v="61"/>
    <x v="1"/>
    <x v="3"/>
    <x v="5"/>
    <x v="186"/>
    <x v="214"/>
    <x v="4"/>
    <n v="0"/>
    <n v="10"/>
    <n v="20"/>
    <n v="15"/>
    <x v="214"/>
    <x v="186"/>
    <x v="189"/>
    <x v="128"/>
    <e v="#DIV/0!"/>
    <n v="-11"/>
    <x v="0"/>
    <n v="10.1"/>
    <x v="441"/>
    <n v="-24"/>
    <n v="45"/>
    <n v="-1.3888888888888888E-2"/>
    <s v="Dec-12"/>
    <x v="12"/>
    <n v="2.4"/>
  </r>
  <r>
    <x v="65"/>
    <n v="83"/>
    <x v="2"/>
    <x v="1"/>
    <x v="0"/>
    <x v="15"/>
    <x v="1"/>
    <x v="3"/>
    <x v="5"/>
    <x v="67"/>
    <x v="173"/>
    <x v="13"/>
    <n v="80"/>
    <n v="70"/>
    <n v="190"/>
    <n v="55"/>
    <x v="173"/>
    <x v="67"/>
    <x v="203"/>
    <x v="376"/>
    <n v="1.0375000000000001"/>
    <n v="-13"/>
    <x v="0"/>
    <n v="69.185714285714283"/>
    <x v="442"/>
    <n v="11115"/>
    <n v="1485"/>
    <n v="1.0826210826210826E-2"/>
    <s v="Dec-12"/>
    <x v="11"/>
    <n v="2.3493975903614457"/>
  </r>
  <r>
    <x v="13"/>
    <n v="68"/>
    <x v="2"/>
    <x v="1"/>
    <x v="0"/>
    <x v="26"/>
    <x v="1"/>
    <x v="3"/>
    <x v="7"/>
    <x v="1"/>
    <x v="43"/>
    <x v="12"/>
    <n v="60"/>
    <n v="40"/>
    <n v="150"/>
    <n v="59"/>
    <x v="43"/>
    <x v="1"/>
    <x v="0"/>
    <x v="238"/>
    <n v="1.1333333333333333"/>
    <n v="-14"/>
    <x v="0"/>
    <n v="39.35"/>
    <x v="290"/>
    <n v="3978"/>
    <n v="1475"/>
    <n v="6.7973856209150333E-3"/>
    <s v="Dec-12"/>
    <x v="8"/>
    <n v="2.25"/>
  </r>
  <r>
    <x v="65"/>
    <n v="105"/>
    <x v="2"/>
    <x v="1"/>
    <x v="0"/>
    <x v="44"/>
    <x v="1"/>
    <x v="3"/>
    <x v="7"/>
    <x v="30"/>
    <x v="139"/>
    <x v="13"/>
    <n v="100"/>
    <n v="30"/>
    <n v="240"/>
    <n v="125"/>
    <x v="139"/>
    <x v="30"/>
    <x v="134"/>
    <x v="268"/>
    <n v="1.05"/>
    <n v="-10"/>
    <x v="0"/>
    <n v="29.333333333333332"/>
    <x v="322"/>
    <n v="5000"/>
    <n v="11875"/>
    <n v="8.4210526315789467E-4"/>
    <s v="Dec-12"/>
    <x v="32"/>
    <n v="2.3809523809523809"/>
  </r>
  <r>
    <x v="26"/>
    <n v="50"/>
    <x v="2"/>
    <x v="1"/>
    <x v="0"/>
    <x v="10"/>
    <x v="1"/>
    <x v="2"/>
    <x v="8"/>
    <x v="21"/>
    <x v="1"/>
    <x v="12"/>
    <n v="60"/>
    <n v="70"/>
    <n v="150"/>
    <n v="25"/>
    <x v="1"/>
    <x v="21"/>
    <x v="21"/>
    <x v="23"/>
    <n v="0.83333333333333337"/>
    <n v="-22"/>
    <x v="0"/>
    <n v="69.314285714285717"/>
    <x v="23"/>
    <n v="5904"/>
    <n v="350"/>
    <n v="2.7874564459930314E-2"/>
    <s v="Dec-12"/>
    <x v="6"/>
    <n v="2.46"/>
  </r>
  <r>
    <x v="65"/>
    <n v="80"/>
    <x v="2"/>
    <x v="1"/>
    <x v="0"/>
    <x v="23"/>
    <x v="1"/>
    <x v="2"/>
    <x v="8"/>
    <x v="35"/>
    <x v="37"/>
    <x v="13"/>
    <n v="100"/>
    <n v="80"/>
    <n v="220"/>
    <n v="46"/>
    <x v="37"/>
    <x v="35"/>
    <x v="4"/>
    <x v="44"/>
    <n v="0.8"/>
    <n v="-30"/>
    <x v="0"/>
    <n v="79.375"/>
    <x v="49"/>
    <n v="8800"/>
    <n v="1104"/>
    <n v="1.1837121212121214E-2"/>
    <s v="Dec-12"/>
    <x v="14"/>
    <n v="2.2000000000000002"/>
  </r>
  <r>
    <x v="77"/>
    <n v="247"/>
    <x v="2"/>
    <x v="1"/>
    <x v="0"/>
    <x v="66"/>
    <x v="0"/>
    <x v="0"/>
    <x v="10"/>
    <x v="185"/>
    <x v="171"/>
    <x v="4"/>
    <n v="230"/>
    <n v="200"/>
    <n v="530"/>
    <n v="113"/>
    <x v="171"/>
    <x v="185"/>
    <x v="202"/>
    <x v="126"/>
    <n v="1.0739130434782609"/>
    <n v="16"/>
    <x v="0"/>
    <n v="198.92"/>
    <x v="440"/>
    <n v="124416"/>
    <n v="9153"/>
    <n v="4.6296296296296294E-3"/>
    <s v="Dec-12"/>
    <x v="25"/>
    <n v="2.331983805668016"/>
  </r>
  <r>
    <x v="66"/>
    <n v="127"/>
    <x v="2"/>
    <x v="1"/>
    <x v="0"/>
    <x v="19"/>
    <x v="0"/>
    <x v="0"/>
    <x v="0"/>
    <x v="187"/>
    <x v="211"/>
    <x v="4"/>
    <n v="120"/>
    <n v="120"/>
    <n v="290"/>
    <n v="62"/>
    <x v="211"/>
    <x v="187"/>
    <x v="204"/>
    <x v="377"/>
    <n v="1.0583333333333333"/>
    <n v="3"/>
    <x v="0"/>
    <n v="118.97499999999999"/>
    <x v="443"/>
    <n v="38376"/>
    <n v="2480"/>
    <n v="9.8557692307692322E-3"/>
    <s v="Dec-12"/>
    <x v="30"/>
    <n v="2.4566929133858268"/>
  </r>
  <r>
    <x v="77"/>
    <n v="250"/>
    <x v="2"/>
    <x v="1"/>
    <x v="0"/>
    <x v="57"/>
    <x v="0"/>
    <x v="1"/>
    <x v="2"/>
    <x v="129"/>
    <x v="212"/>
    <x v="4"/>
    <n v="210"/>
    <n v="120"/>
    <n v="410"/>
    <n v="95"/>
    <x v="212"/>
    <x v="129"/>
    <x v="164"/>
    <x v="378"/>
    <n v="1.1904761904761905"/>
    <n v="36"/>
    <x v="0"/>
    <n v="118.7"/>
    <x v="444"/>
    <n v="78156"/>
    <n v="6650"/>
    <n v="4.4482463644140297E-3"/>
    <s v="Dec-12"/>
    <x v="40"/>
    <n v="2.004"/>
  </r>
  <r>
    <x v="77"/>
    <n v="294"/>
    <x v="2"/>
    <x v="1"/>
    <x v="0"/>
    <x v="58"/>
    <x v="0"/>
    <x v="1"/>
    <x v="11"/>
    <x v="185"/>
    <x v="215"/>
    <x v="4"/>
    <n v="240"/>
    <n v="170"/>
    <n v="540"/>
    <n v="144"/>
    <x v="215"/>
    <x v="185"/>
    <x v="165"/>
    <x v="379"/>
    <n v="1.2250000000000001"/>
    <n v="46"/>
    <x v="0"/>
    <n v="168.72941176470587"/>
    <x v="445"/>
    <n v="141264"/>
    <n v="15984"/>
    <n v="2.9754525167369206E-3"/>
    <s v="Dec-12"/>
    <x v="31"/>
    <n v="2.2244897959183674"/>
  </r>
  <r>
    <x v="13"/>
    <n v="20"/>
    <x v="2"/>
    <x v="1"/>
    <x v="0"/>
    <x v="7"/>
    <x v="0"/>
    <x v="1"/>
    <x v="11"/>
    <x v="86"/>
    <x v="117"/>
    <x v="12"/>
    <n v="10"/>
    <n v="-10"/>
    <n v="30"/>
    <n v="41"/>
    <x v="117"/>
    <x v="86"/>
    <x v="8"/>
    <x v="223"/>
    <n v="2"/>
    <n v="-6"/>
    <x v="0"/>
    <n v="-11.6"/>
    <x v="266"/>
    <n v="-720"/>
    <n v="287"/>
    <n v="-5.0793650793650794E-2"/>
    <s v="Dec-12"/>
    <x v="1"/>
    <n v="2.25"/>
  </r>
  <r>
    <x v="23"/>
    <n v="108"/>
    <x v="3"/>
    <x v="0"/>
    <x v="0"/>
    <x v="30"/>
    <x v="1"/>
    <x v="3"/>
    <x v="5"/>
    <x v="188"/>
    <x v="185"/>
    <x v="0"/>
    <n v="100"/>
    <n v="150"/>
    <n v="260"/>
    <n v="41"/>
    <x v="185"/>
    <x v="188"/>
    <x v="60"/>
    <x v="380"/>
    <n v="1.08"/>
    <n v="22"/>
    <x v="0"/>
    <n v="148.85333333333332"/>
    <x v="446"/>
    <n v="48504"/>
    <n v="1230"/>
    <n v="2.0330969267139481E-2"/>
    <s v="Oct-13"/>
    <x v="8"/>
    <n v="2.6111111111111112"/>
  </r>
  <r>
    <x v="117"/>
    <n v="122"/>
    <x v="3"/>
    <x v="0"/>
    <x v="0"/>
    <x v="59"/>
    <x v="1"/>
    <x v="3"/>
    <x v="5"/>
    <x v="127"/>
    <x v="216"/>
    <x v="16"/>
    <n v="110"/>
    <n v="160"/>
    <n v="300"/>
    <n v="61"/>
    <x v="216"/>
    <x v="127"/>
    <x v="77"/>
    <x v="381"/>
    <n v="1.1090909090909091"/>
    <n v="11"/>
    <x v="0"/>
    <n v="158.93125000000001"/>
    <x v="447"/>
    <n v="54378"/>
    <n v="2379"/>
    <n v="1.3788098693759073E-2"/>
    <s v="Oct-13"/>
    <x v="14"/>
    <n v="2.6065573770491803"/>
  </r>
  <r>
    <x v="1"/>
    <n v="72"/>
    <x v="3"/>
    <x v="0"/>
    <x v="0"/>
    <x v="4"/>
    <x v="1"/>
    <x v="2"/>
    <x v="4"/>
    <x v="42"/>
    <x v="47"/>
    <x v="0"/>
    <n v="100"/>
    <n v="130"/>
    <n v="260"/>
    <n v="54"/>
    <x v="47"/>
    <x v="42"/>
    <x v="54"/>
    <x v="64"/>
    <n v="0.72"/>
    <n v="-47"/>
    <x v="0"/>
    <n v="129.36153846153846"/>
    <x v="68"/>
    <n v="16102"/>
    <n v="1242"/>
    <n v="1.8601523980277902E-2"/>
    <s v="Oct-13"/>
    <x v="13"/>
    <n v="2.6944444444444446"/>
  </r>
  <r>
    <x v="68"/>
    <n v="239"/>
    <x v="3"/>
    <x v="0"/>
    <x v="0"/>
    <x v="49"/>
    <x v="1"/>
    <x v="2"/>
    <x v="4"/>
    <x v="189"/>
    <x v="217"/>
    <x v="16"/>
    <n v="340"/>
    <n v="300"/>
    <n v="710"/>
    <n v="90"/>
    <x v="217"/>
    <x v="189"/>
    <x v="205"/>
    <x v="382"/>
    <n v="0.70294117647058818"/>
    <n v="-79"/>
    <x v="0"/>
    <n v="299.26333333333332"/>
    <x v="448"/>
    <n v="112489"/>
    <n v="5940"/>
    <n v="6.578555694469251E-3"/>
    <s v="Oct-13"/>
    <x v="35"/>
    <n v="2.1297071129707112"/>
  </r>
  <r>
    <x v="83"/>
    <n v="54"/>
    <x v="3"/>
    <x v="0"/>
    <x v="0"/>
    <x v="14"/>
    <x v="1"/>
    <x v="2"/>
    <x v="4"/>
    <x v="47"/>
    <x v="51"/>
    <x v="18"/>
    <n v="70"/>
    <n v="70"/>
    <n v="170"/>
    <n v="54"/>
    <x v="51"/>
    <x v="47"/>
    <x v="60"/>
    <x v="73"/>
    <n v="0.77142857142857146"/>
    <n v="-52"/>
    <x v="0"/>
    <n v="69.742857142857147"/>
    <x v="78"/>
    <n v="2304"/>
    <n v="1080"/>
    <n v="7.0312500000000002E-3"/>
    <s v="Oct-13"/>
    <x v="10"/>
    <n v="2.3703703703703702"/>
  </r>
  <r>
    <x v="23"/>
    <n v="123"/>
    <x v="3"/>
    <x v="0"/>
    <x v="0"/>
    <x v="38"/>
    <x v="1"/>
    <x v="3"/>
    <x v="6"/>
    <x v="111"/>
    <x v="141"/>
    <x v="0"/>
    <n v="120"/>
    <n v="160"/>
    <n v="300"/>
    <n v="46"/>
    <x v="141"/>
    <x v="111"/>
    <x v="61"/>
    <x v="270"/>
    <n v="1.0249999999999999"/>
    <n v="37"/>
    <x v="0"/>
    <n v="158.76875000000001"/>
    <x v="324"/>
    <n v="63434"/>
    <n v="1564"/>
    <n v="1.7994154183412495E-2"/>
    <s v="Oct-13"/>
    <x v="14"/>
    <n v="2.6178861788617884"/>
  </r>
  <r>
    <x v="117"/>
    <n v="154"/>
    <x v="3"/>
    <x v="0"/>
    <x v="0"/>
    <x v="52"/>
    <x v="1"/>
    <x v="3"/>
    <x v="7"/>
    <x v="190"/>
    <x v="218"/>
    <x v="16"/>
    <n v="150"/>
    <n v="160"/>
    <n v="370"/>
    <n v="93"/>
    <x v="218"/>
    <x v="190"/>
    <x v="128"/>
    <x v="383"/>
    <n v="1.0266666666666666"/>
    <n v="18"/>
    <x v="0"/>
    <n v="158.88749999999999"/>
    <x v="449"/>
    <n v="69598"/>
    <n v="4650"/>
    <n v="9.1048593350383632E-3"/>
    <s v="Oct-13"/>
    <x v="32"/>
    <n v="2.5389610389610389"/>
  </r>
  <r>
    <x v="1"/>
    <n v="76"/>
    <x v="3"/>
    <x v="0"/>
    <x v="0"/>
    <x v="28"/>
    <x v="1"/>
    <x v="2"/>
    <x v="8"/>
    <x v="73"/>
    <x v="87"/>
    <x v="0"/>
    <n v="100"/>
    <n v="170"/>
    <n v="280"/>
    <n v="32"/>
    <x v="87"/>
    <x v="73"/>
    <x v="90"/>
    <x v="141"/>
    <n v="0.76"/>
    <n v="-53"/>
    <x v="0"/>
    <n v="169.31176470588235"/>
    <x v="158"/>
    <n v="23283"/>
    <n v="672"/>
    <n v="2.7997128499641061E-2"/>
    <s v="Oct-13"/>
    <x v="8"/>
    <n v="2.6184210526315788"/>
  </r>
  <r>
    <x v="82"/>
    <n v="257"/>
    <x v="3"/>
    <x v="0"/>
    <x v="0"/>
    <x v="60"/>
    <x v="1"/>
    <x v="2"/>
    <x v="8"/>
    <x v="191"/>
    <x v="219"/>
    <x v="16"/>
    <n v="370"/>
    <n v="420"/>
    <n v="890"/>
    <n v="117"/>
    <x v="219"/>
    <x v="191"/>
    <x v="206"/>
    <x v="384"/>
    <n v="0.69459459459459461"/>
    <n v="-88"/>
    <x v="0"/>
    <n v="419.20952380952383"/>
    <x v="450"/>
    <n v="211484"/>
    <n v="9828"/>
    <n v="6.2046796740674297E-3"/>
    <s v="Oct-13"/>
    <x v="36"/>
    <n v="2.4785992217898833"/>
  </r>
  <r>
    <x v="101"/>
    <n v="161"/>
    <x v="3"/>
    <x v="0"/>
    <x v="0"/>
    <x v="48"/>
    <x v="1"/>
    <x v="2"/>
    <x v="8"/>
    <x v="154"/>
    <x v="182"/>
    <x v="18"/>
    <n v="230"/>
    <n v="190"/>
    <n v="470"/>
    <n v="69"/>
    <x v="182"/>
    <x v="154"/>
    <x v="170"/>
    <x v="327"/>
    <n v="0.7"/>
    <n v="-53"/>
    <x v="0"/>
    <n v="189.27894736842106"/>
    <x v="386"/>
    <n v="46991"/>
    <n v="3105"/>
    <n v="8.875931324910916E-3"/>
    <s v="Oct-13"/>
    <x v="29"/>
    <n v="2.1304347826086958"/>
  </r>
  <r>
    <x v="43"/>
    <n v="161"/>
    <x v="3"/>
    <x v="0"/>
    <x v="0"/>
    <x v="48"/>
    <x v="0"/>
    <x v="0"/>
    <x v="10"/>
    <x v="154"/>
    <x v="182"/>
    <x v="0"/>
    <n v="120"/>
    <n v="110"/>
    <n v="260"/>
    <n v="69"/>
    <x v="182"/>
    <x v="154"/>
    <x v="170"/>
    <x v="327"/>
    <n v="1.3416666666666666"/>
    <n v="27"/>
    <x v="0"/>
    <n v="108.75454545454545"/>
    <x v="386"/>
    <n v="46991"/>
    <n v="3105"/>
    <n v="8.875931324910916E-3"/>
    <s v="Oct-13"/>
    <x v="16"/>
    <n v="2.1304347826086958"/>
  </r>
  <r>
    <x v="52"/>
    <n v="123"/>
    <x v="3"/>
    <x v="0"/>
    <x v="0"/>
    <x v="38"/>
    <x v="0"/>
    <x v="0"/>
    <x v="10"/>
    <x v="111"/>
    <x v="141"/>
    <x v="16"/>
    <n v="90"/>
    <n v="140"/>
    <n v="240"/>
    <n v="46"/>
    <x v="141"/>
    <x v="111"/>
    <x v="61"/>
    <x v="270"/>
    <n v="1.3666666666666667"/>
    <n v="57"/>
    <x v="0"/>
    <n v="138.59285714285716"/>
    <x v="324"/>
    <n v="63434"/>
    <n v="1564"/>
    <n v="1.7994154183412495E-2"/>
    <s v="Oct-13"/>
    <x v="10"/>
    <n v="2.6178861788617884"/>
  </r>
  <r>
    <x v="117"/>
    <n v="108"/>
    <x v="3"/>
    <x v="0"/>
    <x v="0"/>
    <x v="30"/>
    <x v="0"/>
    <x v="0"/>
    <x v="1"/>
    <x v="188"/>
    <x v="185"/>
    <x v="16"/>
    <n v="80"/>
    <n v="120"/>
    <n v="210"/>
    <n v="41"/>
    <x v="185"/>
    <x v="188"/>
    <x v="60"/>
    <x v="380"/>
    <n v="1.35"/>
    <n v="52"/>
    <x v="0"/>
    <n v="118.56666666666666"/>
    <x v="446"/>
    <n v="48504"/>
    <n v="1230"/>
    <n v="2.0330969267139481E-2"/>
    <s v="Oct-13"/>
    <x v="9"/>
    <n v="2.6111111111111112"/>
  </r>
  <r>
    <x v="83"/>
    <n v="82"/>
    <x v="3"/>
    <x v="0"/>
    <x v="0"/>
    <x v="15"/>
    <x v="0"/>
    <x v="1"/>
    <x v="2"/>
    <x v="96"/>
    <x v="18"/>
    <x v="18"/>
    <n v="50"/>
    <n v="60"/>
    <n v="140"/>
    <n v="58"/>
    <x v="18"/>
    <x v="96"/>
    <x v="43"/>
    <x v="240"/>
    <n v="1.64"/>
    <n v="36"/>
    <x v="0"/>
    <n v="58.4"/>
    <x v="292"/>
    <n v="20928"/>
    <n v="1566"/>
    <n v="1.6309887869520895E-2"/>
    <s v="Oct-13"/>
    <x v="6"/>
    <n v="2.6585365853658538"/>
  </r>
  <r>
    <x v="83"/>
    <n v="91"/>
    <x v="3"/>
    <x v="0"/>
    <x v="0"/>
    <x v="16"/>
    <x v="0"/>
    <x v="1"/>
    <x v="11"/>
    <x v="52"/>
    <x v="54"/>
    <x v="18"/>
    <n v="50"/>
    <n v="80"/>
    <n v="150"/>
    <n v="51"/>
    <x v="54"/>
    <x v="52"/>
    <x v="63"/>
    <x v="79"/>
    <n v="1.82"/>
    <n v="33"/>
    <x v="0"/>
    <n v="78.587500000000006"/>
    <x v="84"/>
    <n v="26216"/>
    <n v="1428"/>
    <n v="1.7395320197044335E-2"/>
    <s v="Oct-13"/>
    <x v="7"/>
    <n v="2.5494505494505493"/>
  </r>
  <r>
    <x v="1"/>
    <n v="90"/>
    <x v="3"/>
    <x v="0"/>
    <x v="0"/>
    <x v="39"/>
    <x v="0"/>
    <x v="1"/>
    <x v="3"/>
    <x v="112"/>
    <x v="18"/>
    <x v="0"/>
    <n v="50"/>
    <n v="80"/>
    <n v="140"/>
    <n v="41"/>
    <x v="18"/>
    <x v="112"/>
    <x v="13"/>
    <x v="271"/>
    <n v="1.8"/>
    <n v="30"/>
    <x v="0"/>
    <n v="78.625"/>
    <x v="234"/>
    <n v="23980"/>
    <n v="1189"/>
    <n v="1.7399557102182852E-2"/>
    <s v="Oct-13"/>
    <x v="0"/>
    <n v="2.4222222222222221"/>
  </r>
  <r>
    <x v="77"/>
    <n v="10"/>
    <x v="3"/>
    <x v="1"/>
    <x v="0"/>
    <x v="61"/>
    <x v="1"/>
    <x v="3"/>
    <x v="5"/>
    <x v="37"/>
    <x v="220"/>
    <x v="4"/>
    <n v="0"/>
    <n v="10"/>
    <n v="10"/>
    <n v="15"/>
    <x v="220"/>
    <x v="37"/>
    <x v="207"/>
    <x v="160"/>
    <e v="#DIV/0!"/>
    <n v="-13"/>
    <x v="0"/>
    <n v="10.3"/>
    <x v="451"/>
    <n v="-75"/>
    <n v="45"/>
    <n v="-0.04"/>
    <s v="Oct-13"/>
    <x v="4"/>
    <n v="2.5"/>
  </r>
  <r>
    <x v="41"/>
    <n v="86"/>
    <x v="3"/>
    <x v="1"/>
    <x v="0"/>
    <x v="16"/>
    <x v="1"/>
    <x v="3"/>
    <x v="5"/>
    <x v="192"/>
    <x v="179"/>
    <x v="13"/>
    <n v="80"/>
    <n v="100"/>
    <n v="200"/>
    <n v="55"/>
    <x v="179"/>
    <x v="192"/>
    <x v="124"/>
    <x v="170"/>
    <n v="1.075"/>
    <n v="-9"/>
    <x v="0"/>
    <n v="99.09"/>
    <x v="452"/>
    <n v="19565"/>
    <n v="1540"/>
    <n v="1.5116279069767442E-2"/>
    <s v="Oct-13"/>
    <x v="10"/>
    <n v="2.5"/>
  </r>
  <r>
    <x v="13"/>
    <n v="79"/>
    <x v="3"/>
    <x v="1"/>
    <x v="0"/>
    <x v="30"/>
    <x v="1"/>
    <x v="3"/>
    <x v="7"/>
    <x v="33"/>
    <x v="90"/>
    <x v="12"/>
    <n v="70"/>
    <n v="70"/>
    <n v="170"/>
    <n v="63"/>
    <x v="90"/>
    <x v="33"/>
    <x v="52"/>
    <x v="385"/>
    <n v="1.1285714285714286"/>
    <n v="-18"/>
    <x v="0"/>
    <n v="69.257142857142853"/>
    <x v="453"/>
    <n v="9828"/>
    <n v="1890"/>
    <n v="9.1710758377425046E-3"/>
    <s v="Oct-13"/>
    <x v="10"/>
    <n v="2.3924050632911391"/>
  </r>
  <r>
    <x v="112"/>
    <n v="96"/>
    <x v="3"/>
    <x v="1"/>
    <x v="0"/>
    <x v="41"/>
    <x v="1"/>
    <x v="3"/>
    <x v="7"/>
    <x v="22"/>
    <x v="132"/>
    <x v="13"/>
    <n v="90"/>
    <n v="60"/>
    <n v="230"/>
    <n v="116"/>
    <x v="132"/>
    <x v="22"/>
    <x v="168"/>
    <x v="325"/>
    <n v="1.0666666666666667"/>
    <n v="-33"/>
    <x v="0"/>
    <n v="59.55"/>
    <x v="371"/>
    <n v="6615"/>
    <n v="10092"/>
    <n v="1.2667135819845179E-3"/>
    <s v="Oct-13"/>
    <x v="30"/>
    <n v="2.5520833333333335"/>
  </r>
  <r>
    <x v="13"/>
    <n v="40"/>
    <x v="3"/>
    <x v="1"/>
    <x v="0"/>
    <x v="9"/>
    <x v="1"/>
    <x v="2"/>
    <x v="8"/>
    <x v="36"/>
    <x v="28"/>
    <x v="12"/>
    <n v="50"/>
    <n v="90"/>
    <n v="140"/>
    <n v="23"/>
    <x v="28"/>
    <x v="36"/>
    <x v="62"/>
    <x v="77"/>
    <n v="0.8"/>
    <n v="-37"/>
    <x v="0"/>
    <n v="89.411111111111111"/>
    <x v="82"/>
    <n v="5618"/>
    <n v="253"/>
    <n v="4.5454545454545456E-2"/>
    <s v="Oct-13"/>
    <x v="2"/>
    <n v="2.65"/>
  </r>
  <r>
    <x v="14"/>
    <n v="80"/>
    <x v="3"/>
    <x v="1"/>
    <x v="0"/>
    <x v="23"/>
    <x v="1"/>
    <x v="2"/>
    <x v="8"/>
    <x v="53"/>
    <x v="86"/>
    <x v="13"/>
    <n v="110"/>
    <n v="120"/>
    <n v="250"/>
    <n v="46"/>
    <x v="86"/>
    <x v="53"/>
    <x v="35"/>
    <x v="139"/>
    <n v="0.72727272727272729"/>
    <n v="-49"/>
    <x v="0"/>
    <n v="119.40833333333333"/>
    <x v="154"/>
    <n v="13135"/>
    <n v="1104"/>
    <n v="1.5990990990990991E-2"/>
    <s v="Oct-13"/>
    <x v="13"/>
    <n v="2.3125"/>
  </r>
  <r>
    <x v="66"/>
    <n v="257"/>
    <x v="3"/>
    <x v="1"/>
    <x v="0"/>
    <x v="60"/>
    <x v="0"/>
    <x v="0"/>
    <x v="10"/>
    <x v="191"/>
    <x v="219"/>
    <x v="4"/>
    <n v="200"/>
    <n v="210"/>
    <n v="480"/>
    <n v="117"/>
    <x v="219"/>
    <x v="191"/>
    <x v="206"/>
    <x v="384"/>
    <n v="1.2849999999999999"/>
    <n v="122"/>
    <x v="0"/>
    <n v="208.41904761904763"/>
    <x v="450"/>
    <n v="211484"/>
    <n v="9828"/>
    <n v="6.2046796740674297E-3"/>
    <s v="Oct-13"/>
    <x v="24"/>
    <n v="2.4785992217898833"/>
  </r>
  <r>
    <x v="74"/>
    <n v="122"/>
    <x v="3"/>
    <x v="1"/>
    <x v="0"/>
    <x v="59"/>
    <x v="0"/>
    <x v="0"/>
    <x v="0"/>
    <x v="193"/>
    <x v="216"/>
    <x v="4"/>
    <n v="90"/>
    <n v="130"/>
    <n v="240"/>
    <n v="62"/>
    <x v="216"/>
    <x v="193"/>
    <x v="127"/>
    <x v="386"/>
    <n v="1.3555555555555556"/>
    <n v="39"/>
    <x v="0"/>
    <n v="128.69999999999999"/>
    <x v="454"/>
    <n v="53742"/>
    <n v="2418"/>
    <n v="1.3626834381551363E-2"/>
    <s v="Oct-13"/>
    <x v="8"/>
    <n v="2.6065573770491803"/>
  </r>
  <r>
    <x v="40"/>
    <n v="86"/>
    <x v="3"/>
    <x v="1"/>
    <x v="0"/>
    <x v="32"/>
    <x v="0"/>
    <x v="0"/>
    <x v="0"/>
    <x v="81"/>
    <x v="52"/>
    <x v="12"/>
    <n v="60"/>
    <n v="10"/>
    <n v="80"/>
    <n v="49"/>
    <x v="52"/>
    <x v="81"/>
    <x v="109"/>
    <x v="175"/>
    <n v="1.4333333333333333"/>
    <n v="-49"/>
    <x v="0"/>
    <n v="13.9"/>
    <x v="202"/>
    <n v="-4524"/>
    <n v="1274"/>
    <n v="-1.2931034482758621E-2"/>
    <s v="Oct-13"/>
    <x v="7"/>
    <n v="1.3488372093023255"/>
  </r>
  <r>
    <x v="74"/>
    <n v="239"/>
    <x v="3"/>
    <x v="1"/>
    <x v="0"/>
    <x v="49"/>
    <x v="0"/>
    <x v="1"/>
    <x v="2"/>
    <x v="189"/>
    <x v="217"/>
    <x v="4"/>
    <n v="170"/>
    <n v="110"/>
    <n v="340"/>
    <n v="90"/>
    <x v="217"/>
    <x v="189"/>
    <x v="205"/>
    <x v="382"/>
    <n v="1.4058823529411764"/>
    <n v="111"/>
    <x v="0"/>
    <n v="107.99090909090908"/>
    <x v="448"/>
    <n v="112489"/>
    <n v="5940"/>
    <n v="6.578555694469251E-3"/>
    <s v="Oct-13"/>
    <x v="28"/>
    <n v="2.1297071129707112"/>
  </r>
  <r>
    <x v="74"/>
    <n v="255"/>
    <x v="3"/>
    <x v="1"/>
    <x v="0"/>
    <x v="50"/>
    <x v="0"/>
    <x v="1"/>
    <x v="11"/>
    <x v="194"/>
    <x v="221"/>
    <x v="4"/>
    <n v="170"/>
    <n v="130"/>
    <n v="400"/>
    <n v="129"/>
    <x v="221"/>
    <x v="194"/>
    <x v="208"/>
    <x v="136"/>
    <n v="1.5"/>
    <n v="142"/>
    <x v="0"/>
    <n v="127.9076923076923"/>
    <x v="455"/>
    <n v="164288"/>
    <n v="12384"/>
    <n v="4.690949227373069E-3"/>
    <s v="Oct-13"/>
    <x v="24"/>
    <n v="2.3686274509803922"/>
  </r>
  <r>
    <x v="13"/>
    <n v="25"/>
    <x v="3"/>
    <x v="1"/>
    <x v="0"/>
    <x v="8"/>
    <x v="0"/>
    <x v="1"/>
    <x v="11"/>
    <x v="86"/>
    <x v="94"/>
    <x v="12"/>
    <n v="10"/>
    <n v="0"/>
    <n v="30"/>
    <n v="42"/>
    <x v="94"/>
    <x v="86"/>
    <x v="82"/>
    <x v="387"/>
    <n v="2.5"/>
    <n v="-16"/>
    <x v="0"/>
    <e v="#DIV/0!"/>
    <x v="456"/>
    <n v="-960"/>
    <n v="378"/>
    <n v="-2.9629629629629627E-2"/>
    <s v="Oct-13"/>
    <x v="3"/>
    <n v="2.4"/>
  </r>
  <r>
    <x v="43"/>
    <n v="81"/>
    <x v="4"/>
    <x v="0"/>
    <x v="0"/>
    <x v="34"/>
    <x v="1"/>
    <x v="3"/>
    <x v="5"/>
    <x v="166"/>
    <x v="192"/>
    <x v="0"/>
    <n v="80"/>
    <n v="80"/>
    <n v="190"/>
    <n v="33"/>
    <x v="192"/>
    <x v="166"/>
    <x v="32"/>
    <x v="341"/>
    <n v="1.0125"/>
    <n v="45"/>
    <x v="0"/>
    <n v="78.4375"/>
    <x v="401"/>
    <n v="26375"/>
    <n v="726"/>
    <n v="2.6928048255062471E-2"/>
    <s v="Nov-13"/>
    <x v="8"/>
    <n v="2.6049382716049383"/>
  </r>
  <r>
    <x v="24"/>
    <n v="113"/>
    <x v="4"/>
    <x v="0"/>
    <x v="0"/>
    <x v="62"/>
    <x v="1"/>
    <x v="3"/>
    <x v="5"/>
    <x v="183"/>
    <x v="222"/>
    <x v="16"/>
    <n v="110"/>
    <n v="110"/>
    <n v="270"/>
    <n v="59"/>
    <x v="222"/>
    <x v="183"/>
    <x v="92"/>
    <x v="388"/>
    <n v="1.0272727272727273"/>
    <n v="47"/>
    <x v="0"/>
    <n v="108.57272727272728"/>
    <x v="457"/>
    <n v="46472"/>
    <n v="2124"/>
    <n v="1.4733483483483483E-2"/>
    <s v="Nov-13"/>
    <x v="17"/>
    <n v="2.6194690265486726"/>
  </r>
  <r>
    <x v="1"/>
    <n v="75"/>
    <x v="4"/>
    <x v="0"/>
    <x v="0"/>
    <x v="23"/>
    <x v="1"/>
    <x v="2"/>
    <x v="4"/>
    <x v="89"/>
    <x v="123"/>
    <x v="0"/>
    <n v="90"/>
    <n v="100"/>
    <n v="240"/>
    <n v="56"/>
    <x v="123"/>
    <x v="89"/>
    <x v="14"/>
    <x v="389"/>
    <n v="0.83333333333333337"/>
    <n v="-14"/>
    <x v="0"/>
    <n v="99.14"/>
    <x v="458"/>
    <n v="17286"/>
    <n v="1344"/>
    <n v="1.7827529021558874E-2"/>
    <s v="Nov-13"/>
    <x v="14"/>
    <n v="2.68"/>
  </r>
  <r>
    <x v="24"/>
    <n v="211"/>
    <x v="4"/>
    <x v="0"/>
    <x v="0"/>
    <x v="53"/>
    <x v="1"/>
    <x v="2"/>
    <x v="4"/>
    <x v="156"/>
    <x v="223"/>
    <x v="16"/>
    <n v="270"/>
    <n v="200"/>
    <n v="540"/>
    <n v="83"/>
    <x v="223"/>
    <x v="156"/>
    <x v="209"/>
    <x v="390"/>
    <n v="0.78148148148148144"/>
    <n v="-9"/>
    <x v="0"/>
    <n v="199.04499999999999"/>
    <x v="459"/>
    <n v="86141"/>
    <n v="4897"/>
    <n v="7.1780224735991573E-3"/>
    <s v="Nov-13"/>
    <x v="37"/>
    <n v="2.1374407582938391"/>
  </r>
  <r>
    <x v="23"/>
    <n v="118"/>
    <x v="4"/>
    <x v="0"/>
    <x v="0"/>
    <x v="40"/>
    <x v="1"/>
    <x v="3"/>
    <x v="6"/>
    <x v="195"/>
    <x v="144"/>
    <x v="0"/>
    <n v="110"/>
    <n v="130"/>
    <n v="280"/>
    <n v="44"/>
    <x v="144"/>
    <x v="195"/>
    <x v="63"/>
    <x v="391"/>
    <n v="1.0727272727272728"/>
    <n v="60"/>
    <x v="0"/>
    <n v="128.53846153846155"/>
    <x v="460"/>
    <n v="58710"/>
    <n v="1452"/>
    <n v="1.8632931254290479E-2"/>
    <s v="Nov-13"/>
    <x v="16"/>
    <n v="2.6186440677966103"/>
  </r>
  <r>
    <x v="117"/>
    <n v="173"/>
    <x v="4"/>
    <x v="0"/>
    <x v="0"/>
    <x v="63"/>
    <x v="1"/>
    <x v="3"/>
    <x v="7"/>
    <x v="196"/>
    <x v="224"/>
    <x v="16"/>
    <n v="170"/>
    <n v="140"/>
    <n v="400"/>
    <n v="100"/>
    <x v="224"/>
    <x v="196"/>
    <x v="210"/>
    <x v="392"/>
    <n v="1.0176470588235293"/>
    <n v="66"/>
    <x v="0"/>
    <n v="138.52857142857144"/>
    <x v="461"/>
    <n v="90434"/>
    <n v="5700"/>
    <n v="8.2324261679255096E-3"/>
    <s v="Nov-13"/>
    <x v="38"/>
    <n v="2.5375722543352599"/>
  </r>
  <r>
    <x v="0"/>
    <n v="50"/>
    <x v="4"/>
    <x v="0"/>
    <x v="0"/>
    <x v="10"/>
    <x v="1"/>
    <x v="2"/>
    <x v="8"/>
    <x v="53"/>
    <x v="41"/>
    <x v="0"/>
    <n v="60"/>
    <n v="70"/>
    <n v="150"/>
    <n v="25"/>
    <x v="41"/>
    <x v="53"/>
    <x v="64"/>
    <x v="80"/>
    <n v="0.83333333333333337"/>
    <n v="1"/>
    <x v="0"/>
    <n v="68.98571428571428"/>
    <x v="86"/>
    <n v="9301"/>
    <n v="350"/>
    <n v="3.8713195201744821E-2"/>
    <s v="Nov-13"/>
    <x v="6"/>
    <n v="2.62"/>
  </r>
  <r>
    <x v="89"/>
    <n v="228"/>
    <x v="4"/>
    <x v="0"/>
    <x v="0"/>
    <x v="64"/>
    <x v="1"/>
    <x v="2"/>
    <x v="8"/>
    <x v="197"/>
    <x v="205"/>
    <x v="16"/>
    <n v="290"/>
    <n v="290"/>
    <n v="680"/>
    <n v="108"/>
    <x v="205"/>
    <x v="197"/>
    <x v="211"/>
    <x v="393"/>
    <n v="0.78620689655172415"/>
    <n v="1"/>
    <x v="0"/>
    <n v="288.99655172413793"/>
    <x v="462"/>
    <n v="164997"/>
    <n v="8100"/>
    <n v="6.8430335097001763E-3"/>
    <s v="Nov-13"/>
    <x v="39"/>
    <n v="2.486842105263158"/>
  </r>
  <r>
    <x v="104"/>
    <n v="181"/>
    <x v="4"/>
    <x v="0"/>
    <x v="0"/>
    <x v="52"/>
    <x v="1"/>
    <x v="2"/>
    <x v="8"/>
    <x v="198"/>
    <x v="189"/>
    <x v="18"/>
    <n v="230"/>
    <n v="170"/>
    <n v="460"/>
    <n v="75"/>
    <x v="189"/>
    <x v="198"/>
    <x v="212"/>
    <x v="394"/>
    <n v="0.78695652173913044"/>
    <n v="-11"/>
    <x v="0"/>
    <n v="169.06470588235294"/>
    <x v="463"/>
    <n v="61533"/>
    <n v="3750"/>
    <n v="8.2170542635658927E-3"/>
    <s v="Nov-13"/>
    <x v="40"/>
    <n v="2.1381215469613259"/>
  </r>
  <r>
    <x v="1"/>
    <n v="181"/>
    <x v="4"/>
    <x v="0"/>
    <x v="0"/>
    <x v="52"/>
    <x v="0"/>
    <x v="0"/>
    <x v="10"/>
    <x v="198"/>
    <x v="189"/>
    <x v="0"/>
    <n v="170"/>
    <n v="100"/>
    <n v="330"/>
    <n v="75"/>
    <x v="189"/>
    <x v="198"/>
    <x v="212"/>
    <x v="394"/>
    <n v="1.0647058823529412"/>
    <n v="59"/>
    <x v="0"/>
    <n v="98.41"/>
    <x v="463"/>
    <n v="61533"/>
    <n v="3750"/>
    <n v="8.2170542635658927E-3"/>
    <s v="Nov-13"/>
    <x v="28"/>
    <n v="2.1381215469613259"/>
  </r>
  <r>
    <x v="52"/>
    <n v="118"/>
    <x v="4"/>
    <x v="0"/>
    <x v="0"/>
    <x v="40"/>
    <x v="0"/>
    <x v="0"/>
    <x v="10"/>
    <x v="105"/>
    <x v="144"/>
    <x v="16"/>
    <n v="110"/>
    <n v="110"/>
    <n v="260"/>
    <n v="45"/>
    <x v="144"/>
    <x v="105"/>
    <x v="72"/>
    <x v="275"/>
    <n v="1.0727272727272728"/>
    <n v="78"/>
    <x v="0"/>
    <n v="108.2909090909091"/>
    <x v="327"/>
    <n v="58092"/>
    <n v="1485"/>
    <n v="1.8436795135824264E-2"/>
    <s v="Nov-13"/>
    <x v="16"/>
    <n v="2.6186440677966103"/>
  </r>
  <r>
    <x v="52"/>
    <n v="81"/>
    <x v="4"/>
    <x v="0"/>
    <x v="0"/>
    <x v="34"/>
    <x v="0"/>
    <x v="0"/>
    <x v="1"/>
    <x v="166"/>
    <x v="192"/>
    <x v="16"/>
    <n v="70"/>
    <n v="80"/>
    <n v="180"/>
    <n v="33"/>
    <x v="192"/>
    <x v="166"/>
    <x v="32"/>
    <x v="341"/>
    <n v="1.1571428571428573"/>
    <n v="45"/>
    <x v="0"/>
    <n v="78.4375"/>
    <x v="401"/>
    <n v="26375"/>
    <n v="726"/>
    <n v="2.6928048255062471E-2"/>
    <s v="Nov-13"/>
    <x v="10"/>
    <n v="2.6049382716049383"/>
  </r>
  <r>
    <x v="69"/>
    <n v="78"/>
    <x v="4"/>
    <x v="0"/>
    <x v="0"/>
    <x v="26"/>
    <x v="0"/>
    <x v="1"/>
    <x v="2"/>
    <x v="115"/>
    <x v="145"/>
    <x v="18"/>
    <n v="60"/>
    <n v="60"/>
    <n v="160"/>
    <n v="57"/>
    <x v="145"/>
    <x v="115"/>
    <x v="41"/>
    <x v="276"/>
    <n v="1.3"/>
    <n v="32"/>
    <x v="0"/>
    <n v="58.466666666666669"/>
    <x v="328"/>
    <n v="19320"/>
    <n v="1425"/>
    <n v="1.7523809523809525E-2"/>
    <s v="Nov-13"/>
    <x v="10"/>
    <n v="2.6923076923076925"/>
  </r>
  <r>
    <x v="103"/>
    <n v="75"/>
    <x v="4"/>
    <x v="0"/>
    <x v="0"/>
    <x v="23"/>
    <x v="0"/>
    <x v="1"/>
    <x v="11"/>
    <x v="97"/>
    <x v="123"/>
    <x v="16"/>
    <n v="60"/>
    <n v="50"/>
    <n v="150"/>
    <n v="55"/>
    <x v="123"/>
    <x v="97"/>
    <x v="84"/>
    <x v="243"/>
    <n v="1.25"/>
    <n v="38"/>
    <x v="0"/>
    <n v="48.24"/>
    <x v="294"/>
    <n v="17688"/>
    <n v="1320"/>
    <n v="1.824212271973466E-2"/>
    <s v="Nov-13"/>
    <x v="10"/>
    <n v="2.68"/>
  </r>
  <r>
    <x v="113"/>
    <n v="102"/>
    <x v="4"/>
    <x v="0"/>
    <x v="0"/>
    <x v="33"/>
    <x v="0"/>
    <x v="1"/>
    <x v="11"/>
    <x v="117"/>
    <x v="147"/>
    <x v="18"/>
    <n v="80"/>
    <n v="70"/>
    <n v="200"/>
    <n v="54"/>
    <x v="147"/>
    <x v="117"/>
    <x v="111"/>
    <x v="278"/>
    <n v="1.2749999999999999"/>
    <n v="62"/>
    <x v="0"/>
    <n v="68.114285714285714"/>
    <x v="330"/>
    <n v="34452"/>
    <n v="1674"/>
    <n v="1.6314423433444566E-2"/>
    <s v="Nov-13"/>
    <x v="13"/>
    <n v="2.5588235294117645"/>
  </r>
  <r>
    <x v="1"/>
    <n v="88"/>
    <x v="4"/>
    <x v="0"/>
    <x v="0"/>
    <x v="39"/>
    <x v="0"/>
    <x v="1"/>
    <x v="3"/>
    <x v="199"/>
    <x v="146"/>
    <x v="0"/>
    <n v="70"/>
    <n v="60"/>
    <n v="160"/>
    <n v="42"/>
    <x v="146"/>
    <x v="199"/>
    <x v="26"/>
    <x v="395"/>
    <n v="1.2571428571428571"/>
    <n v="44"/>
    <x v="0"/>
    <n v="58.266666666666666"/>
    <x v="464"/>
    <n v="22152"/>
    <n v="1218"/>
    <n v="1.6836652096486968E-2"/>
    <s v="Nov-13"/>
    <x v="10"/>
    <n v="2.4204545454545454"/>
  </r>
  <r>
    <x v="66"/>
    <n v="10"/>
    <x v="4"/>
    <x v="1"/>
    <x v="0"/>
    <x v="61"/>
    <x v="1"/>
    <x v="3"/>
    <x v="5"/>
    <x v="64"/>
    <x v="220"/>
    <x v="4"/>
    <n v="0"/>
    <n v="10"/>
    <n v="20"/>
    <n v="16"/>
    <x v="220"/>
    <x v="64"/>
    <x v="122"/>
    <x v="222"/>
    <e v="#DIV/0!"/>
    <n v="-14"/>
    <x v="0"/>
    <n v="10.4"/>
    <x v="465"/>
    <n v="-100"/>
    <n v="48"/>
    <n v="-5.333333333333333E-2"/>
    <s v="Nov-13"/>
    <x v="12"/>
    <n v="2.5"/>
  </r>
  <r>
    <x v="41"/>
    <n v="77"/>
    <x v="4"/>
    <x v="1"/>
    <x v="0"/>
    <x v="26"/>
    <x v="1"/>
    <x v="3"/>
    <x v="5"/>
    <x v="20"/>
    <x v="186"/>
    <x v="13"/>
    <n v="70"/>
    <n v="60"/>
    <n v="170"/>
    <n v="52"/>
    <x v="186"/>
    <x v="20"/>
    <x v="11"/>
    <x v="333"/>
    <n v="1.1000000000000001"/>
    <n v="16"/>
    <x v="0"/>
    <n v="58.733333333333334"/>
    <x v="392"/>
    <n v="14592"/>
    <n v="1300"/>
    <n v="1.5833333333333335E-2"/>
    <s v="Nov-13"/>
    <x v="8"/>
    <n v="2.4935064935064934"/>
  </r>
  <r>
    <x v="5"/>
    <n v="15"/>
    <x v="4"/>
    <x v="1"/>
    <x v="0"/>
    <x v="36"/>
    <x v="1"/>
    <x v="3"/>
    <x v="6"/>
    <x v="14"/>
    <x v="120"/>
    <x v="4"/>
    <n v="10"/>
    <n v="10"/>
    <n v="30"/>
    <n v="16"/>
    <x v="120"/>
    <x v="14"/>
    <x v="121"/>
    <x v="7"/>
    <n v="1.5"/>
    <n v="2"/>
    <x v="0"/>
    <n v="8.8000000000000007"/>
    <x v="276"/>
    <n v="504"/>
    <n v="64"/>
    <n v="7.1428571428571425E-2"/>
    <s v="Nov-13"/>
    <x v="5"/>
    <n v="2.8"/>
  </r>
  <r>
    <x v="13"/>
    <n v="82"/>
    <x v="4"/>
    <x v="1"/>
    <x v="0"/>
    <x v="33"/>
    <x v="1"/>
    <x v="3"/>
    <x v="7"/>
    <x v="4"/>
    <x v="109"/>
    <x v="12"/>
    <n v="80"/>
    <n v="40"/>
    <n v="180"/>
    <n v="64"/>
    <x v="109"/>
    <x v="4"/>
    <x v="65"/>
    <x v="213"/>
    <n v="1.0249999999999999"/>
    <n v="16"/>
    <x v="0"/>
    <n v="38.6"/>
    <x v="245"/>
    <n v="10976"/>
    <n v="1984"/>
    <n v="9.2165898617511521E-3"/>
    <s v="Nov-13"/>
    <x v="14"/>
    <n v="2.3902439024390243"/>
  </r>
  <r>
    <x v="94"/>
    <n v="94"/>
    <x v="4"/>
    <x v="1"/>
    <x v="0"/>
    <x v="43"/>
    <x v="1"/>
    <x v="3"/>
    <x v="7"/>
    <x v="10"/>
    <x v="149"/>
    <x v="13"/>
    <n v="90"/>
    <n v="30"/>
    <n v="220"/>
    <n v="114"/>
    <x v="149"/>
    <x v="10"/>
    <x v="213"/>
    <x v="396"/>
    <n v="1.0444444444444445"/>
    <n v="-6"/>
    <x v="0"/>
    <n v="29.2"/>
    <x v="466"/>
    <n v="5736"/>
    <n v="9690"/>
    <n v="1.1813930593157764E-3"/>
    <s v="Nov-13"/>
    <x v="26"/>
    <n v="2.5425531914893615"/>
  </r>
  <r>
    <x v="13"/>
    <n v="54"/>
    <x v="4"/>
    <x v="1"/>
    <x v="0"/>
    <x v="6"/>
    <x v="1"/>
    <x v="2"/>
    <x v="8"/>
    <x v="20"/>
    <x v="29"/>
    <x v="12"/>
    <n v="60"/>
    <n v="80"/>
    <n v="160"/>
    <n v="27"/>
    <x v="29"/>
    <x v="20"/>
    <x v="22"/>
    <x v="246"/>
    <n v="0.9"/>
    <n v="-4"/>
    <x v="0"/>
    <n v="79.05"/>
    <x v="297"/>
    <n v="10716"/>
    <n v="405"/>
    <n v="3.59338061465721E-2"/>
    <s v="Nov-13"/>
    <x v="6"/>
    <n v="2.6111111111111112"/>
  </r>
  <r>
    <x v="65"/>
    <n v="75"/>
    <x v="4"/>
    <x v="1"/>
    <x v="0"/>
    <x v="4"/>
    <x v="1"/>
    <x v="2"/>
    <x v="8"/>
    <x v="49"/>
    <x v="56"/>
    <x v="13"/>
    <n v="90"/>
    <n v="70"/>
    <n v="200"/>
    <n v="44"/>
    <x v="56"/>
    <x v="49"/>
    <x v="13"/>
    <x v="244"/>
    <n v="0.83333333333333337"/>
    <n v="-3"/>
    <x v="0"/>
    <n v="69.042857142857144"/>
    <x v="295"/>
    <n v="11725"/>
    <n v="1012"/>
    <n v="1.6645962732919253E-2"/>
    <s v="Nov-13"/>
    <x v="13"/>
    <n v="2.3333333333333335"/>
  </r>
  <r>
    <x v="77"/>
    <n v="228"/>
    <x v="4"/>
    <x v="1"/>
    <x v="0"/>
    <x v="64"/>
    <x v="0"/>
    <x v="0"/>
    <x v="10"/>
    <x v="197"/>
    <x v="205"/>
    <x v="4"/>
    <n v="210"/>
    <n v="180"/>
    <n v="490"/>
    <n v="108"/>
    <x v="205"/>
    <x v="197"/>
    <x v="211"/>
    <x v="393"/>
    <n v="1.0857142857142856"/>
    <n v="111"/>
    <x v="0"/>
    <n v="178.38333333333333"/>
    <x v="462"/>
    <n v="164997"/>
    <n v="8100"/>
    <n v="6.8430335097001763E-3"/>
    <s v="Nov-13"/>
    <x v="22"/>
    <n v="2.486842105263158"/>
  </r>
  <r>
    <x v="77"/>
    <n v="113"/>
    <x v="4"/>
    <x v="1"/>
    <x v="0"/>
    <x v="62"/>
    <x v="0"/>
    <x v="0"/>
    <x v="0"/>
    <x v="198"/>
    <x v="222"/>
    <x v="4"/>
    <n v="100"/>
    <n v="100"/>
    <n v="250"/>
    <n v="58"/>
    <x v="222"/>
    <x v="198"/>
    <x v="52"/>
    <x v="397"/>
    <n v="1.1299999999999999"/>
    <n v="59"/>
    <x v="0"/>
    <n v="98.41"/>
    <x v="467"/>
    <n v="47064"/>
    <n v="2088"/>
    <n v="1.4921171171171171E-2"/>
    <s v="Nov-13"/>
    <x v="16"/>
    <n v="2.6194690265486726"/>
  </r>
  <r>
    <x v="46"/>
    <n v="211"/>
    <x v="4"/>
    <x v="1"/>
    <x v="0"/>
    <x v="53"/>
    <x v="0"/>
    <x v="1"/>
    <x v="2"/>
    <x v="156"/>
    <x v="223"/>
    <x v="4"/>
    <n v="170"/>
    <n v="110"/>
    <n v="350"/>
    <n v="83"/>
    <x v="223"/>
    <x v="156"/>
    <x v="209"/>
    <x v="390"/>
    <n v="1.2411764705882353"/>
    <n v="81"/>
    <x v="0"/>
    <n v="108.26363636363637"/>
    <x v="459"/>
    <n v="86141"/>
    <n v="4897"/>
    <n v="7.1780224735991573E-3"/>
    <s v="Nov-13"/>
    <x v="27"/>
    <n v="2.1374407582938391"/>
  </r>
  <r>
    <x v="77"/>
    <n v="245"/>
    <x v="4"/>
    <x v="1"/>
    <x v="0"/>
    <x v="54"/>
    <x v="0"/>
    <x v="1"/>
    <x v="11"/>
    <x v="200"/>
    <x v="225"/>
    <x v="4"/>
    <n v="200"/>
    <n v="130"/>
    <n v="450"/>
    <n v="127"/>
    <x v="225"/>
    <x v="200"/>
    <x v="214"/>
    <x v="398"/>
    <n v="1.2250000000000001"/>
    <n v="127"/>
    <x v="0"/>
    <n v="128.02307692307693"/>
    <x v="468"/>
    <n v="149317"/>
    <n v="11811"/>
    <n v="4.7563525993374427E-3"/>
    <s v="Nov-13"/>
    <x v="33"/>
    <n v="2.3714285714285714"/>
  </r>
  <r>
    <x v="43"/>
    <n v="86"/>
    <x v="5"/>
    <x v="0"/>
    <x v="0"/>
    <x v="23"/>
    <x v="1"/>
    <x v="3"/>
    <x v="5"/>
    <x v="201"/>
    <x v="134"/>
    <x v="0"/>
    <n v="80"/>
    <n v="90"/>
    <n v="200"/>
    <n v="36"/>
    <x v="134"/>
    <x v="201"/>
    <x v="73"/>
    <x v="399"/>
    <n v="1.075"/>
    <n v="41"/>
    <x v="0"/>
    <n v="88.544444444444451"/>
    <x v="469"/>
    <n v="29344"/>
    <n v="864"/>
    <n v="2.4367559523809524E-2"/>
    <s v="Dec-13"/>
    <x v="8"/>
    <n v="2.6046511627906979"/>
  </r>
  <r>
    <x v="82"/>
    <n v="127"/>
    <x v="5"/>
    <x v="0"/>
    <x v="0"/>
    <x v="19"/>
    <x v="1"/>
    <x v="3"/>
    <x v="5"/>
    <x v="128"/>
    <x v="226"/>
    <x v="16"/>
    <n v="120"/>
    <n v="130"/>
    <n v="300"/>
    <n v="63"/>
    <x v="226"/>
    <x v="128"/>
    <x v="215"/>
    <x v="400"/>
    <n v="1.0583333333333333"/>
    <n v="51"/>
    <x v="0"/>
    <n v="128.6076923076923"/>
    <x v="470"/>
    <n v="60092"/>
    <n v="2520"/>
    <n v="1.3629518072289157E-2"/>
    <s v="Dec-13"/>
    <x v="30"/>
    <n v="2.6141732283464565"/>
  </r>
  <r>
    <x v="43"/>
    <n v="67"/>
    <x v="5"/>
    <x v="0"/>
    <x v="0"/>
    <x v="34"/>
    <x v="1"/>
    <x v="2"/>
    <x v="4"/>
    <x v="50"/>
    <x v="110"/>
    <x v="0"/>
    <n v="80"/>
    <n v="80"/>
    <n v="210"/>
    <n v="54"/>
    <x v="110"/>
    <x v="50"/>
    <x v="26"/>
    <x v="215"/>
    <n v="0.83750000000000002"/>
    <n v="-10"/>
    <x v="0"/>
    <n v="79.125"/>
    <x v="247"/>
    <n v="12530"/>
    <n v="1188"/>
    <n v="1.7775520568816656E-2"/>
    <s v="Dec-13"/>
    <x v="13"/>
    <n v="2.6716417910447761"/>
  </r>
  <r>
    <x v="68"/>
    <n v="250"/>
    <x v="5"/>
    <x v="0"/>
    <x v="0"/>
    <x v="57"/>
    <x v="1"/>
    <x v="2"/>
    <x v="4"/>
    <x v="202"/>
    <x v="213"/>
    <x v="16"/>
    <n v="320"/>
    <n v="240"/>
    <n v="640"/>
    <n v="94"/>
    <x v="213"/>
    <x v="202"/>
    <x v="216"/>
    <x v="401"/>
    <n v="0.78125"/>
    <n v="-7"/>
    <x v="0"/>
    <n v="239.02916666666667"/>
    <x v="471"/>
    <n v="124422"/>
    <n v="6580"/>
    <n v="6.2332798287854469E-3"/>
    <s v="Dec-13"/>
    <x v="41"/>
    <n v="2.1360000000000001"/>
  </r>
  <r>
    <x v="0"/>
    <n v="123"/>
    <x v="5"/>
    <x v="0"/>
    <x v="0"/>
    <x v="38"/>
    <x v="1"/>
    <x v="3"/>
    <x v="6"/>
    <x v="158"/>
    <x v="141"/>
    <x v="0"/>
    <n v="120"/>
    <n v="130"/>
    <n v="290"/>
    <n v="45"/>
    <x v="141"/>
    <x v="158"/>
    <x v="49"/>
    <x v="332"/>
    <n v="1.0249999999999999"/>
    <n v="69"/>
    <x v="0"/>
    <n v="128.46923076923076"/>
    <x v="391"/>
    <n v="64078"/>
    <n v="1530"/>
    <n v="1.8176835951772011E-2"/>
    <s v="Dec-13"/>
    <x v="17"/>
    <n v="2.6178861788617884"/>
  </r>
  <r>
    <x v="82"/>
    <n v="224"/>
    <x v="5"/>
    <x v="0"/>
    <x v="0"/>
    <x v="65"/>
    <x v="1"/>
    <x v="3"/>
    <x v="7"/>
    <x v="203"/>
    <x v="227"/>
    <x v="16"/>
    <n v="220"/>
    <n v="190"/>
    <n v="520"/>
    <n v="116"/>
    <x v="227"/>
    <x v="203"/>
    <x v="217"/>
    <x v="402"/>
    <n v="1.0181818181818181"/>
    <n v="98"/>
    <x v="0"/>
    <n v="188.48421052631579"/>
    <x v="472"/>
    <n v="163872"/>
    <n v="8468"/>
    <n v="6.9335772925343663E-3"/>
    <s v="Dec-13"/>
    <x v="25"/>
    <n v="2.5401785714285716"/>
  </r>
  <r>
    <x v="1"/>
    <n v="54"/>
    <x v="5"/>
    <x v="0"/>
    <x v="0"/>
    <x v="6"/>
    <x v="1"/>
    <x v="2"/>
    <x v="8"/>
    <x v="63"/>
    <x v="64"/>
    <x v="0"/>
    <n v="60"/>
    <n v="90"/>
    <n v="170"/>
    <n v="26"/>
    <x v="64"/>
    <x v="63"/>
    <x v="17"/>
    <x v="104"/>
    <n v="0.9"/>
    <n v="-11"/>
    <x v="0"/>
    <n v="89.12222222222222"/>
    <x v="113"/>
    <n v="11218"/>
    <n v="390"/>
    <n v="3.7089201877934269E-2"/>
    <s v="Dec-13"/>
    <x v="6"/>
    <n v="2.6296296296296298"/>
  </r>
  <r>
    <x v="52"/>
    <n v="247"/>
    <x v="5"/>
    <x v="0"/>
    <x v="0"/>
    <x v="66"/>
    <x v="1"/>
    <x v="2"/>
    <x v="8"/>
    <x v="204"/>
    <x v="191"/>
    <x v="16"/>
    <n v="310"/>
    <n v="320"/>
    <n v="730"/>
    <n v="113"/>
    <x v="191"/>
    <x v="204"/>
    <x v="218"/>
    <x v="403"/>
    <n v="0.79677419354838708"/>
    <n v="1"/>
    <x v="0"/>
    <n v="318.99687499999999"/>
    <x v="473"/>
    <n v="197094"/>
    <n v="9153"/>
    <n v="6.4543370732295813E-3"/>
    <s v="Dec-13"/>
    <x v="35"/>
    <n v="2.4858299595141702"/>
  </r>
  <r>
    <x v="90"/>
    <n v="153"/>
    <x v="5"/>
    <x v="0"/>
    <x v="0"/>
    <x v="22"/>
    <x v="1"/>
    <x v="2"/>
    <x v="8"/>
    <x v="113"/>
    <x v="196"/>
    <x v="18"/>
    <n v="190"/>
    <n v="140"/>
    <n v="390"/>
    <n v="66"/>
    <x v="196"/>
    <x v="113"/>
    <x v="184"/>
    <x v="150"/>
    <n v="0.80526315789473679"/>
    <n v="-11"/>
    <x v="0"/>
    <n v="139.07857142857142"/>
    <x v="409"/>
    <n v="42054"/>
    <n v="2772"/>
    <n v="9.4215600350569684E-3"/>
    <s v="Dec-13"/>
    <x v="34"/>
    <n v="2.130718954248366"/>
  </r>
  <r>
    <x v="1"/>
    <n v="153"/>
    <x v="5"/>
    <x v="0"/>
    <x v="0"/>
    <x v="22"/>
    <x v="0"/>
    <x v="0"/>
    <x v="10"/>
    <x v="113"/>
    <x v="196"/>
    <x v="0"/>
    <n v="140"/>
    <n v="80"/>
    <n v="280"/>
    <n v="66"/>
    <x v="196"/>
    <x v="113"/>
    <x v="184"/>
    <x v="150"/>
    <n v="1.0928571428571427"/>
    <n v="49"/>
    <x v="0"/>
    <n v="78.387500000000003"/>
    <x v="409"/>
    <n v="42054"/>
    <n v="2772"/>
    <n v="9.4215600350569684E-3"/>
    <s v="Dec-13"/>
    <x v="21"/>
    <n v="2.130718954248366"/>
  </r>
  <r>
    <x v="137"/>
    <n v="123"/>
    <x v="5"/>
    <x v="0"/>
    <x v="0"/>
    <x v="38"/>
    <x v="0"/>
    <x v="0"/>
    <x v="10"/>
    <x v="111"/>
    <x v="141"/>
    <x v="16"/>
    <n v="110"/>
    <n v="130"/>
    <n v="280"/>
    <n v="46"/>
    <x v="141"/>
    <x v="111"/>
    <x v="61"/>
    <x v="270"/>
    <n v="1.1181818181818182"/>
    <n v="67"/>
    <x v="0"/>
    <n v="128.48461538461538"/>
    <x v="324"/>
    <n v="63434"/>
    <n v="1564"/>
    <n v="1.7994154183412495E-2"/>
    <s v="Dec-13"/>
    <x v="16"/>
    <n v="2.6178861788617884"/>
  </r>
  <r>
    <x v="82"/>
    <n v="86"/>
    <x v="5"/>
    <x v="0"/>
    <x v="0"/>
    <x v="23"/>
    <x v="0"/>
    <x v="0"/>
    <x v="1"/>
    <x v="201"/>
    <x v="134"/>
    <x v="16"/>
    <n v="80"/>
    <n v="80"/>
    <n v="190"/>
    <n v="36"/>
    <x v="134"/>
    <x v="201"/>
    <x v="73"/>
    <x v="399"/>
    <n v="1.075"/>
    <n v="51"/>
    <x v="0"/>
    <n v="78.362499999999997"/>
    <x v="469"/>
    <n v="29344"/>
    <n v="864"/>
    <n v="2.4367559523809524E-2"/>
    <s v="Dec-13"/>
    <x v="8"/>
    <n v="2.6046511627906979"/>
  </r>
  <r>
    <x v="101"/>
    <n v="88"/>
    <x v="5"/>
    <x v="0"/>
    <x v="0"/>
    <x v="39"/>
    <x v="0"/>
    <x v="1"/>
    <x v="2"/>
    <x v="120"/>
    <x v="126"/>
    <x v="18"/>
    <n v="70"/>
    <n v="70"/>
    <n v="180"/>
    <n v="61"/>
    <x v="126"/>
    <x v="120"/>
    <x v="111"/>
    <x v="282"/>
    <n v="1.2571428571428571"/>
    <n v="37"/>
    <x v="0"/>
    <n v="68.471428571428575"/>
    <x v="335"/>
    <n v="25252"/>
    <n v="1769"/>
    <n v="1.5634132086499122E-2"/>
    <s v="Dec-13"/>
    <x v="8"/>
    <n v="2.6818181818181817"/>
  </r>
  <r>
    <x v="101"/>
    <n v="134"/>
    <x v="5"/>
    <x v="0"/>
    <x v="0"/>
    <x v="11"/>
    <x v="0"/>
    <x v="1"/>
    <x v="11"/>
    <x v="123"/>
    <x v="151"/>
    <x v="18"/>
    <n v="110"/>
    <n v="90"/>
    <n v="260"/>
    <n v="65"/>
    <x v="151"/>
    <x v="123"/>
    <x v="140"/>
    <x v="285"/>
    <n v="1.2181818181818183"/>
    <n v="90"/>
    <x v="0"/>
    <n v="88"/>
    <x v="339"/>
    <n v="61380"/>
    <n v="2665"/>
    <n v="1.287461554967456E-2"/>
    <s v="Dec-13"/>
    <x v="30"/>
    <n v="2.544776119402985"/>
  </r>
  <r>
    <x v="23"/>
    <n v="81"/>
    <x v="5"/>
    <x v="0"/>
    <x v="0"/>
    <x v="32"/>
    <x v="0"/>
    <x v="1"/>
    <x v="3"/>
    <x v="121"/>
    <x v="130"/>
    <x v="0"/>
    <n v="60"/>
    <n v="60"/>
    <n v="150"/>
    <n v="38"/>
    <x v="130"/>
    <x v="121"/>
    <x v="44"/>
    <x v="283"/>
    <n v="1.35"/>
    <n v="38"/>
    <x v="0"/>
    <n v="58.366666666666667"/>
    <x v="337"/>
    <n v="19306"/>
    <n v="988"/>
    <n v="1.9133151112846546E-2"/>
    <s v="Dec-13"/>
    <x v="9"/>
    <n v="2.4320987654320989"/>
  </r>
  <r>
    <x v="5"/>
    <n v="10"/>
    <x v="5"/>
    <x v="1"/>
    <x v="0"/>
    <x v="61"/>
    <x v="1"/>
    <x v="3"/>
    <x v="5"/>
    <x v="186"/>
    <x v="228"/>
    <x v="4"/>
    <n v="0"/>
    <n v="10"/>
    <n v="20"/>
    <n v="15"/>
    <x v="228"/>
    <x v="186"/>
    <x v="219"/>
    <x v="128"/>
    <e v="#DIV/0!"/>
    <n v="-11"/>
    <x v="0"/>
    <n v="10.1"/>
    <x v="441"/>
    <n v="-26"/>
    <n v="45"/>
    <n v="-1.282051282051282E-2"/>
    <s v="Dec-13"/>
    <x v="12"/>
    <n v="2.6"/>
  </r>
  <r>
    <x v="112"/>
    <n v="83"/>
    <x v="5"/>
    <x v="1"/>
    <x v="0"/>
    <x v="15"/>
    <x v="1"/>
    <x v="3"/>
    <x v="5"/>
    <x v="74"/>
    <x v="193"/>
    <x v="13"/>
    <n v="80"/>
    <n v="70"/>
    <n v="190"/>
    <n v="55"/>
    <x v="193"/>
    <x v="74"/>
    <x v="49"/>
    <x v="404"/>
    <n v="1.0375000000000001"/>
    <n v="15"/>
    <x v="0"/>
    <n v="68.785714285714292"/>
    <x v="474"/>
    <n v="17680"/>
    <n v="1485"/>
    <n v="1.5135327635327636E-2"/>
    <s v="Dec-13"/>
    <x v="11"/>
    <n v="2.5060240963855422"/>
  </r>
  <r>
    <x v="13"/>
    <n v="68"/>
    <x v="5"/>
    <x v="1"/>
    <x v="0"/>
    <x v="26"/>
    <x v="1"/>
    <x v="3"/>
    <x v="7"/>
    <x v="40"/>
    <x v="73"/>
    <x v="12"/>
    <n v="60"/>
    <n v="40"/>
    <n v="150"/>
    <n v="59"/>
    <x v="73"/>
    <x v="40"/>
    <x v="124"/>
    <x v="249"/>
    <n v="1.1333333333333333"/>
    <n v="-1"/>
    <x v="0"/>
    <n v="39.024999999999999"/>
    <x v="300"/>
    <n v="6357"/>
    <n v="1475"/>
    <n v="9.5705521472392637E-3"/>
    <s v="Dec-13"/>
    <x v="8"/>
    <n v="2.3970588235294117"/>
  </r>
  <r>
    <x v="14"/>
    <n v="105"/>
    <x v="5"/>
    <x v="1"/>
    <x v="0"/>
    <x v="44"/>
    <x v="1"/>
    <x v="3"/>
    <x v="7"/>
    <x v="27"/>
    <x v="153"/>
    <x v="13"/>
    <n v="100"/>
    <n v="30"/>
    <n v="240"/>
    <n v="125"/>
    <x v="153"/>
    <x v="27"/>
    <x v="141"/>
    <x v="287"/>
    <n v="1.05"/>
    <n v="0"/>
    <x v="0"/>
    <n v="29"/>
    <x v="342"/>
    <n v="7980"/>
    <n v="11875"/>
    <n v="1.1871784724970321E-3"/>
    <s v="Dec-13"/>
    <x v="32"/>
    <n v="2.5333333333333332"/>
  </r>
  <r>
    <x v="13"/>
    <n v="50"/>
    <x v="5"/>
    <x v="1"/>
    <x v="0"/>
    <x v="10"/>
    <x v="1"/>
    <x v="2"/>
    <x v="8"/>
    <x v="53"/>
    <x v="41"/>
    <x v="12"/>
    <n v="60"/>
    <n v="70"/>
    <n v="150"/>
    <n v="25"/>
    <x v="41"/>
    <x v="53"/>
    <x v="64"/>
    <x v="80"/>
    <n v="0.83333333333333337"/>
    <n v="1"/>
    <x v="0"/>
    <n v="68.98571428571428"/>
    <x v="86"/>
    <n v="9301"/>
    <n v="350"/>
    <n v="3.8713195201744821E-2"/>
    <s v="Dec-13"/>
    <x v="6"/>
    <n v="2.62"/>
  </r>
  <r>
    <x v="14"/>
    <n v="80"/>
    <x v="5"/>
    <x v="1"/>
    <x v="0"/>
    <x v="23"/>
    <x v="1"/>
    <x v="2"/>
    <x v="8"/>
    <x v="62"/>
    <x v="67"/>
    <x v="13"/>
    <n v="100"/>
    <n v="80"/>
    <n v="220"/>
    <n v="46"/>
    <x v="67"/>
    <x v="62"/>
    <x v="35"/>
    <x v="101"/>
    <n v="0.8"/>
    <n v="-6"/>
    <x v="0"/>
    <n v="79.075000000000003"/>
    <x v="110"/>
    <n v="13912"/>
    <n v="1104"/>
    <n v="1.6400709219858155E-2"/>
    <s v="Dec-13"/>
    <x v="14"/>
    <n v="2.35"/>
  </r>
  <r>
    <x v="74"/>
    <n v="247"/>
    <x v="5"/>
    <x v="1"/>
    <x v="0"/>
    <x v="66"/>
    <x v="0"/>
    <x v="0"/>
    <x v="10"/>
    <x v="204"/>
    <x v="191"/>
    <x v="4"/>
    <n v="230"/>
    <n v="200"/>
    <n v="530"/>
    <n v="113"/>
    <x v="191"/>
    <x v="204"/>
    <x v="218"/>
    <x v="403"/>
    <n v="1.0739130434782609"/>
    <n v="121"/>
    <x v="0"/>
    <n v="198.39500000000001"/>
    <x v="473"/>
    <n v="197094"/>
    <n v="9153"/>
    <n v="6.4543370732295813E-3"/>
    <s v="Dec-13"/>
    <x v="25"/>
    <n v="2.4858299595141702"/>
  </r>
  <r>
    <x v="74"/>
    <n v="127"/>
    <x v="5"/>
    <x v="1"/>
    <x v="0"/>
    <x v="19"/>
    <x v="0"/>
    <x v="0"/>
    <x v="0"/>
    <x v="177"/>
    <x v="226"/>
    <x v="4"/>
    <n v="120"/>
    <n v="120"/>
    <n v="290"/>
    <n v="62"/>
    <x v="226"/>
    <x v="177"/>
    <x v="127"/>
    <x v="405"/>
    <n v="1.0583333333333333"/>
    <n v="63"/>
    <x v="0"/>
    <n v="118.47499999999999"/>
    <x v="475"/>
    <n v="60756"/>
    <n v="2480"/>
    <n v="1.3780120481927711E-2"/>
    <s v="Dec-13"/>
    <x v="30"/>
    <n v="2.6141732283464565"/>
  </r>
  <r>
    <x v="77"/>
    <n v="250"/>
    <x v="5"/>
    <x v="1"/>
    <x v="0"/>
    <x v="57"/>
    <x v="0"/>
    <x v="1"/>
    <x v="2"/>
    <x v="205"/>
    <x v="213"/>
    <x v="4"/>
    <n v="210"/>
    <n v="120"/>
    <n v="410"/>
    <n v="95"/>
    <x v="213"/>
    <x v="205"/>
    <x v="220"/>
    <x v="406"/>
    <n v="1.1904761904761905"/>
    <n v="112"/>
    <x v="0"/>
    <n v="118.06666666666666"/>
    <x v="476"/>
    <n v="123888"/>
    <n v="6650"/>
    <n v="6.2065275548421617E-3"/>
    <s v="Dec-13"/>
    <x v="40"/>
    <n v="2.1360000000000001"/>
  </r>
  <r>
    <x v="46"/>
    <n v="294"/>
    <x v="5"/>
    <x v="1"/>
    <x v="0"/>
    <x v="58"/>
    <x v="0"/>
    <x v="1"/>
    <x v="11"/>
    <x v="204"/>
    <x v="229"/>
    <x v="4"/>
    <n v="240"/>
    <n v="170"/>
    <n v="540"/>
    <n v="144"/>
    <x v="229"/>
    <x v="204"/>
    <x v="221"/>
    <x v="407"/>
    <n v="1.2250000000000001"/>
    <n v="151"/>
    <x v="0"/>
    <n v="168.11176470588236"/>
    <x v="477"/>
    <n v="223737"/>
    <n v="15983.999999999998"/>
    <n v="4.1490557989840634E-3"/>
    <s v="Dec-13"/>
    <x v="31"/>
    <n v="2.370748299319728"/>
  </r>
  <r>
    <x v="62"/>
    <n v="20"/>
    <x v="5"/>
    <x v="1"/>
    <x v="0"/>
    <x v="7"/>
    <x v="0"/>
    <x v="1"/>
    <x v="11"/>
    <x v="91"/>
    <x v="122"/>
    <x v="12"/>
    <n v="10"/>
    <n v="-10"/>
    <n v="30"/>
    <n v="41"/>
    <x v="122"/>
    <x v="91"/>
    <x v="16"/>
    <x v="229"/>
    <n v="2"/>
    <n v="-14"/>
    <x v="0"/>
    <n v="-12.4"/>
    <x v="278"/>
    <n v="-1152"/>
    <n v="287"/>
    <n v="-7.1428571428571425E-2"/>
    <s v="Dec-13"/>
    <x v="1"/>
    <n v="2.4"/>
  </r>
  <r>
    <x v="138"/>
    <n v="154"/>
    <x v="0"/>
    <x v="0"/>
    <x v="3"/>
    <x v="52"/>
    <x v="1"/>
    <x v="3"/>
    <x v="5"/>
    <x v="206"/>
    <x v="45"/>
    <x v="3"/>
    <n v="220"/>
    <n v="-100"/>
    <n v="190"/>
    <n v="93"/>
    <x v="45"/>
    <x v="206"/>
    <x v="188"/>
    <x v="408"/>
    <n v="0.7"/>
    <n v="-17"/>
    <x v="0"/>
    <n v="-101.17"/>
    <x v="478"/>
    <n v="-15210"/>
    <n v="4650"/>
    <n v="-1.7999999999999999E-2"/>
    <s v="Oct-12"/>
    <x v="40"/>
    <n v="0.8441558441558441"/>
  </r>
  <r>
    <x v="139"/>
    <n v="257"/>
    <x v="0"/>
    <x v="0"/>
    <x v="3"/>
    <x v="60"/>
    <x v="1"/>
    <x v="2"/>
    <x v="4"/>
    <x v="207"/>
    <x v="203"/>
    <x v="3"/>
    <n v="230"/>
    <n v="240"/>
    <n v="550"/>
    <n v="116"/>
    <x v="203"/>
    <x v="207"/>
    <x v="222"/>
    <x v="409"/>
    <n v="1.1173913043478261"/>
    <n v="-15"/>
    <x v="0"/>
    <n v="239.0625"/>
    <x v="479"/>
    <n v="134550"/>
    <n v="9744"/>
    <n v="4.479216435738175E-3"/>
    <s v="Oct-12"/>
    <x v="22"/>
    <n v="2.3268482490272375"/>
  </r>
  <r>
    <x v="140"/>
    <n v="122"/>
    <x v="0"/>
    <x v="0"/>
    <x v="3"/>
    <x v="59"/>
    <x v="1"/>
    <x v="3"/>
    <x v="6"/>
    <x v="208"/>
    <x v="12"/>
    <x v="3"/>
    <n v="170"/>
    <n v="-60"/>
    <n v="150"/>
    <n v="61"/>
    <x v="12"/>
    <x v="208"/>
    <x v="186"/>
    <x v="410"/>
    <n v="0.71764705882352942"/>
    <n v="-14"/>
    <x v="0"/>
    <n v="-61.233333333333334"/>
    <x v="480"/>
    <n v="-8066"/>
    <n v="2379"/>
    <n v="-1.7407668783815573E-2"/>
    <s v="Oct-12"/>
    <x v="32"/>
    <n v="0.89344262295081966"/>
  </r>
  <r>
    <x v="81"/>
    <n v="260"/>
    <x v="0"/>
    <x v="0"/>
    <x v="3"/>
    <x v="46"/>
    <x v="1"/>
    <x v="3"/>
    <x v="7"/>
    <x v="132"/>
    <x v="162"/>
    <x v="3"/>
    <n v="380"/>
    <n v="470"/>
    <n v="960"/>
    <n v="143"/>
    <x v="162"/>
    <x v="132"/>
    <x v="146"/>
    <x v="21"/>
    <n v="0.68421052631578949"/>
    <n v="-223"/>
    <x v="0"/>
    <n v="469.47446808510637"/>
    <x v="351"/>
    <n v="160550"/>
    <n v="13013"/>
    <n v="4.1758241758241763E-3"/>
    <s v="Oct-12"/>
    <x v="42"/>
    <n v="2.5"/>
  </r>
  <r>
    <x v="4"/>
    <n v="239"/>
    <x v="0"/>
    <x v="0"/>
    <x v="3"/>
    <x v="49"/>
    <x v="1"/>
    <x v="2"/>
    <x v="9"/>
    <x v="173"/>
    <x v="201"/>
    <x v="3"/>
    <n v="210"/>
    <n v="160"/>
    <n v="430"/>
    <n v="90"/>
    <x v="201"/>
    <x v="173"/>
    <x v="187"/>
    <x v="355"/>
    <n v="1.138095238095238"/>
    <n v="-11"/>
    <x v="0"/>
    <n v="159.06874999999999"/>
    <x v="416"/>
    <n v="71222"/>
    <n v="5939.9999999999991"/>
    <n v="4.7229618359325475E-3"/>
    <s v="Oct-12"/>
    <x v="24"/>
    <n v="2"/>
  </r>
  <r>
    <x v="4"/>
    <n v="125"/>
    <x v="0"/>
    <x v="0"/>
    <x v="3"/>
    <x v="47"/>
    <x v="1"/>
    <x v="2"/>
    <x v="8"/>
    <x v="22"/>
    <x v="200"/>
    <x v="3"/>
    <n v="110"/>
    <n v="50"/>
    <n v="270"/>
    <n v="146"/>
    <x v="200"/>
    <x v="22"/>
    <x v="148"/>
    <x v="411"/>
    <n v="1.1363636363636365"/>
    <n v="-23"/>
    <x v="0"/>
    <n v="49.46"/>
    <x v="481"/>
    <n v="8046"/>
    <n v="16498"/>
    <n v="8.018055473065273E-4"/>
    <s v="Oct-12"/>
    <x v="23"/>
    <n v="2.3839999999999999"/>
  </r>
  <r>
    <x v="141"/>
    <n v="108"/>
    <x v="0"/>
    <x v="0"/>
    <x v="3"/>
    <x v="30"/>
    <x v="0"/>
    <x v="0"/>
    <x v="10"/>
    <x v="125"/>
    <x v="165"/>
    <x v="3"/>
    <n v="80"/>
    <n v="120"/>
    <n v="210"/>
    <n v="42"/>
    <x v="165"/>
    <x v="125"/>
    <x v="152"/>
    <x v="157"/>
    <n v="1.35"/>
    <n v="-5"/>
    <x v="0"/>
    <n v="119.04166666666667"/>
    <x v="358"/>
    <n v="30475"/>
    <n v="1260"/>
    <n v="1.4465408805031447E-2"/>
    <s v="Oct-12"/>
    <x v="9"/>
    <n v="2.4537037037037037"/>
  </r>
  <r>
    <x v="4"/>
    <n v="239"/>
    <x v="0"/>
    <x v="0"/>
    <x v="3"/>
    <x v="37"/>
    <x v="0"/>
    <x v="0"/>
    <x v="0"/>
    <x v="209"/>
    <x v="124"/>
    <x v="3"/>
    <n v="190"/>
    <n v="170"/>
    <n v="410"/>
    <n v="95"/>
    <x v="124"/>
    <x v="209"/>
    <x v="151"/>
    <x v="412"/>
    <n v="1.2578947368421052"/>
    <n v="16"/>
    <x v="0"/>
    <n v="168.90588235294118"/>
    <x v="482"/>
    <n v="96720"/>
    <n v="7030"/>
    <n v="4.8336798336798339E-3"/>
    <s v="Oct-12"/>
    <x v="27"/>
    <n v="2.1757322175732217"/>
  </r>
  <r>
    <x v="4"/>
    <n v="123"/>
    <x v="0"/>
    <x v="0"/>
    <x v="3"/>
    <x v="38"/>
    <x v="0"/>
    <x v="1"/>
    <x v="2"/>
    <x v="136"/>
    <x v="125"/>
    <x v="3"/>
    <n v="50"/>
    <n v="80"/>
    <n v="140"/>
    <n v="45"/>
    <x v="125"/>
    <x v="136"/>
    <x v="153"/>
    <x v="301"/>
    <n v="2.46"/>
    <n v="54"/>
    <x v="0"/>
    <n v="78.325000000000003"/>
    <x v="359"/>
    <n v="40468"/>
    <n v="1530"/>
    <n v="1.3050253213868329E-2"/>
    <s v="Oct-12"/>
    <x v="0"/>
    <n v="2.4552845528455283"/>
  </r>
  <r>
    <x v="17"/>
    <n v="43"/>
    <x v="0"/>
    <x v="1"/>
    <x v="3"/>
    <x v="2"/>
    <x v="1"/>
    <x v="3"/>
    <x v="5"/>
    <x v="26"/>
    <x v="2"/>
    <x v="11"/>
    <n v="50"/>
    <n v="80"/>
    <n v="150"/>
    <n v="35"/>
    <x v="2"/>
    <x v="26"/>
    <x v="69"/>
    <x v="413"/>
    <n v="0.86"/>
    <n v="-51"/>
    <x v="0"/>
    <n v="79.637500000000003"/>
    <x v="483"/>
    <n v="3103"/>
    <n v="455"/>
    <n v="2.0848310567936738E-2"/>
    <s v="Oct-12"/>
    <x v="7"/>
    <n v="2.4883720930232558"/>
  </r>
  <r>
    <x v="9"/>
    <n v="79"/>
    <x v="0"/>
    <x v="1"/>
    <x v="3"/>
    <x v="30"/>
    <x v="1"/>
    <x v="3"/>
    <x v="5"/>
    <x v="28"/>
    <x v="79"/>
    <x v="8"/>
    <n v="100"/>
    <n v="120"/>
    <n v="260"/>
    <n v="64"/>
    <x v="79"/>
    <x v="28"/>
    <x v="12"/>
    <x v="119"/>
    <n v="0.79"/>
    <n v="-86"/>
    <x v="0"/>
    <n v="119.71666666666667"/>
    <x v="130"/>
    <n v="6018"/>
    <n v="1920"/>
    <n v="6.4030131826741995E-3"/>
    <s v="Oct-12"/>
    <x v="14"/>
    <n v="2.240506329113924"/>
  </r>
  <r>
    <x v="16"/>
    <n v="96"/>
    <x v="0"/>
    <x v="1"/>
    <x v="3"/>
    <x v="41"/>
    <x v="1"/>
    <x v="3"/>
    <x v="5"/>
    <x v="39"/>
    <x v="127"/>
    <x v="14"/>
    <n v="140"/>
    <n v="100"/>
    <n v="330"/>
    <n v="117"/>
    <x v="127"/>
    <x v="39"/>
    <x v="128"/>
    <x v="253"/>
    <n v="0.68571428571428572"/>
    <n v="-83"/>
    <x v="0"/>
    <n v="99.83"/>
    <x v="305"/>
    <n v="3910"/>
    <n v="10179"/>
    <n v="8.4957521239380316E-4"/>
    <s v="Oct-12"/>
    <x v="28"/>
    <n v="2.3958333333333335"/>
  </r>
  <r>
    <x v="12"/>
    <n v="161"/>
    <x v="0"/>
    <x v="1"/>
    <x v="3"/>
    <x v="48"/>
    <x v="1"/>
    <x v="2"/>
    <x v="4"/>
    <x v="192"/>
    <x v="141"/>
    <x v="11"/>
    <n v="140"/>
    <n v="110"/>
    <n v="290"/>
    <n v="70"/>
    <x v="141"/>
    <x v="192"/>
    <x v="223"/>
    <x v="414"/>
    <n v="1.1499999999999999"/>
    <n v="-19"/>
    <x v="0"/>
    <n v="109.17272727272727"/>
    <x v="484"/>
    <n v="29302"/>
    <n v="3150"/>
    <n v="6.2801932367149756E-3"/>
    <s v="Oct-12"/>
    <x v="19"/>
    <n v="2"/>
  </r>
  <r>
    <x v="56"/>
    <n v="80"/>
    <x v="0"/>
    <x v="1"/>
    <x v="3"/>
    <x v="23"/>
    <x v="1"/>
    <x v="2"/>
    <x v="4"/>
    <x v="21"/>
    <x v="75"/>
    <x v="14"/>
    <n v="60"/>
    <n v="80"/>
    <n v="150"/>
    <n v="46"/>
    <x v="75"/>
    <x v="21"/>
    <x v="4"/>
    <x v="22"/>
    <n v="1.3333333333333333"/>
    <n v="-32"/>
    <x v="0"/>
    <n v="79.400000000000006"/>
    <x v="123"/>
    <n v="8352"/>
    <n v="1104"/>
    <n v="1.1494252873563218E-2"/>
    <s v="Oct-12"/>
    <x v="7"/>
    <n v="2.1749999999999998"/>
  </r>
  <r>
    <x v="17"/>
    <n v="51"/>
    <x v="0"/>
    <x v="1"/>
    <x v="3"/>
    <x v="0"/>
    <x v="1"/>
    <x v="3"/>
    <x v="6"/>
    <x v="0"/>
    <x v="0"/>
    <x v="11"/>
    <n v="70"/>
    <n v="50"/>
    <n v="170"/>
    <n v="76"/>
    <x v="0"/>
    <x v="0"/>
    <x v="0"/>
    <x v="0"/>
    <n v="0.72857142857142854"/>
    <n v="-55"/>
    <x v="0"/>
    <n v="50.1"/>
    <x v="0"/>
    <n v="-610"/>
    <n v="3496"/>
    <n v="-8.9094796863863144E-4"/>
    <s v="Oct-12"/>
    <x v="11"/>
    <n v="2.392156862745098"/>
  </r>
  <r>
    <x v="9"/>
    <n v="65"/>
    <x v="0"/>
    <x v="1"/>
    <x v="3"/>
    <x v="14"/>
    <x v="1"/>
    <x v="3"/>
    <x v="6"/>
    <x v="18"/>
    <x v="64"/>
    <x v="8"/>
    <n v="90"/>
    <n v="90"/>
    <n v="200"/>
    <n v="41"/>
    <x v="64"/>
    <x v="18"/>
    <x v="112"/>
    <x v="263"/>
    <n v="0.72222222222222221"/>
    <n v="-54"/>
    <x v="0"/>
    <n v="89.6"/>
    <x v="485"/>
    <n v="5112"/>
    <n v="820"/>
    <n v="1.2676056338028169E-2"/>
    <s v="Oct-12"/>
    <x v="8"/>
    <n v="2.1846153846153844"/>
  </r>
  <r>
    <x v="17"/>
    <n v="60"/>
    <x v="0"/>
    <x v="1"/>
    <x v="3"/>
    <x v="27"/>
    <x v="1"/>
    <x v="3"/>
    <x v="7"/>
    <x v="6"/>
    <x v="13"/>
    <x v="11"/>
    <n v="80"/>
    <n v="90"/>
    <n v="210"/>
    <n v="63"/>
    <x v="13"/>
    <x v="6"/>
    <x v="49"/>
    <x v="415"/>
    <n v="0.75"/>
    <n v="-69"/>
    <x v="0"/>
    <n v="89.766666666666666"/>
    <x v="486"/>
    <n v="3024"/>
    <n v="1196.9999999999998"/>
    <n v="7.6754385964912285E-3"/>
    <s v="Oct-12"/>
    <x v="11"/>
    <n v="2.4"/>
  </r>
  <r>
    <x v="9"/>
    <n v="47"/>
    <x v="0"/>
    <x v="1"/>
    <x v="3"/>
    <x v="6"/>
    <x v="1"/>
    <x v="3"/>
    <x v="7"/>
    <x v="57"/>
    <x v="6"/>
    <x v="8"/>
    <n v="50"/>
    <n v="80"/>
    <n v="150"/>
    <n v="42"/>
    <x v="6"/>
    <x v="57"/>
    <x v="34"/>
    <x v="416"/>
    <n v="0.94"/>
    <n v="-58"/>
    <x v="0"/>
    <n v="79.724999999999994"/>
    <x v="228"/>
    <n v="2442"/>
    <n v="630"/>
    <n v="1.3213213213213212E-2"/>
    <s v="Oct-12"/>
    <x v="7"/>
    <n v="2.3617021276595747"/>
  </r>
  <r>
    <x v="32"/>
    <n v="68"/>
    <x v="0"/>
    <x v="1"/>
    <x v="3"/>
    <x v="28"/>
    <x v="1"/>
    <x v="3"/>
    <x v="7"/>
    <x v="4"/>
    <x v="230"/>
    <x v="14"/>
    <n v="90"/>
    <n v="110"/>
    <n v="230"/>
    <n v="43"/>
    <x v="230"/>
    <x v="4"/>
    <x v="54"/>
    <x v="126"/>
    <n v="0.75555555555555554"/>
    <n v="-54"/>
    <x v="0"/>
    <n v="109.49090909090908"/>
    <x v="172"/>
    <n v="9352"/>
    <n v="903"/>
    <n v="1.5968063872255488E-2"/>
    <s v="Oct-12"/>
    <x v="11"/>
    <n v="2.4558823529411766"/>
  </r>
  <r>
    <x v="32"/>
    <n v="22"/>
    <x v="0"/>
    <x v="1"/>
    <x v="3"/>
    <x v="7"/>
    <x v="1"/>
    <x v="2"/>
    <x v="9"/>
    <x v="44"/>
    <x v="77"/>
    <x v="14"/>
    <n v="10"/>
    <n v="20"/>
    <n v="30"/>
    <n v="19"/>
    <x v="77"/>
    <x v="44"/>
    <x v="67"/>
    <x v="34"/>
    <n v="2.2000000000000002"/>
    <n v="-10"/>
    <x v="0"/>
    <n v="19.5"/>
    <x v="128"/>
    <n v="510"/>
    <n v="133"/>
    <n v="2.8011204481792718E-2"/>
    <s v="Oct-12"/>
    <x v="12"/>
    <n v="2.3181818181818183"/>
  </r>
  <r>
    <x v="48"/>
    <n v="21"/>
    <x v="0"/>
    <x v="1"/>
    <x v="3"/>
    <x v="35"/>
    <x v="1"/>
    <x v="2"/>
    <x v="8"/>
    <x v="29"/>
    <x v="97"/>
    <x v="7"/>
    <n v="10"/>
    <n v="20"/>
    <n v="30"/>
    <n v="17"/>
    <x v="97"/>
    <x v="29"/>
    <x v="115"/>
    <x v="107"/>
    <n v="2.1"/>
    <n v="-6"/>
    <x v="0"/>
    <n v="19.3"/>
    <x v="259"/>
    <n v="728"/>
    <n v="85"/>
    <n v="5.3846153846153842E-2"/>
    <s v="Oct-12"/>
    <x v="12"/>
    <n v="2.4761904761904763"/>
  </r>
  <r>
    <x v="15"/>
    <n v="103"/>
    <x v="0"/>
    <x v="1"/>
    <x v="3"/>
    <x v="40"/>
    <x v="1"/>
    <x v="2"/>
    <x v="8"/>
    <x v="100"/>
    <x v="126"/>
    <x v="8"/>
    <n v="80"/>
    <n v="110"/>
    <n v="210"/>
    <n v="46"/>
    <x v="126"/>
    <x v="100"/>
    <x v="127"/>
    <x v="252"/>
    <n v="1.2875000000000001"/>
    <n v="-23"/>
    <x v="0"/>
    <n v="109.2090909090909"/>
    <x v="304"/>
    <n v="20532"/>
    <n v="1518"/>
    <n v="1.1171032357473035E-2"/>
    <s v="Oct-12"/>
    <x v="10"/>
    <n v="2.29126213592233"/>
  </r>
  <r>
    <x v="8"/>
    <n v="125"/>
    <x v="0"/>
    <x v="1"/>
    <x v="3"/>
    <x v="47"/>
    <x v="0"/>
    <x v="0"/>
    <x v="10"/>
    <x v="1"/>
    <x v="200"/>
    <x v="7"/>
    <n v="90"/>
    <n v="60"/>
    <n v="240"/>
    <n v="147"/>
    <x v="200"/>
    <x v="1"/>
    <x v="224"/>
    <x v="417"/>
    <n v="1.3888888888888888"/>
    <n v="-34"/>
    <x v="0"/>
    <n v="59.56666666666667"/>
    <x v="487"/>
    <n v="7748"/>
    <n v="16611"/>
    <n v="7.721090455544337E-4"/>
    <s v="Oct-12"/>
    <x v="19"/>
    <n v="2.3839999999999999"/>
  </r>
  <r>
    <x v="32"/>
    <n v="125"/>
    <x v="0"/>
    <x v="1"/>
    <x v="3"/>
    <x v="11"/>
    <x v="0"/>
    <x v="0"/>
    <x v="10"/>
    <x v="125"/>
    <x v="154"/>
    <x v="14"/>
    <n v="90"/>
    <n v="130"/>
    <n v="250"/>
    <n v="73"/>
    <x v="154"/>
    <x v="125"/>
    <x v="142"/>
    <x v="288"/>
    <n v="1.3888888888888888"/>
    <n v="-15"/>
    <x v="0"/>
    <n v="129.11538461538461"/>
    <x v="343"/>
    <n v="35995"/>
    <n v="2993"/>
    <n v="8.9612717213434102E-3"/>
    <s v="Oct-12"/>
    <x v="11"/>
    <n v="2.504"/>
  </r>
  <r>
    <x v="48"/>
    <n v="154"/>
    <x v="0"/>
    <x v="1"/>
    <x v="3"/>
    <x v="52"/>
    <x v="0"/>
    <x v="0"/>
    <x v="0"/>
    <x v="174"/>
    <x v="202"/>
    <x v="7"/>
    <n v="120"/>
    <n v="120"/>
    <n v="290"/>
    <n v="93"/>
    <x v="202"/>
    <x v="174"/>
    <x v="188"/>
    <x v="356"/>
    <n v="1.2833333333333334"/>
    <n v="0"/>
    <x v="0"/>
    <n v="119"/>
    <x v="417"/>
    <n v="44040"/>
    <n v="4650"/>
    <n v="6.5395095367847406E-3"/>
    <s v="Oct-12"/>
    <x v="30"/>
    <n v="2.383116883116883"/>
  </r>
  <r>
    <x v="17"/>
    <n v="90"/>
    <x v="0"/>
    <x v="1"/>
    <x v="3"/>
    <x v="39"/>
    <x v="0"/>
    <x v="0"/>
    <x v="0"/>
    <x v="59"/>
    <x v="17"/>
    <x v="11"/>
    <n v="60"/>
    <n v="90"/>
    <n v="160"/>
    <n v="42"/>
    <x v="17"/>
    <x v="59"/>
    <x v="104"/>
    <x v="313"/>
    <n v="1.5"/>
    <n v="-17"/>
    <x v="0"/>
    <n v="89.188888888888883"/>
    <x v="488"/>
    <n v="14965"/>
    <n v="1218"/>
    <n v="1.2279226240538267E-2"/>
    <s v="Oct-12"/>
    <x v="7"/>
    <n v="2.2777777777777777"/>
  </r>
  <r>
    <x v="48"/>
    <n v="122"/>
    <x v="0"/>
    <x v="1"/>
    <x v="3"/>
    <x v="59"/>
    <x v="0"/>
    <x v="0"/>
    <x v="1"/>
    <x v="124"/>
    <x v="200"/>
    <x v="7"/>
    <n v="90"/>
    <n v="130"/>
    <n v="240"/>
    <n v="62"/>
    <x v="200"/>
    <x v="124"/>
    <x v="144"/>
    <x v="359"/>
    <n v="1.3555555555555556"/>
    <n v="-16"/>
    <x v="0"/>
    <n v="129.12307692307692"/>
    <x v="422"/>
    <n v="33972"/>
    <n v="2418"/>
    <n v="9.8089829633453782E-3"/>
    <s v="Oct-12"/>
    <x v="8"/>
    <n v="2.442622950819672"/>
  </r>
  <r>
    <x v="9"/>
    <n v="86"/>
    <x v="0"/>
    <x v="1"/>
    <x v="3"/>
    <x v="32"/>
    <x v="0"/>
    <x v="0"/>
    <x v="1"/>
    <x v="210"/>
    <x v="12"/>
    <x v="8"/>
    <n v="60"/>
    <n v="0"/>
    <n v="80"/>
    <n v="50"/>
    <x v="12"/>
    <x v="210"/>
    <x v="98"/>
    <x v="418"/>
    <n v="1.4333333333333333"/>
    <n v="-27"/>
    <x v="0"/>
    <e v="#DIV/0!"/>
    <x v="489"/>
    <n v="-2943"/>
    <n v="1300"/>
    <n v="-9.5271700776287938E-3"/>
    <s v="Oct-12"/>
    <x v="6"/>
    <n v="1.2674418604651163"/>
  </r>
  <r>
    <x v="48"/>
    <n v="257"/>
    <x v="0"/>
    <x v="1"/>
    <x v="3"/>
    <x v="60"/>
    <x v="0"/>
    <x v="1"/>
    <x v="2"/>
    <x v="175"/>
    <x v="203"/>
    <x v="7"/>
    <n v="110"/>
    <n v="130"/>
    <n v="290"/>
    <n v="117"/>
    <x v="203"/>
    <x v="175"/>
    <x v="169"/>
    <x v="126"/>
    <n v="2.3363636363636364"/>
    <n v="94"/>
    <x v="0"/>
    <n v="128.27692307692308"/>
    <x v="418"/>
    <n v="133952"/>
    <n v="9828"/>
    <n v="4.459308807134894E-3"/>
    <s v="Oct-12"/>
    <x v="17"/>
    <n v="2.3268482490272375"/>
  </r>
  <r>
    <x v="49"/>
    <n v="21"/>
    <x v="0"/>
    <x v="1"/>
    <x v="3"/>
    <x v="35"/>
    <x v="0"/>
    <x v="1"/>
    <x v="2"/>
    <x v="38"/>
    <x v="112"/>
    <x v="11"/>
    <n v="0"/>
    <n v="20"/>
    <n v="20"/>
    <n v="16"/>
    <x v="112"/>
    <x v="38"/>
    <x v="102"/>
    <x v="220"/>
    <e v="#DIV/0!"/>
    <n v="-4"/>
    <x v="0"/>
    <n v="19.2"/>
    <x v="254"/>
    <n v="848"/>
    <n v="80"/>
    <n v="6.0377358490566038E-2"/>
    <s v="Oct-12"/>
    <x v="4"/>
    <n v="2.5238095238095237"/>
  </r>
  <r>
    <x v="8"/>
    <n v="239"/>
    <x v="0"/>
    <x v="1"/>
    <x v="3"/>
    <x v="49"/>
    <x v="0"/>
    <x v="1"/>
    <x v="11"/>
    <x v="173"/>
    <x v="201"/>
    <x v="7"/>
    <n v="110"/>
    <n v="80"/>
    <n v="230"/>
    <n v="90"/>
    <x v="201"/>
    <x v="173"/>
    <x v="187"/>
    <x v="355"/>
    <n v="2.1727272727272728"/>
    <n v="69"/>
    <x v="0"/>
    <n v="78.137500000000003"/>
    <x v="416"/>
    <n v="71222"/>
    <n v="5939.9999999999991"/>
    <n v="4.7229618359325475E-3"/>
    <s v="Oct-12"/>
    <x v="16"/>
    <n v="2"/>
  </r>
  <r>
    <x v="48"/>
    <n v="255"/>
    <x v="0"/>
    <x v="1"/>
    <x v="3"/>
    <x v="50"/>
    <x v="0"/>
    <x v="1"/>
    <x v="3"/>
    <x v="211"/>
    <x v="231"/>
    <x v="7"/>
    <n v="110"/>
    <n v="-170"/>
    <n v="0"/>
    <n v="129"/>
    <x v="231"/>
    <x v="211"/>
    <x v="150"/>
    <x v="419"/>
    <n v="2.3181818181818183"/>
    <n v="-193"/>
    <x v="0"/>
    <n v="-172.13529411764705"/>
    <x v="490"/>
    <n v="-7623"/>
    <n v="12384"/>
    <n v="-0.18005952380952381"/>
    <s v="Oct-12"/>
    <x v="30"/>
    <n v="8.2352941176470587E-2"/>
  </r>
  <r>
    <x v="9"/>
    <n v="25"/>
    <x v="0"/>
    <x v="1"/>
    <x v="3"/>
    <x v="8"/>
    <x v="0"/>
    <x v="1"/>
    <x v="3"/>
    <x v="55"/>
    <x v="82"/>
    <x v="8"/>
    <n v="0"/>
    <n v="10"/>
    <n v="20"/>
    <n v="43"/>
    <x v="82"/>
    <x v="55"/>
    <x v="103"/>
    <x v="222"/>
    <e v="#DIV/0!"/>
    <n v="-22"/>
    <x v="0"/>
    <n v="11.2"/>
    <x v="257"/>
    <n v="-672"/>
    <n v="387"/>
    <n v="-2.3809523809523808E-2"/>
    <s v="Oct-12"/>
    <x v="12"/>
    <n v="2.2400000000000002"/>
  </r>
  <r>
    <x v="142"/>
    <n v="173"/>
    <x v="1"/>
    <x v="0"/>
    <x v="3"/>
    <x v="63"/>
    <x v="1"/>
    <x v="3"/>
    <x v="5"/>
    <x v="212"/>
    <x v="232"/>
    <x v="3"/>
    <n v="200"/>
    <n v="-130"/>
    <n v="170"/>
    <n v="100"/>
    <x v="232"/>
    <x v="212"/>
    <x v="193"/>
    <x v="420"/>
    <n v="0.86499999999999999"/>
    <n v="3"/>
    <x v="0"/>
    <n v="-130.97692307692307"/>
    <x v="491"/>
    <n v="-18542"/>
    <n v="5700.0000000000009"/>
    <n v="-1.5260754626291756E-2"/>
    <s v="Nov-12"/>
    <x v="43"/>
    <n v="0.84393063583815031"/>
  </r>
  <r>
    <x v="71"/>
    <n v="228"/>
    <x v="1"/>
    <x v="0"/>
    <x v="3"/>
    <x v="64"/>
    <x v="1"/>
    <x v="2"/>
    <x v="4"/>
    <x v="111"/>
    <x v="209"/>
    <x v="3"/>
    <n v="220"/>
    <n v="190"/>
    <n v="510"/>
    <n v="107"/>
    <x v="209"/>
    <x v="111"/>
    <x v="125"/>
    <x v="421"/>
    <n v="1.0363636363636364"/>
    <n v="7"/>
    <x v="0"/>
    <n v="188.96315789473684"/>
    <x v="492"/>
    <n v="104804"/>
    <n v="8025.0000000000009"/>
    <n v="4.9373433583959894E-3"/>
    <s v="Nov-12"/>
    <x v="33"/>
    <n v="2.3333333333333335"/>
  </r>
  <r>
    <x v="37"/>
    <n v="113"/>
    <x v="1"/>
    <x v="0"/>
    <x v="3"/>
    <x v="62"/>
    <x v="1"/>
    <x v="3"/>
    <x v="6"/>
    <x v="213"/>
    <x v="52"/>
    <x v="3"/>
    <n v="130"/>
    <n v="-50"/>
    <n v="130"/>
    <n v="59"/>
    <x v="52"/>
    <x v="213"/>
    <x v="191"/>
    <x v="422"/>
    <n v="0.86923076923076925"/>
    <n v="-6"/>
    <x v="0"/>
    <n v="-51.12"/>
    <x v="493"/>
    <n v="-6496"/>
    <n v="2124"/>
    <n v="-1.3409961685823755E-2"/>
    <s v="Nov-12"/>
    <x v="19"/>
    <n v="1.0265486725663717"/>
  </r>
  <r>
    <x v="138"/>
    <n v="249"/>
    <x v="1"/>
    <x v="0"/>
    <x v="3"/>
    <x v="41"/>
    <x v="1"/>
    <x v="3"/>
    <x v="7"/>
    <x v="214"/>
    <x v="168"/>
    <x v="3"/>
    <n v="290"/>
    <n v="310"/>
    <n v="740"/>
    <n v="139"/>
    <x v="168"/>
    <x v="214"/>
    <x v="225"/>
    <x v="423"/>
    <n v="0.85862068965517246"/>
    <n v="-75"/>
    <x v="0"/>
    <n v="309.24193548387098"/>
    <x v="494"/>
    <n v="146405"/>
    <n v="12093"/>
    <n v="4.3357133632220806E-3"/>
    <s v="Nov-12"/>
    <x v="15"/>
    <n v="2.5020080321285141"/>
  </r>
  <r>
    <x v="143"/>
    <n v="211"/>
    <x v="1"/>
    <x v="0"/>
    <x v="3"/>
    <x v="53"/>
    <x v="1"/>
    <x v="2"/>
    <x v="9"/>
    <x v="113"/>
    <x v="207"/>
    <x v="3"/>
    <n v="200"/>
    <n v="140"/>
    <n v="410"/>
    <n v="83"/>
    <x v="207"/>
    <x v="113"/>
    <x v="157"/>
    <x v="364"/>
    <n v="1.0549999999999999"/>
    <n v="-11"/>
    <x v="0"/>
    <n v="139.07857142857142"/>
    <x v="426"/>
    <n v="54567"/>
    <n v="4897"/>
    <n v="5.1688904916456302E-3"/>
    <s v="Nov-12"/>
    <x v="24"/>
    <n v="2.0047393364928912"/>
  </r>
  <r>
    <x v="140"/>
    <n v="121"/>
    <x v="1"/>
    <x v="0"/>
    <x v="3"/>
    <x v="51"/>
    <x v="1"/>
    <x v="2"/>
    <x v="8"/>
    <x v="1"/>
    <x v="156"/>
    <x v="3"/>
    <n v="110"/>
    <n v="40"/>
    <n v="280"/>
    <n v="142"/>
    <x v="156"/>
    <x v="1"/>
    <x v="155"/>
    <x v="424"/>
    <n v="1.1000000000000001"/>
    <n v="-14"/>
    <x v="0"/>
    <n v="39.35"/>
    <x v="495"/>
    <n v="7514"/>
    <n v="15478"/>
    <n v="8.2537062315482057E-4"/>
    <s v="Nov-12"/>
    <x v="27"/>
    <n v="2.3884297520661155"/>
  </r>
  <r>
    <x v="115"/>
    <n v="81"/>
    <x v="1"/>
    <x v="0"/>
    <x v="3"/>
    <x v="34"/>
    <x v="0"/>
    <x v="0"/>
    <x v="10"/>
    <x v="144"/>
    <x v="172"/>
    <x v="3"/>
    <n v="70"/>
    <n v="80"/>
    <n v="180"/>
    <n v="33"/>
    <x v="172"/>
    <x v="144"/>
    <x v="35"/>
    <x v="279"/>
    <n v="1.1571428571428573"/>
    <n v="4"/>
    <x v="0"/>
    <n v="78.95"/>
    <x v="369"/>
    <n v="16632"/>
    <n v="726"/>
    <n v="1.928374655647383E-2"/>
    <s v="Nov-12"/>
    <x v="10"/>
    <n v="2.4444444444444446"/>
  </r>
  <r>
    <x v="115"/>
    <n v="225"/>
    <x v="1"/>
    <x v="0"/>
    <x v="3"/>
    <x v="42"/>
    <x v="0"/>
    <x v="0"/>
    <x v="0"/>
    <x v="101"/>
    <x v="128"/>
    <x v="3"/>
    <n v="210"/>
    <n v="160"/>
    <n v="450"/>
    <n v="91"/>
    <x v="128"/>
    <x v="101"/>
    <x v="129"/>
    <x v="254"/>
    <n v="1.0714285714285714"/>
    <n v="14"/>
    <x v="0"/>
    <n v="158.91249999999999"/>
    <x v="306"/>
    <n v="85260"/>
    <n v="6279"/>
    <n v="5.1464063886424135E-3"/>
    <s v="Nov-12"/>
    <x v="40"/>
    <n v="2.1777777777777776"/>
  </r>
  <r>
    <x v="115"/>
    <n v="118"/>
    <x v="1"/>
    <x v="0"/>
    <x v="3"/>
    <x v="40"/>
    <x v="0"/>
    <x v="1"/>
    <x v="2"/>
    <x v="179"/>
    <x v="129"/>
    <x v="3"/>
    <n v="80"/>
    <n v="110"/>
    <n v="210"/>
    <n v="44"/>
    <x v="129"/>
    <x v="179"/>
    <x v="192"/>
    <x v="365"/>
    <n v="1.4750000000000001"/>
    <n v="18"/>
    <x v="0"/>
    <n v="108.83636363636364"/>
    <x v="427"/>
    <n v="37120"/>
    <n v="1452"/>
    <n v="1.3375130616509927E-2"/>
    <s v="Nov-12"/>
    <x v="10"/>
    <n v="2.4576271186440679"/>
  </r>
  <r>
    <x v="15"/>
    <n v="82"/>
    <x v="1"/>
    <x v="1"/>
    <x v="3"/>
    <x v="33"/>
    <x v="1"/>
    <x v="3"/>
    <x v="5"/>
    <x v="68"/>
    <x v="106"/>
    <x v="8"/>
    <n v="90"/>
    <n v="60"/>
    <n v="210"/>
    <n v="64"/>
    <x v="106"/>
    <x v="68"/>
    <x v="38"/>
    <x v="197"/>
    <n v="0.91111111111111109"/>
    <n v="-22"/>
    <x v="0"/>
    <n v="59.366666666666667"/>
    <x v="225"/>
    <n v="6992"/>
    <n v="1984"/>
    <n v="6.6619915848527347E-3"/>
    <s v="Nov-12"/>
    <x v="16"/>
    <n v="2.2439024390243905"/>
  </r>
  <r>
    <x v="56"/>
    <n v="94"/>
    <x v="1"/>
    <x v="1"/>
    <x v="3"/>
    <x v="43"/>
    <x v="1"/>
    <x v="3"/>
    <x v="5"/>
    <x v="38"/>
    <x v="134"/>
    <x v="14"/>
    <n v="110"/>
    <n v="40"/>
    <n v="260"/>
    <n v="114"/>
    <x v="134"/>
    <x v="38"/>
    <x v="197"/>
    <x v="370"/>
    <n v="0.8545454545454545"/>
    <n v="-24"/>
    <x v="0"/>
    <n v="39.6"/>
    <x v="433"/>
    <n v="3584"/>
    <n v="9690"/>
    <n v="8.4033613445378145E-4"/>
    <s v="Nov-12"/>
    <x v="23"/>
    <n v="2.3829787234042552"/>
  </r>
  <r>
    <x v="12"/>
    <n v="181"/>
    <x v="1"/>
    <x v="1"/>
    <x v="3"/>
    <x v="52"/>
    <x v="1"/>
    <x v="2"/>
    <x v="4"/>
    <x v="140"/>
    <x v="169"/>
    <x v="11"/>
    <n v="170"/>
    <n v="120"/>
    <n v="350"/>
    <n v="74"/>
    <x v="169"/>
    <x v="140"/>
    <x v="156"/>
    <x v="307"/>
    <n v="1.0647058823529412"/>
    <n v="-12"/>
    <x v="0"/>
    <n v="119.1"/>
    <x v="365"/>
    <n v="39204"/>
    <n v="3699.9999999999995"/>
    <n v="5.9504132231404964E-3"/>
    <s v="Nov-12"/>
    <x v="28"/>
    <n v="2.0055248618784529"/>
  </r>
  <r>
    <x v="15"/>
    <n v="69"/>
    <x v="1"/>
    <x v="1"/>
    <x v="3"/>
    <x v="28"/>
    <x v="1"/>
    <x v="3"/>
    <x v="6"/>
    <x v="40"/>
    <x v="61"/>
    <x v="8"/>
    <n v="80"/>
    <n v="50"/>
    <n v="170"/>
    <n v="42"/>
    <x v="61"/>
    <x v="40"/>
    <x v="54"/>
    <x v="171"/>
    <n v="0.86250000000000004"/>
    <n v="-11"/>
    <x v="0"/>
    <n v="49.22"/>
    <x v="496"/>
    <n v="5850"/>
    <n v="882"/>
    <n v="1.2380952380952381E-2"/>
    <s v="Nov-12"/>
    <x v="11"/>
    <n v="2.1739130434782608"/>
  </r>
  <r>
    <x v="17"/>
    <n v="53"/>
    <x v="1"/>
    <x v="1"/>
    <x v="3"/>
    <x v="1"/>
    <x v="1"/>
    <x v="3"/>
    <x v="7"/>
    <x v="29"/>
    <x v="51"/>
    <x v="11"/>
    <n v="60"/>
    <n v="40"/>
    <n v="150"/>
    <n v="61"/>
    <x v="51"/>
    <x v="29"/>
    <x v="35"/>
    <x v="425"/>
    <n v="0.8833333333333333"/>
    <n v="-26"/>
    <x v="0"/>
    <n v="39.65"/>
    <x v="497"/>
    <n v="1792"/>
    <n v="1037"/>
    <n v="6.4338235294117644E-3"/>
    <s v="Nov-12"/>
    <x v="8"/>
    <n v="2.4150943396226414"/>
  </r>
  <r>
    <x v="16"/>
    <n v="63"/>
    <x v="1"/>
    <x v="1"/>
    <x v="3"/>
    <x v="14"/>
    <x v="1"/>
    <x v="3"/>
    <x v="7"/>
    <x v="35"/>
    <x v="233"/>
    <x v="14"/>
    <n v="70"/>
    <n v="70"/>
    <n v="180"/>
    <n v="43"/>
    <x v="233"/>
    <x v="35"/>
    <x v="112"/>
    <x v="55"/>
    <n v="0.9"/>
    <n v="-20"/>
    <x v="0"/>
    <n v="69.285714285714292"/>
    <x v="498"/>
    <n v="7800"/>
    <n v="860"/>
    <n v="1.6025641025641024E-2"/>
    <s v="Nov-12"/>
    <x v="8"/>
    <n v="2.4761904761904763"/>
  </r>
  <r>
    <x v="8"/>
    <n v="15"/>
    <x v="1"/>
    <x v="1"/>
    <x v="3"/>
    <x v="36"/>
    <x v="1"/>
    <x v="2"/>
    <x v="8"/>
    <x v="76"/>
    <x v="115"/>
    <x v="7"/>
    <n v="10"/>
    <n v="10"/>
    <n v="30"/>
    <n v="15"/>
    <x v="115"/>
    <x v="76"/>
    <x v="121"/>
    <x v="115"/>
    <n v="1.5"/>
    <n v="-1"/>
    <x v="0"/>
    <n v="9.1"/>
    <x v="312"/>
    <n v="351"/>
    <n v="60"/>
    <n v="5.7692307692307696E-2"/>
    <s v="Nov-12"/>
    <x v="5"/>
    <n v="2.6"/>
  </r>
  <r>
    <x v="9"/>
    <n v="101"/>
    <x v="1"/>
    <x v="1"/>
    <x v="3"/>
    <x v="40"/>
    <x v="1"/>
    <x v="2"/>
    <x v="8"/>
    <x v="74"/>
    <x v="133"/>
    <x v="8"/>
    <n v="90"/>
    <n v="90"/>
    <n v="220"/>
    <n v="45"/>
    <x v="133"/>
    <x v="74"/>
    <x v="38"/>
    <x v="259"/>
    <n v="1.1222222222222222"/>
    <n v="-5"/>
    <x v="0"/>
    <n v="89.055555555555557"/>
    <x v="311"/>
    <n v="19635"/>
    <n v="1485"/>
    <n v="1.1150465695920242E-2"/>
    <s v="Nov-12"/>
    <x v="13"/>
    <n v="2.2871287128712869"/>
  </r>
  <r>
    <x v="8"/>
    <n v="121"/>
    <x v="1"/>
    <x v="1"/>
    <x v="3"/>
    <x v="51"/>
    <x v="0"/>
    <x v="0"/>
    <x v="10"/>
    <x v="1"/>
    <x v="156"/>
    <x v="7"/>
    <n v="110"/>
    <n v="20"/>
    <n v="260"/>
    <n v="142"/>
    <x v="156"/>
    <x v="1"/>
    <x v="155"/>
    <x v="424"/>
    <n v="1.1000000000000001"/>
    <n v="6"/>
    <x v="0"/>
    <n v="18.7"/>
    <x v="495"/>
    <n v="7514"/>
    <n v="15478"/>
    <n v="8.2537062315482057E-4"/>
    <s v="Nov-12"/>
    <x v="27"/>
    <n v="2.3884297520661155"/>
  </r>
  <r>
    <x v="32"/>
    <n v="130"/>
    <x v="1"/>
    <x v="1"/>
    <x v="3"/>
    <x v="22"/>
    <x v="0"/>
    <x v="0"/>
    <x v="10"/>
    <x v="126"/>
    <x v="155"/>
    <x v="14"/>
    <n v="120"/>
    <n v="120"/>
    <n v="300"/>
    <n v="73"/>
    <x v="155"/>
    <x v="126"/>
    <x v="143"/>
    <x v="289"/>
    <n v="1.0833333333333333"/>
    <n v="2"/>
    <x v="0"/>
    <n v="118.98333333333333"/>
    <x v="344"/>
    <n v="39650"/>
    <n v="3066"/>
    <n v="8.9377289377289369E-3"/>
    <s v="Nov-12"/>
    <x v="19"/>
    <n v="2.5"/>
  </r>
  <r>
    <x v="48"/>
    <n v="173"/>
    <x v="1"/>
    <x v="1"/>
    <x v="3"/>
    <x v="63"/>
    <x v="0"/>
    <x v="0"/>
    <x v="0"/>
    <x v="215"/>
    <x v="208"/>
    <x v="7"/>
    <n v="160"/>
    <n v="130"/>
    <n v="380"/>
    <n v="101"/>
    <x v="208"/>
    <x v="215"/>
    <x v="226"/>
    <x v="426"/>
    <n v="1.08125"/>
    <n v="8"/>
    <x v="0"/>
    <n v="128.93846153846152"/>
    <x v="499"/>
    <n v="56856"/>
    <n v="5757"/>
    <n v="5.8763413387838527E-3"/>
    <s v="Nov-12"/>
    <x v="34"/>
    <n v="2.3815028901734103"/>
  </r>
  <r>
    <x v="17"/>
    <n v="88"/>
    <x v="1"/>
    <x v="1"/>
    <x v="3"/>
    <x v="39"/>
    <x v="0"/>
    <x v="0"/>
    <x v="0"/>
    <x v="50"/>
    <x v="131"/>
    <x v="11"/>
    <n v="80"/>
    <n v="70"/>
    <n v="180"/>
    <n v="42"/>
    <x v="131"/>
    <x v="50"/>
    <x v="83"/>
    <x v="369"/>
    <n v="1.1000000000000001"/>
    <n v="0"/>
    <x v="0"/>
    <n v="69"/>
    <x v="431"/>
    <n v="14000"/>
    <n v="1218"/>
    <n v="1.2068965517241379E-2"/>
    <s v="Nov-12"/>
    <x v="8"/>
    <n v="2.2727272727272729"/>
  </r>
  <r>
    <x v="48"/>
    <n v="113"/>
    <x v="1"/>
    <x v="1"/>
    <x v="3"/>
    <x v="62"/>
    <x v="0"/>
    <x v="0"/>
    <x v="1"/>
    <x v="120"/>
    <x v="206"/>
    <x v="7"/>
    <n v="100"/>
    <n v="100"/>
    <n v="250"/>
    <n v="58"/>
    <x v="206"/>
    <x v="120"/>
    <x v="198"/>
    <x v="371"/>
    <n v="1.1299999999999999"/>
    <n v="7"/>
    <x v="0"/>
    <n v="98.93"/>
    <x v="434"/>
    <n v="29746"/>
    <n v="2088"/>
    <n v="1.069144684252598E-2"/>
    <s v="Nov-12"/>
    <x v="16"/>
    <n v="2.4601769911504423"/>
  </r>
  <r>
    <x v="48"/>
    <n v="228"/>
    <x v="1"/>
    <x v="1"/>
    <x v="3"/>
    <x v="64"/>
    <x v="0"/>
    <x v="1"/>
    <x v="2"/>
    <x v="181"/>
    <x v="209"/>
    <x v="7"/>
    <n v="160"/>
    <n v="140"/>
    <n v="380"/>
    <n v="108"/>
    <x v="209"/>
    <x v="181"/>
    <x v="194"/>
    <x v="367"/>
    <n v="1.425"/>
    <n v="56"/>
    <x v="0"/>
    <n v="138.6"/>
    <x v="429"/>
    <n v="104272"/>
    <n v="8100"/>
    <n v="4.9122807017543861E-3"/>
    <s v="Nov-12"/>
    <x v="27"/>
    <n v="2.3333333333333335"/>
  </r>
  <r>
    <x v="48"/>
    <n v="211"/>
    <x v="1"/>
    <x v="1"/>
    <x v="3"/>
    <x v="53"/>
    <x v="0"/>
    <x v="1"/>
    <x v="11"/>
    <x v="179"/>
    <x v="207"/>
    <x v="7"/>
    <n v="150"/>
    <n v="80"/>
    <n v="300"/>
    <n v="84"/>
    <x v="207"/>
    <x v="179"/>
    <x v="227"/>
    <x v="427"/>
    <n v="1.4066666666666667"/>
    <n v="48"/>
    <x v="0"/>
    <n v="78.400000000000006"/>
    <x v="500"/>
    <n v="54144"/>
    <n v="4956"/>
    <n v="5.1288215731057421E-3"/>
    <s v="Nov-12"/>
    <x v="23"/>
    <n v="2.0047393364928912"/>
  </r>
  <r>
    <x v="17"/>
    <n v="78"/>
    <x v="1"/>
    <x v="1"/>
    <x v="3"/>
    <x v="26"/>
    <x v="0"/>
    <x v="1"/>
    <x v="11"/>
    <x v="103"/>
    <x v="130"/>
    <x v="11"/>
    <n v="50"/>
    <n v="50"/>
    <n v="140"/>
    <n v="57"/>
    <x v="130"/>
    <x v="103"/>
    <x v="106"/>
    <x v="256"/>
    <n v="1.56"/>
    <n v="12"/>
    <x v="0"/>
    <n v="48.76"/>
    <x v="308"/>
    <n v="12214"/>
    <n v="1425"/>
    <n v="1.2588832487309645E-2"/>
    <s v="Nov-12"/>
    <x v="9"/>
    <n v="2.5256410256410255"/>
  </r>
  <r>
    <x v="48"/>
    <n v="245"/>
    <x v="1"/>
    <x v="1"/>
    <x v="3"/>
    <x v="54"/>
    <x v="0"/>
    <x v="1"/>
    <x v="3"/>
    <x v="216"/>
    <x v="234"/>
    <x v="7"/>
    <n v="180"/>
    <n v="-280"/>
    <n v="0"/>
    <n v="127"/>
    <x v="234"/>
    <x v="216"/>
    <x v="158"/>
    <x v="428"/>
    <n v="1.3611111111111112"/>
    <n v="-60"/>
    <x v="0"/>
    <n v="-281.21428571428572"/>
    <x v="501"/>
    <n v="-10880"/>
    <n v="11811"/>
    <n v="-0.11424731182795698"/>
    <s v="Nov-12"/>
    <x v="29"/>
    <n v="0.1306122448979592"/>
  </r>
  <r>
    <x v="17"/>
    <n v="102"/>
    <x v="1"/>
    <x v="1"/>
    <x v="3"/>
    <x v="33"/>
    <x v="0"/>
    <x v="1"/>
    <x v="3"/>
    <x v="104"/>
    <x v="132"/>
    <x v="11"/>
    <n v="70"/>
    <n v="70"/>
    <n v="170"/>
    <n v="54"/>
    <x v="132"/>
    <x v="104"/>
    <x v="71"/>
    <x v="258"/>
    <n v="1.4571428571428571"/>
    <n v="19"/>
    <x v="0"/>
    <n v="68.728571428571428"/>
    <x v="310"/>
    <n v="21805"/>
    <n v="1674"/>
    <n v="1.1718235681369323E-2"/>
    <s v="Nov-12"/>
    <x v="10"/>
    <n v="2.4019607843137254"/>
  </r>
  <r>
    <x v="139"/>
    <n v="224"/>
    <x v="2"/>
    <x v="0"/>
    <x v="3"/>
    <x v="65"/>
    <x v="1"/>
    <x v="3"/>
    <x v="5"/>
    <x v="217"/>
    <x v="186"/>
    <x v="3"/>
    <n v="260"/>
    <n v="-150"/>
    <n v="220"/>
    <n v="117"/>
    <x v="186"/>
    <x v="217"/>
    <x v="228"/>
    <x v="429"/>
    <n v="0.86153846153846159"/>
    <n v="1"/>
    <x v="0"/>
    <n v="-150.99333333333334"/>
    <x v="502"/>
    <n v="-28608"/>
    <n v="8541"/>
    <n v="-1.0630707762557078E-2"/>
    <s v="Dec-12"/>
    <x v="31"/>
    <n v="0.8571428571428571"/>
  </r>
  <r>
    <x v="64"/>
    <n v="247"/>
    <x v="2"/>
    <x v="0"/>
    <x v="3"/>
    <x v="66"/>
    <x v="1"/>
    <x v="2"/>
    <x v="4"/>
    <x v="185"/>
    <x v="171"/>
    <x v="3"/>
    <n v="240"/>
    <n v="210"/>
    <n v="550"/>
    <n v="113"/>
    <x v="171"/>
    <x v="185"/>
    <x v="202"/>
    <x v="126"/>
    <n v="1.0291666666666666"/>
    <n v="6"/>
    <x v="0"/>
    <n v="208.97142857142856"/>
    <x v="440"/>
    <n v="124416"/>
    <n v="9153"/>
    <n v="4.6296296296296294E-3"/>
    <s v="Dec-12"/>
    <x v="37"/>
    <n v="2.331983805668016"/>
  </r>
  <r>
    <x v="138"/>
    <n v="127"/>
    <x v="2"/>
    <x v="0"/>
    <x v="3"/>
    <x v="19"/>
    <x v="1"/>
    <x v="3"/>
    <x v="6"/>
    <x v="218"/>
    <x v="235"/>
    <x v="3"/>
    <n v="150"/>
    <n v="-90"/>
    <n v="120"/>
    <n v="63"/>
    <x v="235"/>
    <x v="218"/>
    <x v="199"/>
    <x v="430"/>
    <n v="0.84666666666666668"/>
    <n v="2"/>
    <x v="0"/>
    <n v="-90.977777777777774"/>
    <x v="503"/>
    <n v="-8976"/>
    <n v="2520"/>
    <n v="-2.1568627450980395E-2"/>
    <s v="Dec-12"/>
    <x v="32"/>
    <n v="0.80314960629921262"/>
  </r>
  <r>
    <x v="71"/>
    <n v="279"/>
    <x v="2"/>
    <x v="0"/>
    <x v="3"/>
    <x v="55"/>
    <x v="1"/>
    <x v="3"/>
    <x v="7"/>
    <x v="146"/>
    <x v="175"/>
    <x v="3"/>
    <n v="330"/>
    <n v="350"/>
    <n v="830"/>
    <n v="149"/>
    <x v="175"/>
    <x v="146"/>
    <x v="160"/>
    <x v="315"/>
    <n v="0.84545454545454546"/>
    <n v="-79"/>
    <x v="0"/>
    <n v="349.22571428571428"/>
    <x v="374"/>
    <n v="189429"/>
    <n v="14453"/>
    <n v="3.9968732946919754E-3"/>
    <s v="Dec-12"/>
    <x v="44"/>
    <n v="2.5053763440860215"/>
  </r>
  <r>
    <x v="144"/>
    <n v="250"/>
    <x v="2"/>
    <x v="0"/>
    <x v="3"/>
    <x v="57"/>
    <x v="1"/>
    <x v="2"/>
    <x v="9"/>
    <x v="183"/>
    <x v="212"/>
    <x v="3"/>
    <n v="240"/>
    <n v="160"/>
    <n v="480"/>
    <n v="94"/>
    <x v="212"/>
    <x v="183"/>
    <x v="200"/>
    <x v="374"/>
    <n v="1.0416666666666667"/>
    <n v="-3"/>
    <x v="0"/>
    <n v="159.01875000000001"/>
    <x v="438"/>
    <n v="78657"/>
    <n v="6580"/>
    <n v="4.476760764185914E-3"/>
    <s v="Dec-12"/>
    <x v="33"/>
    <n v="2.004"/>
  </r>
  <r>
    <x v="92"/>
    <n v="135"/>
    <x v="2"/>
    <x v="0"/>
    <x v="3"/>
    <x v="56"/>
    <x v="1"/>
    <x v="2"/>
    <x v="8"/>
    <x v="5"/>
    <x v="141"/>
    <x v="3"/>
    <n v="130"/>
    <n v="40"/>
    <n v="310"/>
    <n v="156"/>
    <x v="141"/>
    <x v="5"/>
    <x v="229"/>
    <x v="431"/>
    <n v="1.0384615384615385"/>
    <n v="-9"/>
    <x v="0"/>
    <n v="39.225000000000001"/>
    <x v="504"/>
    <n v="9982"/>
    <n v="19032"/>
    <n v="7.8912534365135933E-4"/>
    <s v="Dec-12"/>
    <x v="24"/>
    <n v="2.3851851851851853"/>
  </r>
  <r>
    <x v="81"/>
    <n v="86"/>
    <x v="2"/>
    <x v="0"/>
    <x v="3"/>
    <x v="23"/>
    <x v="0"/>
    <x v="0"/>
    <x v="10"/>
    <x v="104"/>
    <x v="145"/>
    <x v="3"/>
    <n v="80"/>
    <n v="80"/>
    <n v="190"/>
    <n v="35"/>
    <x v="145"/>
    <x v="104"/>
    <x v="72"/>
    <x v="321"/>
    <n v="1.075"/>
    <n v="9"/>
    <x v="0"/>
    <n v="78.887500000000003"/>
    <x v="381"/>
    <n v="18690"/>
    <n v="840"/>
    <n v="1.7658730158730158E-2"/>
    <s v="Dec-12"/>
    <x v="8"/>
    <n v="2.441860465116279"/>
  </r>
  <r>
    <x v="145"/>
    <n v="241"/>
    <x v="2"/>
    <x v="0"/>
    <x v="3"/>
    <x v="37"/>
    <x v="0"/>
    <x v="0"/>
    <x v="0"/>
    <x v="105"/>
    <x v="135"/>
    <x v="3"/>
    <n v="220"/>
    <n v="170"/>
    <n v="480"/>
    <n v="96"/>
    <x v="135"/>
    <x v="105"/>
    <x v="132"/>
    <x v="261"/>
    <n v="1.0954545454545455"/>
    <n v="18"/>
    <x v="0"/>
    <n v="168.89411764705883"/>
    <x v="314"/>
    <n v="98700"/>
    <n v="7104.0000000000009"/>
    <n v="4.8391248391248384E-3"/>
    <s v="Dec-12"/>
    <x v="22"/>
    <n v="2.1784232365145226"/>
  </r>
  <r>
    <x v="144"/>
    <n v="123"/>
    <x v="2"/>
    <x v="0"/>
    <x v="3"/>
    <x v="38"/>
    <x v="0"/>
    <x v="1"/>
    <x v="2"/>
    <x v="136"/>
    <x v="125"/>
    <x v="3"/>
    <n v="90"/>
    <n v="110"/>
    <n v="220"/>
    <n v="45"/>
    <x v="125"/>
    <x v="136"/>
    <x v="153"/>
    <x v="301"/>
    <n v="1.3666666666666667"/>
    <n v="24"/>
    <x v="0"/>
    <n v="108.78181818181818"/>
    <x v="359"/>
    <n v="40468"/>
    <n v="1530"/>
    <n v="1.3050253213868329E-2"/>
    <s v="Dec-12"/>
    <x v="8"/>
    <n v="2.4552845528455283"/>
  </r>
  <r>
    <x v="9"/>
    <n v="68"/>
    <x v="2"/>
    <x v="1"/>
    <x v="3"/>
    <x v="26"/>
    <x v="1"/>
    <x v="3"/>
    <x v="5"/>
    <x v="1"/>
    <x v="43"/>
    <x v="8"/>
    <n v="80"/>
    <n v="50"/>
    <n v="180"/>
    <n v="59"/>
    <x v="43"/>
    <x v="1"/>
    <x v="0"/>
    <x v="238"/>
    <n v="0.85"/>
    <n v="-24"/>
    <x v="0"/>
    <n v="49.48"/>
    <x v="290"/>
    <n v="3978"/>
    <n v="1475"/>
    <n v="6.7973856209150333E-3"/>
    <s v="Dec-12"/>
    <x v="13"/>
    <n v="2.25"/>
  </r>
  <r>
    <x v="30"/>
    <n v="105"/>
    <x v="2"/>
    <x v="1"/>
    <x v="3"/>
    <x v="44"/>
    <x v="1"/>
    <x v="3"/>
    <x v="5"/>
    <x v="30"/>
    <x v="139"/>
    <x v="14"/>
    <n v="120"/>
    <n v="50"/>
    <n v="290"/>
    <n v="125"/>
    <x v="139"/>
    <x v="30"/>
    <x v="134"/>
    <x v="268"/>
    <n v="0.875"/>
    <n v="-30"/>
    <x v="0"/>
    <n v="49.6"/>
    <x v="322"/>
    <n v="5000"/>
    <n v="11875"/>
    <n v="8.4210526315789467E-4"/>
    <s v="Dec-12"/>
    <x v="27"/>
    <n v="2.3809523809523809"/>
  </r>
  <r>
    <x v="17"/>
    <n v="153"/>
    <x v="2"/>
    <x v="1"/>
    <x v="3"/>
    <x v="22"/>
    <x v="1"/>
    <x v="2"/>
    <x v="4"/>
    <x v="100"/>
    <x v="176"/>
    <x v="11"/>
    <n v="150"/>
    <n v="80"/>
    <n v="290"/>
    <n v="66"/>
    <x v="176"/>
    <x v="100"/>
    <x v="163"/>
    <x v="130"/>
    <n v="1.02"/>
    <n v="7"/>
    <x v="0"/>
    <n v="78.912499999999994"/>
    <x v="377"/>
    <n v="26622"/>
    <n v="2771.9999999999995"/>
    <n v="6.7693744164332402E-3"/>
    <s v="Dec-12"/>
    <x v="32"/>
    <n v="2"/>
  </r>
  <r>
    <x v="56"/>
    <n v="80"/>
    <x v="2"/>
    <x v="1"/>
    <x v="3"/>
    <x v="23"/>
    <x v="1"/>
    <x v="2"/>
    <x v="4"/>
    <x v="94"/>
    <x v="37"/>
    <x v="14"/>
    <n v="70"/>
    <n v="60"/>
    <n v="170"/>
    <n v="45"/>
    <x v="37"/>
    <x v="94"/>
    <x v="61"/>
    <x v="432"/>
    <n v="1.1428571428571428"/>
    <n v="-9"/>
    <x v="0"/>
    <n v="59.15"/>
    <x v="505"/>
    <n v="8976"/>
    <n v="1080"/>
    <n v="1.2073863636363636E-2"/>
    <s v="Dec-12"/>
    <x v="8"/>
    <n v="2.2000000000000002"/>
  </r>
  <r>
    <x v="9"/>
    <n v="63"/>
    <x v="2"/>
    <x v="1"/>
    <x v="3"/>
    <x v="27"/>
    <x v="1"/>
    <x v="3"/>
    <x v="6"/>
    <x v="18"/>
    <x v="44"/>
    <x v="8"/>
    <n v="70"/>
    <n v="50"/>
    <n v="160"/>
    <n v="40"/>
    <x v="44"/>
    <x v="18"/>
    <x v="51"/>
    <x v="58"/>
    <n v="0.9"/>
    <n v="-14"/>
    <x v="0"/>
    <n v="49.28"/>
    <x v="62"/>
    <n v="5004"/>
    <n v="760"/>
    <n v="1.3631200302915562E-2"/>
    <s v="Dec-12"/>
    <x v="8"/>
    <n v="2.2063492063492065"/>
  </r>
  <r>
    <x v="56"/>
    <n v="72"/>
    <x v="2"/>
    <x v="1"/>
    <x v="3"/>
    <x v="4"/>
    <x v="1"/>
    <x v="3"/>
    <x v="7"/>
    <x v="85"/>
    <x v="37"/>
    <x v="14"/>
    <n v="80"/>
    <n v="80"/>
    <n v="200"/>
    <n v="46"/>
    <x v="37"/>
    <x v="85"/>
    <x v="41"/>
    <x v="254"/>
    <n v="0.9"/>
    <n v="-22"/>
    <x v="0"/>
    <n v="79.275000000000006"/>
    <x v="506"/>
    <n v="10208"/>
    <n v="1058"/>
    <n v="1.432806324110672E-2"/>
    <s v="Dec-12"/>
    <x v="11"/>
    <n v="2.4444444444444446"/>
  </r>
  <r>
    <x v="8"/>
    <n v="16"/>
    <x v="2"/>
    <x v="1"/>
    <x v="3"/>
    <x v="36"/>
    <x v="1"/>
    <x v="2"/>
    <x v="8"/>
    <x v="44"/>
    <x v="116"/>
    <x v="7"/>
    <n v="10"/>
    <n v="10"/>
    <n v="30"/>
    <n v="15"/>
    <x v="116"/>
    <x v="44"/>
    <x v="116"/>
    <x v="55"/>
    <n v="1.6"/>
    <n v="0"/>
    <x v="0"/>
    <n v="9"/>
    <x v="190"/>
    <n v="410"/>
    <n v="60"/>
    <n v="6.097560975609756E-2"/>
    <s v="Dec-12"/>
    <x v="5"/>
    <n v="2.5625"/>
  </r>
  <r>
    <x v="9"/>
    <n v="94"/>
    <x v="2"/>
    <x v="1"/>
    <x v="3"/>
    <x v="33"/>
    <x v="1"/>
    <x v="2"/>
    <x v="8"/>
    <x v="61"/>
    <x v="138"/>
    <x v="8"/>
    <n v="90"/>
    <n v="70"/>
    <n v="200"/>
    <n v="43"/>
    <x v="138"/>
    <x v="61"/>
    <x v="52"/>
    <x v="267"/>
    <n v="1.0444444444444445"/>
    <n v="7"/>
    <x v="0"/>
    <n v="68.900000000000006"/>
    <x v="320"/>
    <n v="16478"/>
    <n v="1333"/>
    <n v="1.1606873681037081E-2"/>
    <s v="Dec-12"/>
    <x v="13"/>
    <n v="2.2765957446808511"/>
  </r>
  <r>
    <x v="48"/>
    <n v="135"/>
    <x v="2"/>
    <x v="1"/>
    <x v="3"/>
    <x v="56"/>
    <x v="0"/>
    <x v="0"/>
    <x v="10"/>
    <x v="71"/>
    <x v="141"/>
    <x v="7"/>
    <n v="120"/>
    <n v="30"/>
    <n v="290"/>
    <n v="155"/>
    <x v="141"/>
    <x v="71"/>
    <x v="162"/>
    <x v="433"/>
    <n v="1.125"/>
    <n v="2"/>
    <x v="0"/>
    <n v="28.933333333333334"/>
    <x v="507"/>
    <n v="10304"/>
    <n v="18910"/>
    <n v="8.1458099989817746E-4"/>
    <s v="Dec-12"/>
    <x v="38"/>
    <n v="2.3851851851851853"/>
  </r>
  <r>
    <x v="30"/>
    <n v="115"/>
    <x v="2"/>
    <x v="1"/>
    <x v="3"/>
    <x v="45"/>
    <x v="0"/>
    <x v="0"/>
    <x v="10"/>
    <x v="116"/>
    <x v="156"/>
    <x v="14"/>
    <n v="100"/>
    <n v="110"/>
    <n v="260"/>
    <n v="69"/>
    <x v="156"/>
    <x v="116"/>
    <x v="144"/>
    <x v="290"/>
    <n v="1.1499999999999999"/>
    <n v="-5"/>
    <x v="0"/>
    <n v="109.04545454545455"/>
    <x v="345"/>
    <n v="30345"/>
    <n v="2553"/>
    <n v="9.819508089404282E-3"/>
    <s v="Dec-12"/>
    <x v="16"/>
    <n v="2.5130434782608697"/>
  </r>
  <r>
    <x v="8"/>
    <n v="224"/>
    <x v="2"/>
    <x v="1"/>
    <x v="3"/>
    <x v="65"/>
    <x v="0"/>
    <x v="0"/>
    <x v="0"/>
    <x v="184"/>
    <x v="213"/>
    <x v="7"/>
    <n v="210"/>
    <n v="170"/>
    <n v="490"/>
    <n v="116"/>
    <x v="213"/>
    <x v="184"/>
    <x v="201"/>
    <x v="375"/>
    <n v="1.0666666666666667"/>
    <n v="24"/>
    <x v="0"/>
    <n v="168.85882352941175"/>
    <x v="439"/>
    <n v="103596"/>
    <n v="8468"/>
    <n v="4.9766558924631884E-3"/>
    <s v="Dec-12"/>
    <x v="33"/>
    <n v="2.3839285714285716"/>
  </r>
  <r>
    <x v="49"/>
    <n v="81"/>
    <x v="2"/>
    <x v="1"/>
    <x v="3"/>
    <x v="32"/>
    <x v="0"/>
    <x v="0"/>
    <x v="0"/>
    <x v="107"/>
    <x v="86"/>
    <x v="11"/>
    <n v="70"/>
    <n v="70"/>
    <n v="170"/>
    <n v="38"/>
    <x v="86"/>
    <x v="107"/>
    <x v="63"/>
    <x v="264"/>
    <n v="1.1571428571428573"/>
    <n v="-4"/>
    <x v="0"/>
    <n v="69.057142857142864"/>
    <x v="317"/>
    <n v="12210"/>
    <n v="988"/>
    <n v="1.372141372141372E-2"/>
    <s v="Dec-12"/>
    <x v="10"/>
    <n v="2.2839506172839505"/>
  </r>
  <r>
    <x v="8"/>
    <n v="127"/>
    <x v="2"/>
    <x v="1"/>
    <x v="3"/>
    <x v="19"/>
    <x v="0"/>
    <x v="0"/>
    <x v="1"/>
    <x v="126"/>
    <x v="211"/>
    <x v="7"/>
    <n v="120"/>
    <n v="120"/>
    <n v="290"/>
    <n v="63"/>
    <x v="211"/>
    <x v="126"/>
    <x v="199"/>
    <x v="373"/>
    <n v="1.0583333333333333"/>
    <n v="2"/>
    <x v="0"/>
    <n v="118.98333333333333"/>
    <x v="437"/>
    <n v="38064"/>
    <n v="2520"/>
    <n v="9.7756410256410256E-3"/>
    <s v="Dec-12"/>
    <x v="30"/>
    <n v="2.4566929133858268"/>
  </r>
  <r>
    <x v="48"/>
    <n v="247"/>
    <x v="2"/>
    <x v="1"/>
    <x v="3"/>
    <x v="66"/>
    <x v="0"/>
    <x v="1"/>
    <x v="2"/>
    <x v="219"/>
    <x v="171"/>
    <x v="7"/>
    <n v="180"/>
    <n v="150"/>
    <n v="420"/>
    <n v="114"/>
    <x v="171"/>
    <x v="219"/>
    <x v="230"/>
    <x v="434"/>
    <n v="1.3722222222222222"/>
    <n v="65"/>
    <x v="0"/>
    <n v="148.56666666666666"/>
    <x v="508"/>
    <n v="123840"/>
    <n v="9234"/>
    <n v="4.6081961591220846E-3"/>
    <s v="Dec-12"/>
    <x v="24"/>
    <n v="2.331983805668016"/>
  </r>
  <r>
    <x v="48"/>
    <n v="250"/>
    <x v="2"/>
    <x v="1"/>
    <x v="3"/>
    <x v="57"/>
    <x v="0"/>
    <x v="1"/>
    <x v="11"/>
    <x v="183"/>
    <x v="212"/>
    <x v="7"/>
    <n v="180"/>
    <n v="100"/>
    <n v="360"/>
    <n v="94"/>
    <x v="212"/>
    <x v="183"/>
    <x v="200"/>
    <x v="374"/>
    <n v="1.3888888888888888"/>
    <n v="57"/>
    <x v="0"/>
    <n v="98.43"/>
    <x v="438"/>
    <n v="78657"/>
    <n v="6580"/>
    <n v="4.476760764185914E-3"/>
    <s v="Dec-12"/>
    <x v="38"/>
    <n v="2.004"/>
  </r>
  <r>
    <x v="17"/>
    <n v="88"/>
    <x v="2"/>
    <x v="1"/>
    <x v="3"/>
    <x v="39"/>
    <x v="0"/>
    <x v="1"/>
    <x v="11"/>
    <x v="59"/>
    <x v="136"/>
    <x v="11"/>
    <n v="60"/>
    <n v="60"/>
    <n v="160"/>
    <n v="60"/>
    <x v="136"/>
    <x v="59"/>
    <x v="159"/>
    <x v="313"/>
    <n v="1.4666666666666666"/>
    <n v="13"/>
    <x v="0"/>
    <n v="58.783333333333331"/>
    <x v="372"/>
    <n v="16133"/>
    <n v="1740"/>
    <n v="1.1390232485567172E-2"/>
    <s v="Dec-12"/>
    <x v="10"/>
    <n v="2.5113636363636362"/>
  </r>
  <r>
    <x v="8"/>
    <n v="294"/>
    <x v="2"/>
    <x v="1"/>
    <x v="3"/>
    <x v="58"/>
    <x v="0"/>
    <x v="1"/>
    <x v="3"/>
    <x v="220"/>
    <x v="236"/>
    <x v="7"/>
    <n v="210"/>
    <n v="-320"/>
    <n v="0"/>
    <n v="145"/>
    <x v="236"/>
    <x v="220"/>
    <x v="231"/>
    <x v="435"/>
    <n v="1.4"/>
    <n v="-88"/>
    <x v="0"/>
    <n v="-321.27499999999998"/>
    <x v="509"/>
    <n v="-12648"/>
    <n v="16095"/>
    <n v="-0.11857018308631212"/>
    <s v="Dec-12"/>
    <x v="33"/>
    <n v="0.10544217687074831"/>
  </r>
  <r>
    <x v="12"/>
    <n v="134"/>
    <x v="2"/>
    <x v="1"/>
    <x v="3"/>
    <x v="11"/>
    <x v="0"/>
    <x v="1"/>
    <x v="3"/>
    <x v="109"/>
    <x v="137"/>
    <x v="11"/>
    <n v="90"/>
    <n v="100"/>
    <n v="230"/>
    <n v="65"/>
    <x v="137"/>
    <x v="109"/>
    <x v="133"/>
    <x v="266"/>
    <n v="1.4888888888888889"/>
    <n v="21"/>
    <x v="0"/>
    <n v="98.79"/>
    <x v="319"/>
    <n v="38720"/>
    <n v="2665"/>
    <n v="9.2225609756097556E-3"/>
    <s v="Dec-12"/>
    <x v="13"/>
    <n v="2.3880597014925371"/>
  </r>
  <r>
    <x v="9"/>
    <n v="20"/>
    <x v="2"/>
    <x v="1"/>
    <x v="3"/>
    <x v="7"/>
    <x v="0"/>
    <x v="1"/>
    <x v="3"/>
    <x v="108"/>
    <x v="117"/>
    <x v="8"/>
    <n v="10"/>
    <n v="0"/>
    <n v="30"/>
    <n v="40"/>
    <x v="117"/>
    <x v="108"/>
    <x v="64"/>
    <x v="265"/>
    <n v="2"/>
    <n v="-15"/>
    <x v="0"/>
    <e v="#DIV/0!"/>
    <x v="318"/>
    <n v="-675"/>
    <n v="280"/>
    <n v="-4.7619047619047616E-2"/>
    <s v="Dec-12"/>
    <x v="3"/>
    <n v="2.25"/>
  </r>
  <r>
    <x v="73"/>
    <n v="154"/>
    <x v="3"/>
    <x v="0"/>
    <x v="3"/>
    <x v="52"/>
    <x v="1"/>
    <x v="3"/>
    <x v="5"/>
    <x v="221"/>
    <x v="44"/>
    <x v="3"/>
    <n v="220"/>
    <n v="-100"/>
    <n v="190"/>
    <n v="93"/>
    <x v="44"/>
    <x v="221"/>
    <x v="232"/>
    <x v="436"/>
    <n v="0.7"/>
    <n v="-74"/>
    <x v="0"/>
    <n v="-101.74"/>
    <x v="510"/>
    <n v="-24186"/>
    <n v="4650"/>
    <n v="-2.5035971223021581E-2"/>
    <s v="Oct-13"/>
    <x v="40"/>
    <n v="0.90259740259740262"/>
  </r>
  <r>
    <x v="145"/>
    <n v="257"/>
    <x v="3"/>
    <x v="0"/>
    <x v="3"/>
    <x v="60"/>
    <x v="1"/>
    <x v="2"/>
    <x v="4"/>
    <x v="222"/>
    <x v="219"/>
    <x v="3"/>
    <n v="230"/>
    <n v="240"/>
    <n v="550"/>
    <n v="116"/>
    <x v="219"/>
    <x v="222"/>
    <x v="233"/>
    <x v="437"/>
    <n v="1.1173913043478261"/>
    <n v="94"/>
    <x v="0"/>
    <n v="238.60833333333332"/>
    <x v="511"/>
    <n v="212758"/>
    <n v="9744"/>
    <n v="6.2420572624654258E-3"/>
    <s v="Oct-13"/>
    <x v="22"/>
    <n v="2.4785992217898833"/>
  </r>
  <r>
    <x v="142"/>
    <n v="122"/>
    <x v="3"/>
    <x v="0"/>
    <x v="3"/>
    <x v="59"/>
    <x v="1"/>
    <x v="3"/>
    <x v="6"/>
    <x v="223"/>
    <x v="52"/>
    <x v="3"/>
    <n v="170"/>
    <n v="-60"/>
    <n v="150"/>
    <n v="61"/>
    <x v="52"/>
    <x v="223"/>
    <x v="234"/>
    <x v="438"/>
    <n v="0.71764705882352942"/>
    <n v="-50"/>
    <x v="0"/>
    <n v="-61.833333333333336"/>
    <x v="512"/>
    <n v="-12760"/>
    <n v="2379"/>
    <n v="-2.4314765694076042E-2"/>
    <s v="Oct-13"/>
    <x v="32"/>
    <n v="0.95081967213114749"/>
  </r>
  <r>
    <x v="140"/>
    <n v="260"/>
    <x v="3"/>
    <x v="0"/>
    <x v="3"/>
    <x v="46"/>
    <x v="1"/>
    <x v="3"/>
    <x v="7"/>
    <x v="152"/>
    <x v="181"/>
    <x v="3"/>
    <n v="380"/>
    <n v="470"/>
    <n v="960"/>
    <n v="143"/>
    <x v="181"/>
    <x v="152"/>
    <x v="167"/>
    <x v="324"/>
    <n v="0.68421052631578949"/>
    <n v="-103"/>
    <x v="1"/>
    <n v="469.2191489361702"/>
    <x v="384"/>
    <n v="254331"/>
    <n v="13013"/>
    <n v="5.8195772481486763E-3"/>
    <s v="Oct-13"/>
    <x v="42"/>
    <n v="2.6653846153846152"/>
  </r>
  <r>
    <x v="139"/>
    <n v="239"/>
    <x v="3"/>
    <x v="0"/>
    <x v="3"/>
    <x v="49"/>
    <x v="1"/>
    <x v="2"/>
    <x v="9"/>
    <x v="189"/>
    <x v="217"/>
    <x v="3"/>
    <n v="210"/>
    <n v="160"/>
    <n v="430"/>
    <n v="90"/>
    <x v="217"/>
    <x v="189"/>
    <x v="205"/>
    <x v="382"/>
    <n v="1.138095238095238"/>
    <n v="61"/>
    <x v="0"/>
    <n v="158.61875000000001"/>
    <x v="448"/>
    <n v="112489"/>
    <n v="5940"/>
    <n v="6.578555694469251E-3"/>
    <s v="Oct-13"/>
    <x v="24"/>
    <n v="2.1297071129707112"/>
  </r>
  <r>
    <x v="75"/>
    <n v="125"/>
    <x v="3"/>
    <x v="0"/>
    <x v="3"/>
    <x v="47"/>
    <x v="1"/>
    <x v="2"/>
    <x v="8"/>
    <x v="54"/>
    <x v="216"/>
    <x v="3"/>
    <n v="110"/>
    <n v="50"/>
    <n v="270"/>
    <n v="146"/>
    <x v="216"/>
    <x v="54"/>
    <x v="235"/>
    <x v="439"/>
    <n v="1.1363636363636365"/>
    <n v="-10"/>
    <x v="0"/>
    <n v="49.2"/>
    <x v="513"/>
    <n v="12720"/>
    <n v="16498"/>
    <n v="1.1131518895753326E-3"/>
    <s v="Oct-13"/>
    <x v="23"/>
    <n v="2.544"/>
  </r>
  <r>
    <x v="146"/>
    <n v="108"/>
    <x v="3"/>
    <x v="0"/>
    <x v="3"/>
    <x v="30"/>
    <x v="0"/>
    <x v="0"/>
    <x v="10"/>
    <x v="127"/>
    <x v="185"/>
    <x v="3"/>
    <n v="80"/>
    <n v="120"/>
    <n v="210"/>
    <n v="42"/>
    <x v="185"/>
    <x v="127"/>
    <x v="54"/>
    <x v="331"/>
    <n v="1.35"/>
    <n v="51"/>
    <x v="0"/>
    <n v="118.575"/>
    <x v="390"/>
    <n v="48222"/>
    <n v="1260"/>
    <n v="2.021276595744681E-2"/>
    <s v="Oct-13"/>
    <x v="9"/>
    <n v="2.6111111111111112"/>
  </r>
  <r>
    <x v="138"/>
    <n v="239"/>
    <x v="3"/>
    <x v="0"/>
    <x v="3"/>
    <x v="37"/>
    <x v="0"/>
    <x v="0"/>
    <x v="0"/>
    <x v="224"/>
    <x v="140"/>
    <x v="3"/>
    <n v="190"/>
    <n v="170"/>
    <n v="410"/>
    <n v="95"/>
    <x v="140"/>
    <x v="224"/>
    <x v="235"/>
    <x v="440"/>
    <n v="1.2578947368421052"/>
    <n v="106"/>
    <x v="0"/>
    <n v="168.37647058823529"/>
    <x v="514"/>
    <n v="152904"/>
    <n v="7030"/>
    <n v="6.7323641330861552E-3"/>
    <s v="Oct-13"/>
    <x v="27"/>
    <n v="2.3179916317991633"/>
  </r>
  <r>
    <x v="147"/>
    <n v="123"/>
    <x v="3"/>
    <x v="0"/>
    <x v="3"/>
    <x v="38"/>
    <x v="0"/>
    <x v="1"/>
    <x v="2"/>
    <x v="158"/>
    <x v="141"/>
    <x v="3"/>
    <n v="50"/>
    <n v="80"/>
    <n v="140"/>
    <n v="45"/>
    <x v="141"/>
    <x v="158"/>
    <x v="49"/>
    <x v="332"/>
    <n v="2.46"/>
    <n v="119"/>
    <x v="0"/>
    <n v="77.512500000000003"/>
    <x v="391"/>
    <n v="64078"/>
    <n v="1530"/>
    <n v="1.8176835951772011E-2"/>
    <s v="Oct-13"/>
    <x v="0"/>
    <n v="2.6178861788617884"/>
  </r>
  <r>
    <x v="17"/>
    <n v="43"/>
    <x v="3"/>
    <x v="1"/>
    <x v="3"/>
    <x v="2"/>
    <x v="1"/>
    <x v="3"/>
    <x v="5"/>
    <x v="58"/>
    <x v="11"/>
    <x v="11"/>
    <n v="50"/>
    <n v="80"/>
    <n v="150"/>
    <n v="35"/>
    <x v="11"/>
    <x v="58"/>
    <x v="37"/>
    <x v="441"/>
    <n v="0.86"/>
    <n v="-37"/>
    <x v="0"/>
    <n v="79.462500000000006"/>
    <x v="515"/>
    <n v="4902"/>
    <n v="455"/>
    <n v="2.9014844804318488E-2"/>
    <s v="Oct-13"/>
    <x v="7"/>
    <n v="2.6511627906976742"/>
  </r>
  <r>
    <x v="9"/>
    <n v="79"/>
    <x v="3"/>
    <x v="1"/>
    <x v="3"/>
    <x v="30"/>
    <x v="1"/>
    <x v="3"/>
    <x v="5"/>
    <x v="35"/>
    <x v="90"/>
    <x v="8"/>
    <n v="100"/>
    <n v="120"/>
    <n v="260"/>
    <n v="64"/>
    <x v="90"/>
    <x v="35"/>
    <x v="92"/>
    <x v="142"/>
    <n v="0.79"/>
    <n v="-70"/>
    <x v="0"/>
    <n v="119.58333333333333"/>
    <x v="161"/>
    <n v="9450"/>
    <n v="1920"/>
    <n v="8.8183421516754863E-3"/>
    <s v="Oct-13"/>
    <x v="14"/>
    <n v="2.3924050632911391"/>
  </r>
  <r>
    <x v="32"/>
    <n v="96"/>
    <x v="3"/>
    <x v="1"/>
    <x v="3"/>
    <x v="41"/>
    <x v="1"/>
    <x v="3"/>
    <x v="5"/>
    <x v="65"/>
    <x v="132"/>
    <x v="14"/>
    <n v="140"/>
    <n v="100"/>
    <n v="330"/>
    <n v="117"/>
    <x v="132"/>
    <x v="65"/>
    <x v="136"/>
    <x v="273"/>
    <n v="0.68571428571428572"/>
    <n v="-75"/>
    <x v="0"/>
    <n v="99.75"/>
    <x v="89"/>
    <n v="6125"/>
    <n v="10179"/>
    <n v="1.1728829462819611E-3"/>
    <s v="Oct-13"/>
    <x v="28"/>
    <n v="2.5520833333333335"/>
  </r>
  <r>
    <x v="12"/>
    <n v="161"/>
    <x v="3"/>
    <x v="1"/>
    <x v="3"/>
    <x v="48"/>
    <x v="1"/>
    <x v="2"/>
    <x v="4"/>
    <x v="225"/>
    <x v="182"/>
    <x v="11"/>
    <n v="140"/>
    <n v="110"/>
    <n v="290"/>
    <n v="70"/>
    <x v="182"/>
    <x v="225"/>
    <x v="197"/>
    <x v="7"/>
    <n v="1.1499999999999999"/>
    <n v="25"/>
    <x v="0"/>
    <n v="108.77272727272727"/>
    <x v="516"/>
    <n v="46305"/>
    <n v="3150"/>
    <n v="8.7463556851311956E-3"/>
    <s v="Oct-13"/>
    <x v="19"/>
    <n v="2.1304347826086958"/>
  </r>
  <r>
    <x v="78"/>
    <n v="80"/>
    <x v="3"/>
    <x v="1"/>
    <x v="3"/>
    <x v="23"/>
    <x v="1"/>
    <x v="2"/>
    <x v="4"/>
    <x v="53"/>
    <x v="86"/>
    <x v="14"/>
    <n v="60"/>
    <n v="80"/>
    <n v="150"/>
    <n v="46"/>
    <x v="86"/>
    <x v="53"/>
    <x v="35"/>
    <x v="139"/>
    <n v="1.3333333333333333"/>
    <n v="-9"/>
    <x v="0"/>
    <n v="79.112499999999997"/>
    <x v="154"/>
    <n v="13135"/>
    <n v="1104"/>
    <n v="1.5990990990990991E-2"/>
    <s v="Oct-13"/>
    <x v="7"/>
    <n v="2.3125"/>
  </r>
  <r>
    <x v="12"/>
    <n v="51"/>
    <x v="3"/>
    <x v="1"/>
    <x v="3"/>
    <x v="0"/>
    <x v="1"/>
    <x v="3"/>
    <x v="6"/>
    <x v="11"/>
    <x v="45"/>
    <x v="11"/>
    <n v="70"/>
    <n v="50"/>
    <n v="170"/>
    <n v="76"/>
    <x v="45"/>
    <x v="11"/>
    <x v="52"/>
    <x v="60"/>
    <n v="0.72857142857142854"/>
    <n v="-57"/>
    <x v="0"/>
    <n v="50.14"/>
    <x v="64"/>
    <n v="-910"/>
    <n v="3496"/>
    <n v="-1.1705685618729098E-3"/>
    <s v="Oct-13"/>
    <x v="11"/>
    <n v="2.5490196078431371"/>
  </r>
  <r>
    <x v="9"/>
    <n v="65"/>
    <x v="3"/>
    <x v="1"/>
    <x v="3"/>
    <x v="14"/>
    <x v="1"/>
    <x v="3"/>
    <x v="6"/>
    <x v="36"/>
    <x v="91"/>
    <x v="8"/>
    <n v="90"/>
    <n v="90"/>
    <n v="200"/>
    <n v="41"/>
    <x v="91"/>
    <x v="36"/>
    <x v="42"/>
    <x v="442"/>
    <n v="0.72222222222222221"/>
    <n v="-37"/>
    <x v="0"/>
    <n v="89.411111111111111"/>
    <x v="517"/>
    <n v="8003"/>
    <n v="820"/>
    <n v="1.7549668874172183E-2"/>
    <s v="Oct-13"/>
    <x v="8"/>
    <n v="2.3230769230769233"/>
  </r>
  <r>
    <x v="12"/>
    <n v="60"/>
    <x v="3"/>
    <x v="1"/>
    <x v="3"/>
    <x v="27"/>
    <x v="1"/>
    <x v="3"/>
    <x v="7"/>
    <x v="5"/>
    <x v="43"/>
    <x v="11"/>
    <n v="80"/>
    <n v="90"/>
    <n v="210"/>
    <n v="63"/>
    <x v="43"/>
    <x v="5"/>
    <x v="43"/>
    <x v="443"/>
    <n v="0.75"/>
    <n v="-59"/>
    <x v="0"/>
    <n v="89.655555555555551"/>
    <x v="518"/>
    <n v="4743"/>
    <n v="1197"/>
    <n v="1.066391468868249E-2"/>
    <s v="Oct-13"/>
    <x v="11"/>
    <n v="2.5499999999999998"/>
  </r>
  <r>
    <x v="9"/>
    <n v="47"/>
    <x v="3"/>
    <x v="1"/>
    <x v="3"/>
    <x v="6"/>
    <x v="1"/>
    <x v="3"/>
    <x v="7"/>
    <x v="9"/>
    <x v="15"/>
    <x v="8"/>
    <n v="50"/>
    <n v="80"/>
    <n v="150"/>
    <n v="42"/>
    <x v="15"/>
    <x v="9"/>
    <x v="58"/>
    <x v="10"/>
    <n v="0.94"/>
    <n v="-47"/>
    <x v="0"/>
    <n v="79.587500000000006"/>
    <x v="519"/>
    <n v="3894"/>
    <n v="630"/>
    <n v="1.864406779661017E-2"/>
    <s v="Oct-13"/>
    <x v="7"/>
    <n v="2.5106382978723403"/>
  </r>
  <r>
    <x v="78"/>
    <n v="68"/>
    <x v="3"/>
    <x v="1"/>
    <x v="3"/>
    <x v="28"/>
    <x v="1"/>
    <x v="3"/>
    <x v="7"/>
    <x v="42"/>
    <x v="237"/>
    <x v="14"/>
    <n v="90"/>
    <n v="110"/>
    <n v="230"/>
    <n v="43"/>
    <x v="237"/>
    <x v="42"/>
    <x v="78"/>
    <x v="384"/>
    <n v="0.75555555555555554"/>
    <n v="-27"/>
    <x v="0"/>
    <n v="109.24545454545455"/>
    <x v="520"/>
    <n v="14774"/>
    <n v="903"/>
    <n v="2.2204387372926699E-2"/>
    <s v="Oct-13"/>
    <x v="11"/>
    <n v="2.6176470588235294"/>
  </r>
  <r>
    <x v="32"/>
    <n v="22"/>
    <x v="3"/>
    <x v="1"/>
    <x v="3"/>
    <x v="7"/>
    <x v="1"/>
    <x v="2"/>
    <x v="9"/>
    <x v="25"/>
    <x v="88"/>
    <x v="14"/>
    <n v="10"/>
    <n v="20"/>
    <n v="30"/>
    <n v="19"/>
    <x v="88"/>
    <x v="25"/>
    <x v="56"/>
    <x v="33"/>
    <n v="2.2000000000000002"/>
    <n v="-5"/>
    <x v="0"/>
    <n v="19.25"/>
    <x v="159"/>
    <n v="810"/>
    <n v="133"/>
    <n v="3.968253968253968E-2"/>
    <s v="Oct-13"/>
    <x v="12"/>
    <n v="2.4545454545454546"/>
  </r>
  <r>
    <x v="8"/>
    <n v="21"/>
    <x v="3"/>
    <x v="1"/>
    <x v="3"/>
    <x v="35"/>
    <x v="1"/>
    <x v="2"/>
    <x v="8"/>
    <x v="6"/>
    <x v="103"/>
    <x v="7"/>
    <n v="10"/>
    <n v="20"/>
    <n v="30"/>
    <n v="17"/>
    <x v="103"/>
    <x v="6"/>
    <x v="119"/>
    <x v="227"/>
    <n v="2.1"/>
    <n v="1"/>
    <x v="0"/>
    <n v="18.95"/>
    <x v="272"/>
    <n v="1155"/>
    <n v="85"/>
    <n v="7.636363636363637E-2"/>
    <s v="Oct-13"/>
    <x v="12"/>
    <n v="2.6190476190476191"/>
  </r>
  <r>
    <x v="9"/>
    <n v="103"/>
    <x v="3"/>
    <x v="1"/>
    <x v="3"/>
    <x v="40"/>
    <x v="1"/>
    <x v="2"/>
    <x v="8"/>
    <x v="113"/>
    <x v="142"/>
    <x v="8"/>
    <n v="80"/>
    <n v="110"/>
    <n v="210"/>
    <n v="46"/>
    <x v="142"/>
    <x v="113"/>
    <x v="43"/>
    <x v="272"/>
    <n v="1.2875000000000001"/>
    <n v="19"/>
    <x v="0"/>
    <n v="108.82727272727273"/>
    <x v="325"/>
    <n v="32379"/>
    <n v="1518"/>
    <n v="1.5574067366896052E-2"/>
    <s v="Oct-13"/>
    <x v="10"/>
    <n v="2.436893203883495"/>
  </r>
  <r>
    <x v="48"/>
    <n v="125"/>
    <x v="3"/>
    <x v="1"/>
    <x v="3"/>
    <x v="47"/>
    <x v="0"/>
    <x v="0"/>
    <x v="10"/>
    <x v="40"/>
    <x v="216"/>
    <x v="7"/>
    <n v="90"/>
    <n v="60"/>
    <n v="240"/>
    <n v="147"/>
    <x v="216"/>
    <x v="40"/>
    <x v="135"/>
    <x v="444"/>
    <n v="1.3888888888888888"/>
    <n v="-21"/>
    <x v="0"/>
    <n v="59.35"/>
    <x v="521"/>
    <n v="12402"/>
    <n v="16611"/>
    <n v="1.0853230923359492E-3"/>
    <s v="Oct-13"/>
    <x v="19"/>
    <n v="2.544"/>
  </r>
  <r>
    <x v="78"/>
    <n v="125"/>
    <x v="3"/>
    <x v="1"/>
    <x v="3"/>
    <x v="11"/>
    <x v="0"/>
    <x v="0"/>
    <x v="10"/>
    <x v="127"/>
    <x v="157"/>
    <x v="14"/>
    <n v="90"/>
    <n v="130"/>
    <n v="250"/>
    <n v="73"/>
    <x v="157"/>
    <x v="127"/>
    <x v="130"/>
    <x v="291"/>
    <n v="1.3888888888888888"/>
    <n v="41"/>
    <x v="0"/>
    <n v="128.6846153846154"/>
    <x v="346"/>
    <n v="57114"/>
    <n v="2993"/>
    <n v="1.2487220680590039E-2"/>
    <s v="Oct-13"/>
    <x v="11"/>
    <n v="2.6720000000000002"/>
  </r>
  <r>
    <x v="8"/>
    <n v="154"/>
    <x v="3"/>
    <x v="1"/>
    <x v="3"/>
    <x v="52"/>
    <x v="0"/>
    <x v="0"/>
    <x v="0"/>
    <x v="190"/>
    <x v="218"/>
    <x v="7"/>
    <n v="120"/>
    <n v="120"/>
    <n v="290"/>
    <n v="93"/>
    <x v="218"/>
    <x v="190"/>
    <x v="128"/>
    <x v="383"/>
    <n v="1.2833333333333334"/>
    <n v="58"/>
    <x v="0"/>
    <n v="118.51666666666667"/>
    <x v="449"/>
    <n v="69598"/>
    <n v="4650"/>
    <n v="9.1048593350383632E-3"/>
    <s v="Oct-13"/>
    <x v="30"/>
    <n v="2.5389610389610389"/>
  </r>
  <r>
    <x v="49"/>
    <n v="90"/>
    <x v="3"/>
    <x v="1"/>
    <x v="3"/>
    <x v="39"/>
    <x v="0"/>
    <x v="0"/>
    <x v="0"/>
    <x v="140"/>
    <x v="18"/>
    <x v="11"/>
    <n v="60"/>
    <n v="90"/>
    <n v="160"/>
    <n v="42"/>
    <x v="18"/>
    <x v="140"/>
    <x v="60"/>
    <x v="344"/>
    <n v="1.5"/>
    <n v="18"/>
    <x v="0"/>
    <n v="88.8"/>
    <x v="522"/>
    <n v="23544"/>
    <n v="1218"/>
    <n v="1.7083201518506803E-2"/>
    <s v="Oct-13"/>
    <x v="7"/>
    <n v="2.4222222222222221"/>
  </r>
  <r>
    <x v="8"/>
    <n v="122"/>
    <x v="3"/>
    <x v="1"/>
    <x v="3"/>
    <x v="59"/>
    <x v="0"/>
    <x v="0"/>
    <x v="1"/>
    <x v="193"/>
    <x v="216"/>
    <x v="7"/>
    <n v="90"/>
    <n v="130"/>
    <n v="240"/>
    <n v="62"/>
    <x v="216"/>
    <x v="193"/>
    <x v="127"/>
    <x v="386"/>
    <n v="1.3555555555555556"/>
    <n v="39"/>
    <x v="0"/>
    <n v="128.69999999999999"/>
    <x v="454"/>
    <n v="53742"/>
    <n v="2418"/>
    <n v="1.3626834381551363E-2"/>
    <s v="Oct-13"/>
    <x v="8"/>
    <n v="2.6065573770491803"/>
  </r>
  <r>
    <x v="9"/>
    <n v="86"/>
    <x v="3"/>
    <x v="1"/>
    <x v="3"/>
    <x v="32"/>
    <x v="0"/>
    <x v="0"/>
    <x v="1"/>
    <x v="226"/>
    <x v="52"/>
    <x v="8"/>
    <n v="60"/>
    <n v="0"/>
    <n v="80"/>
    <n v="50"/>
    <x v="52"/>
    <x v="226"/>
    <x v="71"/>
    <x v="445"/>
    <n v="1.4333333333333333"/>
    <n v="-40"/>
    <x v="0"/>
    <e v="#DIV/0!"/>
    <x v="523"/>
    <n v="-4640"/>
    <n v="1300"/>
    <n v="-1.3262599469496022E-2"/>
    <s v="Oct-13"/>
    <x v="6"/>
    <n v="1.3488372093023255"/>
  </r>
  <r>
    <x v="8"/>
    <n v="257"/>
    <x v="3"/>
    <x v="1"/>
    <x v="3"/>
    <x v="60"/>
    <x v="0"/>
    <x v="1"/>
    <x v="2"/>
    <x v="191"/>
    <x v="219"/>
    <x v="7"/>
    <n v="110"/>
    <n v="130"/>
    <n v="290"/>
    <n v="117"/>
    <x v="219"/>
    <x v="191"/>
    <x v="206"/>
    <x v="384"/>
    <n v="2.3363636363636364"/>
    <n v="202"/>
    <x v="0"/>
    <n v="127.44615384615385"/>
    <x v="450"/>
    <n v="211484"/>
    <n v="9828"/>
    <n v="6.2046796740674297E-3"/>
    <s v="Oct-13"/>
    <x v="17"/>
    <n v="2.4785992217898833"/>
  </r>
  <r>
    <x v="17"/>
    <n v="21"/>
    <x v="3"/>
    <x v="1"/>
    <x v="3"/>
    <x v="35"/>
    <x v="0"/>
    <x v="1"/>
    <x v="2"/>
    <x v="10"/>
    <x v="82"/>
    <x v="11"/>
    <n v="0"/>
    <n v="20"/>
    <n v="20"/>
    <n v="16"/>
    <x v="82"/>
    <x v="10"/>
    <x v="118"/>
    <x v="224"/>
    <e v="#DIV/0!"/>
    <n v="4"/>
    <x v="0"/>
    <n v="18.8"/>
    <x v="268"/>
    <n v="1344"/>
    <n v="80"/>
    <n v="8.5714285714285715E-2"/>
    <s v="Oct-13"/>
    <x v="4"/>
    <n v="2.6666666666666665"/>
  </r>
  <r>
    <x v="8"/>
    <n v="239"/>
    <x v="3"/>
    <x v="1"/>
    <x v="3"/>
    <x v="49"/>
    <x v="0"/>
    <x v="1"/>
    <x v="11"/>
    <x v="189"/>
    <x v="217"/>
    <x v="7"/>
    <n v="110"/>
    <n v="80"/>
    <n v="230"/>
    <n v="90"/>
    <x v="217"/>
    <x v="189"/>
    <x v="205"/>
    <x v="382"/>
    <n v="2.1727272727272728"/>
    <n v="141"/>
    <x v="0"/>
    <n v="77.237499999999997"/>
    <x v="448"/>
    <n v="112489"/>
    <n v="5940"/>
    <n v="6.578555694469251E-3"/>
    <s v="Oct-13"/>
    <x v="16"/>
    <n v="2.1297071129707112"/>
  </r>
  <r>
    <x v="48"/>
    <n v="255"/>
    <x v="3"/>
    <x v="1"/>
    <x v="3"/>
    <x v="50"/>
    <x v="0"/>
    <x v="1"/>
    <x v="3"/>
    <x v="227"/>
    <x v="238"/>
    <x v="7"/>
    <n v="110"/>
    <n v="-170"/>
    <n v="0"/>
    <n v="129"/>
    <x v="238"/>
    <x v="227"/>
    <x v="236"/>
    <x v="446"/>
    <n v="2.3181818181818183"/>
    <n v="-369"/>
    <x v="0"/>
    <n v="-173.1705882352941"/>
    <x v="524"/>
    <n v="-11858"/>
    <n v="12384"/>
    <n v="-0.25520833333333331"/>
    <s v="Oct-13"/>
    <x v="30"/>
    <n v="8.6274509803921567E-2"/>
  </r>
  <r>
    <x v="9"/>
    <n v="25"/>
    <x v="3"/>
    <x v="1"/>
    <x v="3"/>
    <x v="8"/>
    <x v="0"/>
    <x v="1"/>
    <x v="3"/>
    <x v="90"/>
    <x v="94"/>
    <x v="8"/>
    <n v="0"/>
    <n v="10"/>
    <n v="20"/>
    <n v="43"/>
    <x v="94"/>
    <x v="90"/>
    <x v="69"/>
    <x v="226"/>
    <e v="#DIV/0!"/>
    <n v="-28"/>
    <x v="0"/>
    <n v="11.8"/>
    <x v="271"/>
    <n v="-1080"/>
    <n v="387"/>
    <n v="-3.3333333333333333E-2"/>
    <s v="Oct-13"/>
    <x v="12"/>
    <n v="2.4"/>
  </r>
  <r>
    <x v="81"/>
    <n v="173"/>
    <x v="4"/>
    <x v="0"/>
    <x v="3"/>
    <x v="63"/>
    <x v="1"/>
    <x v="3"/>
    <x v="5"/>
    <x v="228"/>
    <x v="233"/>
    <x v="3"/>
    <n v="200"/>
    <n v="-130"/>
    <n v="170"/>
    <n v="100"/>
    <x v="233"/>
    <x v="228"/>
    <x v="200"/>
    <x v="447"/>
    <n v="0.86499999999999999"/>
    <n v="-58"/>
    <x v="0"/>
    <n v="-131.44615384615383"/>
    <x v="525"/>
    <n v="-29328"/>
    <n v="5700"/>
    <n v="-2.1142600089968513E-2"/>
    <s v="Nov-13"/>
    <x v="43"/>
    <n v="0.90173410404624277"/>
  </r>
  <r>
    <x v="115"/>
    <n v="228"/>
    <x v="4"/>
    <x v="0"/>
    <x v="3"/>
    <x v="64"/>
    <x v="1"/>
    <x v="2"/>
    <x v="4"/>
    <x v="229"/>
    <x v="205"/>
    <x v="3"/>
    <n v="220"/>
    <n v="190"/>
    <n v="510"/>
    <n v="107"/>
    <x v="205"/>
    <x v="229"/>
    <x v="237"/>
    <x v="448"/>
    <n v="1.0363636363636364"/>
    <n v="102"/>
    <x v="0"/>
    <n v="188.46315789473684"/>
    <x v="526"/>
    <n v="165564"/>
    <n v="8025"/>
    <n v="6.8665490887713111E-3"/>
    <s v="Nov-13"/>
    <x v="33"/>
    <n v="2.486842105263158"/>
  </r>
  <r>
    <x v="144"/>
    <n v="113"/>
    <x v="4"/>
    <x v="0"/>
    <x v="3"/>
    <x v="62"/>
    <x v="1"/>
    <x v="3"/>
    <x v="6"/>
    <x v="230"/>
    <x v="21"/>
    <x v="3"/>
    <n v="130"/>
    <n v="-50"/>
    <n v="130"/>
    <n v="59"/>
    <x v="21"/>
    <x v="230"/>
    <x v="238"/>
    <x v="449"/>
    <n v="0.86923076923076925"/>
    <n v="-33"/>
    <x v="0"/>
    <n v="-51.66"/>
    <x v="527"/>
    <n v="-10292"/>
    <n v="2124"/>
    <n v="-1.8593189964157705E-2"/>
    <s v="Nov-13"/>
    <x v="19"/>
    <n v="1.0973451327433628"/>
  </r>
  <r>
    <x v="115"/>
    <n v="249"/>
    <x v="4"/>
    <x v="0"/>
    <x v="3"/>
    <x v="41"/>
    <x v="1"/>
    <x v="3"/>
    <x v="7"/>
    <x v="231"/>
    <x v="188"/>
    <x v="3"/>
    <n v="290"/>
    <n v="310"/>
    <n v="740"/>
    <n v="139"/>
    <x v="188"/>
    <x v="231"/>
    <x v="239"/>
    <x v="450"/>
    <n v="0.85862068965517246"/>
    <n v="39"/>
    <x v="0"/>
    <n v="308.8741935483871"/>
    <x v="528"/>
    <n v="231736"/>
    <n v="12093.000000000002"/>
    <n v="6.041407007339703E-3"/>
    <s v="Nov-13"/>
    <x v="15"/>
    <n v="2.6666666666666665"/>
  </r>
  <r>
    <x v="138"/>
    <n v="211"/>
    <x v="4"/>
    <x v="0"/>
    <x v="3"/>
    <x v="53"/>
    <x v="1"/>
    <x v="2"/>
    <x v="9"/>
    <x v="156"/>
    <x v="223"/>
    <x v="3"/>
    <n v="200"/>
    <n v="140"/>
    <n v="410"/>
    <n v="83"/>
    <x v="223"/>
    <x v="156"/>
    <x v="209"/>
    <x v="390"/>
    <n v="1.0549999999999999"/>
    <n v="51"/>
    <x v="0"/>
    <n v="138.63571428571427"/>
    <x v="459"/>
    <n v="86141"/>
    <n v="4897"/>
    <n v="7.1780224735991573E-3"/>
    <s v="Nov-13"/>
    <x v="24"/>
    <n v="2.1374407582938391"/>
  </r>
  <r>
    <x v="144"/>
    <n v="121"/>
    <x v="4"/>
    <x v="0"/>
    <x v="3"/>
    <x v="51"/>
    <x v="1"/>
    <x v="2"/>
    <x v="8"/>
    <x v="40"/>
    <x v="159"/>
    <x v="3"/>
    <n v="110"/>
    <n v="40"/>
    <n v="280"/>
    <n v="142"/>
    <x v="159"/>
    <x v="40"/>
    <x v="240"/>
    <x v="451"/>
    <n v="1.1000000000000001"/>
    <n v="-1"/>
    <x v="0"/>
    <n v="39.024999999999999"/>
    <x v="529"/>
    <n v="12012"/>
    <n v="15478"/>
    <n v="1.1616823543429049E-3"/>
    <s v="Nov-13"/>
    <x v="27"/>
    <n v="2.5454545454545454"/>
  </r>
  <r>
    <x v="86"/>
    <n v="81"/>
    <x v="4"/>
    <x v="0"/>
    <x v="3"/>
    <x v="34"/>
    <x v="0"/>
    <x v="0"/>
    <x v="10"/>
    <x v="166"/>
    <x v="192"/>
    <x v="3"/>
    <n v="70"/>
    <n v="80"/>
    <n v="180"/>
    <n v="33"/>
    <x v="192"/>
    <x v="166"/>
    <x v="32"/>
    <x v="341"/>
    <n v="1.1571428571428573"/>
    <n v="45"/>
    <x v="0"/>
    <n v="78.4375"/>
    <x v="401"/>
    <n v="26375"/>
    <n v="726"/>
    <n v="2.6928048255062471E-2"/>
    <s v="Nov-13"/>
    <x v="10"/>
    <n v="2.6049382716049383"/>
  </r>
  <r>
    <x v="45"/>
    <n v="225"/>
    <x v="4"/>
    <x v="0"/>
    <x v="3"/>
    <x v="42"/>
    <x v="0"/>
    <x v="0"/>
    <x v="0"/>
    <x v="114"/>
    <x v="143"/>
    <x v="3"/>
    <n v="210"/>
    <n v="160"/>
    <n v="450"/>
    <n v="91"/>
    <x v="143"/>
    <x v="114"/>
    <x v="137"/>
    <x v="274"/>
    <n v="1.0714285714285714"/>
    <n v="98"/>
    <x v="0"/>
    <n v="158.38749999999999"/>
    <x v="326"/>
    <n v="134676"/>
    <n v="6279"/>
    <n v="7.1630851241046151E-3"/>
    <s v="Nov-13"/>
    <x v="40"/>
    <n v="2.3199999999999998"/>
  </r>
  <r>
    <x v="75"/>
    <n v="118"/>
    <x v="4"/>
    <x v="0"/>
    <x v="3"/>
    <x v="40"/>
    <x v="0"/>
    <x v="1"/>
    <x v="2"/>
    <x v="195"/>
    <x v="144"/>
    <x v="3"/>
    <n v="80"/>
    <n v="110"/>
    <n v="210"/>
    <n v="44"/>
    <x v="144"/>
    <x v="195"/>
    <x v="63"/>
    <x v="391"/>
    <n v="1.4750000000000001"/>
    <n v="80"/>
    <x v="0"/>
    <n v="108.27272727272727"/>
    <x v="460"/>
    <n v="58710"/>
    <n v="1452"/>
    <n v="1.8632931254290479E-2"/>
    <s v="Nov-13"/>
    <x v="10"/>
    <n v="2.6186440677966103"/>
  </r>
  <r>
    <x v="9"/>
    <n v="82"/>
    <x v="4"/>
    <x v="1"/>
    <x v="3"/>
    <x v="33"/>
    <x v="1"/>
    <x v="3"/>
    <x v="5"/>
    <x v="4"/>
    <x v="109"/>
    <x v="8"/>
    <n v="90"/>
    <n v="60"/>
    <n v="210"/>
    <n v="64"/>
    <x v="109"/>
    <x v="4"/>
    <x v="65"/>
    <x v="213"/>
    <n v="0.91111111111111109"/>
    <n v="-4"/>
    <x v="0"/>
    <n v="59.06666666666667"/>
    <x v="245"/>
    <n v="10976"/>
    <n v="1984"/>
    <n v="9.2165898617511521E-3"/>
    <s v="Nov-13"/>
    <x v="16"/>
    <n v="2.3902439024390243"/>
  </r>
  <r>
    <x v="30"/>
    <n v="94"/>
    <x v="4"/>
    <x v="1"/>
    <x v="3"/>
    <x v="43"/>
    <x v="1"/>
    <x v="3"/>
    <x v="5"/>
    <x v="10"/>
    <x v="149"/>
    <x v="14"/>
    <n v="110"/>
    <n v="40"/>
    <n v="260"/>
    <n v="114"/>
    <x v="149"/>
    <x v="10"/>
    <x v="213"/>
    <x v="396"/>
    <n v="0.8545454545454545"/>
    <n v="-16"/>
    <x v="0"/>
    <n v="39.4"/>
    <x v="466"/>
    <n v="5736"/>
    <n v="9690"/>
    <n v="1.1813930593157764E-3"/>
    <s v="Nov-13"/>
    <x v="23"/>
    <n v="2.5425531914893615"/>
  </r>
  <r>
    <x v="17"/>
    <n v="181"/>
    <x v="4"/>
    <x v="1"/>
    <x v="3"/>
    <x v="52"/>
    <x v="1"/>
    <x v="2"/>
    <x v="4"/>
    <x v="162"/>
    <x v="189"/>
    <x v="11"/>
    <n v="170"/>
    <n v="120"/>
    <n v="350"/>
    <n v="74"/>
    <x v="189"/>
    <x v="162"/>
    <x v="177"/>
    <x v="220"/>
    <n v="1.0647058823529412"/>
    <n v="40"/>
    <x v="0"/>
    <n v="118.66666666666667"/>
    <x v="397"/>
    <n v="61920"/>
    <n v="3700"/>
    <n v="8.2687338501292E-3"/>
    <s v="Nov-13"/>
    <x v="28"/>
    <n v="2.1381215469613259"/>
  </r>
  <r>
    <x v="9"/>
    <n v="69"/>
    <x v="4"/>
    <x v="1"/>
    <x v="3"/>
    <x v="28"/>
    <x v="1"/>
    <x v="3"/>
    <x v="6"/>
    <x v="85"/>
    <x v="42"/>
    <x v="8"/>
    <n v="80"/>
    <n v="50"/>
    <n v="170"/>
    <n v="42"/>
    <x v="42"/>
    <x v="85"/>
    <x v="81"/>
    <x v="452"/>
    <n v="0.86250000000000004"/>
    <n v="8"/>
    <x v="0"/>
    <n v="48.84"/>
    <x v="530"/>
    <n v="9280"/>
    <n v="882"/>
    <n v="1.7261904761904763E-2"/>
    <s v="Nov-13"/>
    <x v="11"/>
    <n v="2.318840579710145"/>
  </r>
  <r>
    <x v="49"/>
    <n v="53"/>
    <x v="4"/>
    <x v="1"/>
    <x v="3"/>
    <x v="1"/>
    <x v="1"/>
    <x v="3"/>
    <x v="7"/>
    <x v="6"/>
    <x v="239"/>
    <x v="11"/>
    <n v="60"/>
    <n v="40"/>
    <n v="150"/>
    <n v="61"/>
    <x v="239"/>
    <x v="6"/>
    <x v="14"/>
    <x v="453"/>
    <n v="0.8833333333333333"/>
    <n v="-19"/>
    <x v="0"/>
    <n v="39.475000000000001"/>
    <x v="531"/>
    <n v="2856"/>
    <n v="1037"/>
    <n v="9.0830449826989623E-3"/>
    <s v="Nov-13"/>
    <x v="8"/>
    <n v="2.5660377358490565"/>
  </r>
  <r>
    <x v="56"/>
    <n v="63"/>
    <x v="4"/>
    <x v="1"/>
    <x v="3"/>
    <x v="14"/>
    <x v="1"/>
    <x v="3"/>
    <x v="7"/>
    <x v="62"/>
    <x v="240"/>
    <x v="14"/>
    <n v="70"/>
    <n v="70"/>
    <n v="180"/>
    <n v="43"/>
    <x v="240"/>
    <x v="62"/>
    <x v="36"/>
    <x v="454"/>
    <n v="0.9"/>
    <n v="4"/>
    <x v="0"/>
    <n v="68.942857142857136"/>
    <x v="532"/>
    <n v="12284"/>
    <n v="860"/>
    <n v="2.2289156626506025E-2"/>
    <s v="Nov-13"/>
    <x v="8"/>
    <n v="2.6349206349206349"/>
  </r>
  <r>
    <x v="8"/>
    <n v="15"/>
    <x v="4"/>
    <x v="1"/>
    <x v="3"/>
    <x v="36"/>
    <x v="1"/>
    <x v="2"/>
    <x v="8"/>
    <x v="32"/>
    <x v="120"/>
    <x v="7"/>
    <n v="10"/>
    <n v="10"/>
    <n v="30"/>
    <n v="15"/>
    <x v="120"/>
    <x v="32"/>
    <x v="122"/>
    <x v="170"/>
    <n v="1.5"/>
    <n v="3"/>
    <x v="0"/>
    <n v="8.6999999999999993"/>
    <x v="332"/>
    <n v="546"/>
    <n v="60"/>
    <n v="7.7380952380952384E-2"/>
    <s v="Nov-13"/>
    <x v="5"/>
    <n v="2.8"/>
  </r>
  <r>
    <x v="15"/>
    <n v="101"/>
    <x v="4"/>
    <x v="1"/>
    <x v="3"/>
    <x v="40"/>
    <x v="1"/>
    <x v="2"/>
    <x v="8"/>
    <x v="118"/>
    <x v="148"/>
    <x v="8"/>
    <n v="90"/>
    <n v="90"/>
    <n v="220"/>
    <n v="45"/>
    <x v="148"/>
    <x v="118"/>
    <x v="24"/>
    <x v="279"/>
    <n v="1.1222222222222222"/>
    <n v="36"/>
    <x v="0"/>
    <n v="88.6"/>
    <x v="331"/>
    <n v="30996"/>
    <n v="1485"/>
    <n v="1.5521064301552107E-2"/>
    <s v="Nov-13"/>
    <x v="13"/>
    <n v="2.4356435643564356"/>
  </r>
  <r>
    <x v="48"/>
    <n v="121"/>
    <x v="4"/>
    <x v="1"/>
    <x v="3"/>
    <x v="51"/>
    <x v="0"/>
    <x v="0"/>
    <x v="10"/>
    <x v="40"/>
    <x v="159"/>
    <x v="7"/>
    <n v="110"/>
    <n v="20"/>
    <n v="260"/>
    <n v="142"/>
    <x v="159"/>
    <x v="40"/>
    <x v="240"/>
    <x v="451"/>
    <n v="1.1000000000000001"/>
    <n v="19"/>
    <x v="0"/>
    <n v="18.05"/>
    <x v="529"/>
    <n v="12012"/>
    <n v="15478"/>
    <n v="1.1616823543429049E-3"/>
    <s v="Nov-13"/>
    <x v="27"/>
    <n v="2.5454545454545454"/>
  </r>
  <r>
    <x v="32"/>
    <n v="130"/>
    <x v="4"/>
    <x v="1"/>
    <x v="3"/>
    <x v="22"/>
    <x v="0"/>
    <x v="0"/>
    <x v="10"/>
    <x v="128"/>
    <x v="158"/>
    <x v="14"/>
    <n v="120"/>
    <n v="120"/>
    <n v="300"/>
    <n v="73"/>
    <x v="158"/>
    <x v="128"/>
    <x v="145"/>
    <x v="292"/>
    <n v="1.0833333333333333"/>
    <n v="61"/>
    <x v="0"/>
    <n v="118.49166666666666"/>
    <x v="347"/>
    <n v="62626"/>
    <n v="3066"/>
    <n v="1.2455271125791357E-2"/>
    <s v="Nov-13"/>
    <x v="19"/>
    <n v="2.6615384615384614"/>
  </r>
  <r>
    <x v="48"/>
    <n v="173"/>
    <x v="4"/>
    <x v="1"/>
    <x v="3"/>
    <x v="63"/>
    <x v="0"/>
    <x v="0"/>
    <x v="0"/>
    <x v="232"/>
    <x v="224"/>
    <x v="7"/>
    <n v="160"/>
    <n v="130"/>
    <n v="380"/>
    <n v="101"/>
    <x v="224"/>
    <x v="232"/>
    <x v="241"/>
    <x v="455"/>
    <n v="1.08125"/>
    <n v="75"/>
    <x v="0"/>
    <n v="128.42307692307693"/>
    <x v="533"/>
    <n v="89995"/>
    <n v="5757"/>
    <n v="8.1924629341006278E-3"/>
    <s v="Nov-13"/>
    <x v="34"/>
    <n v="2.5375722543352599"/>
  </r>
  <r>
    <x v="49"/>
    <n v="88"/>
    <x v="4"/>
    <x v="1"/>
    <x v="3"/>
    <x v="39"/>
    <x v="0"/>
    <x v="0"/>
    <x v="0"/>
    <x v="199"/>
    <x v="146"/>
    <x v="11"/>
    <n v="80"/>
    <n v="70"/>
    <n v="180"/>
    <n v="42"/>
    <x v="146"/>
    <x v="199"/>
    <x v="26"/>
    <x v="395"/>
    <n v="1.1000000000000001"/>
    <n v="34"/>
    <x v="0"/>
    <n v="68.51428571428572"/>
    <x v="464"/>
    <n v="22152"/>
    <n v="1218"/>
    <n v="1.6836652096486968E-2"/>
    <s v="Nov-13"/>
    <x v="8"/>
    <n v="2.4204545454545454"/>
  </r>
  <r>
    <x v="8"/>
    <n v="113"/>
    <x v="4"/>
    <x v="1"/>
    <x v="3"/>
    <x v="62"/>
    <x v="0"/>
    <x v="0"/>
    <x v="1"/>
    <x v="198"/>
    <x v="222"/>
    <x v="7"/>
    <n v="100"/>
    <n v="100"/>
    <n v="250"/>
    <n v="58"/>
    <x v="222"/>
    <x v="198"/>
    <x v="52"/>
    <x v="397"/>
    <n v="1.1299999999999999"/>
    <n v="59"/>
    <x v="0"/>
    <n v="98.41"/>
    <x v="467"/>
    <n v="47064"/>
    <n v="2088"/>
    <n v="1.4921171171171171E-2"/>
    <s v="Nov-13"/>
    <x v="16"/>
    <n v="2.6194690265486726"/>
  </r>
  <r>
    <x v="8"/>
    <n v="228"/>
    <x v="4"/>
    <x v="1"/>
    <x v="3"/>
    <x v="64"/>
    <x v="0"/>
    <x v="1"/>
    <x v="2"/>
    <x v="197"/>
    <x v="205"/>
    <x v="7"/>
    <n v="160"/>
    <n v="140"/>
    <n v="380"/>
    <n v="108"/>
    <x v="205"/>
    <x v="197"/>
    <x v="211"/>
    <x v="393"/>
    <n v="1.425"/>
    <n v="151"/>
    <x v="0"/>
    <n v="137.92142857142858"/>
    <x v="462"/>
    <n v="164997"/>
    <n v="8100"/>
    <n v="6.8430335097001763E-3"/>
    <s v="Nov-13"/>
    <x v="27"/>
    <n v="2.486842105263158"/>
  </r>
  <r>
    <x v="48"/>
    <n v="211"/>
    <x v="4"/>
    <x v="1"/>
    <x v="3"/>
    <x v="53"/>
    <x v="0"/>
    <x v="1"/>
    <x v="11"/>
    <x v="195"/>
    <x v="223"/>
    <x v="7"/>
    <n v="150"/>
    <n v="80"/>
    <n v="300"/>
    <n v="84"/>
    <x v="223"/>
    <x v="195"/>
    <x v="242"/>
    <x v="456"/>
    <n v="1.4066666666666667"/>
    <n v="110"/>
    <x v="0"/>
    <n v="77.625"/>
    <x v="534"/>
    <n v="85690"/>
    <n v="4956"/>
    <n v="7.1404412041038744E-3"/>
    <s v="Nov-13"/>
    <x v="23"/>
    <n v="2.1374407582938391"/>
  </r>
  <r>
    <x v="12"/>
    <n v="78"/>
    <x v="4"/>
    <x v="1"/>
    <x v="3"/>
    <x v="26"/>
    <x v="0"/>
    <x v="1"/>
    <x v="11"/>
    <x v="115"/>
    <x v="145"/>
    <x v="11"/>
    <n v="50"/>
    <n v="50"/>
    <n v="140"/>
    <n v="57"/>
    <x v="145"/>
    <x v="115"/>
    <x v="41"/>
    <x v="276"/>
    <n v="1.56"/>
    <n v="42"/>
    <x v="0"/>
    <n v="48.16"/>
    <x v="328"/>
    <n v="19320"/>
    <n v="1425"/>
    <n v="1.7523809523809525E-2"/>
    <s v="Nov-13"/>
    <x v="9"/>
    <n v="2.6923076923076925"/>
  </r>
  <r>
    <x v="8"/>
    <n v="245"/>
    <x v="4"/>
    <x v="1"/>
    <x v="3"/>
    <x v="54"/>
    <x v="0"/>
    <x v="1"/>
    <x v="3"/>
    <x v="233"/>
    <x v="241"/>
    <x v="7"/>
    <n v="180"/>
    <n v="-280"/>
    <n v="0"/>
    <n v="127"/>
    <x v="241"/>
    <x v="233"/>
    <x v="243"/>
    <x v="457"/>
    <n v="1.3611111111111112"/>
    <n v="-225"/>
    <x v="0"/>
    <n v="-281.80357142857144"/>
    <x v="535"/>
    <n v="-17170"/>
    <n v="11811"/>
    <n v="-0.15970904490828589"/>
    <s v="Nov-13"/>
    <x v="29"/>
    <n v="0.13877551020408163"/>
  </r>
  <r>
    <x v="17"/>
    <n v="102"/>
    <x v="4"/>
    <x v="1"/>
    <x v="3"/>
    <x v="33"/>
    <x v="0"/>
    <x v="1"/>
    <x v="3"/>
    <x v="117"/>
    <x v="147"/>
    <x v="11"/>
    <n v="70"/>
    <n v="70"/>
    <n v="170"/>
    <n v="54"/>
    <x v="147"/>
    <x v="117"/>
    <x v="111"/>
    <x v="278"/>
    <n v="1.4571428571428571"/>
    <n v="62"/>
    <x v="0"/>
    <n v="68.114285714285714"/>
    <x v="330"/>
    <n v="34452"/>
    <n v="1674"/>
    <n v="1.6314423433444566E-2"/>
    <s v="Nov-13"/>
    <x v="10"/>
    <n v="2.5588235294117645"/>
  </r>
  <r>
    <x v="138"/>
    <n v="224"/>
    <x v="5"/>
    <x v="0"/>
    <x v="3"/>
    <x v="65"/>
    <x v="1"/>
    <x v="3"/>
    <x v="5"/>
    <x v="234"/>
    <x v="17"/>
    <x v="3"/>
    <n v="260"/>
    <n v="-150"/>
    <n v="220"/>
    <n v="117"/>
    <x v="17"/>
    <x v="234"/>
    <x v="244"/>
    <x v="458"/>
    <n v="0.86153846153846159"/>
    <n v="-71"/>
    <x v="0"/>
    <n v="-151.47333333333333"/>
    <x v="536"/>
    <n v="-45305"/>
    <n v="8541"/>
    <n v="-1.4767791513531574E-2"/>
    <s v="Dec-13"/>
    <x v="31"/>
    <n v="0.9151785714285714"/>
  </r>
  <r>
    <x v="64"/>
    <n v="247"/>
    <x v="5"/>
    <x v="0"/>
    <x v="3"/>
    <x v="66"/>
    <x v="1"/>
    <x v="2"/>
    <x v="4"/>
    <x v="204"/>
    <x v="191"/>
    <x v="3"/>
    <n v="240"/>
    <n v="210"/>
    <n v="550"/>
    <n v="113"/>
    <x v="191"/>
    <x v="204"/>
    <x v="218"/>
    <x v="403"/>
    <n v="1.0291666666666666"/>
    <n v="111"/>
    <x v="0"/>
    <n v="208.47142857142856"/>
    <x v="473"/>
    <n v="197094"/>
    <n v="9153"/>
    <n v="6.4543370732295813E-3"/>
    <s v="Dec-13"/>
    <x v="37"/>
    <n v="2.4858299595141702"/>
  </r>
  <r>
    <x v="64"/>
    <n v="127"/>
    <x v="5"/>
    <x v="0"/>
    <x v="3"/>
    <x v="19"/>
    <x v="1"/>
    <x v="3"/>
    <x v="6"/>
    <x v="235"/>
    <x v="12"/>
    <x v="3"/>
    <n v="150"/>
    <n v="-90"/>
    <n v="120"/>
    <n v="63"/>
    <x v="12"/>
    <x v="235"/>
    <x v="245"/>
    <x v="459"/>
    <n v="0.84666666666666668"/>
    <n v="-41"/>
    <x v="0"/>
    <n v="-91.455555555555549"/>
    <x v="537"/>
    <n v="-14279"/>
    <n v="2520"/>
    <n v="-3.0045871559633026E-2"/>
    <s v="Dec-13"/>
    <x v="32"/>
    <n v="0.8582677165354331"/>
  </r>
  <r>
    <x v="92"/>
    <n v="279"/>
    <x v="5"/>
    <x v="0"/>
    <x v="3"/>
    <x v="55"/>
    <x v="1"/>
    <x v="3"/>
    <x v="7"/>
    <x v="168"/>
    <x v="195"/>
    <x v="3"/>
    <n v="330"/>
    <n v="350"/>
    <n v="830"/>
    <n v="149"/>
    <x v="195"/>
    <x v="168"/>
    <x v="181"/>
    <x v="346"/>
    <n v="0.84545454545454546"/>
    <n v="52"/>
    <x v="1"/>
    <n v="348.85142857142858"/>
    <x v="406"/>
    <n v="299490"/>
    <n v="14452.999999999998"/>
    <n v="5.5628589220231102E-3"/>
    <s v="Dec-13"/>
    <x v="44"/>
    <n v="2.6702508960573477"/>
  </r>
  <r>
    <x v="148"/>
    <n v="250"/>
    <x v="5"/>
    <x v="0"/>
    <x v="3"/>
    <x v="57"/>
    <x v="1"/>
    <x v="2"/>
    <x v="9"/>
    <x v="202"/>
    <x v="213"/>
    <x v="3"/>
    <n v="240"/>
    <n v="160"/>
    <n v="480"/>
    <n v="94"/>
    <x v="213"/>
    <x v="202"/>
    <x v="216"/>
    <x v="401"/>
    <n v="1.0416666666666667"/>
    <n v="73"/>
    <x v="0"/>
    <n v="158.54374999999999"/>
    <x v="471"/>
    <n v="124422"/>
    <n v="6580"/>
    <n v="6.2332798287854469E-3"/>
    <s v="Dec-13"/>
    <x v="33"/>
    <n v="2.1360000000000001"/>
  </r>
  <r>
    <x v="92"/>
    <n v="135"/>
    <x v="5"/>
    <x v="0"/>
    <x v="3"/>
    <x v="56"/>
    <x v="1"/>
    <x v="2"/>
    <x v="8"/>
    <x v="43"/>
    <x v="182"/>
    <x v="3"/>
    <n v="130"/>
    <n v="40"/>
    <n v="310"/>
    <n v="156"/>
    <x v="182"/>
    <x v="43"/>
    <x v="246"/>
    <x v="460"/>
    <n v="1.0384615384615385"/>
    <n v="6"/>
    <x v="0"/>
    <n v="38.85"/>
    <x v="538"/>
    <n v="15778"/>
    <n v="19032"/>
    <n v="1.0992687473115709E-3"/>
    <s v="Dec-13"/>
    <x v="24"/>
    <n v="2.5407407407407407"/>
  </r>
  <r>
    <x v="144"/>
    <n v="86"/>
    <x v="5"/>
    <x v="0"/>
    <x v="3"/>
    <x v="23"/>
    <x v="0"/>
    <x v="0"/>
    <x v="10"/>
    <x v="117"/>
    <x v="134"/>
    <x v="3"/>
    <n v="80"/>
    <n v="80"/>
    <n v="190"/>
    <n v="35"/>
    <x v="134"/>
    <x v="117"/>
    <x v="36"/>
    <x v="352"/>
    <n v="1.075"/>
    <n v="52"/>
    <x v="0"/>
    <n v="78.349999999999994"/>
    <x v="413"/>
    <n v="29568"/>
    <n v="840"/>
    <n v="2.4553571428571428E-2"/>
    <s v="Dec-13"/>
    <x v="8"/>
    <n v="2.6046511627906979"/>
  </r>
  <r>
    <x v="141"/>
    <n v="241"/>
    <x v="5"/>
    <x v="0"/>
    <x v="3"/>
    <x v="37"/>
    <x v="0"/>
    <x v="0"/>
    <x v="0"/>
    <x v="119"/>
    <x v="150"/>
    <x v="3"/>
    <n v="220"/>
    <n v="170"/>
    <n v="480"/>
    <n v="96"/>
    <x v="150"/>
    <x v="119"/>
    <x v="139"/>
    <x v="281"/>
    <n v="1.0954545454545455"/>
    <n v="109"/>
    <x v="0"/>
    <n v="168.35882352941175"/>
    <x v="334"/>
    <n v="155961"/>
    <n v="7104"/>
    <n v="6.7446695353672098E-3"/>
    <s v="Dec-13"/>
    <x v="22"/>
    <n v="2.3195020746887969"/>
  </r>
  <r>
    <x v="85"/>
    <n v="123"/>
    <x v="5"/>
    <x v="0"/>
    <x v="3"/>
    <x v="38"/>
    <x v="0"/>
    <x v="1"/>
    <x v="2"/>
    <x v="158"/>
    <x v="141"/>
    <x v="3"/>
    <n v="90"/>
    <n v="110"/>
    <n v="220"/>
    <n v="45"/>
    <x v="141"/>
    <x v="158"/>
    <x v="49"/>
    <x v="332"/>
    <n v="1.3666666666666667"/>
    <n v="89"/>
    <x v="0"/>
    <n v="108.19090909090909"/>
    <x v="391"/>
    <n v="64078"/>
    <n v="1530"/>
    <n v="1.8176835951772011E-2"/>
    <s v="Dec-13"/>
    <x v="8"/>
    <n v="2.6178861788617884"/>
  </r>
  <r>
    <x v="15"/>
    <n v="68"/>
    <x v="5"/>
    <x v="1"/>
    <x v="3"/>
    <x v="26"/>
    <x v="1"/>
    <x v="3"/>
    <x v="5"/>
    <x v="40"/>
    <x v="73"/>
    <x v="8"/>
    <n v="80"/>
    <n v="50"/>
    <n v="180"/>
    <n v="59"/>
    <x v="73"/>
    <x v="40"/>
    <x v="124"/>
    <x v="249"/>
    <n v="0.85"/>
    <n v="-11"/>
    <x v="0"/>
    <n v="49.22"/>
    <x v="300"/>
    <n v="6357"/>
    <n v="1475"/>
    <n v="9.5705521472392637E-3"/>
    <s v="Dec-13"/>
    <x v="13"/>
    <n v="2.3970588235294117"/>
  </r>
  <r>
    <x v="32"/>
    <n v="105"/>
    <x v="5"/>
    <x v="1"/>
    <x v="3"/>
    <x v="44"/>
    <x v="1"/>
    <x v="3"/>
    <x v="5"/>
    <x v="27"/>
    <x v="153"/>
    <x v="14"/>
    <n v="120"/>
    <n v="50"/>
    <n v="290"/>
    <n v="125"/>
    <x v="153"/>
    <x v="27"/>
    <x v="141"/>
    <x v="287"/>
    <n v="0.875"/>
    <n v="-20"/>
    <x v="0"/>
    <n v="49.4"/>
    <x v="342"/>
    <n v="7980"/>
    <n v="11875"/>
    <n v="1.1871784724970321E-3"/>
    <s v="Dec-13"/>
    <x v="27"/>
    <n v="2.5333333333333332"/>
  </r>
  <r>
    <x v="17"/>
    <n v="153"/>
    <x v="5"/>
    <x v="1"/>
    <x v="3"/>
    <x v="22"/>
    <x v="1"/>
    <x v="2"/>
    <x v="4"/>
    <x v="113"/>
    <x v="196"/>
    <x v="11"/>
    <n v="150"/>
    <n v="80"/>
    <n v="290"/>
    <n v="66"/>
    <x v="196"/>
    <x v="113"/>
    <x v="184"/>
    <x v="150"/>
    <n v="1.02"/>
    <n v="49"/>
    <x v="0"/>
    <n v="78.387500000000003"/>
    <x v="409"/>
    <n v="42054"/>
    <n v="2772"/>
    <n v="9.4215600350569684E-3"/>
    <s v="Dec-13"/>
    <x v="32"/>
    <n v="2.130718954248366"/>
  </r>
  <r>
    <x v="78"/>
    <n v="80"/>
    <x v="5"/>
    <x v="1"/>
    <x v="3"/>
    <x v="23"/>
    <x v="1"/>
    <x v="2"/>
    <x v="4"/>
    <x v="20"/>
    <x v="67"/>
    <x v="14"/>
    <n v="70"/>
    <n v="60"/>
    <n v="170"/>
    <n v="45"/>
    <x v="67"/>
    <x v="20"/>
    <x v="85"/>
    <x v="122"/>
    <n v="1.1428571428571428"/>
    <n v="16"/>
    <x v="0"/>
    <n v="58.733333333333334"/>
    <x v="539"/>
    <n v="14288"/>
    <n v="1080"/>
    <n v="1.6843971631205674E-2"/>
    <s v="Dec-13"/>
    <x v="8"/>
    <n v="2.35"/>
  </r>
  <r>
    <x v="9"/>
    <n v="63"/>
    <x v="5"/>
    <x v="1"/>
    <x v="3"/>
    <x v="27"/>
    <x v="1"/>
    <x v="3"/>
    <x v="6"/>
    <x v="36"/>
    <x v="74"/>
    <x v="8"/>
    <n v="70"/>
    <n v="50"/>
    <n v="160"/>
    <n v="40"/>
    <x v="74"/>
    <x v="36"/>
    <x v="78"/>
    <x v="113"/>
    <n v="0.9"/>
    <n v="3"/>
    <x v="0"/>
    <n v="48.94"/>
    <x v="121"/>
    <n v="7844"/>
    <n v="760.00000000000011"/>
    <n v="1.8847795163584636E-2"/>
    <s v="Dec-13"/>
    <x v="8"/>
    <n v="2.3492063492063493"/>
  </r>
  <r>
    <x v="78"/>
    <n v="72"/>
    <x v="5"/>
    <x v="1"/>
    <x v="3"/>
    <x v="4"/>
    <x v="1"/>
    <x v="3"/>
    <x v="7"/>
    <x v="89"/>
    <x v="67"/>
    <x v="14"/>
    <n v="80"/>
    <n v="80"/>
    <n v="200"/>
    <n v="46"/>
    <x v="67"/>
    <x v="89"/>
    <x v="81"/>
    <x v="274"/>
    <n v="0.9"/>
    <n v="6"/>
    <x v="0"/>
    <n v="78.924999999999997"/>
    <x v="540"/>
    <n v="16168"/>
    <n v="1058"/>
    <n v="1.9888991674375578E-2"/>
    <s v="Dec-13"/>
    <x v="11"/>
    <n v="2.6111111111111112"/>
  </r>
  <r>
    <x v="8"/>
    <n v="16"/>
    <x v="5"/>
    <x v="1"/>
    <x v="3"/>
    <x v="36"/>
    <x v="1"/>
    <x v="2"/>
    <x v="8"/>
    <x v="25"/>
    <x v="121"/>
    <x v="7"/>
    <n v="10"/>
    <n v="10"/>
    <n v="30"/>
    <n v="15"/>
    <x v="121"/>
    <x v="25"/>
    <x v="122"/>
    <x v="110"/>
    <n v="1.6"/>
    <n v="5"/>
    <x v="0"/>
    <n v="8.5"/>
    <x v="277"/>
    <n v="660"/>
    <n v="60"/>
    <n v="8.5227272727272721E-2"/>
    <s v="Dec-13"/>
    <x v="5"/>
    <n v="2.75"/>
  </r>
  <r>
    <x v="9"/>
    <n v="94"/>
    <x v="5"/>
    <x v="1"/>
    <x v="3"/>
    <x v="33"/>
    <x v="1"/>
    <x v="2"/>
    <x v="8"/>
    <x v="124"/>
    <x v="152"/>
    <x v="8"/>
    <n v="90"/>
    <n v="70"/>
    <n v="200"/>
    <n v="43"/>
    <x v="152"/>
    <x v="124"/>
    <x v="35"/>
    <x v="286"/>
    <n v="1.0444444444444445"/>
    <n v="44"/>
    <x v="0"/>
    <n v="68.371428571428567"/>
    <x v="340"/>
    <n v="25992"/>
    <n v="1333"/>
    <n v="1.6129032258064516E-2"/>
    <s v="Dec-13"/>
    <x v="13"/>
    <n v="2.4255319148936172"/>
  </r>
  <r>
    <x v="48"/>
    <n v="135"/>
    <x v="5"/>
    <x v="1"/>
    <x v="3"/>
    <x v="56"/>
    <x v="0"/>
    <x v="0"/>
    <x v="10"/>
    <x v="17"/>
    <x v="182"/>
    <x v="7"/>
    <n v="120"/>
    <n v="30"/>
    <n v="290"/>
    <n v="155"/>
    <x v="182"/>
    <x v="17"/>
    <x v="247"/>
    <x v="461"/>
    <n v="1.125"/>
    <n v="17"/>
    <x v="0"/>
    <n v="28.433333333333334"/>
    <x v="541"/>
    <n v="16121"/>
    <n v="18910"/>
    <n v="1.1231658939922574E-3"/>
    <s v="Dec-13"/>
    <x v="38"/>
    <n v="2.5407407407407407"/>
  </r>
  <r>
    <x v="56"/>
    <n v="115"/>
    <x v="5"/>
    <x v="1"/>
    <x v="3"/>
    <x v="45"/>
    <x v="0"/>
    <x v="0"/>
    <x v="10"/>
    <x v="129"/>
    <x v="159"/>
    <x v="14"/>
    <n v="100"/>
    <n v="110"/>
    <n v="260"/>
    <n v="69"/>
    <x v="159"/>
    <x v="129"/>
    <x v="59"/>
    <x v="293"/>
    <n v="1.1499999999999999"/>
    <n v="46"/>
    <x v="0"/>
    <n v="108.58181818181818"/>
    <x v="348"/>
    <n v="48048"/>
    <n v="2553.0000000000005"/>
    <n v="1.3689013689013688E-2"/>
    <s v="Dec-13"/>
    <x v="16"/>
    <n v="2.6782608695652175"/>
  </r>
  <r>
    <x v="48"/>
    <n v="224"/>
    <x v="5"/>
    <x v="1"/>
    <x v="3"/>
    <x v="65"/>
    <x v="0"/>
    <x v="0"/>
    <x v="0"/>
    <x v="203"/>
    <x v="227"/>
    <x v="7"/>
    <n v="210"/>
    <n v="170"/>
    <n v="490"/>
    <n v="116"/>
    <x v="227"/>
    <x v="203"/>
    <x v="217"/>
    <x v="402"/>
    <n v="1.0666666666666667"/>
    <n v="118"/>
    <x v="0"/>
    <n v="168.30588235294118"/>
    <x v="472"/>
    <n v="163872"/>
    <n v="8468"/>
    <n v="6.9335772925343663E-3"/>
    <s v="Dec-13"/>
    <x v="33"/>
    <n v="2.5401785714285716"/>
  </r>
  <r>
    <x v="12"/>
    <n v="81"/>
    <x v="5"/>
    <x v="1"/>
    <x v="3"/>
    <x v="32"/>
    <x v="0"/>
    <x v="0"/>
    <x v="0"/>
    <x v="121"/>
    <x v="130"/>
    <x v="11"/>
    <n v="70"/>
    <n v="70"/>
    <n v="170"/>
    <n v="38"/>
    <x v="130"/>
    <x v="121"/>
    <x v="44"/>
    <x v="283"/>
    <n v="1.1571428571428573"/>
    <n v="28"/>
    <x v="0"/>
    <n v="68.599999999999994"/>
    <x v="337"/>
    <n v="19306"/>
    <n v="988"/>
    <n v="1.9133151112846546E-2"/>
    <s v="Dec-13"/>
    <x v="10"/>
    <n v="2.4320987654320989"/>
  </r>
  <r>
    <x v="8"/>
    <n v="127"/>
    <x v="5"/>
    <x v="1"/>
    <x v="3"/>
    <x v="19"/>
    <x v="0"/>
    <x v="0"/>
    <x v="1"/>
    <x v="128"/>
    <x v="226"/>
    <x v="7"/>
    <n v="120"/>
    <n v="120"/>
    <n v="290"/>
    <n v="63"/>
    <x v="226"/>
    <x v="128"/>
    <x v="215"/>
    <x v="400"/>
    <n v="1.0583333333333333"/>
    <n v="61"/>
    <x v="0"/>
    <n v="118.49166666666666"/>
    <x v="470"/>
    <n v="60092"/>
    <n v="2520"/>
    <n v="1.3629518072289157E-2"/>
    <s v="Dec-13"/>
    <x v="30"/>
    <n v="2.6141732283464565"/>
  </r>
  <r>
    <x v="8"/>
    <n v="247"/>
    <x v="5"/>
    <x v="1"/>
    <x v="3"/>
    <x v="66"/>
    <x v="0"/>
    <x v="1"/>
    <x v="2"/>
    <x v="236"/>
    <x v="191"/>
    <x v="7"/>
    <n v="180"/>
    <n v="150"/>
    <n v="420"/>
    <n v="114"/>
    <x v="191"/>
    <x v="236"/>
    <x v="227"/>
    <x v="462"/>
    <n v="1.3722222222222222"/>
    <n v="169"/>
    <x v="0"/>
    <n v="147.87333333333333"/>
    <x v="542"/>
    <n v="195866"/>
    <n v="9234"/>
    <n v="6.4141231350786183E-3"/>
    <s v="Dec-13"/>
    <x v="24"/>
    <n v="2.4858299595141702"/>
  </r>
  <r>
    <x v="8"/>
    <n v="250"/>
    <x v="5"/>
    <x v="1"/>
    <x v="3"/>
    <x v="57"/>
    <x v="0"/>
    <x v="1"/>
    <x v="11"/>
    <x v="202"/>
    <x v="213"/>
    <x v="7"/>
    <n v="180"/>
    <n v="100"/>
    <n v="360"/>
    <n v="94"/>
    <x v="213"/>
    <x v="202"/>
    <x v="216"/>
    <x v="401"/>
    <n v="1.3888888888888888"/>
    <n v="133"/>
    <x v="0"/>
    <n v="97.67"/>
    <x v="471"/>
    <n v="124422"/>
    <n v="6580"/>
    <n v="6.2332798287854469E-3"/>
    <s v="Dec-13"/>
    <x v="38"/>
    <n v="2.1360000000000001"/>
  </r>
  <r>
    <x v="17"/>
    <n v="88"/>
    <x v="5"/>
    <x v="1"/>
    <x v="3"/>
    <x v="39"/>
    <x v="0"/>
    <x v="1"/>
    <x v="11"/>
    <x v="140"/>
    <x v="126"/>
    <x v="11"/>
    <n v="60"/>
    <n v="60"/>
    <n v="160"/>
    <n v="60"/>
    <x v="126"/>
    <x v="140"/>
    <x v="23"/>
    <x v="344"/>
    <n v="1.4666666666666666"/>
    <n v="48"/>
    <x v="0"/>
    <n v="58.2"/>
    <x v="404"/>
    <n v="25488"/>
    <n v="1740"/>
    <n v="1.5780245470485097E-2"/>
    <s v="Dec-13"/>
    <x v="10"/>
    <n v="2.6818181818181817"/>
  </r>
  <r>
    <x v="8"/>
    <n v="294"/>
    <x v="5"/>
    <x v="1"/>
    <x v="3"/>
    <x v="58"/>
    <x v="0"/>
    <x v="1"/>
    <x v="3"/>
    <x v="237"/>
    <x v="242"/>
    <x v="7"/>
    <n v="210"/>
    <n v="-320"/>
    <n v="0"/>
    <n v="145"/>
    <x v="242"/>
    <x v="237"/>
    <x v="248"/>
    <x v="463"/>
    <n v="1.4"/>
    <n v="-285"/>
    <x v="0"/>
    <n v="-321.890625"/>
    <x v="543"/>
    <n v="-19965"/>
    <n v="16095"/>
    <n v="-0.16516516516516516"/>
    <s v="Dec-13"/>
    <x v="33"/>
    <n v="0.11224489795918367"/>
  </r>
  <r>
    <x v="12"/>
    <n v="134"/>
    <x v="5"/>
    <x v="1"/>
    <x v="3"/>
    <x v="11"/>
    <x v="0"/>
    <x v="1"/>
    <x v="3"/>
    <x v="123"/>
    <x v="151"/>
    <x v="11"/>
    <n v="90"/>
    <n v="100"/>
    <n v="230"/>
    <n v="65"/>
    <x v="151"/>
    <x v="123"/>
    <x v="140"/>
    <x v="285"/>
    <n v="1.4888888888888889"/>
    <n v="80"/>
    <x v="0"/>
    <n v="98.2"/>
    <x v="339"/>
    <n v="61380"/>
    <n v="2665"/>
    <n v="1.287461554967456E-2"/>
    <s v="Dec-13"/>
    <x v="13"/>
    <n v="2.544776119402985"/>
  </r>
  <r>
    <x v="9"/>
    <n v="20"/>
    <x v="5"/>
    <x v="1"/>
    <x v="3"/>
    <x v="7"/>
    <x v="0"/>
    <x v="1"/>
    <x v="3"/>
    <x v="122"/>
    <x v="122"/>
    <x v="8"/>
    <n v="10"/>
    <n v="0"/>
    <n v="30"/>
    <n v="40"/>
    <x v="122"/>
    <x v="122"/>
    <x v="86"/>
    <x v="284"/>
    <n v="2"/>
    <n v="-22"/>
    <x v="0"/>
    <e v="#DIV/0!"/>
    <x v="338"/>
    <n v="-1056"/>
    <n v="280"/>
    <n v="-6.5476190476190479E-2"/>
    <s v="Dec-13"/>
    <x v="3"/>
    <n v="2.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x v="0"/>
    <n v="51"/>
    <x v="0"/>
    <x v="0"/>
    <x v="0"/>
    <x v="0"/>
    <x v="0"/>
    <x v="0"/>
    <x v="0"/>
    <x v="0"/>
    <x v="0"/>
    <x v="0"/>
    <n v="30"/>
    <n v="30"/>
    <n v="90"/>
    <n v="76"/>
    <x v="0"/>
    <x v="0"/>
    <x v="0"/>
    <x v="0"/>
    <n v="1.7"/>
    <n v="-35"/>
    <x v="0"/>
    <n v="30.166666666666668"/>
    <x v="0"/>
    <n v="-610"/>
    <n v="3496"/>
    <n v="-8.9094796863863144E-4"/>
    <s v="Oct-12"/>
    <x v="0"/>
    <n v="2.392156862745098"/>
  </r>
  <r>
    <x v="1"/>
    <n v="52"/>
    <x v="0"/>
    <x v="0"/>
    <x v="0"/>
    <x v="1"/>
    <x v="0"/>
    <x v="0"/>
    <x v="1"/>
    <x v="1"/>
    <x v="1"/>
    <x v="0"/>
    <n v="30"/>
    <n v="50"/>
    <n v="90"/>
    <n v="45"/>
    <x v="1"/>
    <x v="1"/>
    <x v="1"/>
    <x v="1"/>
    <n v="1.7333333333333334"/>
    <n v="-24"/>
    <x v="0"/>
    <n v="49.48"/>
    <x v="1"/>
    <n v="3198"/>
    <n v="765"/>
    <n v="1.2434241989478718E-2"/>
    <s v="Oct-12"/>
    <x v="1"/>
    <n v="2.3653846153846154"/>
  </r>
  <r>
    <x v="2"/>
    <n v="43"/>
    <x v="0"/>
    <x v="0"/>
    <x v="1"/>
    <x v="2"/>
    <x v="0"/>
    <x v="0"/>
    <x v="0"/>
    <x v="2"/>
    <x v="2"/>
    <x v="1"/>
    <n v="30"/>
    <n v="50"/>
    <n v="90"/>
    <n v="36"/>
    <x v="2"/>
    <x v="2"/>
    <x v="2"/>
    <x v="2"/>
    <n v="1.4333333333333333"/>
    <n v="-22"/>
    <x v="0"/>
    <n v="49.44"/>
    <x v="2"/>
    <n v="2996"/>
    <n v="468"/>
    <n v="2.0129403306973399E-2"/>
    <s v="Oct-12"/>
    <x v="1"/>
    <n v="2.4883720930232558"/>
  </r>
  <r>
    <x v="3"/>
    <n v="38"/>
    <x v="0"/>
    <x v="0"/>
    <x v="2"/>
    <x v="3"/>
    <x v="0"/>
    <x v="1"/>
    <x v="2"/>
    <x v="3"/>
    <x v="3"/>
    <x v="2"/>
    <n v="40"/>
    <n v="50"/>
    <n v="100"/>
    <n v="21"/>
    <x v="3"/>
    <x v="3"/>
    <x v="3"/>
    <x v="3"/>
    <n v="0.95"/>
    <n v="-15"/>
    <x v="0"/>
    <n v="49.3"/>
    <x v="3"/>
    <n v="3290"/>
    <n v="210"/>
    <n v="3.7234042553191488E-2"/>
    <s v="Oct-12"/>
    <x v="2"/>
    <n v="2.4736842105263159"/>
  </r>
  <r>
    <x v="4"/>
    <n v="72"/>
    <x v="0"/>
    <x v="0"/>
    <x v="3"/>
    <x v="4"/>
    <x v="0"/>
    <x v="1"/>
    <x v="3"/>
    <x v="4"/>
    <x v="4"/>
    <x v="3"/>
    <n v="20"/>
    <n v="50"/>
    <n v="80"/>
    <n v="54"/>
    <x v="4"/>
    <x v="4"/>
    <x v="4"/>
    <x v="4"/>
    <n v="3.6"/>
    <n v="6"/>
    <x v="0"/>
    <n v="48.88"/>
    <x v="4"/>
    <n v="10192"/>
    <n v="1242"/>
    <n v="1.3377926421404684E-2"/>
    <s v="Oct-12"/>
    <x v="3"/>
    <n v="2.5277777777777777"/>
  </r>
  <r>
    <x v="5"/>
    <n v="0"/>
    <x v="0"/>
    <x v="1"/>
    <x v="0"/>
    <x v="5"/>
    <x v="1"/>
    <x v="2"/>
    <x v="4"/>
    <x v="5"/>
    <x v="5"/>
    <x v="4"/>
    <n v="0"/>
    <n v="60"/>
    <n v="60"/>
    <n v="12"/>
    <x v="5"/>
    <x v="5"/>
    <x v="5"/>
    <x v="5"/>
    <e v="#DIV/0!"/>
    <n v="-29"/>
    <x v="0"/>
    <n v="59.483333333333334"/>
    <x v="5"/>
    <n v="1333"/>
    <e v="#DIV/0!"/>
    <e v="#DIV/0!"/>
    <s v="Oct-12"/>
    <x v="4"/>
    <e v="#DIV/0!"/>
  </r>
  <r>
    <x v="6"/>
    <n v="47"/>
    <x v="0"/>
    <x v="1"/>
    <x v="2"/>
    <x v="6"/>
    <x v="1"/>
    <x v="2"/>
    <x v="4"/>
    <x v="6"/>
    <x v="6"/>
    <x v="5"/>
    <n v="30"/>
    <n v="50"/>
    <n v="90"/>
    <n v="43"/>
    <x v="6"/>
    <x v="6"/>
    <x v="6"/>
    <x v="6"/>
    <n v="1.5666666666666667"/>
    <n v="-29"/>
    <x v="0"/>
    <n v="49.58"/>
    <x v="6"/>
    <n v="2331"/>
    <n v="645"/>
    <n v="1.2612612612612612E-2"/>
    <s v="Oct-12"/>
    <x v="1"/>
    <n v="2.3617021276595747"/>
  </r>
  <r>
    <x v="7"/>
    <n v="27"/>
    <x v="0"/>
    <x v="1"/>
    <x v="1"/>
    <x v="7"/>
    <x v="1"/>
    <x v="3"/>
    <x v="5"/>
    <x v="6"/>
    <x v="7"/>
    <x v="6"/>
    <n v="30"/>
    <n v="60"/>
    <n v="90"/>
    <n v="18"/>
    <x v="7"/>
    <x v="6"/>
    <x v="7"/>
    <x v="7"/>
    <n v="0.9"/>
    <n v="-39"/>
    <x v="0"/>
    <n v="59.65"/>
    <x v="7"/>
    <n v="1386"/>
    <n v="126"/>
    <n v="4.5454545454545456E-2"/>
    <s v="Oct-12"/>
    <x v="3"/>
    <n v="2.4444444444444446"/>
  </r>
  <r>
    <x v="8"/>
    <n v="31"/>
    <x v="0"/>
    <x v="1"/>
    <x v="3"/>
    <x v="8"/>
    <x v="1"/>
    <x v="3"/>
    <x v="5"/>
    <x v="7"/>
    <x v="8"/>
    <x v="7"/>
    <n v="30"/>
    <n v="50"/>
    <n v="90"/>
    <n v="30"/>
    <x v="8"/>
    <x v="7"/>
    <x v="8"/>
    <x v="8"/>
    <n v="1.0333333333333334"/>
    <n v="-43"/>
    <x v="0"/>
    <n v="49.86"/>
    <x v="8"/>
    <n v="476"/>
    <n v="270"/>
    <n v="1.1437908496732027E-2"/>
    <s v="Oct-12"/>
    <x v="1"/>
    <n v="2.193548387096774"/>
  </r>
  <r>
    <x v="9"/>
    <n v="40"/>
    <x v="0"/>
    <x v="1"/>
    <x v="3"/>
    <x v="9"/>
    <x v="1"/>
    <x v="2"/>
    <x v="4"/>
    <x v="8"/>
    <x v="9"/>
    <x v="8"/>
    <n v="20"/>
    <n v="60"/>
    <n v="80"/>
    <n v="22"/>
    <x v="9"/>
    <x v="8"/>
    <x v="9"/>
    <x v="9"/>
    <n v="2"/>
    <n v="-23"/>
    <x v="0"/>
    <n v="59.383333333333333"/>
    <x v="9"/>
    <n v="3663"/>
    <n v="242"/>
    <n v="3.3976124885215793E-2"/>
    <s v="Oct-12"/>
    <x v="5"/>
    <n v="2.4750000000000001"/>
  </r>
  <r>
    <x v="10"/>
    <n v="49"/>
    <x v="0"/>
    <x v="1"/>
    <x v="2"/>
    <x v="6"/>
    <x v="1"/>
    <x v="3"/>
    <x v="6"/>
    <x v="9"/>
    <x v="10"/>
    <x v="9"/>
    <n v="30"/>
    <n v="60"/>
    <n v="90"/>
    <n v="38"/>
    <x v="10"/>
    <x v="9"/>
    <x v="10"/>
    <x v="10"/>
    <n v="1.6333333333333333"/>
    <n v="-27"/>
    <x v="0"/>
    <n v="59.45"/>
    <x v="10"/>
    <n v="3960"/>
    <n v="570"/>
    <n v="1.8333333333333333E-2"/>
    <s v="Oct-12"/>
    <x v="3"/>
    <n v="2.4489795918367347"/>
  </r>
  <r>
    <x v="10"/>
    <n v="45"/>
    <x v="0"/>
    <x v="1"/>
    <x v="2"/>
    <x v="10"/>
    <x v="1"/>
    <x v="3"/>
    <x v="7"/>
    <x v="10"/>
    <x v="11"/>
    <x v="9"/>
    <n v="30"/>
    <n v="50"/>
    <n v="90"/>
    <n v="45"/>
    <x v="11"/>
    <x v="10"/>
    <x v="6"/>
    <x v="11"/>
    <n v="1.5"/>
    <n v="-26"/>
    <x v="0"/>
    <n v="49.52"/>
    <x v="11"/>
    <n v="2736"/>
    <n v="630"/>
    <n v="1.5037593984962405E-2"/>
    <s v="Oct-12"/>
    <x v="1"/>
    <n v="2.5333333333333332"/>
  </r>
  <r>
    <x v="10"/>
    <n v="45"/>
    <x v="0"/>
    <x v="1"/>
    <x v="2"/>
    <x v="11"/>
    <x v="1"/>
    <x v="2"/>
    <x v="8"/>
    <x v="11"/>
    <x v="12"/>
    <x v="9"/>
    <n v="30"/>
    <n v="30"/>
    <n v="90"/>
    <n v="71"/>
    <x v="12"/>
    <x v="11"/>
    <x v="11"/>
    <x v="12"/>
    <n v="1.5"/>
    <n v="-37"/>
    <x v="0"/>
    <n v="30.233333333333334"/>
    <x v="12"/>
    <n v="-763"/>
    <n v="2911"/>
    <n v="-1.5663459386887448E-3"/>
    <s v="Oct-12"/>
    <x v="0"/>
    <n v="2.4222222222222221"/>
  </r>
  <r>
    <x v="11"/>
    <n v="60"/>
    <x v="0"/>
    <x v="1"/>
    <x v="1"/>
    <x v="12"/>
    <x v="1"/>
    <x v="2"/>
    <x v="9"/>
    <x v="12"/>
    <x v="13"/>
    <x v="10"/>
    <n v="30"/>
    <n v="10"/>
    <n v="90"/>
    <n v="83"/>
    <x v="13"/>
    <x v="12"/>
    <x v="12"/>
    <x v="13"/>
    <n v="2"/>
    <n v="-9"/>
    <x v="0"/>
    <n v="9.9"/>
    <x v="13"/>
    <n v="144"/>
    <n v="4482"/>
    <n v="1.2860082304526747E-4"/>
    <s v="Oct-12"/>
    <x v="6"/>
    <n v="2.4"/>
  </r>
  <r>
    <x v="8"/>
    <n v="34"/>
    <x v="0"/>
    <x v="1"/>
    <x v="3"/>
    <x v="13"/>
    <x v="1"/>
    <x v="3"/>
    <x v="7"/>
    <x v="13"/>
    <x v="14"/>
    <x v="7"/>
    <n v="40"/>
    <n v="30"/>
    <n v="100"/>
    <n v="45"/>
    <x v="14"/>
    <x v="13"/>
    <x v="2"/>
    <x v="14"/>
    <n v="0.85"/>
    <n v="-32"/>
    <x v="0"/>
    <n v="30.066666666666666"/>
    <x v="14"/>
    <n v="-154"/>
    <n v="540"/>
    <n v="-2.1645021645021645E-3"/>
    <s v="Oct-12"/>
    <x v="7"/>
    <n v="2.2647058823529411"/>
  </r>
  <r>
    <x v="12"/>
    <n v="54"/>
    <x v="0"/>
    <x v="1"/>
    <x v="3"/>
    <x v="14"/>
    <x v="1"/>
    <x v="2"/>
    <x v="9"/>
    <x v="14"/>
    <x v="10"/>
    <x v="11"/>
    <n v="40"/>
    <n v="40"/>
    <n v="100"/>
    <n v="54"/>
    <x v="10"/>
    <x v="14"/>
    <x v="13"/>
    <x v="15"/>
    <n v="1.35"/>
    <n v="-28"/>
    <x v="0"/>
    <n v="39.700000000000003"/>
    <x v="15"/>
    <n v="1440"/>
    <n v="1080"/>
    <n v="5.0000000000000001E-3"/>
    <s v="Oct-12"/>
    <x v="0"/>
    <n v="2.2222222222222223"/>
  </r>
  <r>
    <x v="13"/>
    <n v="45"/>
    <x v="0"/>
    <x v="1"/>
    <x v="0"/>
    <x v="11"/>
    <x v="0"/>
    <x v="0"/>
    <x v="10"/>
    <x v="15"/>
    <x v="12"/>
    <x v="12"/>
    <n v="20"/>
    <n v="30"/>
    <n v="80"/>
    <n v="70"/>
    <x v="12"/>
    <x v="15"/>
    <x v="14"/>
    <x v="16"/>
    <n v="2.25"/>
    <n v="-36"/>
    <x v="0"/>
    <n v="30.2"/>
    <x v="16"/>
    <n v="-654"/>
    <n v="2870"/>
    <n v="-1.342582233161781E-3"/>
    <s v="Oct-12"/>
    <x v="2"/>
    <n v="2.4222222222222221"/>
  </r>
  <r>
    <x v="14"/>
    <n v="48"/>
    <x v="0"/>
    <x v="1"/>
    <x v="0"/>
    <x v="2"/>
    <x v="0"/>
    <x v="0"/>
    <x v="0"/>
    <x v="16"/>
    <x v="15"/>
    <x v="13"/>
    <n v="30"/>
    <n v="60"/>
    <n v="90"/>
    <n v="25"/>
    <x v="15"/>
    <x v="16"/>
    <x v="15"/>
    <x v="17"/>
    <n v="1.6"/>
    <n v="-15"/>
    <x v="0"/>
    <n v="59.25"/>
    <x v="17"/>
    <n v="5310"/>
    <n v="325"/>
    <n v="2.9335071707953065E-2"/>
    <s v="Oct-12"/>
    <x v="3"/>
    <n v="2.4583333333333335"/>
  </r>
  <r>
    <x v="15"/>
    <n v="49"/>
    <x v="0"/>
    <x v="1"/>
    <x v="3"/>
    <x v="6"/>
    <x v="0"/>
    <x v="0"/>
    <x v="10"/>
    <x v="9"/>
    <x v="10"/>
    <x v="8"/>
    <n v="30"/>
    <n v="60"/>
    <n v="90"/>
    <n v="38"/>
    <x v="10"/>
    <x v="9"/>
    <x v="10"/>
    <x v="10"/>
    <n v="1.6333333333333333"/>
    <n v="-27"/>
    <x v="0"/>
    <n v="59.45"/>
    <x v="10"/>
    <n v="3960"/>
    <n v="570"/>
    <n v="1.8333333333333333E-2"/>
    <s v="Oct-12"/>
    <x v="3"/>
    <n v="2.4489795918367347"/>
  </r>
  <r>
    <x v="16"/>
    <n v="48"/>
    <x v="0"/>
    <x v="1"/>
    <x v="3"/>
    <x v="2"/>
    <x v="0"/>
    <x v="0"/>
    <x v="0"/>
    <x v="17"/>
    <x v="16"/>
    <x v="14"/>
    <n v="30"/>
    <n v="60"/>
    <n v="90"/>
    <n v="24"/>
    <x v="16"/>
    <x v="17"/>
    <x v="16"/>
    <x v="18"/>
    <n v="1.6"/>
    <n v="-13"/>
    <x v="0"/>
    <n v="59.216666666666669"/>
    <x v="18"/>
    <n v="5593"/>
    <n v="312"/>
    <n v="3.0381383322559793E-2"/>
    <s v="Oct-12"/>
    <x v="3"/>
    <n v="2.4791666666666665"/>
  </r>
  <r>
    <x v="6"/>
    <n v="40"/>
    <x v="0"/>
    <x v="1"/>
    <x v="2"/>
    <x v="9"/>
    <x v="0"/>
    <x v="1"/>
    <x v="2"/>
    <x v="18"/>
    <x v="9"/>
    <x v="5"/>
    <n v="40"/>
    <n v="50"/>
    <n v="100"/>
    <n v="23"/>
    <x v="9"/>
    <x v="18"/>
    <x v="17"/>
    <x v="19"/>
    <n v="1"/>
    <n v="-14"/>
    <x v="0"/>
    <n v="49.28"/>
    <x v="19"/>
    <n v="3564"/>
    <n v="252.99999999999997"/>
    <n v="3.3057851239669422E-2"/>
    <s v="Oct-12"/>
    <x v="2"/>
    <n v="2.4750000000000001"/>
  </r>
  <r>
    <x v="17"/>
    <n v="82"/>
    <x v="0"/>
    <x v="1"/>
    <x v="3"/>
    <x v="15"/>
    <x v="0"/>
    <x v="1"/>
    <x v="11"/>
    <x v="19"/>
    <x v="17"/>
    <x v="11"/>
    <n v="30"/>
    <n v="50"/>
    <n v="90"/>
    <n v="59"/>
    <x v="17"/>
    <x v="19"/>
    <x v="18"/>
    <x v="20"/>
    <n v="2.7333333333333334"/>
    <n v="14"/>
    <x v="0"/>
    <n v="48.72"/>
    <x v="20"/>
    <n v="13120"/>
    <n v="1593"/>
    <n v="1.156278229448961E-2"/>
    <s v="Oct-12"/>
    <x v="1"/>
    <n v="2.5"/>
  </r>
  <r>
    <x v="17"/>
    <n v="91"/>
    <x v="0"/>
    <x v="1"/>
    <x v="3"/>
    <x v="16"/>
    <x v="0"/>
    <x v="1"/>
    <x v="3"/>
    <x v="20"/>
    <x v="18"/>
    <x v="11"/>
    <n v="40"/>
    <n v="50"/>
    <n v="100"/>
    <n v="51"/>
    <x v="18"/>
    <x v="20"/>
    <x v="19"/>
    <x v="21"/>
    <n v="2.2749999999999999"/>
    <n v="26"/>
    <x v="0"/>
    <n v="48.48"/>
    <x v="21"/>
    <n v="16568"/>
    <n v="1428"/>
    <n v="1.2450851900393186E-2"/>
    <s v="Oct-12"/>
    <x v="2"/>
    <n v="2.3956043956043955"/>
  </r>
  <r>
    <x v="18"/>
    <n v="40"/>
    <x v="1"/>
    <x v="0"/>
    <x v="1"/>
    <x v="2"/>
    <x v="1"/>
    <x v="3"/>
    <x v="5"/>
    <x v="1"/>
    <x v="19"/>
    <x v="1"/>
    <n v="40"/>
    <n v="40"/>
    <n v="100"/>
    <n v="26"/>
    <x v="19"/>
    <x v="1"/>
    <x v="20"/>
    <x v="22"/>
    <n v="1"/>
    <n v="-14"/>
    <x v="0"/>
    <n v="39.35"/>
    <x v="22"/>
    <n v="2392"/>
    <n v="338"/>
    <n v="2.1739130434782608E-2"/>
    <s v="Nov-12"/>
    <x v="0"/>
    <n v="2.2999999999999998"/>
  </r>
  <r>
    <x v="19"/>
    <n v="50"/>
    <x v="1"/>
    <x v="0"/>
    <x v="1"/>
    <x v="10"/>
    <x v="1"/>
    <x v="2"/>
    <x v="4"/>
    <x v="21"/>
    <x v="1"/>
    <x v="1"/>
    <n v="30"/>
    <n v="40"/>
    <n v="90"/>
    <n v="25"/>
    <x v="1"/>
    <x v="21"/>
    <x v="21"/>
    <x v="23"/>
    <n v="1.6666666666666667"/>
    <n v="8"/>
    <x v="0"/>
    <n v="38.799999999999997"/>
    <x v="23"/>
    <n v="5904"/>
    <n v="350"/>
    <n v="2.7874564459930314E-2"/>
    <s v="Nov-12"/>
    <x v="2"/>
    <n v="2.46"/>
  </r>
  <r>
    <x v="1"/>
    <n v="40"/>
    <x v="1"/>
    <x v="0"/>
    <x v="0"/>
    <x v="2"/>
    <x v="1"/>
    <x v="3"/>
    <x v="7"/>
    <x v="22"/>
    <x v="19"/>
    <x v="0"/>
    <n v="30"/>
    <n v="40"/>
    <n v="90"/>
    <n v="25"/>
    <x v="19"/>
    <x v="22"/>
    <x v="22"/>
    <x v="24"/>
    <n v="1.3333333333333333"/>
    <n v="-13"/>
    <x v="0"/>
    <n v="39.325000000000003"/>
    <x v="24"/>
    <n v="2484"/>
    <n v="325"/>
    <n v="2.2575250836120404E-2"/>
    <s v="Nov-12"/>
    <x v="2"/>
    <n v="2.2999999999999998"/>
  </r>
  <r>
    <x v="20"/>
    <n v="52"/>
    <x v="1"/>
    <x v="0"/>
    <x v="2"/>
    <x v="17"/>
    <x v="1"/>
    <x v="2"/>
    <x v="8"/>
    <x v="23"/>
    <x v="10"/>
    <x v="15"/>
    <n v="50"/>
    <n v="0"/>
    <n v="110"/>
    <n v="76"/>
    <x v="10"/>
    <x v="23"/>
    <x v="23"/>
    <x v="25"/>
    <n v="1.04"/>
    <n v="-8"/>
    <x v="0"/>
    <e v="#DIV/0!"/>
    <x v="25"/>
    <n v="-960"/>
    <n v="3572"/>
    <n v="-1.4184397163120566E-3"/>
    <s v="Nov-12"/>
    <x v="8"/>
    <n v="2.3076923076923075"/>
  </r>
  <r>
    <x v="21"/>
    <n v="75"/>
    <x v="1"/>
    <x v="0"/>
    <x v="2"/>
    <x v="4"/>
    <x v="0"/>
    <x v="0"/>
    <x v="1"/>
    <x v="24"/>
    <x v="20"/>
    <x v="2"/>
    <n v="50"/>
    <n v="30"/>
    <n v="110"/>
    <n v="45"/>
    <x v="20"/>
    <x v="24"/>
    <x v="24"/>
    <x v="26"/>
    <n v="1.5"/>
    <n v="14"/>
    <x v="0"/>
    <n v="28.533333333333335"/>
    <x v="26"/>
    <n v="7216"/>
    <n v="1035"/>
    <n v="1.166489925768823E-2"/>
    <s v="Nov-12"/>
    <x v="6"/>
    <n v="2.1866666666666665"/>
  </r>
  <r>
    <x v="22"/>
    <n v="46"/>
    <x v="1"/>
    <x v="0"/>
    <x v="1"/>
    <x v="10"/>
    <x v="0"/>
    <x v="0"/>
    <x v="0"/>
    <x v="5"/>
    <x v="11"/>
    <x v="1"/>
    <n v="40"/>
    <n v="30"/>
    <n v="100"/>
    <n v="37"/>
    <x v="11"/>
    <x v="5"/>
    <x v="25"/>
    <x v="27"/>
    <n v="1.1499999999999999"/>
    <n v="1"/>
    <x v="0"/>
    <n v="28.966666666666665"/>
    <x v="27"/>
    <n v="3534"/>
    <n v="518"/>
    <n v="1.942355889724311E-2"/>
    <s v="Nov-12"/>
    <x v="7"/>
    <n v="2.4782608695652173"/>
  </r>
  <r>
    <x v="23"/>
    <n v="55"/>
    <x v="1"/>
    <x v="0"/>
    <x v="0"/>
    <x v="14"/>
    <x v="0"/>
    <x v="1"/>
    <x v="2"/>
    <x v="25"/>
    <x v="21"/>
    <x v="0"/>
    <n v="40"/>
    <n v="20"/>
    <n v="100"/>
    <n v="54"/>
    <x v="21"/>
    <x v="25"/>
    <x v="26"/>
    <x v="28"/>
    <n v="1.375"/>
    <n v="-5"/>
    <x v="0"/>
    <n v="19.25"/>
    <x v="28"/>
    <n v="1860"/>
    <n v="1080"/>
    <n v="6.0483870967741934E-3"/>
    <s v="Nov-12"/>
    <x v="6"/>
    <n v="2.2545454545454544"/>
  </r>
  <r>
    <x v="24"/>
    <n v="50"/>
    <x v="1"/>
    <x v="0"/>
    <x v="0"/>
    <x v="10"/>
    <x v="0"/>
    <x v="1"/>
    <x v="2"/>
    <x v="21"/>
    <x v="1"/>
    <x v="16"/>
    <n v="40"/>
    <n v="40"/>
    <n v="100"/>
    <n v="25"/>
    <x v="1"/>
    <x v="21"/>
    <x v="21"/>
    <x v="23"/>
    <n v="1.25"/>
    <n v="8"/>
    <x v="0"/>
    <n v="38.799999999999997"/>
    <x v="23"/>
    <n v="5904"/>
    <n v="350"/>
    <n v="2.7874564459930314E-2"/>
    <s v="Nov-12"/>
    <x v="0"/>
    <n v="2.46"/>
  </r>
  <r>
    <x v="23"/>
    <n v="57"/>
    <x v="1"/>
    <x v="0"/>
    <x v="0"/>
    <x v="1"/>
    <x v="0"/>
    <x v="1"/>
    <x v="11"/>
    <x v="26"/>
    <x v="22"/>
    <x v="0"/>
    <n v="40"/>
    <n v="30"/>
    <n v="100"/>
    <n v="39"/>
    <x v="22"/>
    <x v="26"/>
    <x v="27"/>
    <x v="29"/>
    <n v="1.425"/>
    <n v="-1"/>
    <x v="0"/>
    <n v="29.033333333333335"/>
    <x v="29"/>
    <n v="3625"/>
    <n v="663"/>
    <n v="1.3647058823529411E-2"/>
    <s v="Nov-12"/>
    <x v="7"/>
    <n v="2.192982456140351"/>
  </r>
  <r>
    <x v="25"/>
    <n v="36"/>
    <x v="1"/>
    <x v="0"/>
    <x v="2"/>
    <x v="3"/>
    <x v="0"/>
    <x v="1"/>
    <x v="2"/>
    <x v="5"/>
    <x v="23"/>
    <x v="15"/>
    <n v="30"/>
    <n v="40"/>
    <n v="90"/>
    <n v="21"/>
    <x v="23"/>
    <x v="5"/>
    <x v="28"/>
    <x v="30"/>
    <n v="1.2"/>
    <n v="-9"/>
    <x v="0"/>
    <n v="39.225000000000001"/>
    <x v="30"/>
    <n v="2728"/>
    <n v="210"/>
    <n v="3.5227272727272725E-2"/>
    <s v="Nov-12"/>
    <x v="2"/>
    <n v="2.4444444444444446"/>
  </r>
  <r>
    <x v="26"/>
    <n v="33"/>
    <x v="1"/>
    <x v="1"/>
    <x v="0"/>
    <x v="8"/>
    <x v="1"/>
    <x v="2"/>
    <x v="4"/>
    <x v="22"/>
    <x v="24"/>
    <x v="12"/>
    <n v="40"/>
    <n v="50"/>
    <n v="100"/>
    <n v="21"/>
    <x v="24"/>
    <x v="22"/>
    <x v="29"/>
    <x v="7"/>
    <n v="0.82499999999999996"/>
    <n v="-23"/>
    <x v="0"/>
    <n v="49.46"/>
    <x v="31"/>
    <n v="2187"/>
    <n v="189"/>
    <n v="3.7037037037037035E-2"/>
    <s v="Nov-12"/>
    <x v="2"/>
    <n v="2.4545454545454546"/>
  </r>
  <r>
    <x v="27"/>
    <n v="31"/>
    <x v="1"/>
    <x v="1"/>
    <x v="1"/>
    <x v="18"/>
    <x v="1"/>
    <x v="3"/>
    <x v="5"/>
    <x v="2"/>
    <x v="25"/>
    <x v="10"/>
    <n v="30"/>
    <n v="50"/>
    <n v="90"/>
    <n v="19"/>
    <x v="25"/>
    <x v="2"/>
    <x v="30"/>
    <x v="3"/>
    <n v="1.0333333333333334"/>
    <n v="-22"/>
    <x v="0"/>
    <n v="49.44"/>
    <x v="32"/>
    <n v="2184"/>
    <n v="152"/>
    <n v="4.4871794871794872E-2"/>
    <s v="Nov-12"/>
    <x v="1"/>
    <n v="2.5161290322580645"/>
  </r>
  <r>
    <x v="28"/>
    <n v="36"/>
    <x v="1"/>
    <x v="1"/>
    <x v="1"/>
    <x v="3"/>
    <x v="1"/>
    <x v="3"/>
    <x v="5"/>
    <x v="27"/>
    <x v="23"/>
    <x v="6"/>
    <n v="40"/>
    <n v="40"/>
    <n v="100"/>
    <n v="22"/>
    <x v="23"/>
    <x v="27"/>
    <x v="31"/>
    <x v="7"/>
    <n v="0.9"/>
    <n v="-10"/>
    <x v="0"/>
    <n v="39.25"/>
    <x v="33"/>
    <n v="2640"/>
    <n v="220"/>
    <n v="3.4090909090909088E-2"/>
    <s v="Nov-12"/>
    <x v="0"/>
    <n v="2.4444444444444446"/>
  </r>
  <r>
    <x v="29"/>
    <n v="49"/>
    <x v="1"/>
    <x v="1"/>
    <x v="1"/>
    <x v="6"/>
    <x v="1"/>
    <x v="2"/>
    <x v="4"/>
    <x v="28"/>
    <x v="10"/>
    <x v="10"/>
    <n v="30"/>
    <n v="30"/>
    <n v="90"/>
    <n v="37"/>
    <x v="10"/>
    <x v="28"/>
    <x v="32"/>
    <x v="31"/>
    <n v="1.6333333333333333"/>
    <n v="4"/>
    <x v="0"/>
    <n v="28.866666666666667"/>
    <x v="34"/>
    <n v="4080"/>
    <n v="555"/>
    <n v="1.8888888888888889E-2"/>
    <s v="Nov-12"/>
    <x v="0"/>
    <n v="2.4489795918367347"/>
  </r>
  <r>
    <x v="14"/>
    <n v="54"/>
    <x v="1"/>
    <x v="1"/>
    <x v="0"/>
    <x v="14"/>
    <x v="1"/>
    <x v="3"/>
    <x v="6"/>
    <x v="29"/>
    <x v="26"/>
    <x v="13"/>
    <n v="50"/>
    <n v="20"/>
    <n v="110"/>
    <n v="53"/>
    <x v="26"/>
    <x v="29"/>
    <x v="33"/>
    <x v="32"/>
    <n v="1.08"/>
    <n v="-6"/>
    <x v="0"/>
    <n v="19.3"/>
    <x v="35"/>
    <n v="1694"/>
    <n v="1060"/>
    <n v="5.7851239669421484E-3"/>
    <s v="Nov-12"/>
    <x v="9"/>
    <n v="2.2407407407407409"/>
  </r>
  <r>
    <x v="10"/>
    <n v="46"/>
    <x v="1"/>
    <x v="1"/>
    <x v="2"/>
    <x v="10"/>
    <x v="1"/>
    <x v="3"/>
    <x v="6"/>
    <x v="27"/>
    <x v="27"/>
    <x v="9"/>
    <n v="40"/>
    <n v="40"/>
    <n v="100"/>
    <n v="37"/>
    <x v="27"/>
    <x v="27"/>
    <x v="25"/>
    <x v="33"/>
    <n v="1.1499999999999999"/>
    <n v="-10"/>
    <x v="0"/>
    <n v="39.25"/>
    <x v="36"/>
    <n v="3390"/>
    <n v="518"/>
    <n v="1.8963337547408345E-2"/>
    <s v="Nov-12"/>
    <x v="0"/>
    <n v="2.4565217391304346"/>
  </r>
  <r>
    <x v="10"/>
    <n v="43"/>
    <x v="1"/>
    <x v="1"/>
    <x v="2"/>
    <x v="10"/>
    <x v="1"/>
    <x v="3"/>
    <x v="7"/>
    <x v="30"/>
    <x v="12"/>
    <x v="9"/>
    <n v="30"/>
    <n v="30"/>
    <n v="90"/>
    <n v="46"/>
    <x v="12"/>
    <x v="30"/>
    <x v="34"/>
    <x v="34"/>
    <n v="1.4333333333333333"/>
    <n v="-10"/>
    <x v="0"/>
    <n v="29.333333333333332"/>
    <x v="37"/>
    <n v="2180"/>
    <n v="644"/>
    <n v="1.3106159895150722E-2"/>
    <s v="Nov-12"/>
    <x v="0"/>
    <n v="2.5348837209302326"/>
  </r>
  <r>
    <x v="10"/>
    <n v="44"/>
    <x v="1"/>
    <x v="1"/>
    <x v="2"/>
    <x v="19"/>
    <x v="1"/>
    <x v="2"/>
    <x v="8"/>
    <x v="23"/>
    <x v="28"/>
    <x v="9"/>
    <n v="40"/>
    <n v="10"/>
    <n v="100"/>
    <n v="70"/>
    <x v="28"/>
    <x v="23"/>
    <x v="35"/>
    <x v="35"/>
    <n v="1.1000000000000001"/>
    <n v="-18"/>
    <x v="0"/>
    <n v="10.8"/>
    <x v="38"/>
    <n v="-848"/>
    <n v="2800"/>
    <n v="-1.8867924528301887E-3"/>
    <s v="Nov-12"/>
    <x v="9"/>
    <n v="2.4090909090909092"/>
  </r>
  <r>
    <x v="29"/>
    <n v="53"/>
    <x v="1"/>
    <x v="1"/>
    <x v="1"/>
    <x v="20"/>
    <x v="1"/>
    <x v="2"/>
    <x v="8"/>
    <x v="31"/>
    <x v="29"/>
    <x v="10"/>
    <n v="40"/>
    <n v="30"/>
    <n v="100"/>
    <n v="39"/>
    <x v="29"/>
    <x v="31"/>
    <x v="36"/>
    <x v="36"/>
    <n v="1.325"/>
    <n v="19"/>
    <x v="0"/>
    <n v="28.366666666666667"/>
    <x v="39"/>
    <n v="6909"/>
    <n v="624"/>
    <n v="2.1719858156028369E-2"/>
    <s v="Nov-12"/>
    <x v="7"/>
    <n v="2.6603773584905661"/>
  </r>
  <r>
    <x v="16"/>
    <n v="54"/>
    <x v="1"/>
    <x v="1"/>
    <x v="3"/>
    <x v="14"/>
    <x v="1"/>
    <x v="2"/>
    <x v="8"/>
    <x v="32"/>
    <x v="26"/>
    <x v="14"/>
    <n v="50"/>
    <n v="20"/>
    <n v="110"/>
    <n v="54"/>
    <x v="26"/>
    <x v="32"/>
    <x v="13"/>
    <x v="37"/>
    <n v="1.08"/>
    <n v="-7"/>
    <x v="0"/>
    <n v="19.350000000000001"/>
    <x v="40"/>
    <n v="1573"/>
    <n v="1080"/>
    <n v="5.371900826446281E-3"/>
    <s v="Nov-12"/>
    <x v="9"/>
    <n v="2.2407407407407409"/>
  </r>
  <r>
    <x v="7"/>
    <n v="54"/>
    <x v="1"/>
    <x v="1"/>
    <x v="1"/>
    <x v="14"/>
    <x v="0"/>
    <x v="0"/>
    <x v="10"/>
    <x v="32"/>
    <x v="26"/>
    <x v="6"/>
    <n v="50"/>
    <n v="20"/>
    <n v="110"/>
    <n v="54"/>
    <x v="26"/>
    <x v="32"/>
    <x v="13"/>
    <x v="37"/>
    <n v="1.08"/>
    <n v="-7"/>
    <x v="0"/>
    <n v="19.350000000000001"/>
    <x v="40"/>
    <n v="1573"/>
    <n v="1080"/>
    <n v="5.371900826446281E-3"/>
    <s v="Nov-12"/>
    <x v="9"/>
    <n v="2.2407407407407409"/>
  </r>
  <r>
    <x v="15"/>
    <n v="46"/>
    <x v="1"/>
    <x v="1"/>
    <x v="3"/>
    <x v="10"/>
    <x v="0"/>
    <x v="0"/>
    <x v="10"/>
    <x v="27"/>
    <x v="27"/>
    <x v="8"/>
    <n v="40"/>
    <n v="30"/>
    <n v="100"/>
    <n v="37"/>
    <x v="27"/>
    <x v="27"/>
    <x v="25"/>
    <x v="33"/>
    <n v="1.1499999999999999"/>
    <n v="0"/>
    <x v="0"/>
    <n v="29"/>
    <x v="36"/>
    <n v="3390"/>
    <n v="518"/>
    <n v="1.8963337547408345E-2"/>
    <s v="Nov-12"/>
    <x v="7"/>
    <n v="2.4565217391304346"/>
  </r>
  <r>
    <x v="9"/>
    <n v="43"/>
    <x v="1"/>
    <x v="1"/>
    <x v="3"/>
    <x v="10"/>
    <x v="0"/>
    <x v="0"/>
    <x v="0"/>
    <x v="30"/>
    <x v="12"/>
    <x v="8"/>
    <n v="40"/>
    <n v="30"/>
    <n v="100"/>
    <n v="46"/>
    <x v="12"/>
    <x v="30"/>
    <x v="34"/>
    <x v="34"/>
    <n v="1.075"/>
    <n v="-10"/>
    <x v="0"/>
    <n v="29.333333333333332"/>
    <x v="37"/>
    <n v="2180"/>
    <n v="644"/>
    <n v="1.3106159895150722E-2"/>
    <s v="Nov-12"/>
    <x v="7"/>
    <n v="2.5348837209302326"/>
  </r>
  <r>
    <x v="30"/>
    <n v="47"/>
    <x v="1"/>
    <x v="1"/>
    <x v="3"/>
    <x v="2"/>
    <x v="0"/>
    <x v="0"/>
    <x v="0"/>
    <x v="24"/>
    <x v="30"/>
    <x v="14"/>
    <n v="40"/>
    <n v="40"/>
    <n v="100"/>
    <n v="24"/>
    <x v="30"/>
    <x v="24"/>
    <x v="37"/>
    <x v="38"/>
    <n v="1.175"/>
    <n v="4"/>
    <x v="0"/>
    <n v="38.9"/>
    <x v="41"/>
    <n v="5060"/>
    <n v="312"/>
    <n v="2.9431438127090301E-2"/>
    <s v="Nov-12"/>
    <x v="0"/>
    <n v="2.4468085106382977"/>
  </r>
  <r>
    <x v="31"/>
    <n v="36"/>
    <x v="1"/>
    <x v="1"/>
    <x v="2"/>
    <x v="3"/>
    <x v="0"/>
    <x v="1"/>
    <x v="3"/>
    <x v="9"/>
    <x v="31"/>
    <x v="5"/>
    <n v="30"/>
    <n v="40"/>
    <n v="90"/>
    <n v="21"/>
    <x v="31"/>
    <x v="9"/>
    <x v="28"/>
    <x v="39"/>
    <n v="1.2"/>
    <n v="-7"/>
    <x v="0"/>
    <n v="39.174999999999997"/>
    <x v="42"/>
    <n v="2970"/>
    <n v="210"/>
    <n v="3.6666666666666667E-2"/>
    <s v="Nov-12"/>
    <x v="2"/>
    <n v="2.5"/>
  </r>
  <r>
    <x v="32"/>
    <n v="61"/>
    <x v="1"/>
    <x v="1"/>
    <x v="3"/>
    <x v="21"/>
    <x v="0"/>
    <x v="1"/>
    <x v="3"/>
    <x v="12"/>
    <x v="32"/>
    <x v="14"/>
    <n v="40"/>
    <n v="0"/>
    <n v="100"/>
    <n v="85"/>
    <x v="32"/>
    <x v="12"/>
    <x v="38"/>
    <x v="40"/>
    <n v="1.5249999999999999"/>
    <n v="1"/>
    <x v="0"/>
    <e v="#DIV/0!"/>
    <x v="43"/>
    <n v="147"/>
    <n v="4675"/>
    <n v="1.2368583797155226E-4"/>
    <s v="Nov-12"/>
    <x v="10"/>
    <n v="2.4098360655737703"/>
  </r>
  <r>
    <x v="33"/>
    <n v="43"/>
    <x v="2"/>
    <x v="0"/>
    <x v="1"/>
    <x v="10"/>
    <x v="1"/>
    <x v="3"/>
    <x v="5"/>
    <x v="27"/>
    <x v="9"/>
    <x v="1"/>
    <n v="50"/>
    <n v="40"/>
    <n v="110"/>
    <n v="26"/>
    <x v="9"/>
    <x v="27"/>
    <x v="39"/>
    <x v="33"/>
    <n v="0.86"/>
    <n v="-10"/>
    <x v="0"/>
    <n v="39.25"/>
    <x v="44"/>
    <n v="2970"/>
    <n v="364"/>
    <n v="2.1645021645021644E-2"/>
    <s v="Dec-12"/>
    <x v="7"/>
    <n v="2.3023255813953489"/>
  </r>
  <r>
    <x v="34"/>
    <n v="54"/>
    <x v="2"/>
    <x v="0"/>
    <x v="1"/>
    <x v="6"/>
    <x v="1"/>
    <x v="2"/>
    <x v="4"/>
    <x v="33"/>
    <x v="33"/>
    <x v="1"/>
    <n v="40"/>
    <n v="40"/>
    <n v="100"/>
    <n v="27"/>
    <x v="33"/>
    <x v="33"/>
    <x v="40"/>
    <x v="41"/>
    <n v="1.35"/>
    <n v="12"/>
    <x v="0"/>
    <n v="38.700000000000003"/>
    <x v="45"/>
    <n v="6916"/>
    <n v="405"/>
    <n v="2.606516290726817E-2"/>
    <s v="Dec-12"/>
    <x v="0"/>
    <n v="2.4629629629629628"/>
  </r>
  <r>
    <x v="1"/>
    <n v="47"/>
    <x v="2"/>
    <x v="0"/>
    <x v="0"/>
    <x v="22"/>
    <x v="0"/>
    <x v="0"/>
    <x v="0"/>
    <x v="15"/>
    <x v="34"/>
    <x v="0"/>
    <n v="40"/>
    <n v="0"/>
    <n v="100"/>
    <n v="71"/>
    <x v="34"/>
    <x v="15"/>
    <x v="41"/>
    <x v="42"/>
    <n v="1.175"/>
    <n v="-6"/>
    <x v="0"/>
    <e v="#DIV/0!"/>
    <x v="46"/>
    <n v="-672"/>
    <n v="2982"/>
    <n v="-1.2755102040816326E-3"/>
    <s v="Dec-12"/>
    <x v="10"/>
    <n v="2.3829787234042552"/>
  </r>
  <r>
    <x v="0"/>
    <n v="54"/>
    <x v="2"/>
    <x v="0"/>
    <x v="0"/>
    <x v="1"/>
    <x v="0"/>
    <x v="0"/>
    <x v="1"/>
    <x v="26"/>
    <x v="35"/>
    <x v="0"/>
    <n v="50"/>
    <n v="30"/>
    <n v="110"/>
    <n v="44"/>
    <x v="35"/>
    <x v="26"/>
    <x v="42"/>
    <x v="29"/>
    <n v="1.08"/>
    <n v="-1"/>
    <x v="0"/>
    <n v="29.033333333333335"/>
    <x v="47"/>
    <n v="3683"/>
    <n v="748"/>
    <n v="1.3432144511347846E-2"/>
    <s v="Dec-12"/>
    <x v="6"/>
    <n v="2.3518518518518516"/>
  </r>
  <r>
    <x v="21"/>
    <n v="65"/>
    <x v="2"/>
    <x v="0"/>
    <x v="2"/>
    <x v="23"/>
    <x v="0"/>
    <x v="0"/>
    <x v="0"/>
    <x v="34"/>
    <x v="36"/>
    <x v="2"/>
    <n v="40"/>
    <n v="20"/>
    <n v="100"/>
    <n v="57"/>
    <x v="36"/>
    <x v="34"/>
    <x v="43"/>
    <x v="43"/>
    <n v="1.625"/>
    <n v="3"/>
    <x v="0"/>
    <n v="18.850000000000001"/>
    <x v="48"/>
    <n v="3335"/>
    <n v="1368"/>
    <n v="6.6091954022988505E-3"/>
    <s v="Dec-12"/>
    <x v="6"/>
    <n v="2.2307692307692308"/>
  </r>
  <r>
    <x v="35"/>
    <n v="80"/>
    <x v="2"/>
    <x v="0"/>
    <x v="2"/>
    <x v="23"/>
    <x v="0"/>
    <x v="0"/>
    <x v="1"/>
    <x v="35"/>
    <x v="37"/>
    <x v="2"/>
    <n v="60"/>
    <n v="30"/>
    <n v="120"/>
    <n v="46"/>
    <x v="37"/>
    <x v="35"/>
    <x v="4"/>
    <x v="44"/>
    <n v="1.3333333333333333"/>
    <n v="20"/>
    <x v="0"/>
    <n v="28.333333333333332"/>
    <x v="49"/>
    <n v="8800"/>
    <n v="1104"/>
    <n v="1.1837121212121214E-2"/>
    <s v="Dec-12"/>
    <x v="9"/>
    <n v="2.2000000000000002"/>
  </r>
  <r>
    <x v="36"/>
    <n v="54"/>
    <x v="2"/>
    <x v="0"/>
    <x v="1"/>
    <x v="1"/>
    <x v="0"/>
    <x v="0"/>
    <x v="10"/>
    <x v="2"/>
    <x v="35"/>
    <x v="1"/>
    <n v="50"/>
    <n v="30"/>
    <n v="110"/>
    <n v="45"/>
    <x v="35"/>
    <x v="2"/>
    <x v="44"/>
    <x v="45"/>
    <n v="1.08"/>
    <n v="-2"/>
    <x v="0"/>
    <n v="29.066666666666666"/>
    <x v="50"/>
    <n v="3556"/>
    <n v="765"/>
    <n v="1.2968967114404817E-2"/>
    <s v="Dec-12"/>
    <x v="6"/>
    <n v="2.3518518518518516"/>
  </r>
  <r>
    <x v="34"/>
    <n v="41"/>
    <x v="2"/>
    <x v="0"/>
    <x v="1"/>
    <x v="2"/>
    <x v="0"/>
    <x v="0"/>
    <x v="0"/>
    <x v="10"/>
    <x v="38"/>
    <x v="1"/>
    <n v="30"/>
    <n v="30"/>
    <n v="90"/>
    <n v="36"/>
    <x v="38"/>
    <x v="10"/>
    <x v="45"/>
    <x v="46"/>
    <n v="1.3666666666666667"/>
    <n v="-6"/>
    <x v="0"/>
    <n v="29.2"/>
    <x v="51"/>
    <n v="2424"/>
    <n v="468"/>
    <n v="1.827875095201828E-2"/>
    <s v="Dec-12"/>
    <x v="0"/>
    <n v="2.4634146341463414"/>
  </r>
  <r>
    <x v="37"/>
    <n v="54"/>
    <x v="2"/>
    <x v="0"/>
    <x v="3"/>
    <x v="6"/>
    <x v="0"/>
    <x v="1"/>
    <x v="11"/>
    <x v="36"/>
    <x v="33"/>
    <x v="3"/>
    <n v="30"/>
    <n v="50"/>
    <n v="90"/>
    <n v="26"/>
    <x v="33"/>
    <x v="36"/>
    <x v="46"/>
    <x v="47"/>
    <n v="1.8"/>
    <n v="3"/>
    <x v="0"/>
    <n v="48.94"/>
    <x v="52"/>
    <n v="7049"/>
    <n v="390"/>
    <n v="2.6566416040100248E-2"/>
    <s v="Dec-12"/>
    <x v="1"/>
    <n v="2.4629629629629628"/>
  </r>
  <r>
    <x v="26"/>
    <n v="31"/>
    <x v="2"/>
    <x v="1"/>
    <x v="0"/>
    <x v="18"/>
    <x v="1"/>
    <x v="2"/>
    <x v="4"/>
    <x v="22"/>
    <x v="14"/>
    <x v="12"/>
    <n v="30"/>
    <n v="50"/>
    <n v="90"/>
    <n v="19"/>
    <x v="14"/>
    <x v="22"/>
    <x v="30"/>
    <x v="48"/>
    <n v="1.0333333333333334"/>
    <n v="-23"/>
    <x v="0"/>
    <n v="49.46"/>
    <x v="53"/>
    <n v="2079"/>
    <n v="152"/>
    <n v="4.3831168831168832E-2"/>
    <s v="Dec-12"/>
    <x v="1"/>
    <n v="2.4838709677419355"/>
  </r>
  <r>
    <x v="29"/>
    <n v="34"/>
    <x v="2"/>
    <x v="1"/>
    <x v="1"/>
    <x v="8"/>
    <x v="1"/>
    <x v="3"/>
    <x v="5"/>
    <x v="5"/>
    <x v="39"/>
    <x v="10"/>
    <n v="40"/>
    <n v="50"/>
    <n v="100"/>
    <n v="20"/>
    <x v="39"/>
    <x v="5"/>
    <x v="29"/>
    <x v="49"/>
    <n v="0.85"/>
    <n v="-19"/>
    <x v="0"/>
    <n v="49.38"/>
    <x v="54"/>
    <n v="2635"/>
    <n v="180"/>
    <n v="4.0522875816993466E-2"/>
    <s v="Dec-12"/>
    <x v="2"/>
    <n v="2.5"/>
  </r>
  <r>
    <x v="28"/>
    <n v="33"/>
    <x v="2"/>
    <x v="1"/>
    <x v="1"/>
    <x v="8"/>
    <x v="1"/>
    <x v="3"/>
    <x v="5"/>
    <x v="2"/>
    <x v="40"/>
    <x v="6"/>
    <n v="30"/>
    <n v="50"/>
    <n v="90"/>
    <n v="21"/>
    <x v="40"/>
    <x v="2"/>
    <x v="29"/>
    <x v="50"/>
    <n v="1.1000000000000001"/>
    <n v="-22"/>
    <x v="0"/>
    <n v="49.44"/>
    <x v="55"/>
    <n v="2296"/>
    <n v="189"/>
    <n v="3.7940379403794036E-2"/>
    <s v="Dec-12"/>
    <x v="1"/>
    <n v="2.4848484848484849"/>
  </r>
  <r>
    <x v="10"/>
    <n v="48"/>
    <x v="2"/>
    <x v="1"/>
    <x v="2"/>
    <x v="6"/>
    <x v="1"/>
    <x v="3"/>
    <x v="7"/>
    <x v="2"/>
    <x v="0"/>
    <x v="9"/>
    <n v="40"/>
    <n v="30"/>
    <n v="100"/>
    <n v="46"/>
    <x v="0"/>
    <x v="2"/>
    <x v="47"/>
    <x v="51"/>
    <n v="1.2"/>
    <n v="-2"/>
    <x v="0"/>
    <n v="29.066666666666666"/>
    <x v="56"/>
    <n v="3416"/>
    <n v="690"/>
    <n v="1.5300546448087432E-2"/>
    <s v="Dec-12"/>
    <x v="7"/>
    <n v="2.5416666666666665"/>
  </r>
  <r>
    <x v="38"/>
    <n v="55"/>
    <x v="2"/>
    <x v="1"/>
    <x v="1"/>
    <x v="24"/>
    <x v="1"/>
    <x v="2"/>
    <x v="9"/>
    <x v="37"/>
    <x v="41"/>
    <x v="10"/>
    <n v="40"/>
    <n v="0"/>
    <n v="100"/>
    <n v="79"/>
    <x v="41"/>
    <x v="37"/>
    <x v="48"/>
    <x v="52"/>
    <n v="1.375"/>
    <n v="-3"/>
    <x v="0"/>
    <e v="#DIV/0!"/>
    <x v="57"/>
    <n v="-393"/>
    <n v="3871"/>
    <n v="-4.6736251752609438E-4"/>
    <s v="Dec-12"/>
    <x v="10"/>
    <n v="2.3818181818181818"/>
  </r>
  <r>
    <x v="39"/>
    <n v="49"/>
    <x v="2"/>
    <x v="1"/>
    <x v="1"/>
    <x v="25"/>
    <x v="1"/>
    <x v="2"/>
    <x v="8"/>
    <x v="0"/>
    <x v="15"/>
    <x v="17"/>
    <n v="30"/>
    <n v="10"/>
    <n v="90"/>
    <n v="74"/>
    <x v="15"/>
    <x v="0"/>
    <x v="49"/>
    <x v="53"/>
    <n v="1.6333333333333333"/>
    <n v="-15"/>
    <x v="0"/>
    <n v="10.5"/>
    <x v="58"/>
    <n v="-590"/>
    <n v="3256"/>
    <n v="-9.6302003081664099E-4"/>
    <s v="Dec-12"/>
    <x v="6"/>
    <n v="2.4081632653061225"/>
  </r>
  <r>
    <x v="8"/>
    <n v="39"/>
    <x v="2"/>
    <x v="1"/>
    <x v="3"/>
    <x v="10"/>
    <x v="1"/>
    <x v="3"/>
    <x v="7"/>
    <x v="12"/>
    <x v="23"/>
    <x v="7"/>
    <n v="40"/>
    <n v="20"/>
    <n v="100"/>
    <n v="48"/>
    <x v="23"/>
    <x v="12"/>
    <x v="10"/>
    <x v="54"/>
    <n v="0.97499999999999998"/>
    <n v="-19"/>
    <x v="0"/>
    <n v="19.95"/>
    <x v="59"/>
    <n v="88"/>
    <n v="672"/>
    <n v="8.1168831168831163E-4"/>
    <s v="Dec-12"/>
    <x v="6"/>
    <n v="2.2564102564102564"/>
  </r>
  <r>
    <x v="40"/>
    <n v="49"/>
    <x v="2"/>
    <x v="1"/>
    <x v="0"/>
    <x v="25"/>
    <x v="0"/>
    <x v="0"/>
    <x v="10"/>
    <x v="0"/>
    <x v="15"/>
    <x v="12"/>
    <n v="40"/>
    <n v="0"/>
    <n v="100"/>
    <n v="74"/>
    <x v="15"/>
    <x v="0"/>
    <x v="49"/>
    <x v="53"/>
    <n v="1.2250000000000001"/>
    <n v="-5"/>
    <x v="0"/>
    <e v="#DIV/0!"/>
    <x v="58"/>
    <n v="-590"/>
    <n v="3256"/>
    <n v="-9.6302003081664099E-4"/>
    <s v="Dec-12"/>
    <x v="10"/>
    <n v="2.4081632653061225"/>
  </r>
  <r>
    <x v="41"/>
    <n v="41"/>
    <x v="2"/>
    <x v="1"/>
    <x v="0"/>
    <x v="13"/>
    <x v="0"/>
    <x v="0"/>
    <x v="10"/>
    <x v="27"/>
    <x v="2"/>
    <x v="13"/>
    <n v="30"/>
    <n v="30"/>
    <n v="90"/>
    <n v="36"/>
    <x v="2"/>
    <x v="27"/>
    <x v="45"/>
    <x v="55"/>
    <n v="1.3666666666666667"/>
    <n v="0"/>
    <x v="0"/>
    <n v="29"/>
    <x v="11"/>
    <n v="3210"/>
    <n v="432"/>
    <n v="2.336448598130841E-2"/>
    <s v="Dec-12"/>
    <x v="0"/>
    <n v="2.6097560975609757"/>
  </r>
  <r>
    <x v="13"/>
    <n v="92"/>
    <x v="2"/>
    <x v="1"/>
    <x v="0"/>
    <x v="16"/>
    <x v="0"/>
    <x v="0"/>
    <x v="0"/>
    <x v="38"/>
    <x v="42"/>
    <x v="12"/>
    <n v="80"/>
    <n v="20"/>
    <n v="140"/>
    <n v="52"/>
    <x v="42"/>
    <x v="38"/>
    <x v="50"/>
    <x v="56"/>
    <n v="1.1499999999999999"/>
    <n v="-4"/>
    <x v="0"/>
    <n v="19.2"/>
    <x v="60"/>
    <n v="2560"/>
    <n v="1456"/>
    <n v="3.5714285714285713E-3"/>
    <s v="Dec-12"/>
    <x v="11"/>
    <n v="1.7391304347826086"/>
  </r>
  <r>
    <x v="42"/>
    <n v="68"/>
    <x v="2"/>
    <x v="1"/>
    <x v="2"/>
    <x v="26"/>
    <x v="0"/>
    <x v="0"/>
    <x v="0"/>
    <x v="22"/>
    <x v="43"/>
    <x v="5"/>
    <n v="50"/>
    <n v="20"/>
    <n v="110"/>
    <n v="58"/>
    <x v="43"/>
    <x v="22"/>
    <x v="4"/>
    <x v="57"/>
    <n v="1.36"/>
    <n v="7"/>
    <x v="0"/>
    <n v="18.649999999999999"/>
    <x v="61"/>
    <n v="4131"/>
    <n v="1450"/>
    <n v="7.058823529411765E-3"/>
    <s v="Dec-12"/>
    <x v="9"/>
    <n v="2.25"/>
  </r>
  <r>
    <x v="42"/>
    <n v="63"/>
    <x v="2"/>
    <x v="1"/>
    <x v="2"/>
    <x v="27"/>
    <x v="0"/>
    <x v="0"/>
    <x v="1"/>
    <x v="18"/>
    <x v="44"/>
    <x v="5"/>
    <n v="40"/>
    <n v="40"/>
    <n v="100"/>
    <n v="40"/>
    <x v="44"/>
    <x v="18"/>
    <x v="51"/>
    <x v="58"/>
    <n v="1.575"/>
    <n v="-4"/>
    <x v="0"/>
    <n v="39.1"/>
    <x v="62"/>
    <n v="5004"/>
    <n v="760"/>
    <n v="1.3631200302915562E-2"/>
    <s v="Dec-12"/>
    <x v="0"/>
    <n v="2.2063492063492065"/>
  </r>
  <r>
    <x v="9"/>
    <n v="92"/>
    <x v="2"/>
    <x v="1"/>
    <x v="3"/>
    <x v="16"/>
    <x v="0"/>
    <x v="0"/>
    <x v="1"/>
    <x v="39"/>
    <x v="42"/>
    <x v="8"/>
    <n v="80"/>
    <n v="20"/>
    <n v="140"/>
    <n v="51"/>
    <x v="42"/>
    <x v="39"/>
    <x v="12"/>
    <x v="59"/>
    <n v="1.1499999999999999"/>
    <n v="-3"/>
    <x v="0"/>
    <n v="19.149999999999999"/>
    <x v="63"/>
    <n v="2720"/>
    <n v="1428"/>
    <n v="3.7946428571428567E-3"/>
    <s v="Dec-12"/>
    <x v="11"/>
    <n v="1.7391304347826086"/>
  </r>
  <r>
    <x v="41"/>
    <n v="55"/>
    <x v="2"/>
    <x v="1"/>
    <x v="0"/>
    <x v="24"/>
    <x v="0"/>
    <x v="1"/>
    <x v="11"/>
    <x v="37"/>
    <x v="41"/>
    <x v="13"/>
    <n v="40"/>
    <n v="0"/>
    <n v="100"/>
    <n v="79"/>
    <x v="41"/>
    <x v="37"/>
    <x v="48"/>
    <x v="52"/>
    <n v="1.375"/>
    <n v="-3"/>
    <x v="0"/>
    <e v="#DIV/0!"/>
    <x v="57"/>
    <n v="-393"/>
    <n v="3871"/>
    <n v="-4.6736251752609438E-4"/>
    <s v="Dec-12"/>
    <x v="10"/>
    <n v="2.3818181818181818"/>
  </r>
  <r>
    <x v="43"/>
    <n v="51"/>
    <x v="3"/>
    <x v="0"/>
    <x v="0"/>
    <x v="0"/>
    <x v="0"/>
    <x v="0"/>
    <x v="0"/>
    <x v="11"/>
    <x v="45"/>
    <x v="0"/>
    <n v="30"/>
    <n v="30"/>
    <n v="90"/>
    <n v="76"/>
    <x v="45"/>
    <x v="11"/>
    <x v="52"/>
    <x v="60"/>
    <n v="1.7"/>
    <n v="-37"/>
    <x v="0"/>
    <n v="30.233333333333334"/>
    <x v="64"/>
    <n v="-910"/>
    <n v="3496"/>
    <n v="-1.1705685618729098E-3"/>
    <s v="Oct-13"/>
    <x v="0"/>
    <n v="2.5490196078431371"/>
  </r>
  <r>
    <x v="1"/>
    <n v="52"/>
    <x v="3"/>
    <x v="0"/>
    <x v="0"/>
    <x v="1"/>
    <x v="0"/>
    <x v="0"/>
    <x v="1"/>
    <x v="40"/>
    <x v="41"/>
    <x v="0"/>
    <n v="30"/>
    <n v="50"/>
    <n v="90"/>
    <n v="45"/>
    <x v="41"/>
    <x v="40"/>
    <x v="36"/>
    <x v="61"/>
    <n v="1.7333333333333334"/>
    <n v="-11"/>
    <x v="0"/>
    <n v="49.22"/>
    <x v="65"/>
    <n v="5109"/>
    <n v="765"/>
    <n v="1.7512348450830714E-2"/>
    <s v="Oct-13"/>
    <x v="1"/>
    <n v="2.5192307692307692"/>
  </r>
  <r>
    <x v="44"/>
    <n v="43"/>
    <x v="3"/>
    <x v="0"/>
    <x v="1"/>
    <x v="2"/>
    <x v="0"/>
    <x v="0"/>
    <x v="0"/>
    <x v="41"/>
    <x v="11"/>
    <x v="1"/>
    <n v="30"/>
    <n v="50"/>
    <n v="90"/>
    <n v="36"/>
    <x v="11"/>
    <x v="41"/>
    <x v="16"/>
    <x v="62"/>
    <n v="1.4333333333333333"/>
    <n v="-8"/>
    <x v="0"/>
    <n v="49.16"/>
    <x v="66"/>
    <n v="4788"/>
    <n v="468"/>
    <n v="2.8340080971659919E-2"/>
    <s v="Oct-13"/>
    <x v="1"/>
    <n v="2.6511627906976742"/>
  </r>
  <r>
    <x v="35"/>
    <n v="38"/>
    <x v="3"/>
    <x v="0"/>
    <x v="2"/>
    <x v="3"/>
    <x v="0"/>
    <x v="1"/>
    <x v="2"/>
    <x v="33"/>
    <x v="46"/>
    <x v="2"/>
    <n v="40"/>
    <n v="50"/>
    <n v="100"/>
    <n v="21"/>
    <x v="46"/>
    <x v="33"/>
    <x v="53"/>
    <x v="63"/>
    <n v="0.95"/>
    <n v="2"/>
    <x v="0"/>
    <n v="48.96"/>
    <x v="67"/>
    <n v="5200"/>
    <n v="210"/>
    <n v="5.2000000000000005E-2"/>
    <s v="Oct-13"/>
    <x v="2"/>
    <n v="2.6315789473684212"/>
  </r>
  <r>
    <x v="45"/>
    <n v="72"/>
    <x v="3"/>
    <x v="0"/>
    <x v="3"/>
    <x v="4"/>
    <x v="0"/>
    <x v="1"/>
    <x v="3"/>
    <x v="42"/>
    <x v="47"/>
    <x v="3"/>
    <n v="20"/>
    <n v="50"/>
    <n v="80"/>
    <n v="54"/>
    <x v="47"/>
    <x v="42"/>
    <x v="54"/>
    <x v="64"/>
    <n v="3.6"/>
    <n v="33"/>
    <x v="0"/>
    <n v="48.34"/>
    <x v="68"/>
    <n v="16102"/>
    <n v="1242"/>
    <n v="1.8601523980277902E-2"/>
    <s v="Oct-13"/>
    <x v="3"/>
    <n v="2.6944444444444446"/>
  </r>
  <r>
    <x v="46"/>
    <n v="0"/>
    <x v="3"/>
    <x v="1"/>
    <x v="0"/>
    <x v="5"/>
    <x v="1"/>
    <x v="2"/>
    <x v="4"/>
    <x v="43"/>
    <x v="48"/>
    <x v="4"/>
    <n v="0"/>
    <n v="60"/>
    <n v="60"/>
    <n v="12"/>
    <x v="48"/>
    <x v="43"/>
    <x v="55"/>
    <x v="5"/>
    <e v="#DIV/0!"/>
    <n v="-14"/>
    <x v="0"/>
    <n v="59.233333333333334"/>
    <x v="69"/>
    <n v="2116"/>
    <e v="#DIV/0!"/>
    <e v="#DIV/0!"/>
    <s v="Oct-13"/>
    <x v="4"/>
    <e v="#DIV/0!"/>
  </r>
  <r>
    <x v="31"/>
    <n v="47"/>
    <x v="3"/>
    <x v="1"/>
    <x v="2"/>
    <x v="6"/>
    <x v="1"/>
    <x v="2"/>
    <x v="4"/>
    <x v="5"/>
    <x v="15"/>
    <x v="5"/>
    <n v="30"/>
    <n v="50"/>
    <n v="90"/>
    <n v="43"/>
    <x v="15"/>
    <x v="5"/>
    <x v="10"/>
    <x v="65"/>
    <n v="1.5666666666666667"/>
    <n v="-19"/>
    <x v="0"/>
    <n v="49.38"/>
    <x v="70"/>
    <n v="3658"/>
    <n v="644.99999999999989"/>
    <n v="1.7514124293785311E-2"/>
    <s v="Oct-13"/>
    <x v="1"/>
    <n v="2.5106382978723403"/>
  </r>
  <r>
    <x v="47"/>
    <n v="27"/>
    <x v="3"/>
    <x v="1"/>
    <x v="1"/>
    <x v="7"/>
    <x v="1"/>
    <x v="3"/>
    <x v="5"/>
    <x v="5"/>
    <x v="49"/>
    <x v="6"/>
    <n v="30"/>
    <n v="60"/>
    <n v="90"/>
    <n v="18"/>
    <x v="49"/>
    <x v="5"/>
    <x v="56"/>
    <x v="66"/>
    <n v="0.9"/>
    <n v="-29"/>
    <x v="0"/>
    <n v="59.483333333333334"/>
    <x v="71"/>
    <n v="2170"/>
    <n v="125.99999999999999"/>
    <n v="6.3265306122448989E-2"/>
    <s v="Oct-13"/>
    <x v="3"/>
    <n v="2.5925925925925926"/>
  </r>
  <r>
    <x v="8"/>
    <n v="31"/>
    <x v="3"/>
    <x v="1"/>
    <x v="3"/>
    <x v="8"/>
    <x v="1"/>
    <x v="3"/>
    <x v="5"/>
    <x v="44"/>
    <x v="50"/>
    <x v="7"/>
    <n v="30"/>
    <n v="50"/>
    <n v="90"/>
    <n v="30"/>
    <x v="50"/>
    <x v="44"/>
    <x v="9"/>
    <x v="67"/>
    <n v="1.0333333333333334"/>
    <n v="-40"/>
    <x v="0"/>
    <n v="49.8"/>
    <x v="72"/>
    <n v="720"/>
    <n v="270"/>
    <n v="1.54320987654321E-2"/>
    <s v="Oct-13"/>
    <x v="1"/>
    <n v="2.3225806451612905"/>
  </r>
  <r>
    <x v="9"/>
    <n v="40"/>
    <x v="3"/>
    <x v="1"/>
    <x v="3"/>
    <x v="9"/>
    <x v="1"/>
    <x v="2"/>
    <x v="4"/>
    <x v="45"/>
    <x v="28"/>
    <x v="8"/>
    <n v="20"/>
    <n v="60"/>
    <n v="80"/>
    <n v="22"/>
    <x v="28"/>
    <x v="45"/>
    <x v="57"/>
    <x v="68"/>
    <n v="2"/>
    <n v="-5"/>
    <x v="0"/>
    <n v="59.083333333333336"/>
    <x v="73"/>
    <n v="5830"/>
    <n v="242"/>
    <n v="4.716981132075472E-2"/>
    <s v="Oct-13"/>
    <x v="5"/>
    <n v="2.65"/>
  </r>
  <r>
    <x v="10"/>
    <n v="49"/>
    <x v="3"/>
    <x v="1"/>
    <x v="2"/>
    <x v="6"/>
    <x v="1"/>
    <x v="3"/>
    <x v="6"/>
    <x v="31"/>
    <x v="51"/>
    <x v="9"/>
    <n v="30"/>
    <n v="60"/>
    <n v="90"/>
    <n v="38"/>
    <x v="51"/>
    <x v="31"/>
    <x v="2"/>
    <x v="69"/>
    <n v="1.6333333333333333"/>
    <n v="-11"/>
    <x v="0"/>
    <n v="59.18333333333333"/>
    <x v="74"/>
    <n v="6272"/>
    <n v="570"/>
    <n v="2.5520833333333333E-2"/>
    <s v="Oct-13"/>
    <x v="3"/>
    <n v="2.6122448979591835"/>
  </r>
  <r>
    <x v="10"/>
    <n v="45"/>
    <x v="3"/>
    <x v="1"/>
    <x v="2"/>
    <x v="10"/>
    <x v="1"/>
    <x v="3"/>
    <x v="7"/>
    <x v="18"/>
    <x v="26"/>
    <x v="9"/>
    <n v="30"/>
    <n v="50"/>
    <n v="90"/>
    <n v="45"/>
    <x v="26"/>
    <x v="18"/>
    <x v="58"/>
    <x v="70"/>
    <n v="1.5"/>
    <n v="-14"/>
    <x v="0"/>
    <n v="49.28"/>
    <x v="75"/>
    <n v="4356"/>
    <n v="630"/>
    <n v="2.1251475796930343E-2"/>
    <s v="Oct-13"/>
    <x v="1"/>
    <n v="2.6888888888888891"/>
  </r>
  <r>
    <x v="10"/>
    <n v="45"/>
    <x v="3"/>
    <x v="1"/>
    <x v="2"/>
    <x v="11"/>
    <x v="1"/>
    <x v="2"/>
    <x v="8"/>
    <x v="46"/>
    <x v="52"/>
    <x v="9"/>
    <n v="30"/>
    <n v="30"/>
    <n v="90"/>
    <n v="71"/>
    <x v="52"/>
    <x v="46"/>
    <x v="4"/>
    <x v="71"/>
    <n v="1.5"/>
    <n v="-40"/>
    <x v="0"/>
    <n v="30.333333333333332"/>
    <x v="76"/>
    <n v="-1160"/>
    <n v="2911"/>
    <n v="-2.1026072329688814E-3"/>
    <s v="Oct-13"/>
    <x v="0"/>
    <n v="2.5777777777777779"/>
  </r>
  <r>
    <x v="27"/>
    <n v="60"/>
    <x v="3"/>
    <x v="1"/>
    <x v="1"/>
    <x v="12"/>
    <x v="1"/>
    <x v="2"/>
    <x v="9"/>
    <x v="12"/>
    <x v="43"/>
    <x v="10"/>
    <n v="30"/>
    <n v="10"/>
    <n v="90"/>
    <n v="83"/>
    <x v="43"/>
    <x v="12"/>
    <x v="59"/>
    <x v="13"/>
    <n v="2"/>
    <n v="-9"/>
    <x v="0"/>
    <n v="9.9"/>
    <x v="13"/>
    <n v="153"/>
    <n v="4482"/>
    <n v="1.2103606874848704E-4"/>
    <s v="Oct-13"/>
    <x v="6"/>
    <n v="2.5499999999999998"/>
  </r>
  <r>
    <x v="48"/>
    <n v="34"/>
    <x v="3"/>
    <x v="1"/>
    <x v="3"/>
    <x v="13"/>
    <x v="1"/>
    <x v="3"/>
    <x v="7"/>
    <x v="37"/>
    <x v="40"/>
    <x v="7"/>
    <n v="40"/>
    <n v="30"/>
    <n v="100"/>
    <n v="45"/>
    <x v="40"/>
    <x v="37"/>
    <x v="58"/>
    <x v="72"/>
    <n v="0.85"/>
    <n v="-33"/>
    <x v="0"/>
    <n v="30.1"/>
    <x v="77"/>
    <n v="-246"/>
    <n v="540"/>
    <n v="-3.0487804878048782E-3"/>
    <s v="Oct-13"/>
    <x v="7"/>
    <n v="2.4117647058823528"/>
  </r>
  <r>
    <x v="17"/>
    <n v="54"/>
    <x v="3"/>
    <x v="1"/>
    <x v="3"/>
    <x v="14"/>
    <x v="1"/>
    <x v="2"/>
    <x v="9"/>
    <x v="47"/>
    <x v="51"/>
    <x v="11"/>
    <n v="40"/>
    <n v="40"/>
    <n v="100"/>
    <n v="54"/>
    <x v="51"/>
    <x v="47"/>
    <x v="60"/>
    <x v="73"/>
    <n v="1.35"/>
    <n v="-22"/>
    <x v="0"/>
    <n v="39.549999999999997"/>
    <x v="78"/>
    <n v="2304"/>
    <n v="1080"/>
    <n v="7.0312500000000002E-3"/>
    <s v="Oct-13"/>
    <x v="0"/>
    <n v="2.3703703703703702"/>
  </r>
  <r>
    <x v="13"/>
    <n v="45"/>
    <x v="3"/>
    <x v="1"/>
    <x v="0"/>
    <x v="11"/>
    <x v="0"/>
    <x v="0"/>
    <x v="10"/>
    <x v="48"/>
    <x v="52"/>
    <x v="12"/>
    <n v="20"/>
    <n v="30"/>
    <n v="80"/>
    <n v="70"/>
    <x v="52"/>
    <x v="48"/>
    <x v="61"/>
    <x v="74"/>
    <n v="2.25"/>
    <n v="-39"/>
    <x v="0"/>
    <n v="30.3"/>
    <x v="79"/>
    <n v="-1044"/>
    <n v="2870"/>
    <n v="-1.8923465096719932E-3"/>
    <s v="Oct-13"/>
    <x v="2"/>
    <n v="2.5777777777777779"/>
  </r>
  <r>
    <x v="14"/>
    <n v="48"/>
    <x v="3"/>
    <x v="1"/>
    <x v="0"/>
    <x v="2"/>
    <x v="0"/>
    <x v="0"/>
    <x v="0"/>
    <x v="49"/>
    <x v="53"/>
    <x v="13"/>
    <n v="30"/>
    <n v="60"/>
    <n v="90"/>
    <n v="25"/>
    <x v="53"/>
    <x v="49"/>
    <x v="3"/>
    <x v="75"/>
    <n v="1.6"/>
    <n v="7"/>
    <x v="0"/>
    <n v="58.883333333333333"/>
    <x v="80"/>
    <n v="8442"/>
    <n v="325"/>
    <n v="4.0903540903540904E-2"/>
    <s v="Oct-13"/>
    <x v="3"/>
    <n v="2.625"/>
  </r>
  <r>
    <x v="15"/>
    <n v="49"/>
    <x v="3"/>
    <x v="1"/>
    <x v="3"/>
    <x v="6"/>
    <x v="0"/>
    <x v="0"/>
    <x v="10"/>
    <x v="31"/>
    <x v="51"/>
    <x v="8"/>
    <n v="30"/>
    <n v="60"/>
    <n v="90"/>
    <n v="38"/>
    <x v="51"/>
    <x v="31"/>
    <x v="2"/>
    <x v="69"/>
    <n v="1.6333333333333333"/>
    <n v="-11"/>
    <x v="0"/>
    <n v="59.18333333333333"/>
    <x v="74"/>
    <n v="6272"/>
    <n v="570"/>
    <n v="2.5520833333333333E-2"/>
    <s v="Oct-13"/>
    <x v="3"/>
    <n v="2.6122448979591835"/>
  </r>
  <r>
    <x v="30"/>
    <n v="48"/>
    <x v="3"/>
    <x v="1"/>
    <x v="3"/>
    <x v="2"/>
    <x v="0"/>
    <x v="0"/>
    <x v="0"/>
    <x v="50"/>
    <x v="35"/>
    <x v="14"/>
    <n v="30"/>
    <n v="60"/>
    <n v="90"/>
    <n v="24"/>
    <x v="35"/>
    <x v="50"/>
    <x v="28"/>
    <x v="76"/>
    <n v="1.6"/>
    <n v="10"/>
    <x v="0"/>
    <n v="58.833333333333336"/>
    <x v="81"/>
    <n v="8890"/>
    <n v="312"/>
    <n v="4.2398546335554212E-2"/>
    <s v="Oct-13"/>
    <x v="3"/>
    <n v="2.6458333333333335"/>
  </r>
  <r>
    <x v="42"/>
    <n v="40"/>
    <x v="3"/>
    <x v="1"/>
    <x v="2"/>
    <x v="9"/>
    <x v="0"/>
    <x v="1"/>
    <x v="2"/>
    <x v="36"/>
    <x v="28"/>
    <x v="5"/>
    <n v="40"/>
    <n v="50"/>
    <n v="100"/>
    <n v="23"/>
    <x v="28"/>
    <x v="36"/>
    <x v="62"/>
    <x v="77"/>
    <n v="1"/>
    <n v="3"/>
    <x v="0"/>
    <n v="48.94"/>
    <x v="82"/>
    <n v="5618"/>
    <n v="253"/>
    <n v="4.5454545454545456E-2"/>
    <s v="Oct-13"/>
    <x v="2"/>
    <n v="2.65"/>
  </r>
  <r>
    <x v="12"/>
    <n v="82"/>
    <x v="3"/>
    <x v="1"/>
    <x v="3"/>
    <x v="15"/>
    <x v="0"/>
    <x v="1"/>
    <x v="11"/>
    <x v="51"/>
    <x v="18"/>
    <x v="11"/>
    <n v="30"/>
    <n v="50"/>
    <n v="90"/>
    <n v="59"/>
    <x v="18"/>
    <x v="51"/>
    <x v="49"/>
    <x v="78"/>
    <n v="2.7333333333333334"/>
    <n v="45"/>
    <x v="0"/>
    <n v="48.1"/>
    <x v="83"/>
    <n v="20710"/>
    <n v="1593"/>
    <n v="1.6139993204213388E-2"/>
    <s v="Oct-13"/>
    <x v="1"/>
    <n v="2.6585365853658538"/>
  </r>
  <r>
    <x v="49"/>
    <n v="91"/>
    <x v="3"/>
    <x v="1"/>
    <x v="3"/>
    <x v="16"/>
    <x v="0"/>
    <x v="1"/>
    <x v="3"/>
    <x v="52"/>
    <x v="54"/>
    <x v="11"/>
    <n v="40"/>
    <n v="50"/>
    <n v="100"/>
    <n v="51"/>
    <x v="54"/>
    <x v="52"/>
    <x v="63"/>
    <x v="79"/>
    <n v="2.2749999999999999"/>
    <n v="63"/>
    <x v="0"/>
    <n v="47.74"/>
    <x v="84"/>
    <n v="26216"/>
    <n v="1428"/>
    <n v="1.7395320197044335E-2"/>
    <s v="Oct-13"/>
    <x v="2"/>
    <n v="2.5494505494505493"/>
  </r>
  <r>
    <x v="22"/>
    <n v="40"/>
    <x v="4"/>
    <x v="0"/>
    <x v="1"/>
    <x v="2"/>
    <x v="1"/>
    <x v="3"/>
    <x v="5"/>
    <x v="40"/>
    <x v="55"/>
    <x v="1"/>
    <n v="40"/>
    <n v="40"/>
    <n v="100"/>
    <n v="26"/>
    <x v="55"/>
    <x v="40"/>
    <x v="3"/>
    <x v="7"/>
    <n v="1"/>
    <n v="-1"/>
    <x v="0"/>
    <n v="39.024999999999999"/>
    <x v="85"/>
    <n v="3822"/>
    <n v="338"/>
    <n v="3.0612244897959183E-2"/>
    <s v="Nov-13"/>
    <x v="0"/>
    <n v="2.4500000000000002"/>
  </r>
  <r>
    <x v="50"/>
    <n v="50"/>
    <x v="4"/>
    <x v="0"/>
    <x v="1"/>
    <x v="10"/>
    <x v="1"/>
    <x v="2"/>
    <x v="4"/>
    <x v="53"/>
    <x v="41"/>
    <x v="1"/>
    <n v="30"/>
    <n v="40"/>
    <n v="90"/>
    <n v="25"/>
    <x v="41"/>
    <x v="53"/>
    <x v="64"/>
    <x v="80"/>
    <n v="1.6666666666666667"/>
    <n v="31"/>
    <x v="0"/>
    <n v="38.225000000000001"/>
    <x v="86"/>
    <n v="9301"/>
    <n v="350"/>
    <n v="3.8713195201744821E-2"/>
    <s v="Nov-13"/>
    <x v="2"/>
    <n v="2.62"/>
  </r>
  <r>
    <x v="23"/>
    <n v="40"/>
    <x v="4"/>
    <x v="0"/>
    <x v="0"/>
    <x v="2"/>
    <x v="1"/>
    <x v="3"/>
    <x v="7"/>
    <x v="54"/>
    <x v="55"/>
    <x v="0"/>
    <n v="30"/>
    <n v="40"/>
    <n v="90"/>
    <n v="25"/>
    <x v="55"/>
    <x v="54"/>
    <x v="31"/>
    <x v="81"/>
    <n v="1.3333333333333333"/>
    <n v="0"/>
    <x v="0"/>
    <n v="39"/>
    <x v="87"/>
    <n v="3920"/>
    <n v="325"/>
    <n v="3.1397174254317116E-2"/>
    <s v="Nov-13"/>
    <x v="2"/>
    <n v="2.4500000000000002"/>
  </r>
  <r>
    <x v="25"/>
    <n v="52"/>
    <x v="4"/>
    <x v="0"/>
    <x v="2"/>
    <x v="17"/>
    <x v="1"/>
    <x v="2"/>
    <x v="8"/>
    <x v="55"/>
    <x v="51"/>
    <x v="15"/>
    <n v="50"/>
    <n v="0"/>
    <n v="110"/>
    <n v="76"/>
    <x v="51"/>
    <x v="55"/>
    <x v="65"/>
    <x v="82"/>
    <n v="1.04"/>
    <n v="-12"/>
    <x v="0"/>
    <e v="#DIV/0!"/>
    <x v="88"/>
    <n v="-1536"/>
    <n v="3572.0000000000005"/>
    <n v="-1.9946808510638296E-3"/>
    <s v="Nov-13"/>
    <x v="8"/>
    <n v="2.4615384615384617"/>
  </r>
  <r>
    <x v="35"/>
    <n v="75"/>
    <x v="4"/>
    <x v="0"/>
    <x v="2"/>
    <x v="4"/>
    <x v="0"/>
    <x v="0"/>
    <x v="1"/>
    <x v="56"/>
    <x v="56"/>
    <x v="2"/>
    <n v="50"/>
    <n v="30"/>
    <n v="110"/>
    <n v="45"/>
    <x v="56"/>
    <x v="56"/>
    <x v="60"/>
    <x v="83"/>
    <n v="1.5"/>
    <n v="35"/>
    <x v="0"/>
    <n v="27.833333333333332"/>
    <x v="89"/>
    <n v="11375"/>
    <n v="1035"/>
    <n v="1.6149068322981366E-2"/>
    <s v="Nov-13"/>
    <x v="6"/>
    <n v="2.3333333333333335"/>
  </r>
  <r>
    <x v="51"/>
    <n v="46"/>
    <x v="4"/>
    <x v="0"/>
    <x v="1"/>
    <x v="10"/>
    <x v="0"/>
    <x v="0"/>
    <x v="0"/>
    <x v="43"/>
    <x v="26"/>
    <x v="1"/>
    <n v="40"/>
    <n v="30"/>
    <n v="100"/>
    <n v="37"/>
    <x v="26"/>
    <x v="43"/>
    <x v="21"/>
    <x v="84"/>
    <n v="1.1499999999999999"/>
    <n v="16"/>
    <x v="0"/>
    <n v="28.466666666666665"/>
    <x v="90"/>
    <n v="5566"/>
    <n v="518"/>
    <n v="2.7154663518299881E-2"/>
    <s v="Nov-13"/>
    <x v="7"/>
    <n v="2.6304347826086958"/>
  </r>
  <r>
    <x v="23"/>
    <n v="55"/>
    <x v="4"/>
    <x v="0"/>
    <x v="0"/>
    <x v="14"/>
    <x v="0"/>
    <x v="1"/>
    <x v="2"/>
    <x v="57"/>
    <x v="57"/>
    <x v="0"/>
    <n v="40"/>
    <n v="20"/>
    <n v="100"/>
    <n v="54"/>
    <x v="57"/>
    <x v="57"/>
    <x v="60"/>
    <x v="85"/>
    <n v="1.375"/>
    <n v="2"/>
    <x v="0"/>
    <n v="18.899999999999999"/>
    <x v="91"/>
    <n v="2904"/>
    <n v="1080"/>
    <n v="8.3333333333333332E-3"/>
    <s v="Nov-13"/>
    <x v="6"/>
    <n v="2.4"/>
  </r>
  <r>
    <x v="52"/>
    <n v="50"/>
    <x v="4"/>
    <x v="0"/>
    <x v="0"/>
    <x v="10"/>
    <x v="0"/>
    <x v="1"/>
    <x v="2"/>
    <x v="53"/>
    <x v="41"/>
    <x v="16"/>
    <n v="40"/>
    <n v="40"/>
    <n v="100"/>
    <n v="25"/>
    <x v="41"/>
    <x v="53"/>
    <x v="64"/>
    <x v="80"/>
    <n v="1.25"/>
    <n v="31"/>
    <x v="0"/>
    <n v="38.225000000000001"/>
    <x v="86"/>
    <n v="9301"/>
    <n v="350"/>
    <n v="3.8713195201744821E-2"/>
    <s v="Nov-13"/>
    <x v="0"/>
    <n v="2.62"/>
  </r>
  <r>
    <x v="23"/>
    <n v="57"/>
    <x v="4"/>
    <x v="0"/>
    <x v="0"/>
    <x v="1"/>
    <x v="0"/>
    <x v="1"/>
    <x v="11"/>
    <x v="58"/>
    <x v="33"/>
    <x v="0"/>
    <n v="40"/>
    <n v="30"/>
    <n v="100"/>
    <n v="39"/>
    <x v="33"/>
    <x v="58"/>
    <x v="6"/>
    <x v="86"/>
    <n v="1.425"/>
    <n v="13"/>
    <x v="0"/>
    <n v="28.566666666666666"/>
    <x v="92"/>
    <n v="5719"/>
    <n v="663"/>
    <n v="1.9018133569217159E-2"/>
    <s v="Nov-13"/>
    <x v="7"/>
    <n v="2.3333333333333335"/>
  </r>
  <r>
    <x v="53"/>
    <n v="36"/>
    <x v="4"/>
    <x v="0"/>
    <x v="2"/>
    <x v="3"/>
    <x v="0"/>
    <x v="1"/>
    <x v="2"/>
    <x v="43"/>
    <x v="3"/>
    <x v="15"/>
    <n v="30"/>
    <n v="40"/>
    <n v="90"/>
    <n v="21"/>
    <x v="3"/>
    <x v="43"/>
    <x v="53"/>
    <x v="87"/>
    <n v="1.2"/>
    <n v="6"/>
    <x v="0"/>
    <n v="38.85"/>
    <x v="93"/>
    <n v="4324"/>
    <n v="210.00000000000003"/>
    <n v="4.8936170212765952E-2"/>
    <s v="Nov-13"/>
    <x v="2"/>
    <n v="2.6111111111111112"/>
  </r>
  <r>
    <x v="54"/>
    <n v="33"/>
    <x v="4"/>
    <x v="1"/>
    <x v="0"/>
    <x v="8"/>
    <x v="1"/>
    <x v="2"/>
    <x v="4"/>
    <x v="54"/>
    <x v="58"/>
    <x v="12"/>
    <n v="40"/>
    <n v="50"/>
    <n v="100"/>
    <n v="21"/>
    <x v="58"/>
    <x v="54"/>
    <x v="66"/>
    <x v="88"/>
    <n v="0.82499999999999996"/>
    <n v="-10"/>
    <x v="0"/>
    <n v="49.2"/>
    <x v="94"/>
    <n v="3440"/>
    <n v="189"/>
    <n v="5.1679586563307497E-2"/>
    <s v="Nov-13"/>
    <x v="2"/>
    <n v="2.606060606060606"/>
  </r>
  <r>
    <x v="27"/>
    <n v="31"/>
    <x v="4"/>
    <x v="1"/>
    <x v="1"/>
    <x v="18"/>
    <x v="1"/>
    <x v="3"/>
    <x v="5"/>
    <x v="41"/>
    <x v="59"/>
    <x v="10"/>
    <n v="30"/>
    <n v="50"/>
    <n v="90"/>
    <n v="19"/>
    <x v="59"/>
    <x v="41"/>
    <x v="67"/>
    <x v="89"/>
    <n v="1.0333333333333334"/>
    <n v="-8"/>
    <x v="0"/>
    <n v="49.16"/>
    <x v="95"/>
    <n v="3486"/>
    <n v="152"/>
    <n v="6.3253012048192767E-2"/>
    <s v="Nov-13"/>
    <x v="1"/>
    <n v="2.6774193548387095"/>
  </r>
  <r>
    <x v="28"/>
    <n v="36"/>
    <x v="4"/>
    <x v="1"/>
    <x v="1"/>
    <x v="3"/>
    <x v="1"/>
    <x v="3"/>
    <x v="5"/>
    <x v="16"/>
    <x v="3"/>
    <x v="6"/>
    <n v="40"/>
    <n v="40"/>
    <n v="100"/>
    <n v="22"/>
    <x v="3"/>
    <x v="16"/>
    <x v="68"/>
    <x v="90"/>
    <n v="0.9"/>
    <n v="5"/>
    <x v="0"/>
    <n v="38.875"/>
    <x v="96"/>
    <n v="4230"/>
    <n v="220"/>
    <n v="4.7872340425531915E-2"/>
    <s v="Nov-13"/>
    <x v="0"/>
    <n v="2.6111111111111112"/>
  </r>
  <r>
    <x v="55"/>
    <n v="49"/>
    <x v="4"/>
    <x v="1"/>
    <x v="1"/>
    <x v="6"/>
    <x v="1"/>
    <x v="2"/>
    <x v="4"/>
    <x v="35"/>
    <x v="51"/>
    <x v="10"/>
    <n v="30"/>
    <n v="30"/>
    <n v="90"/>
    <n v="37"/>
    <x v="51"/>
    <x v="35"/>
    <x v="69"/>
    <x v="91"/>
    <n v="1.6333333333333333"/>
    <n v="20"/>
    <x v="0"/>
    <n v="28.333333333333332"/>
    <x v="97"/>
    <n v="6400"/>
    <n v="555"/>
    <n v="2.6041666666666668E-2"/>
    <s v="Nov-13"/>
    <x v="0"/>
    <n v="2.6122448979591835"/>
  </r>
  <r>
    <x v="14"/>
    <n v="54"/>
    <x v="4"/>
    <x v="1"/>
    <x v="0"/>
    <x v="14"/>
    <x v="1"/>
    <x v="3"/>
    <x v="6"/>
    <x v="6"/>
    <x v="60"/>
    <x v="13"/>
    <n v="50"/>
    <n v="20"/>
    <n v="110"/>
    <n v="53"/>
    <x v="60"/>
    <x v="6"/>
    <x v="13"/>
    <x v="92"/>
    <n v="1.08"/>
    <n v="1"/>
    <x v="0"/>
    <n v="18.95"/>
    <x v="98"/>
    <n v="2709"/>
    <n v="1060"/>
    <n v="8.1395348837209301E-3"/>
    <s v="Nov-13"/>
    <x v="9"/>
    <n v="2.3888888888888888"/>
  </r>
  <r>
    <x v="10"/>
    <n v="46"/>
    <x v="4"/>
    <x v="1"/>
    <x v="2"/>
    <x v="10"/>
    <x v="1"/>
    <x v="3"/>
    <x v="6"/>
    <x v="16"/>
    <x v="10"/>
    <x v="9"/>
    <n v="40"/>
    <n v="40"/>
    <n v="100"/>
    <n v="37"/>
    <x v="10"/>
    <x v="16"/>
    <x v="21"/>
    <x v="93"/>
    <n v="1.1499999999999999"/>
    <n v="5"/>
    <x v="0"/>
    <n v="38.875"/>
    <x v="99"/>
    <n v="5400"/>
    <n v="518"/>
    <n v="2.6785714285714288E-2"/>
    <s v="Nov-13"/>
    <x v="0"/>
    <n v="2.6086956521739131"/>
  </r>
  <r>
    <x v="10"/>
    <n v="43"/>
    <x v="4"/>
    <x v="1"/>
    <x v="2"/>
    <x v="10"/>
    <x v="1"/>
    <x v="3"/>
    <x v="7"/>
    <x v="27"/>
    <x v="52"/>
    <x v="9"/>
    <n v="30"/>
    <n v="30"/>
    <n v="90"/>
    <n v="46"/>
    <x v="52"/>
    <x v="27"/>
    <x v="32"/>
    <x v="33"/>
    <n v="1.4333333333333333"/>
    <n v="0"/>
    <x v="0"/>
    <n v="29"/>
    <x v="100"/>
    <n v="3480"/>
    <n v="644"/>
    <n v="1.8472906403940885E-2"/>
    <s v="Nov-13"/>
    <x v="0"/>
    <n v="2.6976744186046511"/>
  </r>
  <r>
    <x v="10"/>
    <n v="44"/>
    <x v="4"/>
    <x v="1"/>
    <x v="2"/>
    <x v="19"/>
    <x v="1"/>
    <x v="2"/>
    <x v="8"/>
    <x v="55"/>
    <x v="27"/>
    <x v="9"/>
    <n v="40"/>
    <n v="10"/>
    <n v="100"/>
    <n v="70"/>
    <x v="27"/>
    <x v="55"/>
    <x v="61"/>
    <x v="94"/>
    <n v="1.1000000000000001"/>
    <n v="-22"/>
    <x v="0"/>
    <n v="11.2"/>
    <x v="101"/>
    <n v="-1356"/>
    <n v="2800"/>
    <n v="-2.6548672566371681E-3"/>
    <s v="Nov-13"/>
    <x v="9"/>
    <n v="2.5681818181818183"/>
  </r>
  <r>
    <x v="11"/>
    <n v="53"/>
    <x v="4"/>
    <x v="1"/>
    <x v="1"/>
    <x v="20"/>
    <x v="1"/>
    <x v="2"/>
    <x v="8"/>
    <x v="59"/>
    <x v="61"/>
    <x v="10"/>
    <n v="40"/>
    <n v="30"/>
    <n v="100"/>
    <n v="39"/>
    <x v="61"/>
    <x v="59"/>
    <x v="45"/>
    <x v="95"/>
    <n v="1.325"/>
    <n v="43"/>
    <x v="0"/>
    <n v="27.566666666666666"/>
    <x v="102"/>
    <n v="10950"/>
    <n v="624"/>
    <n v="3.0416666666666668E-2"/>
    <s v="Nov-13"/>
    <x v="7"/>
    <n v="2.8301886792452828"/>
  </r>
  <r>
    <x v="32"/>
    <n v="54"/>
    <x v="4"/>
    <x v="1"/>
    <x v="3"/>
    <x v="14"/>
    <x v="1"/>
    <x v="2"/>
    <x v="8"/>
    <x v="60"/>
    <x v="60"/>
    <x v="14"/>
    <n v="50"/>
    <n v="20"/>
    <n v="110"/>
    <n v="54"/>
    <x v="60"/>
    <x v="60"/>
    <x v="60"/>
    <x v="96"/>
    <n v="1.08"/>
    <n v="-1"/>
    <x v="0"/>
    <n v="19.05"/>
    <x v="103"/>
    <n v="2451"/>
    <n v="1080"/>
    <n v="7.3643410852713177E-3"/>
    <s v="Nov-13"/>
    <x v="9"/>
    <n v="2.3888888888888888"/>
  </r>
  <r>
    <x v="28"/>
    <n v="54"/>
    <x v="4"/>
    <x v="1"/>
    <x v="1"/>
    <x v="14"/>
    <x v="0"/>
    <x v="0"/>
    <x v="10"/>
    <x v="60"/>
    <x v="60"/>
    <x v="6"/>
    <n v="50"/>
    <n v="20"/>
    <n v="110"/>
    <n v="54"/>
    <x v="60"/>
    <x v="60"/>
    <x v="60"/>
    <x v="96"/>
    <n v="1.08"/>
    <n v="-1"/>
    <x v="0"/>
    <n v="19.05"/>
    <x v="103"/>
    <n v="2451"/>
    <n v="1080"/>
    <n v="7.3643410852713177E-3"/>
    <s v="Nov-13"/>
    <x v="9"/>
    <n v="2.3888888888888888"/>
  </r>
  <r>
    <x v="9"/>
    <n v="46"/>
    <x v="4"/>
    <x v="1"/>
    <x v="3"/>
    <x v="10"/>
    <x v="0"/>
    <x v="0"/>
    <x v="10"/>
    <x v="16"/>
    <x v="10"/>
    <x v="8"/>
    <n v="40"/>
    <n v="30"/>
    <n v="100"/>
    <n v="37"/>
    <x v="10"/>
    <x v="16"/>
    <x v="21"/>
    <x v="93"/>
    <n v="1.1499999999999999"/>
    <n v="15"/>
    <x v="0"/>
    <n v="28.5"/>
    <x v="99"/>
    <n v="5400"/>
    <n v="518"/>
    <n v="2.6785714285714288E-2"/>
    <s v="Nov-13"/>
    <x v="7"/>
    <n v="2.6086956521739131"/>
  </r>
  <r>
    <x v="9"/>
    <n v="43"/>
    <x v="4"/>
    <x v="1"/>
    <x v="3"/>
    <x v="10"/>
    <x v="0"/>
    <x v="0"/>
    <x v="0"/>
    <x v="27"/>
    <x v="52"/>
    <x v="8"/>
    <n v="40"/>
    <n v="30"/>
    <n v="100"/>
    <n v="46"/>
    <x v="52"/>
    <x v="27"/>
    <x v="32"/>
    <x v="33"/>
    <n v="1.075"/>
    <n v="0"/>
    <x v="0"/>
    <n v="29"/>
    <x v="100"/>
    <n v="3480"/>
    <n v="644"/>
    <n v="1.8472906403940885E-2"/>
    <s v="Nov-13"/>
    <x v="7"/>
    <n v="2.6976744186046511"/>
  </r>
  <r>
    <x v="56"/>
    <n v="47"/>
    <x v="4"/>
    <x v="1"/>
    <x v="3"/>
    <x v="2"/>
    <x v="0"/>
    <x v="0"/>
    <x v="0"/>
    <x v="56"/>
    <x v="1"/>
    <x v="14"/>
    <n v="40"/>
    <n v="40"/>
    <n v="100"/>
    <n v="24"/>
    <x v="1"/>
    <x v="56"/>
    <x v="31"/>
    <x v="68"/>
    <n v="1.175"/>
    <n v="25"/>
    <x v="0"/>
    <n v="38.375"/>
    <x v="104"/>
    <n v="7995"/>
    <n v="312"/>
    <n v="4.065040650406504E-2"/>
    <s v="Nov-13"/>
    <x v="0"/>
    <n v="2.6170212765957448"/>
  </r>
  <r>
    <x v="31"/>
    <n v="36"/>
    <x v="4"/>
    <x v="1"/>
    <x v="2"/>
    <x v="3"/>
    <x v="0"/>
    <x v="1"/>
    <x v="3"/>
    <x v="31"/>
    <x v="62"/>
    <x v="5"/>
    <n v="30"/>
    <n v="40"/>
    <n v="90"/>
    <n v="21"/>
    <x v="62"/>
    <x v="31"/>
    <x v="70"/>
    <x v="97"/>
    <n v="1.2"/>
    <n v="9"/>
    <x v="0"/>
    <n v="38.774999999999999"/>
    <x v="105"/>
    <n v="4704"/>
    <n v="209.99999999999997"/>
    <n v="5.1041666666666673E-2"/>
    <s v="Nov-13"/>
    <x v="2"/>
    <n v="2.6666666666666665"/>
  </r>
  <r>
    <x v="30"/>
    <n v="61"/>
    <x v="4"/>
    <x v="1"/>
    <x v="3"/>
    <x v="21"/>
    <x v="0"/>
    <x v="1"/>
    <x v="3"/>
    <x v="12"/>
    <x v="63"/>
    <x v="14"/>
    <n v="40"/>
    <n v="0"/>
    <n v="100"/>
    <n v="85"/>
    <x v="63"/>
    <x v="12"/>
    <x v="71"/>
    <x v="40"/>
    <n v="1.5249999999999999"/>
    <n v="1"/>
    <x v="0"/>
    <e v="#DIV/0!"/>
    <x v="43"/>
    <n v="157"/>
    <n v="4675"/>
    <n v="1.1580775911986103E-4"/>
    <s v="Nov-13"/>
    <x v="10"/>
    <n v="2.5737704918032787"/>
  </r>
  <r>
    <x v="57"/>
    <n v="43"/>
    <x v="5"/>
    <x v="0"/>
    <x v="1"/>
    <x v="10"/>
    <x v="1"/>
    <x v="3"/>
    <x v="5"/>
    <x v="16"/>
    <x v="28"/>
    <x v="1"/>
    <n v="50"/>
    <n v="40"/>
    <n v="110"/>
    <n v="26"/>
    <x v="28"/>
    <x v="16"/>
    <x v="8"/>
    <x v="93"/>
    <n v="0.86"/>
    <n v="5"/>
    <x v="0"/>
    <n v="38.875"/>
    <x v="1"/>
    <n v="4770"/>
    <n v="364"/>
    <n v="3.0323450134770891E-2"/>
    <s v="Dec-13"/>
    <x v="7"/>
    <n v="2.4651162790697674"/>
  </r>
  <r>
    <x v="44"/>
    <n v="54"/>
    <x v="5"/>
    <x v="0"/>
    <x v="1"/>
    <x v="6"/>
    <x v="1"/>
    <x v="2"/>
    <x v="4"/>
    <x v="61"/>
    <x v="64"/>
    <x v="1"/>
    <n v="40"/>
    <n v="40"/>
    <n v="100"/>
    <n v="27"/>
    <x v="64"/>
    <x v="61"/>
    <x v="22"/>
    <x v="98"/>
    <n v="1.35"/>
    <n v="37"/>
    <x v="0"/>
    <n v="38.075000000000003"/>
    <x v="106"/>
    <n v="10934"/>
    <n v="404.99999999999994"/>
    <n v="3.615023474178404E-2"/>
    <s v="Dec-13"/>
    <x v="0"/>
    <n v="2.6296296296296298"/>
  </r>
  <r>
    <x v="23"/>
    <n v="47"/>
    <x v="5"/>
    <x v="0"/>
    <x v="0"/>
    <x v="22"/>
    <x v="0"/>
    <x v="0"/>
    <x v="0"/>
    <x v="48"/>
    <x v="16"/>
    <x v="0"/>
    <n v="40"/>
    <n v="0"/>
    <n v="100"/>
    <n v="71"/>
    <x v="16"/>
    <x v="48"/>
    <x v="23"/>
    <x v="99"/>
    <n v="1.175"/>
    <n v="-9"/>
    <x v="0"/>
    <e v="#DIV/0!"/>
    <x v="107"/>
    <n v="-1071"/>
    <n v="2982"/>
    <n v="-1.8007202881152461E-3"/>
    <s v="Dec-13"/>
    <x v="10"/>
    <n v="2.5319148936170213"/>
  </r>
  <r>
    <x v="1"/>
    <n v="54"/>
    <x v="5"/>
    <x v="0"/>
    <x v="0"/>
    <x v="1"/>
    <x v="0"/>
    <x v="0"/>
    <x v="1"/>
    <x v="58"/>
    <x v="65"/>
    <x v="0"/>
    <n v="50"/>
    <n v="30"/>
    <n v="110"/>
    <n v="44"/>
    <x v="65"/>
    <x v="58"/>
    <x v="36"/>
    <x v="86"/>
    <n v="1.08"/>
    <n v="13"/>
    <x v="0"/>
    <n v="28.566666666666666"/>
    <x v="108"/>
    <n v="5805"/>
    <n v="748"/>
    <n v="1.8736383442265796E-2"/>
    <s v="Dec-13"/>
    <x v="6"/>
    <n v="2.5"/>
  </r>
  <r>
    <x v="58"/>
    <n v="65"/>
    <x v="5"/>
    <x v="0"/>
    <x v="2"/>
    <x v="23"/>
    <x v="0"/>
    <x v="0"/>
    <x v="0"/>
    <x v="28"/>
    <x v="66"/>
    <x v="2"/>
    <n v="40"/>
    <n v="20"/>
    <n v="100"/>
    <n v="57"/>
    <x v="66"/>
    <x v="28"/>
    <x v="72"/>
    <x v="100"/>
    <n v="1.625"/>
    <n v="14"/>
    <x v="0"/>
    <n v="18.3"/>
    <x v="109"/>
    <n v="5270"/>
    <n v="1368"/>
    <n v="9.1397849462365593E-3"/>
    <s v="Dec-13"/>
    <x v="6"/>
    <n v="2.3846153846153846"/>
  </r>
  <r>
    <x v="59"/>
    <n v="80"/>
    <x v="5"/>
    <x v="0"/>
    <x v="2"/>
    <x v="23"/>
    <x v="0"/>
    <x v="0"/>
    <x v="1"/>
    <x v="62"/>
    <x v="67"/>
    <x v="2"/>
    <n v="60"/>
    <n v="30"/>
    <n v="120"/>
    <n v="46"/>
    <x v="67"/>
    <x v="62"/>
    <x v="35"/>
    <x v="101"/>
    <n v="1.3333333333333333"/>
    <n v="44"/>
    <x v="0"/>
    <n v="27.533333333333331"/>
    <x v="110"/>
    <n v="13912"/>
    <n v="1104"/>
    <n v="1.6400709219858155E-2"/>
    <s v="Dec-13"/>
    <x v="9"/>
    <n v="2.35"/>
  </r>
  <r>
    <x v="60"/>
    <n v="54"/>
    <x v="5"/>
    <x v="0"/>
    <x v="1"/>
    <x v="1"/>
    <x v="0"/>
    <x v="0"/>
    <x v="10"/>
    <x v="41"/>
    <x v="65"/>
    <x v="1"/>
    <n v="50"/>
    <n v="30"/>
    <n v="110"/>
    <n v="45"/>
    <x v="65"/>
    <x v="41"/>
    <x v="73"/>
    <x v="102"/>
    <n v="1.08"/>
    <n v="12"/>
    <x v="0"/>
    <n v="28.6"/>
    <x v="111"/>
    <n v="5670"/>
    <n v="765"/>
    <n v="1.8300653594771243E-2"/>
    <s v="Dec-13"/>
    <x v="6"/>
    <n v="2.5"/>
  </r>
  <r>
    <x v="44"/>
    <n v="41"/>
    <x v="5"/>
    <x v="0"/>
    <x v="1"/>
    <x v="2"/>
    <x v="0"/>
    <x v="0"/>
    <x v="0"/>
    <x v="18"/>
    <x v="68"/>
    <x v="1"/>
    <n v="30"/>
    <n v="30"/>
    <n v="90"/>
    <n v="36"/>
    <x v="68"/>
    <x v="18"/>
    <x v="16"/>
    <x v="103"/>
    <n v="1.3666666666666667"/>
    <n v="6"/>
    <x v="0"/>
    <n v="28.8"/>
    <x v="112"/>
    <n v="3888"/>
    <n v="468"/>
    <n v="2.564102564102564E-2"/>
    <s v="Dec-13"/>
    <x v="0"/>
    <n v="2.6341463414634148"/>
  </r>
  <r>
    <x v="61"/>
    <n v="54"/>
    <x v="5"/>
    <x v="0"/>
    <x v="3"/>
    <x v="6"/>
    <x v="0"/>
    <x v="1"/>
    <x v="11"/>
    <x v="63"/>
    <x v="64"/>
    <x v="3"/>
    <n v="30"/>
    <n v="50"/>
    <n v="90"/>
    <n v="26"/>
    <x v="64"/>
    <x v="63"/>
    <x v="17"/>
    <x v="104"/>
    <n v="1.8"/>
    <n v="29"/>
    <x v="0"/>
    <n v="48.42"/>
    <x v="113"/>
    <n v="11218"/>
    <n v="390"/>
    <n v="3.7089201877934269E-2"/>
    <s v="Dec-13"/>
    <x v="1"/>
    <n v="2.6296296296296298"/>
  </r>
  <r>
    <x v="62"/>
    <n v="31"/>
    <x v="5"/>
    <x v="1"/>
    <x v="0"/>
    <x v="18"/>
    <x v="1"/>
    <x v="2"/>
    <x v="4"/>
    <x v="54"/>
    <x v="40"/>
    <x v="12"/>
    <n v="30"/>
    <n v="50"/>
    <n v="90"/>
    <n v="19"/>
    <x v="40"/>
    <x v="54"/>
    <x v="74"/>
    <x v="68"/>
    <n v="1.0333333333333334"/>
    <n v="-10"/>
    <x v="0"/>
    <n v="49.2"/>
    <x v="114"/>
    <n v="3280"/>
    <n v="152"/>
    <n v="6.097560975609756E-2"/>
    <s v="Dec-13"/>
    <x v="1"/>
    <n v="2.6451612903225805"/>
  </r>
  <r>
    <x v="55"/>
    <n v="34"/>
    <x v="5"/>
    <x v="1"/>
    <x v="1"/>
    <x v="8"/>
    <x v="1"/>
    <x v="3"/>
    <x v="5"/>
    <x v="43"/>
    <x v="69"/>
    <x v="10"/>
    <n v="40"/>
    <n v="50"/>
    <n v="100"/>
    <n v="20"/>
    <x v="69"/>
    <x v="43"/>
    <x v="7"/>
    <x v="105"/>
    <n v="0.85"/>
    <n v="-4"/>
    <x v="0"/>
    <n v="49.08"/>
    <x v="37"/>
    <n v="4186"/>
    <n v="180"/>
    <n v="5.6166056166056161E-2"/>
    <s v="Dec-13"/>
    <x v="2"/>
    <n v="2.6764705882352939"/>
  </r>
  <r>
    <x v="7"/>
    <n v="33"/>
    <x v="5"/>
    <x v="1"/>
    <x v="1"/>
    <x v="8"/>
    <x v="1"/>
    <x v="3"/>
    <x v="5"/>
    <x v="41"/>
    <x v="70"/>
    <x v="6"/>
    <n v="30"/>
    <n v="50"/>
    <n v="90"/>
    <n v="21"/>
    <x v="70"/>
    <x v="41"/>
    <x v="7"/>
    <x v="106"/>
    <n v="1.1000000000000001"/>
    <n v="-8"/>
    <x v="0"/>
    <n v="49.16"/>
    <x v="115"/>
    <n v="3654"/>
    <n v="189"/>
    <n v="5.3639846743295021E-2"/>
    <s v="Dec-13"/>
    <x v="1"/>
    <n v="2.6363636363636362"/>
  </r>
  <r>
    <x v="10"/>
    <n v="48"/>
    <x v="5"/>
    <x v="1"/>
    <x v="2"/>
    <x v="6"/>
    <x v="1"/>
    <x v="3"/>
    <x v="7"/>
    <x v="41"/>
    <x v="45"/>
    <x v="9"/>
    <n v="40"/>
    <n v="30"/>
    <n v="100"/>
    <n v="46"/>
    <x v="45"/>
    <x v="41"/>
    <x v="75"/>
    <x v="107"/>
    <n v="1.2"/>
    <n v="12"/>
    <x v="0"/>
    <n v="28.6"/>
    <x v="116"/>
    <n v="5460"/>
    <n v="690"/>
    <n v="2.1538461538461538E-2"/>
    <s v="Dec-13"/>
    <x v="7"/>
    <n v="2.7083333333333335"/>
  </r>
  <r>
    <x v="29"/>
    <n v="55"/>
    <x v="5"/>
    <x v="1"/>
    <x v="1"/>
    <x v="24"/>
    <x v="1"/>
    <x v="2"/>
    <x v="9"/>
    <x v="64"/>
    <x v="71"/>
    <x v="10"/>
    <n v="40"/>
    <n v="0"/>
    <n v="100"/>
    <n v="79"/>
    <x v="71"/>
    <x v="64"/>
    <x v="50"/>
    <x v="108"/>
    <n v="1.375"/>
    <n v="-4"/>
    <x v="0"/>
    <e v="#DIV/0!"/>
    <x v="117"/>
    <n v="-560"/>
    <n v="3871.0000000000005"/>
    <n v="-5.8309037900874635E-4"/>
    <s v="Dec-13"/>
    <x v="10"/>
    <n v="2.5454545454545454"/>
  </r>
  <r>
    <x v="39"/>
    <n v="49"/>
    <x v="5"/>
    <x v="1"/>
    <x v="1"/>
    <x v="25"/>
    <x v="1"/>
    <x v="2"/>
    <x v="8"/>
    <x v="11"/>
    <x v="53"/>
    <x v="17"/>
    <n v="30"/>
    <n v="10"/>
    <n v="90"/>
    <n v="74"/>
    <x v="53"/>
    <x v="11"/>
    <x v="76"/>
    <x v="109"/>
    <n v="1.6333333333333333"/>
    <n v="-17"/>
    <x v="0"/>
    <n v="10.7"/>
    <x v="118"/>
    <n v="-882"/>
    <n v="3256"/>
    <n v="-1.2626262626262625E-3"/>
    <s v="Dec-13"/>
    <x v="6"/>
    <n v="2.5714285714285716"/>
  </r>
  <r>
    <x v="48"/>
    <n v="39"/>
    <x v="5"/>
    <x v="1"/>
    <x v="3"/>
    <x v="10"/>
    <x v="1"/>
    <x v="3"/>
    <x v="7"/>
    <x v="12"/>
    <x v="3"/>
    <x v="7"/>
    <n v="40"/>
    <n v="20"/>
    <n v="100"/>
    <n v="48"/>
    <x v="3"/>
    <x v="12"/>
    <x v="73"/>
    <x v="54"/>
    <n v="0.97499999999999998"/>
    <n v="-19"/>
    <x v="0"/>
    <n v="19.95"/>
    <x v="59"/>
    <n v="94"/>
    <n v="672"/>
    <n v="7.5987841945288754E-4"/>
    <s v="Dec-13"/>
    <x v="6"/>
    <n v="2.4102564102564101"/>
  </r>
  <r>
    <x v="26"/>
    <n v="49"/>
    <x v="5"/>
    <x v="1"/>
    <x v="0"/>
    <x v="25"/>
    <x v="0"/>
    <x v="0"/>
    <x v="10"/>
    <x v="11"/>
    <x v="53"/>
    <x v="12"/>
    <n v="40"/>
    <n v="0"/>
    <n v="100"/>
    <n v="74"/>
    <x v="53"/>
    <x v="11"/>
    <x v="76"/>
    <x v="109"/>
    <n v="1.2250000000000001"/>
    <n v="-7"/>
    <x v="0"/>
    <e v="#DIV/0!"/>
    <x v="118"/>
    <n v="-882"/>
    <n v="3256"/>
    <n v="-1.2626262626262625E-3"/>
    <s v="Dec-13"/>
    <x v="10"/>
    <n v="2.5714285714285716"/>
  </r>
  <r>
    <x v="41"/>
    <n v="41"/>
    <x v="5"/>
    <x v="1"/>
    <x v="0"/>
    <x v="13"/>
    <x v="0"/>
    <x v="0"/>
    <x v="10"/>
    <x v="16"/>
    <x v="11"/>
    <x v="13"/>
    <n v="30"/>
    <n v="30"/>
    <n v="90"/>
    <n v="36"/>
    <x v="11"/>
    <x v="16"/>
    <x v="39"/>
    <x v="110"/>
    <n v="1.3666666666666667"/>
    <n v="15"/>
    <x v="0"/>
    <n v="28.5"/>
    <x v="75"/>
    <n v="5130"/>
    <n v="432"/>
    <n v="3.2894736842105261E-2"/>
    <s v="Dec-13"/>
    <x v="0"/>
    <n v="2.7804878048780486"/>
  </r>
  <r>
    <x v="40"/>
    <n v="92"/>
    <x v="5"/>
    <x v="1"/>
    <x v="0"/>
    <x v="16"/>
    <x v="0"/>
    <x v="0"/>
    <x v="0"/>
    <x v="10"/>
    <x v="72"/>
    <x v="12"/>
    <n v="80"/>
    <n v="20"/>
    <n v="140"/>
    <n v="52"/>
    <x v="72"/>
    <x v="10"/>
    <x v="77"/>
    <x v="111"/>
    <n v="1.1499999999999999"/>
    <n v="4"/>
    <x v="0"/>
    <n v="18.8"/>
    <x v="119"/>
    <n v="4104"/>
    <n v="1456"/>
    <n v="5.0125313283208017E-3"/>
    <s v="Dec-13"/>
    <x v="11"/>
    <n v="1.8586956521739131"/>
  </r>
  <r>
    <x v="6"/>
    <n v="68"/>
    <x v="5"/>
    <x v="1"/>
    <x v="2"/>
    <x v="26"/>
    <x v="0"/>
    <x v="0"/>
    <x v="0"/>
    <x v="54"/>
    <x v="73"/>
    <x v="5"/>
    <n v="50"/>
    <n v="20"/>
    <n v="110"/>
    <n v="58"/>
    <x v="73"/>
    <x v="54"/>
    <x v="49"/>
    <x v="112"/>
    <n v="1.36"/>
    <n v="20"/>
    <x v="0"/>
    <n v="18"/>
    <x v="120"/>
    <n v="6520"/>
    <n v="1450"/>
    <n v="9.8159509202453993E-3"/>
    <s v="Dec-13"/>
    <x v="9"/>
    <n v="2.3970588235294117"/>
  </r>
  <r>
    <x v="31"/>
    <n v="63"/>
    <x v="5"/>
    <x v="1"/>
    <x v="2"/>
    <x v="27"/>
    <x v="0"/>
    <x v="0"/>
    <x v="1"/>
    <x v="36"/>
    <x v="74"/>
    <x v="5"/>
    <n v="40"/>
    <n v="40"/>
    <n v="100"/>
    <n v="40"/>
    <x v="74"/>
    <x v="36"/>
    <x v="78"/>
    <x v="113"/>
    <n v="1.575"/>
    <n v="13"/>
    <x v="0"/>
    <n v="38.674999999999997"/>
    <x v="121"/>
    <n v="7844"/>
    <n v="760.00000000000011"/>
    <n v="1.8847795163584636E-2"/>
    <s v="Dec-13"/>
    <x v="0"/>
    <n v="2.3492063492063493"/>
  </r>
  <r>
    <x v="9"/>
    <n v="92"/>
    <x v="5"/>
    <x v="1"/>
    <x v="3"/>
    <x v="16"/>
    <x v="0"/>
    <x v="0"/>
    <x v="1"/>
    <x v="65"/>
    <x v="72"/>
    <x v="8"/>
    <n v="80"/>
    <n v="20"/>
    <n v="140"/>
    <n v="51"/>
    <x v="72"/>
    <x v="65"/>
    <x v="38"/>
    <x v="114"/>
    <n v="1.1499999999999999"/>
    <n v="5"/>
    <x v="0"/>
    <n v="18.75"/>
    <x v="122"/>
    <n v="4275"/>
    <n v="1428"/>
    <n v="5.2213868003341693E-3"/>
    <s v="Dec-13"/>
    <x v="11"/>
    <n v="1.8586956521739131"/>
  </r>
  <r>
    <x v="14"/>
    <n v="55"/>
    <x v="5"/>
    <x v="1"/>
    <x v="0"/>
    <x v="24"/>
    <x v="0"/>
    <x v="1"/>
    <x v="11"/>
    <x v="64"/>
    <x v="71"/>
    <x v="13"/>
    <n v="40"/>
    <n v="0"/>
    <n v="100"/>
    <n v="79"/>
    <x v="71"/>
    <x v="64"/>
    <x v="50"/>
    <x v="108"/>
    <n v="1.375"/>
    <n v="-4"/>
    <x v="0"/>
    <e v="#DIV/0!"/>
    <x v="117"/>
    <n v="-560"/>
    <n v="3871.0000000000005"/>
    <n v="-5.8309037900874635E-4"/>
    <s v="Dec-13"/>
    <x v="10"/>
    <n v="2.5454545454545454"/>
  </r>
  <r>
    <x v="23"/>
    <n v="39"/>
    <x v="0"/>
    <x v="0"/>
    <x v="0"/>
    <x v="13"/>
    <x v="1"/>
    <x v="3"/>
    <x v="7"/>
    <x v="22"/>
    <x v="31"/>
    <x v="0"/>
    <n v="30"/>
    <n v="50"/>
    <n v="80"/>
    <n v="24"/>
    <x v="31"/>
    <x v="22"/>
    <x v="17"/>
    <x v="115"/>
    <n v="1.3"/>
    <n v="-23"/>
    <x v="0"/>
    <n v="49.46"/>
    <x v="15"/>
    <n v="2430"/>
    <n v="288"/>
    <n v="2.5000000000000001E-2"/>
    <s v="Oct-12"/>
    <x v="3"/>
    <n v="2.3076923076923075"/>
  </r>
  <r>
    <x v="58"/>
    <n v="80"/>
    <x v="0"/>
    <x v="0"/>
    <x v="2"/>
    <x v="23"/>
    <x v="0"/>
    <x v="0"/>
    <x v="1"/>
    <x v="21"/>
    <x v="75"/>
    <x v="2"/>
    <n v="40"/>
    <n v="40"/>
    <n v="90"/>
    <n v="46"/>
    <x v="75"/>
    <x v="21"/>
    <x v="4"/>
    <x v="22"/>
    <n v="2"/>
    <n v="8"/>
    <x v="0"/>
    <n v="38.799999999999997"/>
    <x v="123"/>
    <n v="8352"/>
    <n v="1104"/>
    <n v="1.1494252873563218E-2"/>
    <s v="Oct-12"/>
    <x v="2"/>
    <n v="2.1749999999999998"/>
  </r>
  <r>
    <x v="0"/>
    <n v="54"/>
    <x v="0"/>
    <x v="0"/>
    <x v="0"/>
    <x v="14"/>
    <x v="0"/>
    <x v="1"/>
    <x v="2"/>
    <x v="32"/>
    <x v="10"/>
    <x v="0"/>
    <n v="30"/>
    <n v="30"/>
    <n v="80"/>
    <n v="53"/>
    <x v="10"/>
    <x v="32"/>
    <x v="33"/>
    <x v="37"/>
    <n v="1.8"/>
    <n v="-17"/>
    <x v="0"/>
    <n v="29.566666666666666"/>
    <x v="124"/>
    <n v="1560"/>
    <n v="1060"/>
    <n v="5.4166666666666669E-3"/>
    <s v="Oct-12"/>
    <x v="2"/>
    <n v="2.2222222222222223"/>
  </r>
  <r>
    <x v="0"/>
    <n v="54"/>
    <x v="0"/>
    <x v="0"/>
    <x v="0"/>
    <x v="20"/>
    <x v="0"/>
    <x v="1"/>
    <x v="11"/>
    <x v="22"/>
    <x v="15"/>
    <x v="0"/>
    <n v="30"/>
    <n v="40"/>
    <n v="80"/>
    <n v="37"/>
    <x v="15"/>
    <x v="22"/>
    <x v="79"/>
    <x v="116"/>
    <n v="1.8"/>
    <n v="-13"/>
    <x v="0"/>
    <n v="39.325000000000003"/>
    <x v="125"/>
    <n v="3186"/>
    <n v="592"/>
    <n v="1.4300847457627119E-2"/>
    <s v="Oct-12"/>
    <x v="1"/>
    <n v="2.1851851851851851"/>
  </r>
  <r>
    <x v="63"/>
    <n v="27"/>
    <x v="0"/>
    <x v="0"/>
    <x v="2"/>
    <x v="7"/>
    <x v="0"/>
    <x v="1"/>
    <x v="2"/>
    <x v="30"/>
    <x v="7"/>
    <x v="15"/>
    <n v="20"/>
    <n v="50"/>
    <n v="70"/>
    <n v="19"/>
    <x v="7"/>
    <x v="30"/>
    <x v="66"/>
    <x v="117"/>
    <n v="1.35"/>
    <n v="-30"/>
    <x v="0"/>
    <n v="49.6"/>
    <x v="126"/>
    <n v="1320"/>
    <n v="133"/>
    <n v="4.3290043290043288E-2"/>
    <s v="Oct-12"/>
    <x v="5"/>
    <n v="2.4444444444444446"/>
  </r>
  <r>
    <x v="64"/>
    <n v="76"/>
    <x v="0"/>
    <x v="0"/>
    <x v="3"/>
    <x v="28"/>
    <x v="0"/>
    <x v="1"/>
    <x v="11"/>
    <x v="63"/>
    <x v="76"/>
    <x v="3"/>
    <n v="30"/>
    <n v="50"/>
    <n v="80"/>
    <n v="32"/>
    <x v="76"/>
    <x v="63"/>
    <x v="13"/>
    <x v="118"/>
    <n v="2.5333333333333332"/>
    <n v="29"/>
    <x v="0"/>
    <n v="48.42"/>
    <x v="127"/>
    <n v="14773"/>
    <n v="672"/>
    <n v="2.0117137764196588E-2"/>
    <s v="Oct-12"/>
    <x v="3"/>
    <n v="2.4605263157894739"/>
  </r>
  <r>
    <x v="65"/>
    <n v="22"/>
    <x v="0"/>
    <x v="1"/>
    <x v="0"/>
    <x v="7"/>
    <x v="1"/>
    <x v="2"/>
    <x v="4"/>
    <x v="44"/>
    <x v="77"/>
    <x v="13"/>
    <n v="20"/>
    <n v="50"/>
    <n v="70"/>
    <n v="19"/>
    <x v="77"/>
    <x v="44"/>
    <x v="67"/>
    <x v="34"/>
    <n v="1.1000000000000001"/>
    <n v="-40"/>
    <x v="0"/>
    <n v="49.8"/>
    <x v="128"/>
    <n v="510"/>
    <n v="133"/>
    <n v="2.8011204481792718E-2"/>
    <s v="Oct-12"/>
    <x v="5"/>
    <n v="2.3181818181818183"/>
  </r>
  <r>
    <x v="66"/>
    <n v="23"/>
    <x v="0"/>
    <x v="1"/>
    <x v="0"/>
    <x v="29"/>
    <x v="1"/>
    <x v="2"/>
    <x v="8"/>
    <x v="47"/>
    <x v="78"/>
    <x v="4"/>
    <n v="20"/>
    <n v="50"/>
    <n v="70"/>
    <n v="17"/>
    <x v="78"/>
    <x v="47"/>
    <x v="80"/>
    <x v="7"/>
    <n v="1.1499999999999999"/>
    <n v="-32"/>
    <x v="0"/>
    <n v="49.64"/>
    <x v="129"/>
    <n v="1044"/>
    <n v="102"/>
    <n v="5.1724137931034482E-2"/>
    <s v="Oct-12"/>
    <x v="5"/>
    <n v="2.5217391304347827"/>
  </r>
  <r>
    <x v="67"/>
    <n v="79"/>
    <x v="0"/>
    <x v="1"/>
    <x v="2"/>
    <x v="30"/>
    <x v="0"/>
    <x v="0"/>
    <x v="0"/>
    <x v="28"/>
    <x v="79"/>
    <x v="5"/>
    <n v="40"/>
    <n v="30"/>
    <n v="90"/>
    <n v="64"/>
    <x v="79"/>
    <x v="28"/>
    <x v="12"/>
    <x v="119"/>
    <n v="1.9750000000000001"/>
    <n v="4"/>
    <x v="0"/>
    <n v="28.866666666666667"/>
    <x v="130"/>
    <n v="6018"/>
    <n v="1920"/>
    <n v="6.4030131826741995E-3"/>
    <s v="Oct-12"/>
    <x v="0"/>
    <n v="2.240506329113924"/>
  </r>
  <r>
    <x v="6"/>
    <n v="65"/>
    <x v="0"/>
    <x v="1"/>
    <x v="2"/>
    <x v="14"/>
    <x v="0"/>
    <x v="0"/>
    <x v="1"/>
    <x v="3"/>
    <x v="64"/>
    <x v="5"/>
    <n v="30"/>
    <n v="50"/>
    <n v="80"/>
    <n v="42"/>
    <x v="64"/>
    <x v="3"/>
    <x v="33"/>
    <x v="120"/>
    <n v="2.1666666666666665"/>
    <n v="-15"/>
    <x v="0"/>
    <n v="49.3"/>
    <x v="131"/>
    <n v="4970"/>
    <n v="840"/>
    <n v="1.232394366197183E-2"/>
    <s v="Oct-12"/>
    <x v="3"/>
    <n v="2.1846153846153844"/>
  </r>
  <r>
    <x v="14"/>
    <n v="46"/>
    <x v="0"/>
    <x v="1"/>
    <x v="0"/>
    <x v="10"/>
    <x v="0"/>
    <x v="1"/>
    <x v="2"/>
    <x v="27"/>
    <x v="27"/>
    <x v="13"/>
    <n v="20"/>
    <n v="40"/>
    <n v="70"/>
    <n v="37"/>
    <x v="27"/>
    <x v="27"/>
    <x v="25"/>
    <x v="33"/>
    <n v="2.2999999999999998"/>
    <n v="-10"/>
    <x v="0"/>
    <n v="39.25"/>
    <x v="36"/>
    <n v="3390"/>
    <n v="518"/>
    <n v="1.8963337547408345E-2"/>
    <s v="Oct-12"/>
    <x v="3"/>
    <n v="2.4565217391304346"/>
  </r>
  <r>
    <x v="65"/>
    <n v="60"/>
    <x v="0"/>
    <x v="1"/>
    <x v="0"/>
    <x v="12"/>
    <x v="0"/>
    <x v="1"/>
    <x v="11"/>
    <x v="66"/>
    <x v="13"/>
    <x v="13"/>
    <n v="40"/>
    <n v="0"/>
    <n v="90"/>
    <n v="84"/>
    <x v="13"/>
    <x v="66"/>
    <x v="50"/>
    <x v="121"/>
    <n v="1.5"/>
    <n v="0"/>
    <x v="0"/>
    <e v="#DIV/0!"/>
    <x v="132"/>
    <n v="0"/>
    <e v="#DIV/0!"/>
    <n v="0"/>
    <s v="Oct-12"/>
    <x v="9"/>
    <n v="2.4"/>
  </r>
  <r>
    <x v="32"/>
    <n v="60"/>
    <x v="0"/>
    <x v="1"/>
    <x v="3"/>
    <x v="31"/>
    <x v="0"/>
    <x v="1"/>
    <x v="2"/>
    <x v="67"/>
    <x v="80"/>
    <x v="14"/>
    <n v="20"/>
    <n v="40"/>
    <n v="70"/>
    <n v="42"/>
    <x v="80"/>
    <x v="67"/>
    <x v="81"/>
    <x v="122"/>
    <n v="3"/>
    <n v="17"/>
    <x v="0"/>
    <n v="38.575000000000003"/>
    <x v="133"/>
    <n v="9063"/>
    <n v="756"/>
    <n v="1.9916142557651992E-2"/>
    <s v="Oct-12"/>
    <x v="3"/>
    <n v="2.65"/>
  </r>
  <r>
    <x v="68"/>
    <n v="40"/>
    <x v="1"/>
    <x v="0"/>
    <x v="0"/>
    <x v="2"/>
    <x v="0"/>
    <x v="0"/>
    <x v="0"/>
    <x v="22"/>
    <x v="19"/>
    <x v="16"/>
    <n v="30"/>
    <n v="30"/>
    <n v="80"/>
    <n v="25"/>
    <x v="19"/>
    <x v="22"/>
    <x v="22"/>
    <x v="24"/>
    <n v="1.3333333333333333"/>
    <n v="-3"/>
    <x v="0"/>
    <n v="29.1"/>
    <x v="24"/>
    <n v="2484"/>
    <n v="325"/>
    <n v="2.2575250836120404E-2"/>
    <s v="Nov-12"/>
    <x v="2"/>
    <n v="2.2999999999999998"/>
  </r>
  <r>
    <x v="69"/>
    <n v="36"/>
    <x v="1"/>
    <x v="0"/>
    <x v="0"/>
    <x v="3"/>
    <x v="0"/>
    <x v="0"/>
    <x v="0"/>
    <x v="27"/>
    <x v="23"/>
    <x v="18"/>
    <n v="30"/>
    <n v="40"/>
    <n v="80"/>
    <n v="22"/>
    <x v="23"/>
    <x v="27"/>
    <x v="31"/>
    <x v="7"/>
    <n v="1.2"/>
    <n v="-10"/>
    <x v="0"/>
    <n v="39.25"/>
    <x v="33"/>
    <n v="2640"/>
    <n v="220"/>
    <n v="3.4090909090909088E-2"/>
    <s v="Nov-12"/>
    <x v="1"/>
    <n v="2.4444444444444446"/>
  </r>
  <r>
    <x v="70"/>
    <n v="55"/>
    <x v="1"/>
    <x v="0"/>
    <x v="2"/>
    <x v="14"/>
    <x v="0"/>
    <x v="0"/>
    <x v="0"/>
    <x v="25"/>
    <x v="21"/>
    <x v="15"/>
    <n v="40"/>
    <n v="20"/>
    <n v="90"/>
    <n v="54"/>
    <x v="21"/>
    <x v="25"/>
    <x v="26"/>
    <x v="28"/>
    <n v="1.375"/>
    <n v="-5"/>
    <x v="0"/>
    <n v="19.25"/>
    <x v="28"/>
    <n v="1860"/>
    <n v="1080"/>
    <n v="6.0483870967741934E-3"/>
    <s v="Nov-12"/>
    <x v="7"/>
    <n v="2.2545454545454544"/>
  </r>
  <r>
    <x v="71"/>
    <n v="40"/>
    <x v="1"/>
    <x v="0"/>
    <x v="3"/>
    <x v="2"/>
    <x v="0"/>
    <x v="0"/>
    <x v="1"/>
    <x v="22"/>
    <x v="19"/>
    <x v="3"/>
    <n v="30"/>
    <n v="30"/>
    <n v="80"/>
    <n v="25"/>
    <x v="19"/>
    <x v="22"/>
    <x v="22"/>
    <x v="24"/>
    <n v="1.3333333333333333"/>
    <n v="-3"/>
    <x v="0"/>
    <n v="29.1"/>
    <x v="24"/>
    <n v="2484"/>
    <n v="325"/>
    <n v="2.2575250836120404E-2"/>
    <s v="Nov-12"/>
    <x v="2"/>
    <n v="2.2999999999999998"/>
  </r>
  <r>
    <x v="72"/>
    <n v="28"/>
    <x v="1"/>
    <x v="0"/>
    <x v="2"/>
    <x v="7"/>
    <x v="0"/>
    <x v="1"/>
    <x v="2"/>
    <x v="34"/>
    <x v="49"/>
    <x v="2"/>
    <n v="20"/>
    <n v="40"/>
    <n v="70"/>
    <n v="19"/>
    <x v="49"/>
    <x v="34"/>
    <x v="70"/>
    <x v="84"/>
    <n v="1.4"/>
    <n v="-17"/>
    <x v="0"/>
    <n v="39.424999999999997"/>
    <x v="134"/>
    <n v="1610"/>
    <n v="133"/>
    <n v="4.6938775510204082E-2"/>
    <s v="Nov-12"/>
    <x v="3"/>
    <n v="2.5"/>
  </r>
  <r>
    <x v="35"/>
    <n v="31"/>
    <x v="1"/>
    <x v="0"/>
    <x v="2"/>
    <x v="18"/>
    <x v="0"/>
    <x v="1"/>
    <x v="3"/>
    <x v="2"/>
    <x v="25"/>
    <x v="2"/>
    <n v="30"/>
    <n v="40"/>
    <n v="80"/>
    <n v="19"/>
    <x v="25"/>
    <x v="2"/>
    <x v="30"/>
    <x v="3"/>
    <n v="1.0333333333333334"/>
    <n v="-12"/>
    <x v="0"/>
    <n v="39.299999999999997"/>
    <x v="32"/>
    <n v="2184"/>
    <n v="152"/>
    <n v="4.4871794871794872E-2"/>
    <s v="Nov-12"/>
    <x v="1"/>
    <n v="2.5161290322580645"/>
  </r>
  <r>
    <x v="53"/>
    <n v="32"/>
    <x v="1"/>
    <x v="0"/>
    <x v="2"/>
    <x v="18"/>
    <x v="0"/>
    <x v="1"/>
    <x v="3"/>
    <x v="26"/>
    <x v="81"/>
    <x v="15"/>
    <n v="30"/>
    <n v="40"/>
    <n v="80"/>
    <n v="19"/>
    <x v="81"/>
    <x v="26"/>
    <x v="57"/>
    <x v="123"/>
    <n v="1.0666666666666667"/>
    <n v="-11"/>
    <x v="0"/>
    <n v="39.274999999999999"/>
    <x v="135"/>
    <n v="2320"/>
    <n v="152"/>
    <n v="4.5312499999999999E-2"/>
    <s v="Nov-12"/>
    <x v="1"/>
    <n v="2.5"/>
  </r>
  <r>
    <x v="73"/>
    <n v="50"/>
    <x v="1"/>
    <x v="0"/>
    <x v="3"/>
    <x v="10"/>
    <x v="0"/>
    <x v="1"/>
    <x v="11"/>
    <x v="17"/>
    <x v="1"/>
    <x v="3"/>
    <n v="30"/>
    <n v="40"/>
    <n v="80"/>
    <n v="26"/>
    <x v="1"/>
    <x v="17"/>
    <x v="82"/>
    <x v="124"/>
    <n v="1.6666666666666667"/>
    <n v="7"/>
    <x v="0"/>
    <n v="38.825000000000003"/>
    <x v="136"/>
    <n v="5781"/>
    <n v="364"/>
    <n v="2.72938443670151E-2"/>
    <s v="Nov-12"/>
    <x v="1"/>
    <n v="2.46"/>
  </r>
  <r>
    <x v="5"/>
    <n v="0"/>
    <x v="1"/>
    <x v="1"/>
    <x v="0"/>
    <x v="5"/>
    <x v="1"/>
    <x v="2"/>
    <x v="4"/>
    <x v="5"/>
    <x v="5"/>
    <x v="4"/>
    <n v="0"/>
    <n v="40"/>
    <n v="50"/>
    <n v="12"/>
    <x v="5"/>
    <x v="5"/>
    <x v="5"/>
    <x v="5"/>
    <e v="#DIV/0!"/>
    <n v="-9"/>
    <x v="0"/>
    <n v="39.225000000000001"/>
    <x v="5"/>
    <n v="1333"/>
    <e v="#DIV/0!"/>
    <e v="#DIV/0!"/>
    <s v="Nov-12"/>
    <x v="12"/>
    <e v="#DIV/0!"/>
  </r>
  <r>
    <x v="39"/>
    <n v="82"/>
    <x v="1"/>
    <x v="1"/>
    <x v="1"/>
    <x v="26"/>
    <x v="1"/>
    <x v="3"/>
    <x v="5"/>
    <x v="23"/>
    <x v="0"/>
    <x v="17"/>
    <n v="90"/>
    <n v="10"/>
    <n v="140"/>
    <n v="48"/>
    <x v="0"/>
    <x v="23"/>
    <x v="83"/>
    <x v="125"/>
    <n v="0.91111111111111109"/>
    <n v="-18"/>
    <x v="0"/>
    <n v="10.8"/>
    <x v="137"/>
    <n v="-976"/>
    <n v="1200"/>
    <n v="-2.6229508196721311E-3"/>
    <s v="Nov-12"/>
    <x v="13"/>
    <n v="1.4878048780487805"/>
  </r>
  <r>
    <x v="74"/>
    <n v="22"/>
    <x v="1"/>
    <x v="1"/>
    <x v="0"/>
    <x v="29"/>
    <x v="1"/>
    <x v="2"/>
    <x v="8"/>
    <x v="38"/>
    <x v="82"/>
    <x v="4"/>
    <n v="20"/>
    <n v="40"/>
    <n v="70"/>
    <n v="18"/>
    <x v="82"/>
    <x v="38"/>
    <x v="80"/>
    <x v="126"/>
    <n v="1.1000000000000001"/>
    <n v="-24"/>
    <x v="0"/>
    <n v="39.6"/>
    <x v="138"/>
    <n v="896"/>
    <n v="108"/>
    <n v="4.7619047619047616E-2"/>
    <s v="Nov-12"/>
    <x v="3"/>
    <n v="2.5454545454545454"/>
  </r>
  <r>
    <x v="39"/>
    <n v="44"/>
    <x v="1"/>
    <x v="1"/>
    <x v="1"/>
    <x v="19"/>
    <x v="1"/>
    <x v="2"/>
    <x v="8"/>
    <x v="11"/>
    <x v="28"/>
    <x v="17"/>
    <n v="30"/>
    <n v="0"/>
    <n v="80"/>
    <n v="69"/>
    <x v="28"/>
    <x v="11"/>
    <x v="84"/>
    <x v="127"/>
    <n v="1.4666666666666666"/>
    <n v="-7"/>
    <x v="0"/>
    <e v="#DIV/0!"/>
    <x v="139"/>
    <n v="-742"/>
    <n v="2760"/>
    <n v="-1.6509433962264149E-3"/>
    <s v="Nov-12"/>
    <x v="6"/>
    <n v="2.4090909090909092"/>
  </r>
  <r>
    <x v="8"/>
    <n v="33"/>
    <x v="1"/>
    <x v="1"/>
    <x v="3"/>
    <x v="13"/>
    <x v="1"/>
    <x v="3"/>
    <x v="7"/>
    <x v="64"/>
    <x v="83"/>
    <x v="7"/>
    <n v="30"/>
    <n v="10"/>
    <n v="80"/>
    <n v="45"/>
    <x v="83"/>
    <x v="64"/>
    <x v="69"/>
    <x v="128"/>
    <n v="1.1000000000000001"/>
    <n v="-14"/>
    <x v="0"/>
    <n v="10.4"/>
    <x v="140"/>
    <n v="-296"/>
    <n v="540"/>
    <n v="-4.5045045045045045E-3"/>
    <s v="Nov-12"/>
    <x v="7"/>
    <n v="2.2424242424242422"/>
  </r>
  <r>
    <x v="13"/>
    <n v="44"/>
    <x v="1"/>
    <x v="1"/>
    <x v="0"/>
    <x v="19"/>
    <x v="0"/>
    <x v="0"/>
    <x v="10"/>
    <x v="23"/>
    <x v="28"/>
    <x v="12"/>
    <n v="40"/>
    <n v="0"/>
    <n v="90"/>
    <n v="70"/>
    <x v="28"/>
    <x v="23"/>
    <x v="35"/>
    <x v="35"/>
    <n v="1.1000000000000001"/>
    <n v="-8"/>
    <x v="0"/>
    <e v="#DIV/0!"/>
    <x v="38"/>
    <n v="-848"/>
    <n v="2800"/>
    <n v="-1.8867924528301887E-3"/>
    <s v="Nov-12"/>
    <x v="9"/>
    <n v="2.4090909090909092"/>
  </r>
  <r>
    <x v="14"/>
    <n v="31"/>
    <x v="1"/>
    <x v="1"/>
    <x v="0"/>
    <x v="18"/>
    <x v="0"/>
    <x v="0"/>
    <x v="0"/>
    <x v="22"/>
    <x v="25"/>
    <x v="13"/>
    <n v="20"/>
    <n v="40"/>
    <n v="70"/>
    <n v="20"/>
    <x v="25"/>
    <x v="22"/>
    <x v="57"/>
    <x v="48"/>
    <n v="1.55"/>
    <n v="-13"/>
    <x v="0"/>
    <n v="39.325000000000003"/>
    <x v="141"/>
    <n v="2106"/>
    <n v="160"/>
    <n v="4.3269230769230768E-2"/>
    <s v="Nov-12"/>
    <x v="3"/>
    <n v="2.5161290322580645"/>
  </r>
  <r>
    <x v="42"/>
    <n v="69"/>
    <x v="1"/>
    <x v="1"/>
    <x v="2"/>
    <x v="28"/>
    <x v="0"/>
    <x v="0"/>
    <x v="1"/>
    <x v="68"/>
    <x v="61"/>
    <x v="5"/>
    <n v="50"/>
    <n v="30"/>
    <n v="100"/>
    <n v="43"/>
    <x v="61"/>
    <x v="68"/>
    <x v="85"/>
    <x v="129"/>
    <n v="1.38"/>
    <n v="8"/>
    <x v="0"/>
    <n v="28.733333333333334"/>
    <x v="142"/>
    <n v="5700"/>
    <n v="903"/>
    <n v="1.2063492063492064E-2"/>
    <s v="Nov-12"/>
    <x v="7"/>
    <n v="2.1739130434782608"/>
  </r>
  <r>
    <x v="14"/>
    <n v="49"/>
    <x v="1"/>
    <x v="1"/>
    <x v="0"/>
    <x v="6"/>
    <x v="0"/>
    <x v="1"/>
    <x v="2"/>
    <x v="9"/>
    <x v="10"/>
    <x v="13"/>
    <n v="40"/>
    <n v="20"/>
    <n v="90"/>
    <n v="38"/>
    <x v="10"/>
    <x v="9"/>
    <x v="10"/>
    <x v="10"/>
    <n v="1.2250000000000001"/>
    <n v="13"/>
    <x v="0"/>
    <n v="18.350000000000001"/>
    <x v="10"/>
    <n v="3960"/>
    <n v="570"/>
    <n v="1.8333333333333333E-2"/>
    <s v="Nov-12"/>
    <x v="7"/>
    <n v="2.4489795918367347"/>
  </r>
  <r>
    <x v="32"/>
    <n v="49"/>
    <x v="1"/>
    <x v="1"/>
    <x v="3"/>
    <x v="6"/>
    <x v="0"/>
    <x v="1"/>
    <x v="11"/>
    <x v="28"/>
    <x v="10"/>
    <x v="14"/>
    <n v="30"/>
    <n v="30"/>
    <n v="80"/>
    <n v="37"/>
    <x v="10"/>
    <x v="28"/>
    <x v="32"/>
    <x v="31"/>
    <n v="1.6333333333333333"/>
    <n v="4"/>
    <x v="0"/>
    <n v="28.866666666666667"/>
    <x v="34"/>
    <n v="4080"/>
    <n v="555"/>
    <n v="1.8888888888888889E-2"/>
    <s v="Nov-12"/>
    <x v="2"/>
    <n v="2.4489795918367347"/>
  </r>
  <r>
    <x v="1"/>
    <n v="43"/>
    <x v="2"/>
    <x v="0"/>
    <x v="0"/>
    <x v="10"/>
    <x v="1"/>
    <x v="3"/>
    <x v="7"/>
    <x v="26"/>
    <x v="9"/>
    <x v="0"/>
    <n v="40"/>
    <n v="30"/>
    <n v="90"/>
    <n v="27"/>
    <x v="9"/>
    <x v="26"/>
    <x v="86"/>
    <x v="130"/>
    <n v="1.075"/>
    <n v="-1"/>
    <x v="0"/>
    <n v="29.033333333333335"/>
    <x v="143"/>
    <n v="2871"/>
    <n v="377.99999999999994"/>
    <n v="2.0923520923520924E-2"/>
    <s v="Dec-12"/>
    <x v="0"/>
    <n v="2.3023255813953489"/>
  </r>
  <r>
    <x v="69"/>
    <n v="41"/>
    <x v="2"/>
    <x v="0"/>
    <x v="0"/>
    <x v="2"/>
    <x v="1"/>
    <x v="3"/>
    <x v="7"/>
    <x v="10"/>
    <x v="38"/>
    <x v="18"/>
    <n v="40"/>
    <n v="20"/>
    <n v="90"/>
    <n v="36"/>
    <x v="38"/>
    <x v="10"/>
    <x v="45"/>
    <x v="46"/>
    <n v="1.0249999999999999"/>
    <n v="4"/>
    <x v="0"/>
    <n v="18.8"/>
    <x v="51"/>
    <n v="2424"/>
    <n v="468"/>
    <n v="1.827875095201828E-2"/>
    <s v="Dec-12"/>
    <x v="7"/>
    <n v="2.4634146341463414"/>
  </r>
  <r>
    <x v="25"/>
    <n v="47"/>
    <x v="2"/>
    <x v="0"/>
    <x v="2"/>
    <x v="22"/>
    <x v="1"/>
    <x v="2"/>
    <x v="8"/>
    <x v="69"/>
    <x v="9"/>
    <x v="15"/>
    <n v="40"/>
    <n v="-10"/>
    <n v="90"/>
    <n v="72"/>
    <x v="9"/>
    <x v="69"/>
    <x v="63"/>
    <x v="131"/>
    <n v="1.175"/>
    <n v="-10"/>
    <x v="0"/>
    <n v="-12"/>
    <x v="144"/>
    <n v="-1980"/>
    <n v="3024"/>
    <n v="-4.8100048100048094E-3"/>
    <s v="Dec-12"/>
    <x v="10"/>
    <n v="2.1063829787234041"/>
  </r>
  <r>
    <x v="68"/>
    <n v="43"/>
    <x v="2"/>
    <x v="0"/>
    <x v="0"/>
    <x v="10"/>
    <x v="0"/>
    <x v="0"/>
    <x v="0"/>
    <x v="26"/>
    <x v="9"/>
    <x v="16"/>
    <n v="40"/>
    <n v="30"/>
    <n v="90"/>
    <n v="27"/>
    <x v="9"/>
    <x v="26"/>
    <x v="86"/>
    <x v="130"/>
    <n v="1.075"/>
    <n v="-1"/>
    <x v="0"/>
    <n v="29.033333333333335"/>
    <x v="143"/>
    <n v="2871"/>
    <n v="377.99999999999994"/>
    <n v="2.0923520923520924E-2"/>
    <s v="Dec-12"/>
    <x v="0"/>
    <n v="2.3023255813953489"/>
  </r>
  <r>
    <x v="75"/>
    <n v="43"/>
    <x v="2"/>
    <x v="0"/>
    <x v="3"/>
    <x v="10"/>
    <x v="0"/>
    <x v="0"/>
    <x v="1"/>
    <x v="26"/>
    <x v="9"/>
    <x v="3"/>
    <n v="40"/>
    <n v="30"/>
    <n v="90"/>
    <n v="27"/>
    <x v="9"/>
    <x v="26"/>
    <x v="86"/>
    <x v="130"/>
    <n v="1.075"/>
    <n v="-1"/>
    <x v="0"/>
    <n v="29.033333333333335"/>
    <x v="143"/>
    <n v="2871"/>
    <n v="377.99999999999994"/>
    <n v="2.0923520923520924E-2"/>
    <s v="Dec-12"/>
    <x v="0"/>
    <n v="2.3023255813953489"/>
  </r>
  <r>
    <x v="0"/>
    <n v="46"/>
    <x v="2"/>
    <x v="0"/>
    <x v="0"/>
    <x v="1"/>
    <x v="0"/>
    <x v="1"/>
    <x v="2"/>
    <x v="70"/>
    <x v="84"/>
    <x v="0"/>
    <n v="30"/>
    <n v="10"/>
    <n v="80"/>
    <n v="51"/>
    <x v="84"/>
    <x v="70"/>
    <x v="1"/>
    <x v="132"/>
    <n v="1.5333333333333334"/>
    <n v="-4"/>
    <x v="0"/>
    <n v="9.4"/>
    <x v="129"/>
    <n v="618"/>
    <n v="867"/>
    <n v="3.4266133637921191E-3"/>
    <s v="Dec-12"/>
    <x v="7"/>
    <n v="2.2391304347826089"/>
  </r>
  <r>
    <x v="0"/>
    <n v="53"/>
    <x v="2"/>
    <x v="0"/>
    <x v="0"/>
    <x v="20"/>
    <x v="0"/>
    <x v="1"/>
    <x v="11"/>
    <x v="1"/>
    <x v="52"/>
    <x v="0"/>
    <n v="40"/>
    <n v="20"/>
    <n v="90"/>
    <n v="37"/>
    <x v="52"/>
    <x v="1"/>
    <x v="6"/>
    <x v="133"/>
    <n v="1.325"/>
    <n v="6"/>
    <x v="0"/>
    <n v="18.7"/>
    <x v="145"/>
    <n v="3016"/>
    <n v="592"/>
    <n v="1.4008620689655173E-2"/>
    <s v="Dec-12"/>
    <x v="7"/>
    <n v="2.1886792452830188"/>
  </r>
  <r>
    <x v="70"/>
    <n v="33"/>
    <x v="2"/>
    <x v="0"/>
    <x v="2"/>
    <x v="8"/>
    <x v="0"/>
    <x v="1"/>
    <x v="2"/>
    <x v="26"/>
    <x v="40"/>
    <x v="15"/>
    <n v="30"/>
    <n v="40"/>
    <n v="80"/>
    <n v="20"/>
    <x v="40"/>
    <x v="26"/>
    <x v="62"/>
    <x v="134"/>
    <n v="1.1000000000000001"/>
    <n v="-11"/>
    <x v="0"/>
    <n v="39.274999999999999"/>
    <x v="146"/>
    <n v="2378"/>
    <n v="180"/>
    <n v="3.9295392953929538E-2"/>
    <s v="Dec-12"/>
    <x v="1"/>
    <n v="2.4848484848484849"/>
  </r>
  <r>
    <x v="76"/>
    <n v="34"/>
    <x v="2"/>
    <x v="0"/>
    <x v="2"/>
    <x v="8"/>
    <x v="0"/>
    <x v="1"/>
    <x v="3"/>
    <x v="27"/>
    <x v="39"/>
    <x v="2"/>
    <n v="30"/>
    <n v="40"/>
    <n v="80"/>
    <n v="21"/>
    <x v="39"/>
    <x v="27"/>
    <x v="87"/>
    <x v="91"/>
    <n v="1.1333333333333333"/>
    <n v="-10"/>
    <x v="0"/>
    <n v="39.25"/>
    <x v="147"/>
    <n v="2550"/>
    <n v="189"/>
    <n v="3.9215686274509803E-2"/>
    <s v="Dec-12"/>
    <x v="1"/>
    <n v="2.5"/>
  </r>
  <r>
    <x v="77"/>
    <n v="0"/>
    <x v="2"/>
    <x v="1"/>
    <x v="0"/>
    <x v="5"/>
    <x v="1"/>
    <x v="2"/>
    <x v="4"/>
    <x v="71"/>
    <x v="5"/>
    <x v="4"/>
    <n v="0"/>
    <n v="40"/>
    <n v="50"/>
    <n v="11"/>
    <x v="5"/>
    <x v="71"/>
    <x v="88"/>
    <x v="5"/>
    <e v="#DIV/0!"/>
    <n v="-8"/>
    <x v="0"/>
    <n v="39.200000000000003"/>
    <x v="148"/>
    <n v="1376"/>
    <e v="#DIV/0!"/>
    <e v="#DIV/0!"/>
    <s v="Dec-12"/>
    <x v="12"/>
    <e v="#DIV/0!"/>
  </r>
  <r>
    <x v="29"/>
    <n v="43"/>
    <x v="2"/>
    <x v="1"/>
    <x v="1"/>
    <x v="2"/>
    <x v="1"/>
    <x v="2"/>
    <x v="4"/>
    <x v="22"/>
    <x v="28"/>
    <x v="10"/>
    <n v="30"/>
    <n v="20"/>
    <n v="80"/>
    <n v="36"/>
    <x v="28"/>
    <x v="22"/>
    <x v="2"/>
    <x v="24"/>
    <n v="1.4333333333333333"/>
    <n v="7"/>
    <x v="0"/>
    <n v="18.649999999999999"/>
    <x v="78"/>
    <n v="2862"/>
    <n v="467.99999999999994"/>
    <n v="1.9593613933236578E-2"/>
    <s v="Dec-12"/>
    <x v="0"/>
    <n v="2.4651162790697674"/>
  </r>
  <r>
    <x v="48"/>
    <n v="31"/>
    <x v="2"/>
    <x v="1"/>
    <x v="3"/>
    <x v="8"/>
    <x v="1"/>
    <x v="3"/>
    <x v="5"/>
    <x v="72"/>
    <x v="85"/>
    <x v="7"/>
    <n v="30"/>
    <n v="30"/>
    <n v="80"/>
    <n v="30"/>
    <x v="85"/>
    <x v="72"/>
    <x v="8"/>
    <x v="135"/>
    <n v="1.0333333333333334"/>
    <n v="-22"/>
    <x v="0"/>
    <n v="29.733333333333334"/>
    <x v="149"/>
    <n v="552"/>
    <n v="270"/>
    <n v="1.2882447665056361E-2"/>
    <s v="Dec-12"/>
    <x v="2"/>
    <n v="2.225806451612903"/>
  </r>
  <r>
    <x v="74"/>
    <n v="23"/>
    <x v="2"/>
    <x v="1"/>
    <x v="0"/>
    <x v="29"/>
    <x v="1"/>
    <x v="2"/>
    <x v="8"/>
    <x v="39"/>
    <x v="78"/>
    <x v="4"/>
    <n v="20"/>
    <n v="40"/>
    <n v="70"/>
    <n v="18"/>
    <x v="78"/>
    <x v="39"/>
    <x v="67"/>
    <x v="136"/>
    <n v="1.1499999999999999"/>
    <n v="-23"/>
    <x v="0"/>
    <n v="39.575000000000003"/>
    <x v="129"/>
    <n v="986"/>
    <n v="108"/>
    <n v="4.8850574712643681E-2"/>
    <s v="Dec-12"/>
    <x v="3"/>
    <n v="2.5217391304347827"/>
  </r>
  <r>
    <x v="38"/>
    <n v="41"/>
    <x v="2"/>
    <x v="1"/>
    <x v="1"/>
    <x v="13"/>
    <x v="1"/>
    <x v="2"/>
    <x v="8"/>
    <x v="5"/>
    <x v="2"/>
    <x v="10"/>
    <n v="30"/>
    <n v="20"/>
    <n v="80"/>
    <n v="35"/>
    <x v="2"/>
    <x v="5"/>
    <x v="82"/>
    <x v="137"/>
    <n v="1.3666666666666667"/>
    <n v="11"/>
    <x v="0"/>
    <n v="18.45"/>
    <x v="150"/>
    <n v="3317"/>
    <n v="420"/>
    <n v="2.4143302180685361E-2"/>
    <s v="Dec-12"/>
    <x v="0"/>
    <n v="2.6097560975609757"/>
  </r>
  <r>
    <x v="17"/>
    <n v="46"/>
    <x v="2"/>
    <x v="1"/>
    <x v="3"/>
    <x v="1"/>
    <x v="1"/>
    <x v="2"/>
    <x v="9"/>
    <x v="70"/>
    <x v="84"/>
    <x v="11"/>
    <n v="40"/>
    <n v="10"/>
    <n v="90"/>
    <n v="51"/>
    <x v="84"/>
    <x v="70"/>
    <x v="1"/>
    <x v="132"/>
    <n v="1.1499999999999999"/>
    <n v="-4"/>
    <x v="0"/>
    <n v="9.4"/>
    <x v="129"/>
    <n v="618"/>
    <n v="867"/>
    <n v="3.4266133637921191E-3"/>
    <s v="Dec-12"/>
    <x v="6"/>
    <n v="2.2391304347826089"/>
  </r>
  <r>
    <x v="14"/>
    <n v="43"/>
    <x v="2"/>
    <x v="1"/>
    <x v="0"/>
    <x v="2"/>
    <x v="0"/>
    <x v="1"/>
    <x v="2"/>
    <x v="2"/>
    <x v="28"/>
    <x v="13"/>
    <n v="30"/>
    <n v="20"/>
    <n v="80"/>
    <n v="35"/>
    <x v="28"/>
    <x v="2"/>
    <x v="69"/>
    <x v="2"/>
    <n v="1.4333333333333333"/>
    <n v="8"/>
    <x v="0"/>
    <n v="18.600000000000001"/>
    <x v="151"/>
    <n v="2968"/>
    <n v="455"/>
    <n v="2.0319303338171262E-2"/>
    <s v="Dec-12"/>
    <x v="0"/>
    <n v="2.4651162790697674"/>
  </r>
  <r>
    <x v="67"/>
    <n v="33"/>
    <x v="2"/>
    <x v="1"/>
    <x v="2"/>
    <x v="8"/>
    <x v="0"/>
    <x v="1"/>
    <x v="3"/>
    <x v="2"/>
    <x v="40"/>
    <x v="5"/>
    <n v="30"/>
    <n v="40"/>
    <n v="80"/>
    <n v="21"/>
    <x v="40"/>
    <x v="2"/>
    <x v="29"/>
    <x v="50"/>
    <n v="1.1000000000000001"/>
    <n v="-12"/>
    <x v="0"/>
    <n v="39.299999999999997"/>
    <x v="55"/>
    <n v="2296"/>
    <n v="189"/>
    <n v="3.7940379403794036E-2"/>
    <s v="Dec-12"/>
    <x v="1"/>
    <n v="2.4848484848484849"/>
  </r>
  <r>
    <x v="9"/>
    <n v="49"/>
    <x v="2"/>
    <x v="1"/>
    <x v="3"/>
    <x v="25"/>
    <x v="0"/>
    <x v="1"/>
    <x v="2"/>
    <x v="64"/>
    <x v="15"/>
    <x v="8"/>
    <n v="30"/>
    <n v="0"/>
    <n v="80"/>
    <n v="73"/>
    <x v="15"/>
    <x v="64"/>
    <x v="43"/>
    <x v="138"/>
    <n v="1.6333333333333333"/>
    <n v="-4"/>
    <x v="0"/>
    <e v="#DIV/0!"/>
    <x v="152"/>
    <n v="-472"/>
    <n v="3212"/>
    <n v="-7.7041602465331282E-4"/>
    <s v="Dec-12"/>
    <x v="6"/>
    <n v="2.4081632653061225"/>
  </r>
  <r>
    <x v="78"/>
    <n v="55"/>
    <x v="2"/>
    <x v="1"/>
    <x v="3"/>
    <x v="24"/>
    <x v="0"/>
    <x v="1"/>
    <x v="3"/>
    <x v="37"/>
    <x v="41"/>
    <x v="14"/>
    <n v="40"/>
    <n v="-10"/>
    <n v="90"/>
    <n v="79"/>
    <x v="41"/>
    <x v="37"/>
    <x v="48"/>
    <x v="52"/>
    <n v="1.375"/>
    <n v="7"/>
    <x v="0"/>
    <n v="-10.3"/>
    <x v="57"/>
    <n v="-393"/>
    <n v="3871"/>
    <n v="-4.6736251752609438E-4"/>
    <s v="Dec-12"/>
    <x v="10"/>
    <n v="2.3818181818181818"/>
  </r>
  <r>
    <x v="0"/>
    <n v="39"/>
    <x v="3"/>
    <x v="0"/>
    <x v="0"/>
    <x v="13"/>
    <x v="1"/>
    <x v="3"/>
    <x v="7"/>
    <x v="54"/>
    <x v="62"/>
    <x v="0"/>
    <n v="30"/>
    <n v="50"/>
    <n v="80"/>
    <n v="24"/>
    <x v="62"/>
    <x v="54"/>
    <x v="89"/>
    <x v="91"/>
    <n v="1.3"/>
    <n v="-10"/>
    <x v="0"/>
    <n v="49.2"/>
    <x v="153"/>
    <n v="3840"/>
    <n v="288"/>
    <n v="3.4722222222222224E-2"/>
    <s v="Oct-13"/>
    <x v="3"/>
    <n v="2.4615384615384617"/>
  </r>
  <r>
    <x v="79"/>
    <n v="80"/>
    <x v="3"/>
    <x v="0"/>
    <x v="2"/>
    <x v="23"/>
    <x v="0"/>
    <x v="0"/>
    <x v="1"/>
    <x v="53"/>
    <x v="86"/>
    <x v="2"/>
    <n v="40"/>
    <n v="40"/>
    <n v="90"/>
    <n v="46"/>
    <x v="86"/>
    <x v="53"/>
    <x v="35"/>
    <x v="139"/>
    <n v="2"/>
    <n v="31"/>
    <x v="0"/>
    <n v="38.225000000000001"/>
    <x v="154"/>
    <n v="13135"/>
    <n v="1104"/>
    <n v="1.5990990990990991E-2"/>
    <s v="Oct-13"/>
    <x v="2"/>
    <n v="2.3125"/>
  </r>
  <r>
    <x v="43"/>
    <n v="54"/>
    <x v="3"/>
    <x v="0"/>
    <x v="0"/>
    <x v="14"/>
    <x v="0"/>
    <x v="1"/>
    <x v="2"/>
    <x v="60"/>
    <x v="51"/>
    <x v="0"/>
    <n v="30"/>
    <n v="30"/>
    <n v="80"/>
    <n v="53"/>
    <x v="51"/>
    <x v="60"/>
    <x v="26"/>
    <x v="96"/>
    <n v="1.8"/>
    <n v="-11"/>
    <x v="0"/>
    <n v="29.366666666666667"/>
    <x v="155"/>
    <n v="2432"/>
    <n v="1060"/>
    <n v="7.4218749999999997E-3"/>
    <s v="Oct-13"/>
    <x v="2"/>
    <n v="2.3703703703703702"/>
  </r>
  <r>
    <x v="1"/>
    <n v="54"/>
    <x v="3"/>
    <x v="0"/>
    <x v="0"/>
    <x v="20"/>
    <x v="0"/>
    <x v="1"/>
    <x v="11"/>
    <x v="54"/>
    <x v="53"/>
    <x v="0"/>
    <n v="30"/>
    <n v="40"/>
    <n v="80"/>
    <n v="37"/>
    <x v="53"/>
    <x v="54"/>
    <x v="32"/>
    <x v="55"/>
    <n v="1.8"/>
    <n v="0"/>
    <x v="0"/>
    <n v="39"/>
    <x v="156"/>
    <n v="5040"/>
    <n v="592"/>
    <n v="1.984126984126984E-2"/>
    <s v="Oct-13"/>
    <x v="1"/>
    <n v="2.3333333333333335"/>
  </r>
  <r>
    <x v="80"/>
    <n v="27"/>
    <x v="3"/>
    <x v="0"/>
    <x v="2"/>
    <x v="7"/>
    <x v="0"/>
    <x v="1"/>
    <x v="2"/>
    <x v="27"/>
    <x v="49"/>
    <x v="15"/>
    <n v="20"/>
    <n v="50"/>
    <n v="70"/>
    <n v="19"/>
    <x v="49"/>
    <x v="27"/>
    <x v="80"/>
    <x v="140"/>
    <n v="1.35"/>
    <n v="-20"/>
    <x v="0"/>
    <n v="49.4"/>
    <x v="157"/>
    <n v="2100"/>
    <n v="133"/>
    <n v="6.1224489795918366E-2"/>
    <s v="Oct-13"/>
    <x v="5"/>
    <n v="2.5925925925925926"/>
  </r>
  <r>
    <x v="81"/>
    <n v="76"/>
    <x v="3"/>
    <x v="0"/>
    <x v="3"/>
    <x v="28"/>
    <x v="0"/>
    <x v="1"/>
    <x v="11"/>
    <x v="73"/>
    <x v="87"/>
    <x v="3"/>
    <n v="30"/>
    <n v="50"/>
    <n v="80"/>
    <n v="32"/>
    <x v="87"/>
    <x v="73"/>
    <x v="90"/>
    <x v="141"/>
    <n v="2.5333333333333332"/>
    <n v="67"/>
    <x v="0"/>
    <n v="47.66"/>
    <x v="158"/>
    <n v="23283"/>
    <n v="672"/>
    <n v="2.7997128499641061E-2"/>
    <s v="Oct-13"/>
    <x v="3"/>
    <n v="2.6184210526315788"/>
  </r>
  <r>
    <x v="14"/>
    <n v="22"/>
    <x v="3"/>
    <x v="1"/>
    <x v="0"/>
    <x v="7"/>
    <x v="1"/>
    <x v="2"/>
    <x v="4"/>
    <x v="25"/>
    <x v="88"/>
    <x v="13"/>
    <n v="20"/>
    <n v="50"/>
    <n v="70"/>
    <n v="19"/>
    <x v="88"/>
    <x v="25"/>
    <x v="56"/>
    <x v="33"/>
    <n v="1.1000000000000001"/>
    <n v="-35"/>
    <x v="0"/>
    <n v="49.7"/>
    <x v="159"/>
    <n v="810"/>
    <n v="133"/>
    <n v="3.968253968253968E-2"/>
    <s v="Oct-13"/>
    <x v="5"/>
    <n v="2.4545454545454546"/>
  </r>
  <r>
    <x v="77"/>
    <n v="23"/>
    <x v="3"/>
    <x v="1"/>
    <x v="0"/>
    <x v="29"/>
    <x v="1"/>
    <x v="2"/>
    <x v="8"/>
    <x v="22"/>
    <x v="89"/>
    <x v="4"/>
    <n v="20"/>
    <n v="50"/>
    <n v="70"/>
    <n v="17"/>
    <x v="89"/>
    <x v="22"/>
    <x v="91"/>
    <x v="90"/>
    <n v="1.1499999999999999"/>
    <n v="-23"/>
    <x v="0"/>
    <n v="49.46"/>
    <x v="160"/>
    <n v="1674"/>
    <n v="102"/>
    <n v="7.2580645161290328E-2"/>
    <s v="Oct-13"/>
    <x v="5"/>
    <n v="2.6956521739130435"/>
  </r>
  <r>
    <x v="31"/>
    <n v="79"/>
    <x v="3"/>
    <x v="1"/>
    <x v="2"/>
    <x v="30"/>
    <x v="0"/>
    <x v="0"/>
    <x v="0"/>
    <x v="35"/>
    <x v="90"/>
    <x v="5"/>
    <n v="40"/>
    <n v="30"/>
    <n v="90"/>
    <n v="64"/>
    <x v="90"/>
    <x v="35"/>
    <x v="92"/>
    <x v="142"/>
    <n v="1.9750000000000001"/>
    <n v="20"/>
    <x v="0"/>
    <n v="28.333333333333332"/>
    <x v="161"/>
    <n v="9450"/>
    <n v="1920"/>
    <n v="8.8183421516754863E-3"/>
    <s v="Oct-13"/>
    <x v="0"/>
    <n v="2.3924050632911391"/>
  </r>
  <r>
    <x v="31"/>
    <n v="65"/>
    <x v="3"/>
    <x v="1"/>
    <x v="2"/>
    <x v="14"/>
    <x v="0"/>
    <x v="0"/>
    <x v="1"/>
    <x v="33"/>
    <x v="91"/>
    <x v="5"/>
    <n v="30"/>
    <n v="50"/>
    <n v="80"/>
    <n v="42"/>
    <x v="91"/>
    <x v="33"/>
    <x v="44"/>
    <x v="143"/>
    <n v="2.1666666666666665"/>
    <n v="2"/>
    <x v="0"/>
    <n v="48.96"/>
    <x v="162"/>
    <n v="7852"/>
    <n v="840"/>
    <n v="1.7218543046357615E-2"/>
    <s v="Oct-13"/>
    <x v="3"/>
    <n v="2.3230769230769233"/>
  </r>
  <r>
    <x v="14"/>
    <n v="46"/>
    <x v="3"/>
    <x v="1"/>
    <x v="0"/>
    <x v="10"/>
    <x v="0"/>
    <x v="1"/>
    <x v="2"/>
    <x v="16"/>
    <x v="10"/>
    <x v="13"/>
    <n v="20"/>
    <n v="40"/>
    <n v="70"/>
    <n v="37"/>
    <x v="10"/>
    <x v="16"/>
    <x v="21"/>
    <x v="93"/>
    <n v="2.2999999999999998"/>
    <n v="5"/>
    <x v="0"/>
    <n v="38.875"/>
    <x v="99"/>
    <n v="5400"/>
    <n v="518"/>
    <n v="2.6785714285714288E-2"/>
    <s v="Oct-13"/>
    <x v="3"/>
    <n v="2.6086956521739131"/>
  </r>
  <r>
    <x v="14"/>
    <n v="60"/>
    <x v="3"/>
    <x v="1"/>
    <x v="0"/>
    <x v="12"/>
    <x v="0"/>
    <x v="1"/>
    <x v="11"/>
    <x v="66"/>
    <x v="43"/>
    <x v="13"/>
    <n v="40"/>
    <n v="0"/>
    <n v="90"/>
    <n v="84"/>
    <x v="43"/>
    <x v="66"/>
    <x v="93"/>
    <x v="121"/>
    <n v="1.5"/>
    <n v="0"/>
    <x v="0"/>
    <e v="#DIV/0!"/>
    <x v="132"/>
    <n v="0"/>
    <e v="#DIV/0!"/>
    <n v="0"/>
    <s v="Oct-13"/>
    <x v="9"/>
    <n v="2.5499999999999998"/>
  </r>
  <r>
    <x v="16"/>
    <n v="60"/>
    <x v="3"/>
    <x v="1"/>
    <x v="3"/>
    <x v="31"/>
    <x v="0"/>
    <x v="1"/>
    <x v="2"/>
    <x v="74"/>
    <x v="92"/>
    <x v="14"/>
    <n v="20"/>
    <n v="40"/>
    <n v="70"/>
    <n v="42"/>
    <x v="92"/>
    <x v="74"/>
    <x v="94"/>
    <x v="144"/>
    <n v="3"/>
    <n v="45"/>
    <x v="0"/>
    <n v="37.875"/>
    <x v="163"/>
    <n v="14365"/>
    <n v="756"/>
    <n v="2.7942143326758713E-2"/>
    <s v="Oct-13"/>
    <x v="3"/>
    <n v="2.8166666666666669"/>
  </r>
  <r>
    <x v="82"/>
    <n v="40"/>
    <x v="4"/>
    <x v="0"/>
    <x v="0"/>
    <x v="2"/>
    <x v="0"/>
    <x v="0"/>
    <x v="0"/>
    <x v="54"/>
    <x v="55"/>
    <x v="16"/>
    <n v="30"/>
    <n v="30"/>
    <n v="80"/>
    <n v="25"/>
    <x v="55"/>
    <x v="54"/>
    <x v="31"/>
    <x v="81"/>
    <n v="1.3333333333333333"/>
    <n v="10"/>
    <x v="0"/>
    <n v="28.666666666666668"/>
    <x v="87"/>
    <n v="3920"/>
    <n v="325"/>
    <n v="3.1397174254317116E-2"/>
    <s v="Nov-13"/>
    <x v="2"/>
    <n v="2.4500000000000002"/>
  </r>
  <r>
    <x v="83"/>
    <n v="36"/>
    <x v="4"/>
    <x v="0"/>
    <x v="0"/>
    <x v="3"/>
    <x v="0"/>
    <x v="0"/>
    <x v="0"/>
    <x v="16"/>
    <x v="3"/>
    <x v="18"/>
    <n v="30"/>
    <n v="40"/>
    <n v="80"/>
    <n v="22"/>
    <x v="3"/>
    <x v="16"/>
    <x v="68"/>
    <x v="90"/>
    <n v="1.2"/>
    <n v="5"/>
    <x v="0"/>
    <n v="38.875"/>
    <x v="96"/>
    <n v="4230"/>
    <n v="220"/>
    <n v="4.7872340425531915E-2"/>
    <s v="Nov-13"/>
    <x v="1"/>
    <n v="2.6111111111111112"/>
  </r>
  <r>
    <x v="84"/>
    <n v="55"/>
    <x v="4"/>
    <x v="0"/>
    <x v="2"/>
    <x v="14"/>
    <x v="0"/>
    <x v="0"/>
    <x v="0"/>
    <x v="57"/>
    <x v="57"/>
    <x v="15"/>
    <n v="40"/>
    <n v="20"/>
    <n v="90"/>
    <n v="54"/>
    <x v="57"/>
    <x v="57"/>
    <x v="60"/>
    <x v="85"/>
    <n v="1.375"/>
    <n v="2"/>
    <x v="0"/>
    <n v="18.899999999999999"/>
    <x v="91"/>
    <n v="2904"/>
    <n v="1080"/>
    <n v="8.3333333333333332E-3"/>
    <s v="Nov-13"/>
    <x v="7"/>
    <n v="2.4"/>
  </r>
  <r>
    <x v="85"/>
    <n v="40"/>
    <x v="4"/>
    <x v="0"/>
    <x v="3"/>
    <x v="2"/>
    <x v="0"/>
    <x v="0"/>
    <x v="1"/>
    <x v="54"/>
    <x v="55"/>
    <x v="3"/>
    <n v="30"/>
    <n v="30"/>
    <n v="80"/>
    <n v="25"/>
    <x v="55"/>
    <x v="54"/>
    <x v="31"/>
    <x v="81"/>
    <n v="1.3333333333333333"/>
    <n v="10"/>
    <x v="0"/>
    <n v="28.666666666666668"/>
    <x v="87"/>
    <n v="3920"/>
    <n v="325"/>
    <n v="3.1397174254317116E-2"/>
    <s v="Nov-13"/>
    <x v="2"/>
    <n v="2.4500000000000002"/>
  </r>
  <r>
    <x v="72"/>
    <n v="28"/>
    <x v="4"/>
    <x v="0"/>
    <x v="2"/>
    <x v="7"/>
    <x v="0"/>
    <x v="1"/>
    <x v="2"/>
    <x v="28"/>
    <x v="93"/>
    <x v="2"/>
    <n v="20"/>
    <n v="40"/>
    <n v="70"/>
    <n v="19"/>
    <x v="93"/>
    <x v="28"/>
    <x v="67"/>
    <x v="145"/>
    <n v="1.4"/>
    <n v="-6"/>
    <x v="0"/>
    <n v="39.15"/>
    <x v="164"/>
    <n v="2550"/>
    <n v="133"/>
    <n v="6.4761904761904757E-2"/>
    <s v="Nov-13"/>
    <x v="3"/>
    <n v="2.6785714285714284"/>
  </r>
  <r>
    <x v="79"/>
    <n v="31"/>
    <x v="4"/>
    <x v="0"/>
    <x v="2"/>
    <x v="18"/>
    <x v="0"/>
    <x v="1"/>
    <x v="3"/>
    <x v="41"/>
    <x v="59"/>
    <x v="2"/>
    <n v="30"/>
    <n v="40"/>
    <n v="80"/>
    <n v="19"/>
    <x v="59"/>
    <x v="41"/>
    <x v="67"/>
    <x v="89"/>
    <n v="1.0333333333333334"/>
    <n v="2"/>
    <x v="0"/>
    <n v="38.950000000000003"/>
    <x v="95"/>
    <n v="3486"/>
    <n v="152"/>
    <n v="6.3253012048192767E-2"/>
    <s v="Nov-13"/>
    <x v="1"/>
    <n v="2.6774193548387095"/>
  </r>
  <r>
    <x v="80"/>
    <n v="32"/>
    <x v="4"/>
    <x v="0"/>
    <x v="2"/>
    <x v="18"/>
    <x v="0"/>
    <x v="1"/>
    <x v="3"/>
    <x v="58"/>
    <x v="39"/>
    <x v="15"/>
    <n v="30"/>
    <n v="40"/>
    <n v="80"/>
    <n v="19"/>
    <x v="39"/>
    <x v="58"/>
    <x v="74"/>
    <x v="146"/>
    <n v="1.0666666666666667"/>
    <n v="3"/>
    <x v="0"/>
    <n v="38.924999999999997"/>
    <x v="165"/>
    <n v="3655"/>
    <n v="152"/>
    <n v="6.3235294117647056E-2"/>
    <s v="Nov-13"/>
    <x v="1"/>
    <n v="2.65625"/>
  </r>
  <r>
    <x v="86"/>
    <n v="50"/>
    <x v="4"/>
    <x v="0"/>
    <x v="3"/>
    <x v="10"/>
    <x v="0"/>
    <x v="1"/>
    <x v="11"/>
    <x v="50"/>
    <x v="41"/>
    <x v="3"/>
    <n v="30"/>
    <n v="40"/>
    <n v="80"/>
    <n v="26"/>
    <x v="41"/>
    <x v="50"/>
    <x v="8"/>
    <x v="68"/>
    <n v="1.6666666666666667"/>
    <n v="30"/>
    <x v="0"/>
    <n v="38.25"/>
    <x v="166"/>
    <n v="9170"/>
    <n v="364"/>
    <n v="3.8167938931297711E-2"/>
    <s v="Nov-13"/>
    <x v="1"/>
    <n v="2.62"/>
  </r>
  <r>
    <x v="74"/>
    <n v="0"/>
    <x v="4"/>
    <x v="1"/>
    <x v="0"/>
    <x v="5"/>
    <x v="1"/>
    <x v="2"/>
    <x v="4"/>
    <x v="43"/>
    <x v="48"/>
    <x v="4"/>
    <n v="0"/>
    <n v="40"/>
    <n v="50"/>
    <n v="12"/>
    <x v="48"/>
    <x v="43"/>
    <x v="55"/>
    <x v="5"/>
    <e v="#DIV/0!"/>
    <n v="6"/>
    <x v="0"/>
    <n v="38.85"/>
    <x v="69"/>
    <n v="2116"/>
    <e v="#DIV/0!"/>
    <e v="#DIV/0!"/>
    <s v="Nov-13"/>
    <x v="12"/>
    <e v="#DIV/0!"/>
  </r>
  <r>
    <x v="39"/>
    <n v="82"/>
    <x v="4"/>
    <x v="1"/>
    <x v="1"/>
    <x v="26"/>
    <x v="1"/>
    <x v="3"/>
    <x v="5"/>
    <x v="55"/>
    <x v="45"/>
    <x v="17"/>
    <n v="90"/>
    <n v="10"/>
    <n v="140"/>
    <n v="48"/>
    <x v="45"/>
    <x v="55"/>
    <x v="19"/>
    <x v="147"/>
    <n v="0.91111111111111109"/>
    <n v="-22"/>
    <x v="0"/>
    <n v="11.2"/>
    <x v="167"/>
    <n v="-1560"/>
    <n v="1200"/>
    <n v="-3.6923076923076922E-3"/>
    <s v="Nov-13"/>
    <x v="13"/>
    <n v="1.5853658536585367"/>
  </r>
  <r>
    <x v="74"/>
    <n v="22"/>
    <x v="4"/>
    <x v="1"/>
    <x v="0"/>
    <x v="29"/>
    <x v="1"/>
    <x v="2"/>
    <x v="8"/>
    <x v="10"/>
    <x v="94"/>
    <x v="4"/>
    <n v="20"/>
    <n v="40"/>
    <n v="70"/>
    <n v="18"/>
    <x v="94"/>
    <x v="10"/>
    <x v="95"/>
    <x v="148"/>
    <n v="1.1000000000000001"/>
    <n v="-16"/>
    <x v="0"/>
    <n v="39.4"/>
    <x v="168"/>
    <n v="1440"/>
    <n v="108"/>
    <n v="6.6666666666666666E-2"/>
    <s v="Nov-13"/>
    <x v="3"/>
    <n v="2.7272727272727271"/>
  </r>
  <r>
    <x v="39"/>
    <n v="44"/>
    <x v="4"/>
    <x v="1"/>
    <x v="1"/>
    <x v="19"/>
    <x v="1"/>
    <x v="2"/>
    <x v="8"/>
    <x v="46"/>
    <x v="27"/>
    <x v="17"/>
    <n v="30"/>
    <n v="0"/>
    <n v="80"/>
    <n v="69"/>
    <x v="27"/>
    <x v="46"/>
    <x v="49"/>
    <x v="72"/>
    <n v="1.4666666666666666"/>
    <n v="-10"/>
    <x v="0"/>
    <e v="#DIV/0!"/>
    <x v="169"/>
    <n v="-1130"/>
    <n v="2760"/>
    <n v="-2.2123893805309734E-3"/>
    <s v="Nov-13"/>
    <x v="6"/>
    <n v="2.5681818181818183"/>
  </r>
  <r>
    <x v="8"/>
    <n v="33"/>
    <x v="4"/>
    <x v="1"/>
    <x v="3"/>
    <x v="13"/>
    <x v="1"/>
    <x v="3"/>
    <x v="7"/>
    <x v="15"/>
    <x v="95"/>
    <x v="7"/>
    <n v="30"/>
    <n v="10"/>
    <n v="80"/>
    <n v="45"/>
    <x v="95"/>
    <x v="15"/>
    <x v="58"/>
    <x v="149"/>
    <n v="1.1000000000000001"/>
    <n v="-16"/>
    <x v="0"/>
    <n v="10.6"/>
    <x v="170"/>
    <n v="-474"/>
    <n v="540"/>
    <n v="-6.3291139240506328E-3"/>
    <s v="Nov-13"/>
    <x v="7"/>
    <n v="2.393939393939394"/>
  </r>
  <r>
    <x v="26"/>
    <n v="44"/>
    <x v="4"/>
    <x v="1"/>
    <x v="0"/>
    <x v="19"/>
    <x v="0"/>
    <x v="0"/>
    <x v="10"/>
    <x v="55"/>
    <x v="27"/>
    <x v="12"/>
    <n v="40"/>
    <n v="0"/>
    <n v="90"/>
    <n v="70"/>
    <x v="27"/>
    <x v="55"/>
    <x v="61"/>
    <x v="94"/>
    <n v="1.1000000000000001"/>
    <n v="-12"/>
    <x v="0"/>
    <e v="#DIV/0!"/>
    <x v="101"/>
    <n v="-1356"/>
    <n v="2800"/>
    <n v="-2.6548672566371681E-3"/>
    <s v="Nov-13"/>
    <x v="9"/>
    <n v="2.5681818181818183"/>
  </r>
  <r>
    <x v="65"/>
    <n v="31"/>
    <x v="4"/>
    <x v="1"/>
    <x v="0"/>
    <x v="18"/>
    <x v="0"/>
    <x v="0"/>
    <x v="0"/>
    <x v="54"/>
    <x v="59"/>
    <x v="13"/>
    <n v="20"/>
    <n v="40"/>
    <n v="70"/>
    <n v="20"/>
    <x v="59"/>
    <x v="54"/>
    <x v="96"/>
    <x v="68"/>
    <n v="1.55"/>
    <n v="0"/>
    <x v="0"/>
    <n v="39"/>
    <x v="171"/>
    <n v="3320"/>
    <n v="160"/>
    <n v="6.0240963855421686E-2"/>
    <s v="Nov-13"/>
    <x v="3"/>
    <n v="2.6774193548387095"/>
  </r>
  <r>
    <x v="67"/>
    <n v="69"/>
    <x v="4"/>
    <x v="1"/>
    <x v="2"/>
    <x v="28"/>
    <x v="0"/>
    <x v="0"/>
    <x v="1"/>
    <x v="4"/>
    <x v="42"/>
    <x v="5"/>
    <n v="50"/>
    <n v="30"/>
    <n v="100"/>
    <n v="43"/>
    <x v="42"/>
    <x v="4"/>
    <x v="97"/>
    <x v="126"/>
    <n v="1.38"/>
    <n v="26"/>
    <x v="0"/>
    <n v="28.133333333333333"/>
    <x v="172"/>
    <n v="8960"/>
    <n v="903"/>
    <n v="1.6666666666666666E-2"/>
    <s v="Nov-13"/>
    <x v="7"/>
    <n v="2.318840579710145"/>
  </r>
  <r>
    <x v="65"/>
    <n v="49"/>
    <x v="4"/>
    <x v="1"/>
    <x v="0"/>
    <x v="6"/>
    <x v="0"/>
    <x v="1"/>
    <x v="2"/>
    <x v="31"/>
    <x v="51"/>
    <x v="13"/>
    <n v="40"/>
    <n v="20"/>
    <n v="90"/>
    <n v="38"/>
    <x v="51"/>
    <x v="31"/>
    <x v="2"/>
    <x v="69"/>
    <n v="1.2250000000000001"/>
    <n v="29"/>
    <x v="0"/>
    <n v="17.55"/>
    <x v="74"/>
    <n v="6272"/>
    <n v="570"/>
    <n v="2.5520833333333333E-2"/>
    <s v="Nov-13"/>
    <x v="7"/>
    <n v="2.6122448979591835"/>
  </r>
  <r>
    <x v="32"/>
    <n v="49"/>
    <x v="4"/>
    <x v="1"/>
    <x v="3"/>
    <x v="6"/>
    <x v="0"/>
    <x v="1"/>
    <x v="11"/>
    <x v="35"/>
    <x v="51"/>
    <x v="14"/>
    <n v="30"/>
    <n v="30"/>
    <n v="80"/>
    <n v="37"/>
    <x v="51"/>
    <x v="35"/>
    <x v="69"/>
    <x v="91"/>
    <n v="1.6333333333333333"/>
    <n v="20"/>
    <x v="0"/>
    <n v="28.333333333333332"/>
    <x v="97"/>
    <n v="6400"/>
    <n v="555"/>
    <n v="2.6041666666666668E-2"/>
    <s v="Nov-13"/>
    <x v="2"/>
    <n v="2.6122448979591835"/>
  </r>
  <r>
    <x v="1"/>
    <n v="43"/>
    <x v="5"/>
    <x v="0"/>
    <x v="0"/>
    <x v="10"/>
    <x v="1"/>
    <x v="3"/>
    <x v="7"/>
    <x v="58"/>
    <x v="28"/>
    <x v="0"/>
    <n v="40"/>
    <n v="30"/>
    <n v="90"/>
    <n v="27"/>
    <x v="28"/>
    <x v="58"/>
    <x v="17"/>
    <x v="150"/>
    <n v="1.075"/>
    <n v="13"/>
    <x v="0"/>
    <n v="28.566666666666666"/>
    <x v="173"/>
    <n v="4558"/>
    <n v="378"/>
    <n v="2.8975741239892185E-2"/>
    <s v="Dec-13"/>
    <x v="0"/>
    <n v="2.4651162790697674"/>
  </r>
  <r>
    <x v="87"/>
    <n v="41"/>
    <x v="5"/>
    <x v="0"/>
    <x v="0"/>
    <x v="2"/>
    <x v="1"/>
    <x v="3"/>
    <x v="7"/>
    <x v="18"/>
    <x v="68"/>
    <x v="18"/>
    <n v="40"/>
    <n v="20"/>
    <n v="90"/>
    <n v="36"/>
    <x v="68"/>
    <x v="18"/>
    <x v="16"/>
    <x v="103"/>
    <n v="1.0249999999999999"/>
    <n v="16"/>
    <x v="0"/>
    <n v="18.2"/>
    <x v="112"/>
    <n v="3888"/>
    <n v="468"/>
    <n v="2.564102564102564E-2"/>
    <s v="Dec-13"/>
    <x v="7"/>
    <n v="2.6341463414634148"/>
  </r>
  <r>
    <x v="80"/>
    <n v="47"/>
    <x v="5"/>
    <x v="0"/>
    <x v="2"/>
    <x v="22"/>
    <x v="1"/>
    <x v="2"/>
    <x v="8"/>
    <x v="75"/>
    <x v="28"/>
    <x v="15"/>
    <n v="40"/>
    <n v="-10"/>
    <n v="90"/>
    <n v="72"/>
    <x v="28"/>
    <x v="75"/>
    <x v="98"/>
    <x v="151"/>
    <n v="1.175"/>
    <n v="-20"/>
    <x v="0"/>
    <n v="-13"/>
    <x v="174"/>
    <n v="-3180"/>
    <n v="3024"/>
    <n v="-6.7385444743935314E-3"/>
    <s v="Dec-13"/>
    <x v="10"/>
    <n v="2.2553191489361701"/>
  </r>
  <r>
    <x v="82"/>
    <n v="43"/>
    <x v="5"/>
    <x v="0"/>
    <x v="0"/>
    <x v="10"/>
    <x v="0"/>
    <x v="0"/>
    <x v="0"/>
    <x v="58"/>
    <x v="28"/>
    <x v="16"/>
    <n v="40"/>
    <n v="30"/>
    <n v="90"/>
    <n v="27"/>
    <x v="28"/>
    <x v="58"/>
    <x v="17"/>
    <x v="150"/>
    <n v="1.075"/>
    <n v="13"/>
    <x v="0"/>
    <n v="28.566666666666666"/>
    <x v="173"/>
    <n v="4558"/>
    <n v="378"/>
    <n v="2.8975741239892185E-2"/>
    <s v="Dec-13"/>
    <x v="0"/>
    <n v="2.4651162790697674"/>
  </r>
  <r>
    <x v="85"/>
    <n v="43"/>
    <x v="5"/>
    <x v="0"/>
    <x v="3"/>
    <x v="10"/>
    <x v="0"/>
    <x v="0"/>
    <x v="1"/>
    <x v="58"/>
    <x v="28"/>
    <x v="3"/>
    <n v="40"/>
    <n v="30"/>
    <n v="90"/>
    <n v="27"/>
    <x v="28"/>
    <x v="58"/>
    <x v="17"/>
    <x v="150"/>
    <n v="1.075"/>
    <n v="13"/>
    <x v="0"/>
    <n v="28.566666666666666"/>
    <x v="173"/>
    <n v="4558"/>
    <n v="378"/>
    <n v="2.8975741239892185E-2"/>
    <s v="Dec-13"/>
    <x v="0"/>
    <n v="2.4651162790697674"/>
  </r>
  <r>
    <x v="0"/>
    <n v="46"/>
    <x v="5"/>
    <x v="0"/>
    <x v="0"/>
    <x v="1"/>
    <x v="0"/>
    <x v="1"/>
    <x v="2"/>
    <x v="76"/>
    <x v="96"/>
    <x v="0"/>
    <n v="30"/>
    <n v="10"/>
    <n v="80"/>
    <n v="51"/>
    <x v="96"/>
    <x v="76"/>
    <x v="99"/>
    <x v="152"/>
    <n v="1.5333333333333334"/>
    <n v="-1"/>
    <x v="0"/>
    <n v="9.1"/>
    <x v="160"/>
    <n v="990"/>
    <n v="867"/>
    <n v="4.8128342245989308E-3"/>
    <s v="Dec-13"/>
    <x v="7"/>
    <n v="2.3913043478260869"/>
  </r>
  <r>
    <x v="1"/>
    <n v="53"/>
    <x v="5"/>
    <x v="0"/>
    <x v="0"/>
    <x v="20"/>
    <x v="0"/>
    <x v="1"/>
    <x v="11"/>
    <x v="40"/>
    <x v="21"/>
    <x v="0"/>
    <n v="40"/>
    <n v="20"/>
    <n v="90"/>
    <n v="37"/>
    <x v="21"/>
    <x v="40"/>
    <x v="58"/>
    <x v="153"/>
    <n v="1.325"/>
    <n v="19"/>
    <x v="0"/>
    <n v="18.05"/>
    <x v="175"/>
    <n v="4836"/>
    <n v="592"/>
    <n v="1.9657258064516129E-2"/>
    <s v="Dec-13"/>
    <x v="7"/>
    <n v="2.3396226415094339"/>
  </r>
  <r>
    <x v="80"/>
    <n v="33"/>
    <x v="5"/>
    <x v="0"/>
    <x v="2"/>
    <x v="8"/>
    <x v="0"/>
    <x v="1"/>
    <x v="2"/>
    <x v="58"/>
    <x v="70"/>
    <x v="15"/>
    <n v="30"/>
    <n v="40"/>
    <n v="80"/>
    <n v="20"/>
    <x v="70"/>
    <x v="58"/>
    <x v="100"/>
    <x v="154"/>
    <n v="1.1000000000000001"/>
    <n v="3"/>
    <x v="0"/>
    <n v="38.924999999999997"/>
    <x v="176"/>
    <n v="3741"/>
    <n v="180"/>
    <n v="5.4916985951468711E-2"/>
    <s v="Dec-13"/>
    <x v="1"/>
    <n v="2.6363636363636362"/>
  </r>
  <r>
    <x v="88"/>
    <n v="34"/>
    <x v="5"/>
    <x v="0"/>
    <x v="2"/>
    <x v="8"/>
    <x v="0"/>
    <x v="1"/>
    <x v="3"/>
    <x v="16"/>
    <x v="69"/>
    <x v="2"/>
    <n v="30"/>
    <n v="40"/>
    <n v="80"/>
    <n v="21"/>
    <x v="69"/>
    <x v="16"/>
    <x v="66"/>
    <x v="68"/>
    <n v="1.1333333333333333"/>
    <n v="5"/>
    <x v="0"/>
    <n v="38.875"/>
    <x v="177"/>
    <n v="4095"/>
    <n v="189"/>
    <n v="5.4945054945054944E-2"/>
    <s v="Dec-13"/>
    <x v="1"/>
    <n v="2.6764705882352939"/>
  </r>
  <r>
    <x v="46"/>
    <n v="0"/>
    <x v="5"/>
    <x v="1"/>
    <x v="0"/>
    <x v="5"/>
    <x v="1"/>
    <x v="2"/>
    <x v="4"/>
    <x v="17"/>
    <x v="48"/>
    <x v="4"/>
    <n v="0"/>
    <n v="40"/>
    <n v="50"/>
    <n v="11"/>
    <x v="48"/>
    <x v="17"/>
    <x v="101"/>
    <x v="5"/>
    <e v="#DIV/0!"/>
    <n v="7"/>
    <x v="0"/>
    <n v="38.825000000000003"/>
    <x v="178"/>
    <n v="2162"/>
    <e v="#DIV/0!"/>
    <e v="#DIV/0!"/>
    <s v="Dec-13"/>
    <x v="12"/>
    <e v="#DIV/0!"/>
  </r>
  <r>
    <x v="11"/>
    <n v="43"/>
    <x v="5"/>
    <x v="1"/>
    <x v="1"/>
    <x v="2"/>
    <x v="1"/>
    <x v="2"/>
    <x v="4"/>
    <x v="54"/>
    <x v="27"/>
    <x v="10"/>
    <n v="30"/>
    <n v="20"/>
    <n v="80"/>
    <n v="36"/>
    <x v="27"/>
    <x v="54"/>
    <x v="15"/>
    <x v="81"/>
    <n v="1.4333333333333333"/>
    <n v="20"/>
    <x v="0"/>
    <n v="18"/>
    <x v="62"/>
    <n v="4520"/>
    <n v="468"/>
    <n v="2.7229407760381213E-2"/>
    <s v="Dec-13"/>
    <x v="0"/>
    <n v="2.6279069767441858"/>
  </r>
  <r>
    <x v="8"/>
    <n v="31"/>
    <x v="5"/>
    <x v="1"/>
    <x v="3"/>
    <x v="8"/>
    <x v="1"/>
    <x v="3"/>
    <x v="5"/>
    <x v="14"/>
    <x v="83"/>
    <x v="7"/>
    <n v="30"/>
    <n v="30"/>
    <n v="80"/>
    <n v="30"/>
    <x v="83"/>
    <x v="14"/>
    <x v="9"/>
    <x v="155"/>
    <n v="1.0333333333333334"/>
    <n v="-18"/>
    <x v="0"/>
    <n v="29.6"/>
    <x v="179"/>
    <n v="888"/>
    <n v="270"/>
    <n v="1.8018018018018018E-2"/>
    <s v="Dec-13"/>
    <x v="2"/>
    <n v="2.3870967741935485"/>
  </r>
  <r>
    <x v="74"/>
    <n v="23"/>
    <x v="5"/>
    <x v="1"/>
    <x v="0"/>
    <x v="29"/>
    <x v="1"/>
    <x v="2"/>
    <x v="8"/>
    <x v="65"/>
    <x v="89"/>
    <x v="4"/>
    <n v="20"/>
    <n v="40"/>
    <n v="70"/>
    <n v="18"/>
    <x v="89"/>
    <x v="65"/>
    <x v="102"/>
    <x v="156"/>
    <n v="1.1499999999999999"/>
    <n v="-15"/>
    <x v="0"/>
    <n v="39.375"/>
    <x v="180"/>
    <n v="1550"/>
    <n v="107.99999999999999"/>
    <n v="6.7204301075268827E-2"/>
    <s v="Dec-13"/>
    <x v="3"/>
    <n v="2.6956521739130435"/>
  </r>
  <r>
    <x v="29"/>
    <n v="41"/>
    <x v="5"/>
    <x v="1"/>
    <x v="1"/>
    <x v="13"/>
    <x v="1"/>
    <x v="2"/>
    <x v="8"/>
    <x v="43"/>
    <x v="11"/>
    <x v="10"/>
    <n v="30"/>
    <n v="20"/>
    <n v="80"/>
    <n v="35"/>
    <x v="11"/>
    <x v="43"/>
    <x v="103"/>
    <x v="157"/>
    <n v="1.3666666666666667"/>
    <n v="26"/>
    <x v="0"/>
    <n v="17.7"/>
    <x v="181"/>
    <n v="5244"/>
    <n v="420"/>
    <n v="3.3625730994152045E-2"/>
    <s v="Dec-13"/>
    <x v="0"/>
    <n v="2.7804878048780486"/>
  </r>
  <r>
    <x v="17"/>
    <n v="46"/>
    <x v="5"/>
    <x v="1"/>
    <x v="3"/>
    <x v="1"/>
    <x v="1"/>
    <x v="2"/>
    <x v="9"/>
    <x v="76"/>
    <x v="96"/>
    <x v="11"/>
    <n v="40"/>
    <n v="10"/>
    <n v="90"/>
    <n v="51"/>
    <x v="96"/>
    <x v="76"/>
    <x v="99"/>
    <x v="152"/>
    <n v="1.1499999999999999"/>
    <n v="-1"/>
    <x v="0"/>
    <n v="9.1"/>
    <x v="160"/>
    <n v="990"/>
    <n v="867"/>
    <n v="4.8128342245989308E-3"/>
    <s v="Dec-13"/>
    <x v="6"/>
    <n v="2.3913043478260869"/>
  </r>
  <r>
    <x v="14"/>
    <n v="43"/>
    <x v="5"/>
    <x v="1"/>
    <x v="0"/>
    <x v="2"/>
    <x v="0"/>
    <x v="1"/>
    <x v="2"/>
    <x v="41"/>
    <x v="27"/>
    <x v="13"/>
    <n v="30"/>
    <n v="20"/>
    <n v="80"/>
    <n v="35"/>
    <x v="27"/>
    <x v="41"/>
    <x v="37"/>
    <x v="62"/>
    <n v="1.4333333333333333"/>
    <n v="22"/>
    <x v="0"/>
    <n v="17.899999999999999"/>
    <x v="131"/>
    <n v="4746"/>
    <n v="455"/>
    <n v="2.8590878148400271E-2"/>
    <s v="Dec-13"/>
    <x v="0"/>
    <n v="2.6279069767441858"/>
  </r>
  <r>
    <x v="67"/>
    <n v="33"/>
    <x v="5"/>
    <x v="1"/>
    <x v="2"/>
    <x v="8"/>
    <x v="0"/>
    <x v="1"/>
    <x v="3"/>
    <x v="41"/>
    <x v="70"/>
    <x v="5"/>
    <n v="30"/>
    <n v="40"/>
    <n v="80"/>
    <n v="21"/>
    <x v="70"/>
    <x v="41"/>
    <x v="7"/>
    <x v="106"/>
    <n v="1.1000000000000001"/>
    <n v="2"/>
    <x v="0"/>
    <n v="38.950000000000003"/>
    <x v="115"/>
    <n v="3654"/>
    <n v="189"/>
    <n v="5.3639846743295021E-2"/>
    <s v="Dec-13"/>
    <x v="1"/>
    <n v="2.6363636363636362"/>
  </r>
  <r>
    <x v="9"/>
    <n v="49"/>
    <x v="5"/>
    <x v="1"/>
    <x v="3"/>
    <x v="25"/>
    <x v="0"/>
    <x v="1"/>
    <x v="2"/>
    <x v="15"/>
    <x v="53"/>
    <x v="8"/>
    <n v="30"/>
    <n v="0"/>
    <n v="80"/>
    <n v="73"/>
    <x v="53"/>
    <x v="15"/>
    <x v="104"/>
    <x v="158"/>
    <n v="1.6333333333333333"/>
    <n v="-6"/>
    <x v="0"/>
    <e v="#DIV/0!"/>
    <x v="182"/>
    <n v="-756"/>
    <n v="3212.0000000000005"/>
    <n v="-1.0822510822510823E-3"/>
    <s v="Dec-13"/>
    <x v="6"/>
    <n v="2.5714285714285716"/>
  </r>
  <r>
    <x v="30"/>
    <n v="55"/>
    <x v="5"/>
    <x v="1"/>
    <x v="3"/>
    <x v="24"/>
    <x v="0"/>
    <x v="1"/>
    <x v="3"/>
    <x v="64"/>
    <x v="71"/>
    <x v="14"/>
    <n v="40"/>
    <n v="-10"/>
    <n v="90"/>
    <n v="79"/>
    <x v="71"/>
    <x v="64"/>
    <x v="50"/>
    <x v="108"/>
    <n v="1.375"/>
    <n v="6"/>
    <x v="0"/>
    <n v="-10.4"/>
    <x v="117"/>
    <n v="-560"/>
    <n v="3871.0000000000005"/>
    <n v="-5.8309037900874635E-4"/>
    <s v="Dec-13"/>
    <x v="10"/>
    <n v="2.5454545454545454"/>
  </r>
  <r>
    <x v="89"/>
    <n v="39"/>
    <x v="0"/>
    <x v="0"/>
    <x v="0"/>
    <x v="13"/>
    <x v="0"/>
    <x v="0"/>
    <x v="0"/>
    <x v="22"/>
    <x v="31"/>
    <x v="16"/>
    <n v="20"/>
    <n v="40"/>
    <n v="60"/>
    <n v="24"/>
    <x v="31"/>
    <x v="22"/>
    <x v="17"/>
    <x v="115"/>
    <n v="1.95"/>
    <n v="-13"/>
    <x v="0"/>
    <n v="39.325000000000003"/>
    <x v="15"/>
    <n v="2430"/>
    <n v="288"/>
    <n v="2.5000000000000001E-2"/>
    <s v="Oct-12"/>
    <x v="5"/>
    <n v="2.3076923076923075"/>
  </r>
  <r>
    <x v="64"/>
    <n v="39"/>
    <x v="0"/>
    <x v="0"/>
    <x v="3"/>
    <x v="13"/>
    <x v="0"/>
    <x v="0"/>
    <x v="1"/>
    <x v="1"/>
    <x v="31"/>
    <x v="3"/>
    <n v="20"/>
    <n v="40"/>
    <n v="60"/>
    <n v="25"/>
    <x v="31"/>
    <x v="1"/>
    <x v="105"/>
    <x v="159"/>
    <n v="1.95"/>
    <n v="-14"/>
    <x v="0"/>
    <n v="39.35"/>
    <x v="183"/>
    <n v="2340"/>
    <n v="300"/>
    <n v="2.4074074074074074E-2"/>
    <s v="Oct-12"/>
    <x v="5"/>
    <n v="2.3076923076923075"/>
  </r>
  <r>
    <x v="39"/>
    <n v="86"/>
    <x v="0"/>
    <x v="1"/>
    <x v="1"/>
    <x v="32"/>
    <x v="1"/>
    <x v="3"/>
    <x v="5"/>
    <x v="77"/>
    <x v="12"/>
    <x v="17"/>
    <n v="110"/>
    <n v="10"/>
    <n v="150"/>
    <n v="49"/>
    <x v="12"/>
    <x v="77"/>
    <x v="106"/>
    <x v="160"/>
    <n v="0.78181818181818186"/>
    <n v="-36"/>
    <x v="0"/>
    <n v="12.6"/>
    <x v="184"/>
    <n v="-2834"/>
    <n v="1274"/>
    <n v="-9.1743119266055051E-3"/>
    <s v="Oct-12"/>
    <x v="14"/>
    <n v="1.2674418604651163"/>
  </r>
  <r>
    <x v="11"/>
    <n v="46"/>
    <x v="0"/>
    <x v="1"/>
    <x v="1"/>
    <x v="10"/>
    <x v="1"/>
    <x v="2"/>
    <x v="4"/>
    <x v="27"/>
    <x v="27"/>
    <x v="10"/>
    <n v="20"/>
    <n v="40"/>
    <n v="60"/>
    <n v="37"/>
    <x v="27"/>
    <x v="27"/>
    <x v="25"/>
    <x v="33"/>
    <n v="2.2999999999999998"/>
    <n v="-10"/>
    <x v="0"/>
    <n v="39.25"/>
    <x v="36"/>
    <n v="3390"/>
    <n v="518"/>
    <n v="1.8963337547408345E-2"/>
    <s v="Oct-12"/>
    <x v="5"/>
    <n v="2.4565217391304346"/>
  </r>
  <r>
    <x v="74"/>
    <n v="31"/>
    <x v="0"/>
    <x v="1"/>
    <x v="0"/>
    <x v="8"/>
    <x v="1"/>
    <x v="3"/>
    <x v="7"/>
    <x v="7"/>
    <x v="8"/>
    <x v="4"/>
    <n v="20"/>
    <n v="30"/>
    <n v="60"/>
    <n v="30"/>
    <x v="8"/>
    <x v="7"/>
    <x v="8"/>
    <x v="8"/>
    <n v="1.55"/>
    <n v="-23"/>
    <x v="0"/>
    <n v="29.766666666666666"/>
    <x v="8"/>
    <n v="476"/>
    <n v="270"/>
    <n v="1.1437908496732027E-2"/>
    <s v="Oct-12"/>
    <x v="3"/>
    <n v="2.193548387096774"/>
  </r>
  <r>
    <x v="39"/>
    <n v="45"/>
    <x v="0"/>
    <x v="1"/>
    <x v="1"/>
    <x v="11"/>
    <x v="1"/>
    <x v="2"/>
    <x v="8"/>
    <x v="15"/>
    <x v="12"/>
    <x v="17"/>
    <n v="20"/>
    <n v="10"/>
    <n v="60"/>
    <n v="70"/>
    <x v="12"/>
    <x v="15"/>
    <x v="14"/>
    <x v="16"/>
    <n v="2.25"/>
    <n v="-16"/>
    <x v="0"/>
    <n v="10.6"/>
    <x v="16"/>
    <n v="-654"/>
    <n v="2870"/>
    <n v="-1.342582233161781E-3"/>
    <s v="Oct-12"/>
    <x v="2"/>
    <n v="2.4222222222222221"/>
  </r>
  <r>
    <x v="15"/>
    <n v="32"/>
    <x v="0"/>
    <x v="1"/>
    <x v="3"/>
    <x v="18"/>
    <x v="1"/>
    <x v="2"/>
    <x v="9"/>
    <x v="2"/>
    <x v="95"/>
    <x v="8"/>
    <n v="20"/>
    <n v="40"/>
    <n v="60"/>
    <n v="19"/>
    <x v="95"/>
    <x v="2"/>
    <x v="57"/>
    <x v="3"/>
    <n v="1.6"/>
    <n v="-12"/>
    <x v="0"/>
    <n v="39.299999999999997"/>
    <x v="32"/>
    <n v="2212"/>
    <n v="152"/>
    <n v="4.4303797468354431E-2"/>
    <s v="Oct-12"/>
    <x v="5"/>
    <n v="2.46875"/>
  </r>
  <r>
    <x v="39"/>
    <n v="31"/>
    <x v="0"/>
    <x v="1"/>
    <x v="1"/>
    <x v="8"/>
    <x v="0"/>
    <x v="0"/>
    <x v="0"/>
    <x v="70"/>
    <x v="8"/>
    <x v="17"/>
    <n v="10"/>
    <n v="30"/>
    <n v="50"/>
    <n v="31"/>
    <x v="8"/>
    <x v="70"/>
    <x v="9"/>
    <x v="161"/>
    <n v="3.1"/>
    <n v="-24"/>
    <x v="0"/>
    <n v="29.8"/>
    <x v="185"/>
    <n v="408"/>
    <n v="279"/>
    <n v="9.8039215686274508E-3"/>
    <s v="Oct-12"/>
    <x v="5"/>
    <n v="2.193548387096774"/>
  </r>
  <r>
    <x v="54"/>
    <n v="39"/>
    <x v="0"/>
    <x v="1"/>
    <x v="0"/>
    <x v="13"/>
    <x v="0"/>
    <x v="1"/>
    <x v="2"/>
    <x v="32"/>
    <x v="19"/>
    <x v="12"/>
    <n v="20"/>
    <n v="30"/>
    <n v="60"/>
    <n v="40"/>
    <x v="19"/>
    <x v="32"/>
    <x v="2"/>
    <x v="162"/>
    <n v="1.95"/>
    <n v="-17"/>
    <x v="0"/>
    <n v="29.566666666666666"/>
    <x v="186"/>
    <n v="1196"/>
    <n v="480.00000000000006"/>
    <n v="1.1775362318840578E-2"/>
    <s v="Oct-12"/>
    <x v="3"/>
    <n v="2.358974358974359"/>
  </r>
  <r>
    <x v="67"/>
    <n v="24"/>
    <x v="0"/>
    <x v="1"/>
    <x v="2"/>
    <x v="29"/>
    <x v="0"/>
    <x v="1"/>
    <x v="3"/>
    <x v="47"/>
    <x v="94"/>
    <x v="5"/>
    <n v="20"/>
    <n v="40"/>
    <n v="60"/>
    <n v="18"/>
    <x v="94"/>
    <x v="47"/>
    <x v="74"/>
    <x v="7"/>
    <n v="1.2"/>
    <n v="-22"/>
    <x v="0"/>
    <n v="39.549999999999997"/>
    <x v="187"/>
    <n v="1080"/>
    <n v="108"/>
    <n v="0.05"/>
    <s v="Oct-12"/>
    <x v="5"/>
    <n v="2.5"/>
  </r>
  <r>
    <x v="10"/>
    <n v="0"/>
    <x v="0"/>
    <x v="1"/>
    <x v="2"/>
    <x v="5"/>
    <x v="0"/>
    <x v="1"/>
    <x v="3"/>
    <x v="71"/>
    <x v="5"/>
    <x v="9"/>
    <n v="0"/>
    <n v="40"/>
    <n v="40"/>
    <n v="11"/>
    <x v="5"/>
    <x v="71"/>
    <x v="88"/>
    <x v="5"/>
    <e v="#DIV/0!"/>
    <n v="-8"/>
    <x v="0"/>
    <n v="39.200000000000003"/>
    <x v="148"/>
    <n v="1376"/>
    <e v="#DIV/0!"/>
    <e v="#DIV/0!"/>
    <s v="Oct-12"/>
    <x v="4"/>
    <e v="#DIV/0!"/>
  </r>
  <r>
    <x v="15"/>
    <n v="45"/>
    <x v="0"/>
    <x v="1"/>
    <x v="3"/>
    <x v="11"/>
    <x v="0"/>
    <x v="1"/>
    <x v="2"/>
    <x v="15"/>
    <x v="12"/>
    <x v="8"/>
    <n v="10"/>
    <n v="20"/>
    <n v="50"/>
    <n v="70"/>
    <x v="12"/>
    <x v="15"/>
    <x v="14"/>
    <x v="16"/>
    <n v="4.5"/>
    <n v="-26"/>
    <x v="0"/>
    <n v="20.3"/>
    <x v="16"/>
    <n v="-654"/>
    <n v="2870"/>
    <n v="-1.342582233161781E-3"/>
    <s v="Oct-12"/>
    <x v="3"/>
    <n v="2.4222222222222221"/>
  </r>
  <r>
    <x v="32"/>
    <n v="60"/>
    <x v="0"/>
    <x v="1"/>
    <x v="3"/>
    <x v="12"/>
    <x v="0"/>
    <x v="1"/>
    <x v="3"/>
    <x v="66"/>
    <x v="13"/>
    <x v="14"/>
    <n v="20"/>
    <n v="10"/>
    <n v="60"/>
    <n v="84"/>
    <x v="13"/>
    <x v="66"/>
    <x v="50"/>
    <x v="121"/>
    <n v="3"/>
    <n v="-10"/>
    <x v="0"/>
    <n v="10"/>
    <x v="132"/>
    <n v="0"/>
    <e v="#DIV/0!"/>
    <n v="0"/>
    <s v="Oct-12"/>
    <x v="2"/>
    <n v="2.4"/>
  </r>
  <r>
    <x v="90"/>
    <n v="32"/>
    <x v="1"/>
    <x v="0"/>
    <x v="0"/>
    <x v="18"/>
    <x v="0"/>
    <x v="0"/>
    <x v="10"/>
    <x v="26"/>
    <x v="81"/>
    <x v="18"/>
    <n v="30"/>
    <n v="30"/>
    <n v="70"/>
    <n v="19"/>
    <x v="81"/>
    <x v="26"/>
    <x v="57"/>
    <x v="123"/>
    <n v="1.0666666666666667"/>
    <n v="-1"/>
    <x v="0"/>
    <n v="29.033333333333335"/>
    <x v="135"/>
    <n v="2320"/>
    <n v="152"/>
    <n v="4.5312499999999999E-2"/>
    <s v="Nov-12"/>
    <x v="1"/>
    <n v="2.5"/>
  </r>
  <r>
    <x v="59"/>
    <n v="54"/>
    <x v="1"/>
    <x v="0"/>
    <x v="2"/>
    <x v="14"/>
    <x v="0"/>
    <x v="0"/>
    <x v="0"/>
    <x v="32"/>
    <x v="26"/>
    <x v="2"/>
    <n v="40"/>
    <n v="10"/>
    <n v="80"/>
    <n v="54"/>
    <x v="26"/>
    <x v="32"/>
    <x v="13"/>
    <x v="37"/>
    <n v="1.35"/>
    <n v="3"/>
    <x v="0"/>
    <n v="8.6999999999999993"/>
    <x v="40"/>
    <n v="1573"/>
    <n v="1080"/>
    <n v="5.371900826446281E-3"/>
    <s v="Nov-12"/>
    <x v="7"/>
    <n v="2.2407407407407409"/>
  </r>
  <r>
    <x v="65"/>
    <n v="22"/>
    <x v="1"/>
    <x v="1"/>
    <x v="0"/>
    <x v="7"/>
    <x v="1"/>
    <x v="2"/>
    <x v="4"/>
    <x v="78"/>
    <x v="97"/>
    <x v="13"/>
    <n v="20"/>
    <n v="30"/>
    <n v="60"/>
    <n v="19"/>
    <x v="97"/>
    <x v="78"/>
    <x v="67"/>
    <x v="163"/>
    <n v="1.1000000000000001"/>
    <n v="-19"/>
    <x v="0"/>
    <n v="29.633333333333333"/>
    <x v="188"/>
    <n v="572"/>
    <n v="133"/>
    <n v="3.021978021978022E-2"/>
    <s v="Nov-12"/>
    <x v="3"/>
    <n v="2.3636363636363638"/>
  </r>
  <r>
    <x v="39"/>
    <n v="35"/>
    <x v="1"/>
    <x v="1"/>
    <x v="1"/>
    <x v="9"/>
    <x v="1"/>
    <x v="2"/>
    <x v="4"/>
    <x v="72"/>
    <x v="40"/>
    <x v="17"/>
    <n v="20"/>
    <n v="20"/>
    <n v="60"/>
    <n v="39"/>
    <x v="40"/>
    <x v="72"/>
    <x v="107"/>
    <x v="164"/>
    <n v="1.75"/>
    <n v="-12"/>
    <x v="0"/>
    <n v="19.600000000000001"/>
    <x v="189"/>
    <n v="656"/>
    <n v="429"/>
    <n v="8.869179600886918E-3"/>
    <s v="Nov-12"/>
    <x v="1"/>
    <n v="2.342857142857143"/>
  </r>
  <r>
    <x v="8"/>
    <n v="29"/>
    <x v="1"/>
    <x v="1"/>
    <x v="3"/>
    <x v="18"/>
    <x v="1"/>
    <x v="3"/>
    <x v="5"/>
    <x v="79"/>
    <x v="98"/>
    <x v="7"/>
    <n v="30"/>
    <n v="20"/>
    <n v="70"/>
    <n v="30"/>
    <x v="98"/>
    <x v="79"/>
    <x v="3"/>
    <x v="165"/>
    <n v="0.96666666666666667"/>
    <n v="-15"/>
    <x v="0"/>
    <n v="19.75"/>
    <x v="190"/>
    <n v="320"/>
    <n v="240"/>
    <n v="9.765625E-3"/>
    <s v="Nov-12"/>
    <x v="2"/>
    <n v="2.2068965517241379"/>
  </r>
  <r>
    <x v="46"/>
    <n v="29"/>
    <x v="1"/>
    <x v="1"/>
    <x v="0"/>
    <x v="18"/>
    <x v="1"/>
    <x v="3"/>
    <x v="7"/>
    <x v="79"/>
    <x v="98"/>
    <x v="4"/>
    <n v="20"/>
    <n v="20"/>
    <n v="60"/>
    <n v="30"/>
    <x v="98"/>
    <x v="79"/>
    <x v="3"/>
    <x v="165"/>
    <n v="1.45"/>
    <n v="-15"/>
    <x v="0"/>
    <n v="19.75"/>
    <x v="190"/>
    <n v="320"/>
    <n v="240"/>
    <n v="9.765625E-3"/>
    <s v="Nov-12"/>
    <x v="1"/>
    <n v="2.2068965517241379"/>
  </r>
  <r>
    <x v="10"/>
    <n v="34"/>
    <x v="1"/>
    <x v="1"/>
    <x v="2"/>
    <x v="13"/>
    <x v="1"/>
    <x v="2"/>
    <x v="12"/>
    <x v="37"/>
    <x v="99"/>
    <x v="9"/>
    <n v="30"/>
    <n v="0"/>
    <n v="70"/>
    <n v="45"/>
    <x v="99"/>
    <x v="37"/>
    <x v="2"/>
    <x v="72"/>
    <n v="1.1333333333333333"/>
    <n v="-3"/>
    <x v="0"/>
    <e v="#DIV/0!"/>
    <x v="77"/>
    <n v="-228"/>
    <n v="540"/>
    <n v="-3.2894736842105261E-3"/>
    <s v="Nov-12"/>
    <x v="7"/>
    <n v="2.2352941176470589"/>
  </r>
  <r>
    <x v="7"/>
    <n v="32"/>
    <x v="1"/>
    <x v="1"/>
    <x v="1"/>
    <x v="18"/>
    <x v="1"/>
    <x v="2"/>
    <x v="8"/>
    <x v="26"/>
    <x v="81"/>
    <x v="6"/>
    <n v="20"/>
    <n v="30"/>
    <n v="60"/>
    <n v="19"/>
    <x v="81"/>
    <x v="26"/>
    <x v="57"/>
    <x v="123"/>
    <n v="1.6"/>
    <n v="-1"/>
    <x v="0"/>
    <n v="29.033333333333335"/>
    <x v="135"/>
    <n v="2320"/>
    <n v="152"/>
    <n v="4.5312499999999999E-2"/>
    <s v="Nov-12"/>
    <x v="3"/>
    <n v="2.5"/>
  </r>
  <r>
    <x v="8"/>
    <n v="0"/>
    <x v="1"/>
    <x v="1"/>
    <x v="3"/>
    <x v="5"/>
    <x v="1"/>
    <x v="2"/>
    <x v="9"/>
    <x v="5"/>
    <x v="5"/>
    <x v="7"/>
    <n v="0"/>
    <n v="30"/>
    <n v="40"/>
    <n v="12"/>
    <x v="5"/>
    <x v="5"/>
    <x v="5"/>
    <x v="5"/>
    <e v="#DIV/0!"/>
    <n v="1"/>
    <x v="0"/>
    <n v="28.966666666666665"/>
    <x v="5"/>
    <n v="1333"/>
    <e v="#DIV/0!"/>
    <e v="#DIV/0!"/>
    <s v="Nov-12"/>
    <x v="12"/>
    <e v="#DIV/0!"/>
  </r>
  <r>
    <x v="9"/>
    <n v="33"/>
    <x v="1"/>
    <x v="1"/>
    <x v="3"/>
    <x v="8"/>
    <x v="1"/>
    <x v="2"/>
    <x v="9"/>
    <x v="22"/>
    <x v="24"/>
    <x v="8"/>
    <n v="30"/>
    <n v="30"/>
    <n v="70"/>
    <n v="21"/>
    <x v="24"/>
    <x v="22"/>
    <x v="29"/>
    <x v="7"/>
    <n v="1.1000000000000001"/>
    <n v="-3"/>
    <x v="0"/>
    <n v="29.1"/>
    <x v="31"/>
    <n v="2187"/>
    <n v="189"/>
    <n v="3.7037037037037035E-2"/>
    <s v="Nov-12"/>
    <x v="1"/>
    <n v="2.4545454545454546"/>
  </r>
  <r>
    <x v="13"/>
    <n v="82"/>
    <x v="1"/>
    <x v="1"/>
    <x v="0"/>
    <x v="26"/>
    <x v="0"/>
    <x v="0"/>
    <x v="0"/>
    <x v="48"/>
    <x v="0"/>
    <x v="12"/>
    <n v="70"/>
    <n v="0"/>
    <n v="110"/>
    <n v="49"/>
    <x v="0"/>
    <x v="48"/>
    <x v="108"/>
    <x v="166"/>
    <n v="1.1714285714285715"/>
    <n v="-9"/>
    <x v="0"/>
    <e v="#DIV/0!"/>
    <x v="191"/>
    <n v="-1098"/>
    <n v="1225"/>
    <n v="-2.9508196721311475E-3"/>
    <s v="Nov-12"/>
    <x v="8"/>
    <n v="1.4878048780487805"/>
  </r>
  <r>
    <x v="15"/>
    <n v="82"/>
    <x v="1"/>
    <x v="1"/>
    <x v="3"/>
    <x v="26"/>
    <x v="0"/>
    <x v="0"/>
    <x v="1"/>
    <x v="23"/>
    <x v="0"/>
    <x v="8"/>
    <n v="70"/>
    <n v="0"/>
    <n v="110"/>
    <n v="48"/>
    <x v="0"/>
    <x v="23"/>
    <x v="83"/>
    <x v="125"/>
    <n v="1.1714285714285715"/>
    <n v="-8"/>
    <x v="0"/>
    <e v="#DIV/0!"/>
    <x v="137"/>
    <n v="-976"/>
    <n v="1200"/>
    <n v="-2.6229508196721311E-3"/>
    <s v="Nov-12"/>
    <x v="8"/>
    <n v="1.4878048780487805"/>
  </r>
  <r>
    <x v="40"/>
    <n v="35"/>
    <x v="1"/>
    <x v="1"/>
    <x v="0"/>
    <x v="9"/>
    <x v="0"/>
    <x v="1"/>
    <x v="2"/>
    <x v="76"/>
    <x v="40"/>
    <x v="12"/>
    <n v="20"/>
    <n v="10"/>
    <n v="60"/>
    <n v="38"/>
    <x v="40"/>
    <x v="76"/>
    <x v="15"/>
    <x v="167"/>
    <n v="1.75"/>
    <n v="-1"/>
    <x v="0"/>
    <n v="9.1"/>
    <x v="192"/>
    <n v="738"/>
    <n v="418"/>
    <n v="9.977827050997784E-3"/>
    <s v="Nov-12"/>
    <x v="2"/>
    <n v="2.342857142857143"/>
  </r>
  <r>
    <x v="54"/>
    <n v="34"/>
    <x v="1"/>
    <x v="1"/>
    <x v="0"/>
    <x v="13"/>
    <x v="0"/>
    <x v="1"/>
    <x v="11"/>
    <x v="37"/>
    <x v="99"/>
    <x v="12"/>
    <n v="20"/>
    <n v="0"/>
    <n v="60"/>
    <n v="45"/>
    <x v="99"/>
    <x v="37"/>
    <x v="2"/>
    <x v="72"/>
    <n v="1.7"/>
    <n v="-3"/>
    <x v="0"/>
    <e v="#DIV/0!"/>
    <x v="77"/>
    <n v="-228"/>
    <n v="540"/>
    <n v="-3.2894736842105261E-3"/>
    <s v="Nov-12"/>
    <x v="0"/>
    <n v="2.2352941176470589"/>
  </r>
  <r>
    <x v="26"/>
    <n v="33"/>
    <x v="1"/>
    <x v="1"/>
    <x v="0"/>
    <x v="13"/>
    <x v="0"/>
    <x v="1"/>
    <x v="3"/>
    <x v="64"/>
    <x v="83"/>
    <x v="12"/>
    <n v="20"/>
    <n v="0"/>
    <n v="60"/>
    <n v="45"/>
    <x v="83"/>
    <x v="64"/>
    <x v="69"/>
    <x v="128"/>
    <n v="1.65"/>
    <n v="-4"/>
    <x v="0"/>
    <e v="#DIV/0!"/>
    <x v="140"/>
    <n v="-296"/>
    <n v="540"/>
    <n v="-4.5045045045045045E-3"/>
    <s v="Nov-12"/>
    <x v="0"/>
    <n v="2.2424242424242422"/>
  </r>
  <r>
    <x v="10"/>
    <n v="0"/>
    <x v="1"/>
    <x v="1"/>
    <x v="2"/>
    <x v="5"/>
    <x v="0"/>
    <x v="1"/>
    <x v="3"/>
    <x v="71"/>
    <x v="5"/>
    <x v="9"/>
    <n v="0"/>
    <n v="30"/>
    <n v="40"/>
    <n v="11"/>
    <x v="5"/>
    <x v="71"/>
    <x v="88"/>
    <x v="5"/>
    <e v="#DIV/0!"/>
    <n v="2"/>
    <x v="0"/>
    <n v="28.933333333333334"/>
    <x v="148"/>
    <n v="1376"/>
    <e v="#DIV/0!"/>
    <e v="#DIV/0!"/>
    <s v="Nov-12"/>
    <x v="12"/>
    <e v="#DIV/0!"/>
  </r>
  <r>
    <x v="9"/>
    <n v="44"/>
    <x v="1"/>
    <x v="1"/>
    <x v="3"/>
    <x v="19"/>
    <x v="0"/>
    <x v="1"/>
    <x v="2"/>
    <x v="11"/>
    <x v="28"/>
    <x v="8"/>
    <n v="30"/>
    <n v="-10"/>
    <n v="70"/>
    <n v="69"/>
    <x v="28"/>
    <x v="11"/>
    <x v="84"/>
    <x v="127"/>
    <n v="1.4666666666666666"/>
    <n v="3"/>
    <x v="0"/>
    <n v="-10.7"/>
    <x v="139"/>
    <n v="-742"/>
    <n v="2760"/>
    <n v="-1.6509433962264149E-3"/>
    <s v="Nov-12"/>
    <x v="6"/>
    <n v="2.4090909090909092"/>
  </r>
  <r>
    <x v="90"/>
    <n v="29"/>
    <x v="2"/>
    <x v="0"/>
    <x v="0"/>
    <x v="18"/>
    <x v="0"/>
    <x v="0"/>
    <x v="10"/>
    <x v="65"/>
    <x v="100"/>
    <x v="18"/>
    <n v="20"/>
    <n v="30"/>
    <n v="60"/>
    <n v="19"/>
    <x v="100"/>
    <x v="65"/>
    <x v="53"/>
    <x v="168"/>
    <n v="1.45"/>
    <n v="-5"/>
    <x v="0"/>
    <n v="29.166666666666668"/>
    <x v="193"/>
    <n v="1825"/>
    <n v="152"/>
    <n v="4.2808219178082189E-2"/>
    <s v="Dec-12"/>
    <x v="3"/>
    <n v="2.5172413793103448"/>
  </r>
  <r>
    <x v="87"/>
    <n v="33"/>
    <x v="2"/>
    <x v="0"/>
    <x v="0"/>
    <x v="8"/>
    <x v="0"/>
    <x v="0"/>
    <x v="0"/>
    <x v="26"/>
    <x v="40"/>
    <x v="18"/>
    <n v="30"/>
    <n v="30"/>
    <n v="70"/>
    <n v="20"/>
    <x v="40"/>
    <x v="26"/>
    <x v="62"/>
    <x v="134"/>
    <n v="1.1000000000000001"/>
    <n v="-1"/>
    <x v="0"/>
    <n v="29.033333333333335"/>
    <x v="146"/>
    <n v="2378"/>
    <n v="180"/>
    <n v="3.9295392953929538E-2"/>
    <s v="Dec-12"/>
    <x v="1"/>
    <n v="2.4848484848484849"/>
  </r>
  <r>
    <x v="63"/>
    <n v="46"/>
    <x v="2"/>
    <x v="0"/>
    <x v="2"/>
    <x v="1"/>
    <x v="0"/>
    <x v="0"/>
    <x v="0"/>
    <x v="7"/>
    <x v="84"/>
    <x v="15"/>
    <n v="30"/>
    <n v="10"/>
    <n v="70"/>
    <n v="50"/>
    <x v="84"/>
    <x v="7"/>
    <x v="27"/>
    <x v="169"/>
    <n v="1.5333333333333334"/>
    <n v="-3"/>
    <x v="0"/>
    <n v="9.3000000000000007"/>
    <x v="194"/>
    <n v="721"/>
    <n v="850"/>
    <n v="3.9977155910908054E-3"/>
    <s v="Dec-12"/>
    <x v="0"/>
    <n v="2.2391304347826089"/>
  </r>
  <r>
    <x v="91"/>
    <n v="30"/>
    <x v="2"/>
    <x v="0"/>
    <x v="2"/>
    <x v="18"/>
    <x v="0"/>
    <x v="1"/>
    <x v="2"/>
    <x v="1"/>
    <x v="93"/>
    <x v="2"/>
    <n v="30"/>
    <n v="30"/>
    <n v="70"/>
    <n v="19"/>
    <x v="93"/>
    <x v="1"/>
    <x v="68"/>
    <x v="170"/>
    <n v="1"/>
    <n v="-4"/>
    <x v="0"/>
    <n v="29.133333333333333"/>
    <x v="195"/>
    <n v="1950"/>
    <n v="152"/>
    <n v="4.3333333333333335E-2"/>
    <s v="Dec-12"/>
    <x v="1"/>
    <n v="2.5"/>
  </r>
  <r>
    <x v="84"/>
    <n v="29"/>
    <x v="2"/>
    <x v="0"/>
    <x v="2"/>
    <x v="18"/>
    <x v="0"/>
    <x v="1"/>
    <x v="3"/>
    <x v="65"/>
    <x v="100"/>
    <x v="15"/>
    <n v="30"/>
    <n v="30"/>
    <n v="70"/>
    <n v="19"/>
    <x v="100"/>
    <x v="65"/>
    <x v="53"/>
    <x v="168"/>
    <n v="0.96666666666666667"/>
    <n v="-5"/>
    <x v="0"/>
    <n v="29.166666666666668"/>
    <x v="193"/>
    <n v="1825"/>
    <n v="152"/>
    <n v="4.2808219178082189E-2"/>
    <s v="Dec-12"/>
    <x v="1"/>
    <n v="2.5172413793103448"/>
  </r>
  <r>
    <x v="14"/>
    <n v="24"/>
    <x v="2"/>
    <x v="1"/>
    <x v="0"/>
    <x v="7"/>
    <x v="1"/>
    <x v="2"/>
    <x v="4"/>
    <x v="32"/>
    <x v="82"/>
    <x v="13"/>
    <n v="30"/>
    <n v="30"/>
    <n v="70"/>
    <n v="19"/>
    <x v="82"/>
    <x v="32"/>
    <x v="96"/>
    <x v="171"/>
    <n v="0.8"/>
    <n v="-17"/>
    <x v="0"/>
    <n v="29.566666666666666"/>
    <x v="196"/>
    <n v="728"/>
    <n v="133"/>
    <n v="3.3163265306122451E-2"/>
    <s v="Dec-12"/>
    <x v="1"/>
    <n v="2.3333333333333335"/>
  </r>
  <r>
    <x v="48"/>
    <n v="0"/>
    <x v="2"/>
    <x v="1"/>
    <x v="3"/>
    <x v="5"/>
    <x v="1"/>
    <x v="2"/>
    <x v="9"/>
    <x v="5"/>
    <x v="5"/>
    <x v="7"/>
    <n v="0"/>
    <n v="30"/>
    <n v="40"/>
    <n v="12"/>
    <x v="5"/>
    <x v="5"/>
    <x v="5"/>
    <x v="5"/>
    <e v="#DIV/0!"/>
    <n v="1"/>
    <x v="0"/>
    <n v="28.966666666666665"/>
    <x v="5"/>
    <n v="1333"/>
    <e v="#DIV/0!"/>
    <e v="#DIV/0!"/>
    <s v="Dec-12"/>
    <x v="12"/>
    <e v="#DIV/0!"/>
  </r>
  <r>
    <x v="9"/>
    <n v="31"/>
    <x v="2"/>
    <x v="1"/>
    <x v="3"/>
    <x v="18"/>
    <x v="1"/>
    <x v="2"/>
    <x v="9"/>
    <x v="1"/>
    <x v="14"/>
    <x v="8"/>
    <n v="30"/>
    <n v="30"/>
    <n v="70"/>
    <n v="20"/>
    <x v="14"/>
    <x v="1"/>
    <x v="57"/>
    <x v="170"/>
    <n v="1.0333333333333334"/>
    <n v="-4"/>
    <x v="0"/>
    <n v="29.133333333333333"/>
    <x v="186"/>
    <n v="2002"/>
    <n v="160"/>
    <n v="4.2207792207792208E-2"/>
    <s v="Dec-12"/>
    <x v="1"/>
    <n v="2.4838709677419355"/>
  </r>
  <r>
    <x v="65"/>
    <n v="34"/>
    <x v="2"/>
    <x v="1"/>
    <x v="0"/>
    <x v="8"/>
    <x v="0"/>
    <x v="0"/>
    <x v="0"/>
    <x v="27"/>
    <x v="39"/>
    <x v="13"/>
    <n v="30"/>
    <n v="30"/>
    <n v="70"/>
    <n v="21"/>
    <x v="39"/>
    <x v="27"/>
    <x v="87"/>
    <x v="91"/>
    <n v="1.1333333333333333"/>
    <n v="0"/>
    <x v="0"/>
    <n v="29"/>
    <x v="147"/>
    <n v="2550"/>
    <n v="189"/>
    <n v="3.9215686274509803E-2"/>
    <s v="Dec-12"/>
    <x v="1"/>
    <n v="2.5"/>
  </r>
  <r>
    <x v="10"/>
    <n v="39"/>
    <x v="2"/>
    <x v="1"/>
    <x v="2"/>
    <x v="10"/>
    <x v="0"/>
    <x v="0"/>
    <x v="0"/>
    <x v="80"/>
    <x v="23"/>
    <x v="9"/>
    <n v="20"/>
    <n v="10"/>
    <n v="60"/>
    <n v="47"/>
    <x v="23"/>
    <x v="80"/>
    <x v="32"/>
    <x v="172"/>
    <n v="1.95"/>
    <n v="-8"/>
    <x v="0"/>
    <n v="9.8000000000000007"/>
    <x v="197"/>
    <n v="176"/>
    <n v="658"/>
    <n v="1.6233766233766233E-3"/>
    <s v="Dec-12"/>
    <x v="2"/>
    <n v="2.2564102564102564"/>
  </r>
  <r>
    <x v="39"/>
    <n v="31"/>
    <x v="2"/>
    <x v="1"/>
    <x v="1"/>
    <x v="8"/>
    <x v="0"/>
    <x v="0"/>
    <x v="0"/>
    <x v="7"/>
    <x v="85"/>
    <x v="17"/>
    <n v="20"/>
    <n v="20"/>
    <n v="60"/>
    <n v="31"/>
    <x v="85"/>
    <x v="7"/>
    <x v="9"/>
    <x v="8"/>
    <n v="1.55"/>
    <n v="-13"/>
    <x v="0"/>
    <n v="19.649999999999999"/>
    <x v="198"/>
    <n v="483"/>
    <n v="279"/>
    <n v="1.1272141706924315E-2"/>
    <s v="Dec-12"/>
    <x v="1"/>
    <n v="2.225806451612903"/>
  </r>
  <r>
    <x v="13"/>
    <n v="38"/>
    <x v="2"/>
    <x v="1"/>
    <x v="0"/>
    <x v="13"/>
    <x v="0"/>
    <x v="1"/>
    <x v="2"/>
    <x v="78"/>
    <x v="101"/>
    <x v="12"/>
    <n v="30"/>
    <n v="10"/>
    <n v="70"/>
    <n v="40"/>
    <x v="101"/>
    <x v="78"/>
    <x v="69"/>
    <x v="173"/>
    <n v="1.2666666666666666"/>
    <n v="1"/>
    <x v="0"/>
    <n v="8.9"/>
    <x v="199"/>
    <n v="979"/>
    <n v="480"/>
    <n v="1.0299625468164793E-2"/>
    <s v="Dec-12"/>
    <x v="0"/>
    <n v="2.3421052631578947"/>
  </r>
  <r>
    <x v="54"/>
    <n v="39"/>
    <x v="2"/>
    <x v="1"/>
    <x v="0"/>
    <x v="10"/>
    <x v="0"/>
    <x v="1"/>
    <x v="3"/>
    <x v="80"/>
    <x v="23"/>
    <x v="12"/>
    <n v="30"/>
    <n v="0"/>
    <n v="70"/>
    <n v="47"/>
    <x v="23"/>
    <x v="80"/>
    <x v="32"/>
    <x v="172"/>
    <n v="1.3"/>
    <n v="2"/>
    <x v="0"/>
    <e v="#DIV/0!"/>
    <x v="197"/>
    <n v="176"/>
    <n v="658"/>
    <n v="1.6233766233766233E-3"/>
    <s v="Dec-12"/>
    <x v="7"/>
    <n v="2.2564102564102564"/>
  </r>
  <r>
    <x v="10"/>
    <n v="0"/>
    <x v="2"/>
    <x v="1"/>
    <x v="2"/>
    <x v="5"/>
    <x v="0"/>
    <x v="1"/>
    <x v="3"/>
    <x v="71"/>
    <x v="5"/>
    <x v="9"/>
    <n v="0"/>
    <n v="30"/>
    <n v="40"/>
    <n v="11"/>
    <x v="5"/>
    <x v="71"/>
    <x v="88"/>
    <x v="5"/>
    <e v="#DIV/0!"/>
    <n v="2"/>
    <x v="0"/>
    <n v="28.933333333333334"/>
    <x v="148"/>
    <n v="1376"/>
    <e v="#DIV/0!"/>
    <e v="#DIV/0!"/>
    <s v="Dec-12"/>
    <x v="12"/>
    <e v="#DIV/0!"/>
  </r>
  <r>
    <x v="30"/>
    <n v="41"/>
    <x v="2"/>
    <x v="1"/>
    <x v="3"/>
    <x v="13"/>
    <x v="0"/>
    <x v="1"/>
    <x v="2"/>
    <x v="27"/>
    <x v="2"/>
    <x v="14"/>
    <n v="30"/>
    <n v="20"/>
    <n v="70"/>
    <n v="36"/>
    <x v="2"/>
    <x v="27"/>
    <x v="45"/>
    <x v="55"/>
    <n v="1.3666666666666667"/>
    <n v="10"/>
    <x v="0"/>
    <n v="18.5"/>
    <x v="11"/>
    <n v="3210"/>
    <n v="432"/>
    <n v="2.336448598130841E-2"/>
    <s v="Dec-12"/>
    <x v="2"/>
    <n v="2.6097560975609757"/>
  </r>
  <r>
    <x v="15"/>
    <n v="38"/>
    <x v="2"/>
    <x v="1"/>
    <x v="3"/>
    <x v="13"/>
    <x v="0"/>
    <x v="1"/>
    <x v="11"/>
    <x v="14"/>
    <x v="101"/>
    <x v="8"/>
    <n v="20"/>
    <n v="10"/>
    <n v="60"/>
    <n v="39"/>
    <x v="101"/>
    <x v="14"/>
    <x v="45"/>
    <x v="174"/>
    <n v="1.9"/>
    <n v="2"/>
    <x v="0"/>
    <n v="8.8000000000000007"/>
    <x v="200"/>
    <n v="1068"/>
    <n v="468"/>
    <n v="1.1235955056179775E-2"/>
    <s v="Dec-12"/>
    <x v="2"/>
    <n v="2.3421052631578947"/>
  </r>
  <r>
    <x v="30"/>
    <n v="43"/>
    <x v="2"/>
    <x v="1"/>
    <x v="3"/>
    <x v="2"/>
    <x v="0"/>
    <x v="1"/>
    <x v="11"/>
    <x v="2"/>
    <x v="28"/>
    <x v="14"/>
    <n v="30"/>
    <n v="20"/>
    <n v="70"/>
    <n v="35"/>
    <x v="28"/>
    <x v="2"/>
    <x v="69"/>
    <x v="2"/>
    <n v="1.4333333333333333"/>
    <n v="8"/>
    <x v="0"/>
    <n v="18.600000000000001"/>
    <x v="151"/>
    <n v="2968"/>
    <n v="455"/>
    <n v="2.0319303338171262E-2"/>
    <s v="Dec-12"/>
    <x v="2"/>
    <n v="2.4651162790697674"/>
  </r>
  <r>
    <x v="82"/>
    <n v="39"/>
    <x v="3"/>
    <x v="0"/>
    <x v="0"/>
    <x v="13"/>
    <x v="0"/>
    <x v="0"/>
    <x v="0"/>
    <x v="54"/>
    <x v="62"/>
    <x v="16"/>
    <n v="20"/>
    <n v="40"/>
    <n v="60"/>
    <n v="24"/>
    <x v="62"/>
    <x v="54"/>
    <x v="89"/>
    <x v="91"/>
    <n v="1.95"/>
    <n v="0"/>
    <x v="0"/>
    <n v="39"/>
    <x v="153"/>
    <n v="3840"/>
    <n v="288"/>
    <n v="3.4722222222222224E-2"/>
    <s v="Oct-13"/>
    <x v="5"/>
    <n v="2.4615384615384617"/>
  </r>
  <r>
    <x v="92"/>
    <n v="39"/>
    <x v="3"/>
    <x v="0"/>
    <x v="3"/>
    <x v="13"/>
    <x v="0"/>
    <x v="0"/>
    <x v="1"/>
    <x v="40"/>
    <x v="62"/>
    <x v="3"/>
    <n v="20"/>
    <n v="40"/>
    <n v="60"/>
    <n v="25"/>
    <x v="62"/>
    <x v="40"/>
    <x v="28"/>
    <x v="170"/>
    <n v="1.95"/>
    <n v="-1"/>
    <x v="0"/>
    <n v="39.024999999999999"/>
    <x v="201"/>
    <n v="3744"/>
    <n v="300"/>
    <n v="3.3854166666666664E-2"/>
    <s v="Oct-13"/>
    <x v="5"/>
    <n v="2.4615384615384617"/>
  </r>
  <r>
    <x v="39"/>
    <n v="86"/>
    <x v="3"/>
    <x v="1"/>
    <x v="1"/>
    <x v="32"/>
    <x v="1"/>
    <x v="3"/>
    <x v="5"/>
    <x v="81"/>
    <x v="52"/>
    <x v="17"/>
    <n v="110"/>
    <n v="10"/>
    <n v="150"/>
    <n v="49"/>
    <x v="52"/>
    <x v="81"/>
    <x v="109"/>
    <x v="175"/>
    <n v="0.78181818181818186"/>
    <n v="-49"/>
    <x v="0"/>
    <n v="13.9"/>
    <x v="202"/>
    <n v="-4524"/>
    <n v="1274"/>
    <n v="-1.2931034482758621E-2"/>
    <s v="Oct-13"/>
    <x v="14"/>
    <n v="1.3488372093023255"/>
  </r>
  <r>
    <x v="11"/>
    <n v="46"/>
    <x v="3"/>
    <x v="1"/>
    <x v="1"/>
    <x v="10"/>
    <x v="1"/>
    <x v="2"/>
    <x v="4"/>
    <x v="16"/>
    <x v="10"/>
    <x v="10"/>
    <n v="20"/>
    <n v="40"/>
    <n v="60"/>
    <n v="37"/>
    <x v="10"/>
    <x v="16"/>
    <x v="21"/>
    <x v="93"/>
    <n v="2.2999999999999998"/>
    <n v="5"/>
    <x v="0"/>
    <n v="38.875"/>
    <x v="99"/>
    <n v="5400"/>
    <n v="518"/>
    <n v="2.6785714285714288E-2"/>
    <s v="Oct-13"/>
    <x v="5"/>
    <n v="2.6086956521739131"/>
  </r>
  <r>
    <x v="74"/>
    <n v="31"/>
    <x v="3"/>
    <x v="1"/>
    <x v="0"/>
    <x v="8"/>
    <x v="1"/>
    <x v="3"/>
    <x v="7"/>
    <x v="44"/>
    <x v="50"/>
    <x v="4"/>
    <n v="20"/>
    <n v="30"/>
    <n v="60"/>
    <n v="30"/>
    <x v="50"/>
    <x v="44"/>
    <x v="9"/>
    <x v="67"/>
    <n v="1.55"/>
    <n v="-20"/>
    <x v="0"/>
    <n v="29.666666666666668"/>
    <x v="72"/>
    <n v="720"/>
    <n v="270"/>
    <n v="1.54320987654321E-2"/>
    <s v="Oct-13"/>
    <x v="3"/>
    <n v="2.3225806451612905"/>
  </r>
  <r>
    <x v="39"/>
    <n v="45"/>
    <x v="3"/>
    <x v="1"/>
    <x v="1"/>
    <x v="11"/>
    <x v="1"/>
    <x v="2"/>
    <x v="8"/>
    <x v="48"/>
    <x v="52"/>
    <x v="17"/>
    <n v="20"/>
    <n v="10"/>
    <n v="60"/>
    <n v="70"/>
    <x v="52"/>
    <x v="48"/>
    <x v="61"/>
    <x v="74"/>
    <n v="2.25"/>
    <n v="-19"/>
    <x v="0"/>
    <n v="10.9"/>
    <x v="79"/>
    <n v="-1044"/>
    <n v="2870"/>
    <n v="-1.8923465096719932E-3"/>
    <s v="Oct-13"/>
    <x v="2"/>
    <n v="2.5777777777777779"/>
  </r>
  <r>
    <x v="9"/>
    <n v="32"/>
    <x v="3"/>
    <x v="1"/>
    <x v="3"/>
    <x v="18"/>
    <x v="1"/>
    <x v="2"/>
    <x v="9"/>
    <x v="41"/>
    <x v="102"/>
    <x v="8"/>
    <n v="20"/>
    <n v="40"/>
    <n v="60"/>
    <n v="19"/>
    <x v="102"/>
    <x v="41"/>
    <x v="74"/>
    <x v="89"/>
    <n v="1.6"/>
    <n v="2"/>
    <x v="0"/>
    <n v="38.950000000000003"/>
    <x v="95"/>
    <n v="3528"/>
    <n v="152"/>
    <n v="6.25E-2"/>
    <s v="Oct-13"/>
    <x v="5"/>
    <n v="2.625"/>
  </r>
  <r>
    <x v="39"/>
    <n v="31"/>
    <x v="3"/>
    <x v="1"/>
    <x v="1"/>
    <x v="8"/>
    <x v="0"/>
    <x v="0"/>
    <x v="0"/>
    <x v="76"/>
    <x v="50"/>
    <x v="17"/>
    <n v="10"/>
    <n v="30"/>
    <n v="50"/>
    <n v="31"/>
    <x v="50"/>
    <x v="76"/>
    <x v="17"/>
    <x v="174"/>
    <n v="3.1"/>
    <n v="-21"/>
    <x v="0"/>
    <n v="29.7"/>
    <x v="203"/>
    <n v="648"/>
    <n v="279"/>
    <n v="1.3888888888888888E-2"/>
    <s v="Oct-13"/>
    <x v="5"/>
    <n v="2.3225806451612905"/>
  </r>
  <r>
    <x v="26"/>
    <n v="39"/>
    <x v="3"/>
    <x v="1"/>
    <x v="0"/>
    <x v="13"/>
    <x v="0"/>
    <x v="1"/>
    <x v="2"/>
    <x v="60"/>
    <x v="55"/>
    <x v="12"/>
    <n v="20"/>
    <n v="30"/>
    <n v="60"/>
    <n v="40"/>
    <x v="55"/>
    <x v="60"/>
    <x v="2"/>
    <x v="176"/>
    <n v="1.95"/>
    <n v="-11"/>
    <x v="0"/>
    <n v="29.366666666666667"/>
    <x v="114"/>
    <n v="1862"/>
    <n v="480"/>
    <n v="1.6156462585034014E-2"/>
    <s v="Oct-13"/>
    <x v="3"/>
    <n v="2.5128205128205128"/>
  </r>
  <r>
    <x v="31"/>
    <n v="24"/>
    <x v="3"/>
    <x v="1"/>
    <x v="2"/>
    <x v="29"/>
    <x v="0"/>
    <x v="1"/>
    <x v="3"/>
    <x v="22"/>
    <x v="98"/>
    <x v="5"/>
    <n v="20"/>
    <n v="40"/>
    <n v="60"/>
    <n v="18"/>
    <x v="98"/>
    <x v="22"/>
    <x v="102"/>
    <x v="90"/>
    <n v="1.2"/>
    <n v="-13"/>
    <x v="0"/>
    <n v="39.325000000000003"/>
    <x v="204"/>
    <n v="1728"/>
    <n v="108"/>
    <n v="7.03125E-2"/>
    <s v="Oct-13"/>
    <x v="5"/>
    <n v="2.6666666666666665"/>
  </r>
  <r>
    <x v="10"/>
    <n v="0"/>
    <x v="3"/>
    <x v="1"/>
    <x v="2"/>
    <x v="5"/>
    <x v="0"/>
    <x v="1"/>
    <x v="3"/>
    <x v="17"/>
    <x v="48"/>
    <x v="9"/>
    <n v="0"/>
    <n v="40"/>
    <n v="40"/>
    <n v="11"/>
    <x v="48"/>
    <x v="17"/>
    <x v="101"/>
    <x v="5"/>
    <e v="#DIV/0!"/>
    <n v="7"/>
    <x v="0"/>
    <n v="38.825000000000003"/>
    <x v="178"/>
    <n v="2162"/>
    <e v="#DIV/0!"/>
    <e v="#DIV/0!"/>
    <s v="Oct-13"/>
    <x v="4"/>
    <e v="#DIV/0!"/>
  </r>
  <r>
    <x v="9"/>
    <n v="45"/>
    <x v="3"/>
    <x v="1"/>
    <x v="3"/>
    <x v="11"/>
    <x v="0"/>
    <x v="1"/>
    <x v="2"/>
    <x v="48"/>
    <x v="52"/>
    <x v="8"/>
    <n v="10"/>
    <n v="20"/>
    <n v="50"/>
    <n v="70"/>
    <x v="52"/>
    <x v="48"/>
    <x v="61"/>
    <x v="74"/>
    <n v="4.5"/>
    <n v="-29"/>
    <x v="0"/>
    <n v="20.45"/>
    <x v="79"/>
    <n v="-1044"/>
    <n v="2870"/>
    <n v="-1.8923465096719932E-3"/>
    <s v="Oct-13"/>
    <x v="3"/>
    <n v="2.5777777777777779"/>
  </r>
  <r>
    <x v="32"/>
    <n v="60"/>
    <x v="3"/>
    <x v="1"/>
    <x v="3"/>
    <x v="12"/>
    <x v="0"/>
    <x v="1"/>
    <x v="3"/>
    <x v="66"/>
    <x v="43"/>
    <x v="14"/>
    <n v="20"/>
    <n v="10"/>
    <n v="60"/>
    <n v="84"/>
    <x v="43"/>
    <x v="66"/>
    <x v="93"/>
    <x v="121"/>
    <n v="3"/>
    <n v="-10"/>
    <x v="0"/>
    <n v="10"/>
    <x v="132"/>
    <n v="0"/>
    <e v="#DIV/0!"/>
    <n v="0"/>
    <s v="Oct-13"/>
    <x v="2"/>
    <n v="2.5499999999999998"/>
  </r>
  <r>
    <x v="93"/>
    <n v="32"/>
    <x v="4"/>
    <x v="0"/>
    <x v="0"/>
    <x v="18"/>
    <x v="0"/>
    <x v="0"/>
    <x v="10"/>
    <x v="58"/>
    <x v="39"/>
    <x v="18"/>
    <n v="30"/>
    <n v="30"/>
    <n v="70"/>
    <n v="19"/>
    <x v="39"/>
    <x v="58"/>
    <x v="74"/>
    <x v="146"/>
    <n v="1.0666666666666667"/>
    <n v="13"/>
    <x v="0"/>
    <n v="28.566666666666666"/>
    <x v="165"/>
    <n v="3655"/>
    <n v="152"/>
    <n v="6.3235294117647056E-2"/>
    <s v="Nov-13"/>
    <x v="1"/>
    <n v="2.65625"/>
  </r>
  <r>
    <x v="35"/>
    <n v="54"/>
    <x v="4"/>
    <x v="0"/>
    <x v="2"/>
    <x v="14"/>
    <x v="0"/>
    <x v="0"/>
    <x v="0"/>
    <x v="60"/>
    <x v="60"/>
    <x v="2"/>
    <n v="40"/>
    <n v="10"/>
    <n v="80"/>
    <n v="54"/>
    <x v="60"/>
    <x v="60"/>
    <x v="60"/>
    <x v="96"/>
    <n v="1.35"/>
    <n v="9"/>
    <x v="0"/>
    <n v="8.1"/>
    <x v="103"/>
    <n v="2451"/>
    <n v="1080"/>
    <n v="7.3643410852713177E-3"/>
    <s v="Nov-13"/>
    <x v="7"/>
    <n v="2.3888888888888888"/>
  </r>
  <r>
    <x v="41"/>
    <n v="22"/>
    <x v="4"/>
    <x v="1"/>
    <x v="0"/>
    <x v="7"/>
    <x v="1"/>
    <x v="2"/>
    <x v="4"/>
    <x v="38"/>
    <x v="103"/>
    <x v="13"/>
    <n v="20"/>
    <n v="30"/>
    <n v="60"/>
    <n v="19"/>
    <x v="103"/>
    <x v="38"/>
    <x v="56"/>
    <x v="177"/>
    <n v="1.1000000000000001"/>
    <n v="-14"/>
    <x v="0"/>
    <n v="29.466666666666665"/>
    <x v="205"/>
    <n v="880"/>
    <n v="133"/>
    <n v="4.1558441558441558E-2"/>
    <s v="Nov-13"/>
    <x v="3"/>
    <n v="2.5"/>
  </r>
  <r>
    <x v="39"/>
    <n v="35"/>
    <x v="4"/>
    <x v="1"/>
    <x v="1"/>
    <x v="9"/>
    <x v="1"/>
    <x v="2"/>
    <x v="4"/>
    <x v="14"/>
    <x v="70"/>
    <x v="17"/>
    <n v="20"/>
    <n v="20"/>
    <n v="60"/>
    <n v="39"/>
    <x v="70"/>
    <x v="14"/>
    <x v="21"/>
    <x v="178"/>
    <n v="1.75"/>
    <n v="-8"/>
    <x v="0"/>
    <n v="19.399999999999999"/>
    <x v="200"/>
    <n v="1044"/>
    <n v="429.00000000000006"/>
    <n v="1.2539184952978056E-2"/>
    <s v="Nov-13"/>
    <x v="1"/>
    <n v="2.4857142857142858"/>
  </r>
  <r>
    <x v="48"/>
    <n v="29"/>
    <x v="4"/>
    <x v="1"/>
    <x v="3"/>
    <x v="18"/>
    <x v="1"/>
    <x v="3"/>
    <x v="5"/>
    <x v="7"/>
    <x v="8"/>
    <x v="7"/>
    <n v="30"/>
    <n v="20"/>
    <n v="70"/>
    <n v="30"/>
    <x v="8"/>
    <x v="7"/>
    <x v="8"/>
    <x v="179"/>
    <n v="0.96666666666666667"/>
    <n v="-13"/>
    <x v="0"/>
    <n v="19.649999999999999"/>
    <x v="8"/>
    <n v="476"/>
    <n v="240"/>
    <n v="1.2867647058823529E-2"/>
    <s v="Nov-13"/>
    <x v="2"/>
    <n v="2.3448275862068964"/>
  </r>
  <r>
    <x v="74"/>
    <n v="29"/>
    <x v="4"/>
    <x v="1"/>
    <x v="0"/>
    <x v="18"/>
    <x v="1"/>
    <x v="3"/>
    <x v="7"/>
    <x v="7"/>
    <x v="8"/>
    <x v="4"/>
    <n v="20"/>
    <n v="20"/>
    <n v="60"/>
    <n v="30"/>
    <x v="8"/>
    <x v="7"/>
    <x v="8"/>
    <x v="179"/>
    <n v="1.45"/>
    <n v="-13"/>
    <x v="0"/>
    <n v="19.649999999999999"/>
    <x v="8"/>
    <n v="476"/>
    <n v="240"/>
    <n v="1.2867647058823529E-2"/>
    <s v="Nov-13"/>
    <x v="1"/>
    <n v="2.3448275862068964"/>
  </r>
  <r>
    <x v="10"/>
    <n v="34"/>
    <x v="4"/>
    <x v="1"/>
    <x v="2"/>
    <x v="13"/>
    <x v="1"/>
    <x v="2"/>
    <x v="12"/>
    <x v="64"/>
    <x v="24"/>
    <x v="9"/>
    <n v="30"/>
    <n v="0"/>
    <n v="70"/>
    <n v="45"/>
    <x v="24"/>
    <x v="64"/>
    <x v="58"/>
    <x v="128"/>
    <n v="1.1333333333333333"/>
    <n v="-4"/>
    <x v="0"/>
    <e v="#DIV/0!"/>
    <x v="140"/>
    <n v="-324"/>
    <n v="540"/>
    <n v="-4.1152263374485592E-3"/>
    <s v="Nov-13"/>
    <x v="7"/>
    <n v="2.3823529411764706"/>
  </r>
  <r>
    <x v="28"/>
    <n v="32"/>
    <x v="4"/>
    <x v="1"/>
    <x v="1"/>
    <x v="18"/>
    <x v="1"/>
    <x v="2"/>
    <x v="8"/>
    <x v="58"/>
    <x v="39"/>
    <x v="6"/>
    <n v="20"/>
    <n v="30"/>
    <n v="60"/>
    <n v="19"/>
    <x v="39"/>
    <x v="58"/>
    <x v="74"/>
    <x v="146"/>
    <n v="1.6"/>
    <n v="13"/>
    <x v="0"/>
    <n v="28.566666666666666"/>
    <x v="165"/>
    <n v="3655"/>
    <n v="152"/>
    <n v="6.3235294117647056E-2"/>
    <s v="Nov-13"/>
    <x v="3"/>
    <n v="2.65625"/>
  </r>
  <r>
    <x v="8"/>
    <n v="0"/>
    <x v="4"/>
    <x v="1"/>
    <x v="3"/>
    <x v="5"/>
    <x v="1"/>
    <x v="2"/>
    <x v="9"/>
    <x v="43"/>
    <x v="48"/>
    <x v="7"/>
    <n v="0"/>
    <n v="30"/>
    <n v="40"/>
    <n v="12"/>
    <x v="48"/>
    <x v="43"/>
    <x v="55"/>
    <x v="5"/>
    <e v="#DIV/0!"/>
    <n v="16"/>
    <x v="0"/>
    <n v="28.466666666666665"/>
    <x v="69"/>
    <n v="2116"/>
    <e v="#DIV/0!"/>
    <e v="#DIV/0!"/>
    <s v="Nov-13"/>
    <x v="12"/>
    <e v="#DIV/0!"/>
  </r>
  <r>
    <x v="9"/>
    <n v="33"/>
    <x v="4"/>
    <x v="1"/>
    <x v="3"/>
    <x v="8"/>
    <x v="1"/>
    <x v="2"/>
    <x v="9"/>
    <x v="54"/>
    <x v="58"/>
    <x v="8"/>
    <n v="30"/>
    <n v="30"/>
    <n v="70"/>
    <n v="21"/>
    <x v="58"/>
    <x v="54"/>
    <x v="66"/>
    <x v="88"/>
    <n v="1.1000000000000001"/>
    <n v="10"/>
    <x v="0"/>
    <n v="28.666666666666668"/>
    <x v="94"/>
    <n v="3440"/>
    <n v="189"/>
    <n v="5.1679586563307497E-2"/>
    <s v="Nov-13"/>
    <x v="1"/>
    <n v="2.606060606060606"/>
  </r>
  <r>
    <x v="26"/>
    <n v="82"/>
    <x v="4"/>
    <x v="1"/>
    <x v="0"/>
    <x v="26"/>
    <x v="0"/>
    <x v="0"/>
    <x v="0"/>
    <x v="82"/>
    <x v="45"/>
    <x v="12"/>
    <n v="70"/>
    <n v="0"/>
    <n v="110"/>
    <n v="49"/>
    <x v="45"/>
    <x v="82"/>
    <x v="12"/>
    <x v="180"/>
    <n v="1.1714285714285715"/>
    <n v="-13"/>
    <x v="0"/>
    <e v="#DIV/0!"/>
    <x v="206"/>
    <n v="-1690"/>
    <n v="1225"/>
    <n v="-4.0000000000000001E-3"/>
    <s v="Nov-13"/>
    <x v="8"/>
    <n v="1.5853658536585367"/>
  </r>
  <r>
    <x v="9"/>
    <n v="82"/>
    <x v="4"/>
    <x v="1"/>
    <x v="3"/>
    <x v="26"/>
    <x v="0"/>
    <x v="0"/>
    <x v="1"/>
    <x v="55"/>
    <x v="45"/>
    <x v="8"/>
    <n v="70"/>
    <n v="0"/>
    <n v="110"/>
    <n v="48"/>
    <x v="45"/>
    <x v="55"/>
    <x v="19"/>
    <x v="147"/>
    <n v="1.1714285714285715"/>
    <n v="-12"/>
    <x v="0"/>
    <e v="#DIV/0!"/>
    <x v="167"/>
    <n v="-1560"/>
    <n v="1200"/>
    <n v="-3.6923076923076922E-3"/>
    <s v="Nov-13"/>
    <x v="8"/>
    <n v="1.5853658536585367"/>
  </r>
  <r>
    <x v="54"/>
    <n v="35"/>
    <x v="4"/>
    <x v="1"/>
    <x v="0"/>
    <x v="9"/>
    <x v="0"/>
    <x v="1"/>
    <x v="2"/>
    <x v="32"/>
    <x v="70"/>
    <x v="12"/>
    <n v="20"/>
    <n v="10"/>
    <n v="60"/>
    <n v="38"/>
    <x v="70"/>
    <x v="32"/>
    <x v="107"/>
    <x v="181"/>
    <n v="1.75"/>
    <n v="3"/>
    <x v="0"/>
    <n v="8.6999999999999993"/>
    <x v="195"/>
    <n v="1131"/>
    <n v="418"/>
    <n v="1.3584117032392895E-2"/>
    <s v="Nov-13"/>
    <x v="2"/>
    <n v="2.4857142857142858"/>
  </r>
  <r>
    <x v="13"/>
    <n v="34"/>
    <x v="4"/>
    <x v="1"/>
    <x v="0"/>
    <x v="13"/>
    <x v="0"/>
    <x v="1"/>
    <x v="11"/>
    <x v="64"/>
    <x v="24"/>
    <x v="12"/>
    <n v="20"/>
    <n v="0"/>
    <n v="60"/>
    <n v="45"/>
    <x v="24"/>
    <x v="64"/>
    <x v="58"/>
    <x v="128"/>
    <n v="1.7"/>
    <n v="-4"/>
    <x v="0"/>
    <e v="#DIV/0!"/>
    <x v="140"/>
    <n v="-324"/>
    <n v="540"/>
    <n v="-4.1152263374485592E-3"/>
    <s v="Nov-13"/>
    <x v="0"/>
    <n v="2.3823529411764706"/>
  </r>
  <r>
    <x v="26"/>
    <n v="33"/>
    <x v="4"/>
    <x v="1"/>
    <x v="0"/>
    <x v="13"/>
    <x v="0"/>
    <x v="1"/>
    <x v="3"/>
    <x v="15"/>
    <x v="95"/>
    <x v="12"/>
    <n v="20"/>
    <n v="0"/>
    <n v="60"/>
    <n v="45"/>
    <x v="95"/>
    <x v="15"/>
    <x v="58"/>
    <x v="149"/>
    <n v="1.65"/>
    <n v="-6"/>
    <x v="0"/>
    <e v="#DIV/0!"/>
    <x v="170"/>
    <n v="-474"/>
    <n v="540"/>
    <n v="-6.3291139240506328E-3"/>
    <s v="Nov-13"/>
    <x v="0"/>
    <n v="2.393939393939394"/>
  </r>
  <r>
    <x v="10"/>
    <n v="0"/>
    <x v="4"/>
    <x v="1"/>
    <x v="2"/>
    <x v="5"/>
    <x v="0"/>
    <x v="1"/>
    <x v="3"/>
    <x v="17"/>
    <x v="48"/>
    <x v="9"/>
    <n v="0"/>
    <n v="30"/>
    <n v="40"/>
    <n v="11"/>
    <x v="48"/>
    <x v="17"/>
    <x v="101"/>
    <x v="5"/>
    <e v="#DIV/0!"/>
    <n v="17"/>
    <x v="0"/>
    <n v="28.433333333333334"/>
    <x v="178"/>
    <n v="2162"/>
    <e v="#DIV/0!"/>
    <e v="#DIV/0!"/>
    <s v="Nov-13"/>
    <x v="12"/>
    <e v="#DIV/0!"/>
  </r>
  <r>
    <x v="9"/>
    <n v="44"/>
    <x v="4"/>
    <x v="1"/>
    <x v="3"/>
    <x v="19"/>
    <x v="0"/>
    <x v="1"/>
    <x v="2"/>
    <x v="46"/>
    <x v="27"/>
    <x v="8"/>
    <n v="30"/>
    <n v="-10"/>
    <n v="70"/>
    <n v="69"/>
    <x v="27"/>
    <x v="46"/>
    <x v="49"/>
    <x v="72"/>
    <n v="1.4666666666666666"/>
    <n v="0"/>
    <x v="0"/>
    <n v="-11"/>
    <x v="169"/>
    <n v="-1130"/>
    <n v="2760"/>
    <n v="-2.2123893805309734E-3"/>
    <s v="Nov-13"/>
    <x v="6"/>
    <n v="2.5681818181818183"/>
  </r>
  <r>
    <x v="69"/>
    <n v="29"/>
    <x v="5"/>
    <x v="0"/>
    <x v="0"/>
    <x v="18"/>
    <x v="0"/>
    <x v="0"/>
    <x v="10"/>
    <x v="8"/>
    <x v="25"/>
    <x v="18"/>
    <n v="20"/>
    <n v="30"/>
    <n v="60"/>
    <n v="19"/>
    <x v="25"/>
    <x v="8"/>
    <x v="67"/>
    <x v="182"/>
    <n v="1.45"/>
    <n v="7"/>
    <x v="0"/>
    <n v="28.766666666666666"/>
    <x v="207"/>
    <n v="2886"/>
    <n v="152"/>
    <n v="5.9294871794871792E-2"/>
    <s v="Dec-13"/>
    <x v="3"/>
    <n v="2.6896551724137931"/>
  </r>
  <r>
    <x v="93"/>
    <n v="33"/>
    <x v="5"/>
    <x v="0"/>
    <x v="0"/>
    <x v="8"/>
    <x v="0"/>
    <x v="0"/>
    <x v="0"/>
    <x v="58"/>
    <x v="70"/>
    <x v="18"/>
    <n v="30"/>
    <n v="30"/>
    <n v="70"/>
    <n v="20"/>
    <x v="70"/>
    <x v="58"/>
    <x v="100"/>
    <x v="154"/>
    <n v="1.1000000000000001"/>
    <n v="13"/>
    <x v="0"/>
    <n v="28.566666666666666"/>
    <x v="176"/>
    <n v="3741"/>
    <n v="180"/>
    <n v="5.4916985951468711E-2"/>
    <s v="Dec-13"/>
    <x v="1"/>
    <n v="2.6363636363636362"/>
  </r>
  <r>
    <x v="20"/>
    <n v="46"/>
    <x v="5"/>
    <x v="0"/>
    <x v="2"/>
    <x v="1"/>
    <x v="0"/>
    <x v="0"/>
    <x v="0"/>
    <x v="44"/>
    <x v="96"/>
    <x v="15"/>
    <n v="30"/>
    <n v="10"/>
    <n v="70"/>
    <n v="50"/>
    <x v="96"/>
    <x v="44"/>
    <x v="110"/>
    <x v="183"/>
    <n v="1.5333333333333334"/>
    <n v="0"/>
    <x v="0"/>
    <n v="9"/>
    <x v="208"/>
    <n v="1100"/>
    <n v="850"/>
    <n v="5.3475935828877011E-3"/>
    <s v="Dec-13"/>
    <x v="0"/>
    <n v="2.3913043478260869"/>
  </r>
  <r>
    <x v="88"/>
    <n v="30"/>
    <x v="5"/>
    <x v="0"/>
    <x v="2"/>
    <x v="18"/>
    <x v="0"/>
    <x v="1"/>
    <x v="2"/>
    <x v="40"/>
    <x v="81"/>
    <x v="2"/>
    <n v="30"/>
    <n v="30"/>
    <n v="70"/>
    <n v="19"/>
    <x v="81"/>
    <x v="40"/>
    <x v="67"/>
    <x v="184"/>
    <n v="1"/>
    <n v="9"/>
    <x v="0"/>
    <n v="28.7"/>
    <x v="209"/>
    <n v="3120"/>
    <n v="152"/>
    <n v="6.0937499999999999E-2"/>
    <s v="Dec-13"/>
    <x v="1"/>
    <n v="2.6666666666666665"/>
  </r>
  <r>
    <x v="20"/>
    <n v="29"/>
    <x v="5"/>
    <x v="0"/>
    <x v="2"/>
    <x v="18"/>
    <x v="0"/>
    <x v="1"/>
    <x v="3"/>
    <x v="8"/>
    <x v="25"/>
    <x v="15"/>
    <n v="30"/>
    <n v="30"/>
    <n v="70"/>
    <n v="19"/>
    <x v="25"/>
    <x v="8"/>
    <x v="67"/>
    <x v="182"/>
    <n v="0.96666666666666667"/>
    <n v="7"/>
    <x v="0"/>
    <n v="28.766666666666666"/>
    <x v="207"/>
    <n v="2886"/>
    <n v="152"/>
    <n v="5.9294871794871792E-2"/>
    <s v="Dec-13"/>
    <x v="1"/>
    <n v="2.6896551724137931"/>
  </r>
  <r>
    <x v="94"/>
    <n v="24"/>
    <x v="5"/>
    <x v="1"/>
    <x v="0"/>
    <x v="7"/>
    <x v="1"/>
    <x v="2"/>
    <x v="4"/>
    <x v="60"/>
    <x v="94"/>
    <x v="13"/>
    <n v="30"/>
    <n v="30"/>
    <n v="70"/>
    <n v="19"/>
    <x v="94"/>
    <x v="60"/>
    <x v="67"/>
    <x v="21"/>
    <n v="0.8"/>
    <n v="-11"/>
    <x v="0"/>
    <n v="29.366666666666667"/>
    <x v="210"/>
    <n v="1140"/>
    <n v="133"/>
    <n v="4.5238095238095237E-2"/>
    <s v="Dec-13"/>
    <x v="1"/>
    <n v="2.5"/>
  </r>
  <r>
    <x v="8"/>
    <n v="0"/>
    <x v="5"/>
    <x v="1"/>
    <x v="3"/>
    <x v="5"/>
    <x v="1"/>
    <x v="2"/>
    <x v="9"/>
    <x v="43"/>
    <x v="48"/>
    <x v="7"/>
    <n v="0"/>
    <n v="30"/>
    <n v="40"/>
    <n v="12"/>
    <x v="48"/>
    <x v="43"/>
    <x v="55"/>
    <x v="5"/>
    <e v="#DIV/0!"/>
    <n v="16"/>
    <x v="0"/>
    <n v="28.466666666666665"/>
    <x v="69"/>
    <n v="2116"/>
    <e v="#DIV/0!"/>
    <e v="#DIV/0!"/>
    <s v="Dec-13"/>
    <x v="12"/>
    <e v="#DIV/0!"/>
  </r>
  <r>
    <x v="9"/>
    <n v="31"/>
    <x v="5"/>
    <x v="1"/>
    <x v="3"/>
    <x v="18"/>
    <x v="1"/>
    <x v="2"/>
    <x v="9"/>
    <x v="40"/>
    <x v="40"/>
    <x v="8"/>
    <n v="30"/>
    <n v="30"/>
    <n v="70"/>
    <n v="20"/>
    <x v="40"/>
    <x v="40"/>
    <x v="96"/>
    <x v="184"/>
    <n v="1.0333333333333334"/>
    <n v="9"/>
    <x v="0"/>
    <n v="28.7"/>
    <x v="44"/>
    <n v="3198"/>
    <n v="160"/>
    <n v="5.9451219512195119E-2"/>
    <s v="Dec-13"/>
    <x v="1"/>
    <n v="2.6451612903225805"/>
  </r>
  <r>
    <x v="65"/>
    <n v="34"/>
    <x v="5"/>
    <x v="1"/>
    <x v="0"/>
    <x v="8"/>
    <x v="0"/>
    <x v="0"/>
    <x v="0"/>
    <x v="16"/>
    <x v="69"/>
    <x v="13"/>
    <n v="30"/>
    <n v="30"/>
    <n v="70"/>
    <n v="21"/>
    <x v="69"/>
    <x v="16"/>
    <x v="66"/>
    <x v="68"/>
    <n v="1.1333333333333333"/>
    <n v="15"/>
    <x v="0"/>
    <n v="28.5"/>
    <x v="177"/>
    <n v="4095"/>
    <n v="189"/>
    <n v="5.4945054945054944E-2"/>
    <s v="Dec-13"/>
    <x v="1"/>
    <n v="2.6764705882352939"/>
  </r>
  <r>
    <x v="10"/>
    <n v="39"/>
    <x v="5"/>
    <x v="1"/>
    <x v="2"/>
    <x v="10"/>
    <x v="0"/>
    <x v="0"/>
    <x v="0"/>
    <x v="83"/>
    <x v="3"/>
    <x v="9"/>
    <n v="20"/>
    <n v="10"/>
    <n v="60"/>
    <n v="47"/>
    <x v="3"/>
    <x v="83"/>
    <x v="79"/>
    <x v="185"/>
    <n v="1.95"/>
    <n v="-7"/>
    <x v="0"/>
    <n v="9.6999999999999993"/>
    <x v="211"/>
    <n v="282"/>
    <n v="658"/>
    <n v="2.2796352583586625E-3"/>
    <s v="Dec-13"/>
    <x v="2"/>
    <n v="2.4102564102564101"/>
  </r>
  <r>
    <x v="39"/>
    <n v="31"/>
    <x v="5"/>
    <x v="1"/>
    <x v="1"/>
    <x v="8"/>
    <x v="0"/>
    <x v="0"/>
    <x v="0"/>
    <x v="44"/>
    <x v="83"/>
    <x v="17"/>
    <n v="20"/>
    <n v="20"/>
    <n v="60"/>
    <n v="31"/>
    <x v="83"/>
    <x v="44"/>
    <x v="105"/>
    <x v="67"/>
    <n v="1.55"/>
    <n v="-10"/>
    <x v="0"/>
    <n v="19.5"/>
    <x v="212"/>
    <n v="740"/>
    <n v="279"/>
    <n v="1.5015015015015015E-2"/>
    <s v="Dec-13"/>
    <x v="1"/>
    <n v="2.3870967741935485"/>
  </r>
  <r>
    <x v="26"/>
    <n v="38"/>
    <x v="5"/>
    <x v="1"/>
    <x v="0"/>
    <x v="13"/>
    <x v="0"/>
    <x v="1"/>
    <x v="2"/>
    <x v="38"/>
    <x v="104"/>
    <x v="12"/>
    <n v="30"/>
    <n v="10"/>
    <n v="70"/>
    <n v="40"/>
    <x v="104"/>
    <x v="38"/>
    <x v="2"/>
    <x v="155"/>
    <n v="1.2666666666666666"/>
    <n v="6"/>
    <x v="0"/>
    <n v="8.4"/>
    <x v="213"/>
    <n v="1520"/>
    <n v="480"/>
    <n v="1.4035087719298244E-2"/>
    <s v="Dec-13"/>
    <x v="0"/>
    <n v="2.5"/>
  </r>
  <r>
    <x v="95"/>
    <n v="39"/>
    <x v="5"/>
    <x v="1"/>
    <x v="0"/>
    <x v="10"/>
    <x v="0"/>
    <x v="1"/>
    <x v="3"/>
    <x v="83"/>
    <x v="3"/>
    <x v="12"/>
    <n v="30"/>
    <n v="0"/>
    <n v="70"/>
    <n v="47"/>
    <x v="3"/>
    <x v="83"/>
    <x v="79"/>
    <x v="185"/>
    <n v="1.3"/>
    <n v="3"/>
    <x v="0"/>
    <e v="#DIV/0!"/>
    <x v="211"/>
    <n v="282"/>
    <n v="658"/>
    <n v="2.2796352583586625E-3"/>
    <s v="Dec-13"/>
    <x v="7"/>
    <n v="2.4102564102564101"/>
  </r>
  <r>
    <x v="10"/>
    <n v="0"/>
    <x v="5"/>
    <x v="1"/>
    <x v="2"/>
    <x v="5"/>
    <x v="0"/>
    <x v="1"/>
    <x v="3"/>
    <x v="17"/>
    <x v="48"/>
    <x v="9"/>
    <n v="0"/>
    <n v="30"/>
    <n v="40"/>
    <n v="11"/>
    <x v="48"/>
    <x v="17"/>
    <x v="101"/>
    <x v="5"/>
    <e v="#DIV/0!"/>
    <n v="17"/>
    <x v="0"/>
    <n v="28.433333333333334"/>
    <x v="178"/>
    <n v="2162"/>
    <e v="#DIV/0!"/>
    <e v="#DIV/0!"/>
    <s v="Dec-13"/>
    <x v="12"/>
    <e v="#DIV/0!"/>
  </r>
  <r>
    <x v="56"/>
    <n v="41"/>
    <x v="5"/>
    <x v="1"/>
    <x v="3"/>
    <x v="13"/>
    <x v="0"/>
    <x v="1"/>
    <x v="2"/>
    <x v="16"/>
    <x v="11"/>
    <x v="14"/>
    <n v="30"/>
    <n v="20"/>
    <n v="70"/>
    <n v="36"/>
    <x v="11"/>
    <x v="16"/>
    <x v="39"/>
    <x v="110"/>
    <n v="1.3666666666666667"/>
    <n v="25"/>
    <x v="0"/>
    <n v="17.75"/>
    <x v="75"/>
    <n v="5130"/>
    <n v="432"/>
    <n v="3.2894736842105261E-2"/>
    <s v="Dec-13"/>
    <x v="2"/>
    <n v="2.7804878048780486"/>
  </r>
  <r>
    <x v="9"/>
    <n v="38"/>
    <x v="5"/>
    <x v="1"/>
    <x v="3"/>
    <x v="13"/>
    <x v="0"/>
    <x v="1"/>
    <x v="11"/>
    <x v="47"/>
    <x v="104"/>
    <x v="8"/>
    <n v="20"/>
    <n v="10"/>
    <n v="60"/>
    <n v="39"/>
    <x v="104"/>
    <x v="47"/>
    <x v="45"/>
    <x v="186"/>
    <n v="1.9"/>
    <n v="8"/>
    <x v="0"/>
    <n v="8.1999999999999993"/>
    <x v="40"/>
    <n v="1710"/>
    <n v="468"/>
    <n v="1.5789473684210527E-2"/>
    <s v="Dec-13"/>
    <x v="2"/>
    <n v="2.5"/>
  </r>
  <r>
    <x v="56"/>
    <n v="43"/>
    <x v="5"/>
    <x v="1"/>
    <x v="3"/>
    <x v="2"/>
    <x v="0"/>
    <x v="1"/>
    <x v="11"/>
    <x v="41"/>
    <x v="27"/>
    <x v="14"/>
    <n v="30"/>
    <n v="20"/>
    <n v="70"/>
    <n v="35"/>
    <x v="27"/>
    <x v="41"/>
    <x v="37"/>
    <x v="62"/>
    <n v="1.4333333333333333"/>
    <n v="22"/>
    <x v="0"/>
    <n v="17.899999999999999"/>
    <x v="131"/>
    <n v="4746"/>
    <n v="455"/>
    <n v="2.8590878148400271E-2"/>
    <s v="Dec-13"/>
    <x v="2"/>
    <n v="2.6279069767441858"/>
  </r>
  <r>
    <x v="96"/>
    <n v="51"/>
    <x v="0"/>
    <x v="0"/>
    <x v="0"/>
    <x v="0"/>
    <x v="1"/>
    <x v="3"/>
    <x v="5"/>
    <x v="0"/>
    <x v="0"/>
    <x v="18"/>
    <n v="40"/>
    <n v="30"/>
    <n v="110"/>
    <n v="76"/>
    <x v="0"/>
    <x v="0"/>
    <x v="0"/>
    <x v="0"/>
    <n v="1.2749999999999999"/>
    <n v="-35"/>
    <x v="0"/>
    <n v="30.166666666666668"/>
    <x v="0"/>
    <n v="-610"/>
    <n v="3496"/>
    <n v="-8.9094796863863144E-4"/>
    <s v="Oct-12"/>
    <x v="6"/>
    <n v="2.392156862745098"/>
  </r>
  <r>
    <x v="93"/>
    <n v="52"/>
    <x v="0"/>
    <x v="0"/>
    <x v="0"/>
    <x v="1"/>
    <x v="1"/>
    <x v="3"/>
    <x v="6"/>
    <x v="1"/>
    <x v="1"/>
    <x v="18"/>
    <n v="40"/>
    <n v="60"/>
    <n v="110"/>
    <n v="45"/>
    <x v="1"/>
    <x v="1"/>
    <x v="1"/>
    <x v="1"/>
    <n v="1.3"/>
    <n v="-34"/>
    <x v="0"/>
    <n v="59.56666666666667"/>
    <x v="1"/>
    <n v="3198"/>
    <n v="765"/>
    <n v="1.2434241989478718E-2"/>
    <s v="Oct-12"/>
    <x v="2"/>
    <n v="2.3653846153846154"/>
  </r>
  <r>
    <x v="90"/>
    <n v="43"/>
    <x v="0"/>
    <x v="0"/>
    <x v="0"/>
    <x v="2"/>
    <x v="1"/>
    <x v="3"/>
    <x v="7"/>
    <x v="2"/>
    <x v="2"/>
    <x v="18"/>
    <n v="30"/>
    <n v="60"/>
    <n v="100"/>
    <n v="36"/>
    <x v="2"/>
    <x v="2"/>
    <x v="2"/>
    <x v="2"/>
    <n v="1.4333333333333333"/>
    <n v="-32"/>
    <x v="0"/>
    <n v="59.533333333333331"/>
    <x v="2"/>
    <n v="2996"/>
    <n v="468"/>
    <n v="2.0129403306973399E-2"/>
    <s v="Oct-12"/>
    <x v="1"/>
    <n v="2.4883720930232558"/>
  </r>
  <r>
    <x v="20"/>
    <n v="51"/>
    <x v="0"/>
    <x v="0"/>
    <x v="2"/>
    <x v="0"/>
    <x v="1"/>
    <x v="2"/>
    <x v="8"/>
    <x v="84"/>
    <x v="52"/>
    <x v="15"/>
    <n v="30"/>
    <n v="30"/>
    <n v="100"/>
    <n v="76"/>
    <x v="52"/>
    <x v="84"/>
    <x v="0"/>
    <x v="187"/>
    <n v="1.7"/>
    <n v="-41"/>
    <x v="0"/>
    <n v="30.366666666666667"/>
    <x v="214"/>
    <n v="-1276"/>
    <n v="3496"/>
    <n v="-2.0614692653673165E-3"/>
    <s v="Oct-12"/>
    <x v="7"/>
    <n v="2.2745098039215685"/>
  </r>
  <r>
    <x v="97"/>
    <n v="72"/>
    <x v="0"/>
    <x v="0"/>
    <x v="1"/>
    <x v="4"/>
    <x v="1"/>
    <x v="2"/>
    <x v="9"/>
    <x v="45"/>
    <x v="4"/>
    <x v="1"/>
    <n v="40"/>
    <n v="50"/>
    <n v="110"/>
    <n v="55"/>
    <x v="4"/>
    <x v="45"/>
    <x v="0"/>
    <x v="188"/>
    <n v="1.8"/>
    <n v="5"/>
    <x v="0"/>
    <n v="48.9"/>
    <x v="215"/>
    <n v="10010"/>
    <n v="1265"/>
    <n v="1.3139034878165312E-2"/>
    <s v="Oct-12"/>
    <x v="0"/>
    <n v="2.5277777777777777"/>
  </r>
  <r>
    <x v="76"/>
    <n v="48"/>
    <x v="0"/>
    <x v="0"/>
    <x v="2"/>
    <x v="2"/>
    <x v="0"/>
    <x v="1"/>
    <x v="3"/>
    <x v="43"/>
    <x v="15"/>
    <x v="2"/>
    <n v="50"/>
    <n v="60"/>
    <n v="120"/>
    <n v="24"/>
    <x v="15"/>
    <x v="43"/>
    <x v="16"/>
    <x v="189"/>
    <n v="0.96"/>
    <n v="-14"/>
    <x v="0"/>
    <n v="59.233333333333334"/>
    <x v="216"/>
    <n v="5428"/>
    <n v="312"/>
    <n v="2.9986962190352021E-2"/>
    <s v="Oct-12"/>
    <x v="0"/>
    <n v="2.4583333333333335"/>
  </r>
  <r>
    <x v="38"/>
    <n v="60"/>
    <x v="0"/>
    <x v="1"/>
    <x v="1"/>
    <x v="31"/>
    <x v="1"/>
    <x v="2"/>
    <x v="8"/>
    <x v="85"/>
    <x v="80"/>
    <x v="10"/>
    <n v="30"/>
    <n v="70"/>
    <n v="100"/>
    <n v="41"/>
    <x v="80"/>
    <x v="85"/>
    <x v="99"/>
    <x v="134"/>
    <n v="2"/>
    <n v="-12"/>
    <x v="0"/>
    <n v="69.171428571428578"/>
    <x v="217"/>
    <n v="9222"/>
    <n v="738"/>
    <n v="2.026554856743536E-2"/>
    <s v="Oct-12"/>
    <x v="3"/>
    <n v="2.65"/>
  </r>
  <r>
    <x v="17"/>
    <n v="52"/>
    <x v="0"/>
    <x v="1"/>
    <x v="3"/>
    <x v="1"/>
    <x v="1"/>
    <x v="2"/>
    <x v="8"/>
    <x v="22"/>
    <x v="1"/>
    <x v="11"/>
    <n v="30"/>
    <n v="60"/>
    <n v="100"/>
    <n v="44"/>
    <x v="1"/>
    <x v="22"/>
    <x v="27"/>
    <x v="190"/>
    <n v="1.7333333333333334"/>
    <n v="-33"/>
    <x v="0"/>
    <n v="59.55"/>
    <x v="91"/>
    <n v="3321"/>
    <n v="748"/>
    <n v="1.2912482065997129E-2"/>
    <s v="Oct-12"/>
    <x v="1"/>
    <n v="2.3653846153846154"/>
  </r>
  <r>
    <x v="56"/>
    <n v="56"/>
    <x v="0"/>
    <x v="1"/>
    <x v="3"/>
    <x v="28"/>
    <x v="1"/>
    <x v="2"/>
    <x v="8"/>
    <x v="38"/>
    <x v="53"/>
    <x v="14"/>
    <n v="40"/>
    <n v="50"/>
    <n v="110"/>
    <n v="54"/>
    <x v="53"/>
    <x v="38"/>
    <x v="60"/>
    <x v="191"/>
    <n v="1.4"/>
    <n v="-34"/>
    <x v="0"/>
    <n v="49.68"/>
    <x v="51"/>
    <n v="2016"/>
    <n v="1134"/>
    <n v="6.0468631897203319E-3"/>
    <s v="Oct-12"/>
    <x v="0"/>
    <n v="2.25"/>
  </r>
  <r>
    <x v="47"/>
    <n v="56"/>
    <x v="0"/>
    <x v="1"/>
    <x v="1"/>
    <x v="28"/>
    <x v="0"/>
    <x v="0"/>
    <x v="10"/>
    <x v="38"/>
    <x v="53"/>
    <x v="6"/>
    <n v="40"/>
    <n v="50"/>
    <n v="110"/>
    <n v="54"/>
    <x v="53"/>
    <x v="38"/>
    <x v="60"/>
    <x v="191"/>
    <n v="1.4"/>
    <n v="-34"/>
    <x v="0"/>
    <n v="49.68"/>
    <x v="51"/>
    <n v="2016"/>
    <n v="1134"/>
    <n v="6.0468631897203319E-3"/>
    <s v="Oct-12"/>
    <x v="0"/>
    <n v="2.25"/>
  </r>
  <r>
    <x v="9"/>
    <n v="45"/>
    <x v="0"/>
    <x v="1"/>
    <x v="3"/>
    <x v="10"/>
    <x v="0"/>
    <x v="0"/>
    <x v="0"/>
    <x v="34"/>
    <x v="11"/>
    <x v="8"/>
    <n v="20"/>
    <n v="60"/>
    <n v="90"/>
    <n v="46"/>
    <x v="11"/>
    <x v="34"/>
    <x v="79"/>
    <x v="192"/>
    <n v="2.25"/>
    <n v="-37"/>
    <x v="0"/>
    <n v="59.616666666666667"/>
    <x v="218"/>
    <n v="2622"/>
    <n v="644"/>
    <n v="1.4411027568922305E-2"/>
    <s v="Oct-12"/>
    <x v="3"/>
    <n v="2.5333333333333332"/>
  </r>
  <r>
    <x v="98"/>
    <n v="52"/>
    <x v="1"/>
    <x v="0"/>
    <x v="0"/>
    <x v="17"/>
    <x v="1"/>
    <x v="3"/>
    <x v="5"/>
    <x v="37"/>
    <x v="22"/>
    <x v="18"/>
    <n v="50"/>
    <n v="10"/>
    <n v="120"/>
    <n v="76"/>
    <x v="22"/>
    <x v="37"/>
    <x v="23"/>
    <x v="193"/>
    <n v="1.04"/>
    <n v="-13"/>
    <x v="0"/>
    <n v="10.3"/>
    <x v="219"/>
    <n v="-375"/>
    <n v="3572.0000000000005"/>
    <n v="-5.106382978723404E-4"/>
    <s v="Nov-12"/>
    <x v="8"/>
    <n v="2.4038461538461537"/>
  </r>
  <r>
    <x v="69"/>
    <n v="46"/>
    <x v="1"/>
    <x v="0"/>
    <x v="0"/>
    <x v="10"/>
    <x v="1"/>
    <x v="3"/>
    <x v="7"/>
    <x v="71"/>
    <x v="11"/>
    <x v="18"/>
    <n v="40"/>
    <n v="40"/>
    <n v="110"/>
    <n v="36"/>
    <x v="11"/>
    <x v="71"/>
    <x v="90"/>
    <x v="177"/>
    <n v="1.1499999999999999"/>
    <n v="-8"/>
    <x v="0"/>
    <n v="39.200000000000003"/>
    <x v="220"/>
    <n v="3648"/>
    <n v="504"/>
    <n v="2.0050125313283207E-2"/>
    <s v="Nov-12"/>
    <x v="7"/>
    <n v="2.4782608695652173"/>
  </r>
  <r>
    <x v="0"/>
    <n v="52"/>
    <x v="1"/>
    <x v="0"/>
    <x v="0"/>
    <x v="17"/>
    <x v="0"/>
    <x v="0"/>
    <x v="0"/>
    <x v="64"/>
    <x v="22"/>
    <x v="0"/>
    <n v="40"/>
    <n v="10"/>
    <n v="110"/>
    <n v="77"/>
    <x v="22"/>
    <x v="64"/>
    <x v="111"/>
    <x v="194"/>
    <n v="1.3"/>
    <n v="-14"/>
    <x v="0"/>
    <n v="10.4"/>
    <x v="221"/>
    <n v="-500"/>
    <n v="3619"/>
    <n v="-6.8085106382978727E-4"/>
    <s v="Nov-12"/>
    <x v="10"/>
    <n v="2.4038461538461537"/>
  </r>
  <r>
    <x v="43"/>
    <n v="59"/>
    <x v="1"/>
    <x v="0"/>
    <x v="0"/>
    <x v="27"/>
    <x v="0"/>
    <x v="0"/>
    <x v="1"/>
    <x v="71"/>
    <x v="105"/>
    <x v="0"/>
    <n v="50"/>
    <n v="40"/>
    <n v="120"/>
    <n v="47"/>
    <x v="105"/>
    <x v="71"/>
    <x v="112"/>
    <x v="195"/>
    <n v="1.18"/>
    <n v="-8"/>
    <x v="0"/>
    <n v="39.200000000000003"/>
    <x v="222"/>
    <n v="4416"/>
    <n v="893"/>
    <n v="1.2204424103737604E-2"/>
    <s v="Nov-12"/>
    <x v="6"/>
    <n v="2.3389830508474576"/>
  </r>
  <r>
    <x v="99"/>
    <n v="59"/>
    <x v="1"/>
    <x v="0"/>
    <x v="1"/>
    <x v="27"/>
    <x v="0"/>
    <x v="0"/>
    <x v="10"/>
    <x v="71"/>
    <x v="105"/>
    <x v="1"/>
    <n v="50"/>
    <n v="40"/>
    <n v="120"/>
    <n v="47"/>
    <x v="105"/>
    <x v="71"/>
    <x v="112"/>
    <x v="195"/>
    <n v="1.18"/>
    <n v="-8"/>
    <x v="0"/>
    <n v="39.200000000000003"/>
    <x v="222"/>
    <n v="4416"/>
    <n v="893"/>
    <n v="1.2204424103737604E-2"/>
    <s v="Nov-12"/>
    <x v="6"/>
    <n v="2.3389830508474576"/>
  </r>
  <r>
    <x v="100"/>
    <n v="50"/>
    <x v="1"/>
    <x v="0"/>
    <x v="2"/>
    <x v="10"/>
    <x v="0"/>
    <x v="1"/>
    <x v="3"/>
    <x v="17"/>
    <x v="1"/>
    <x v="19"/>
    <n v="50"/>
    <n v="50"/>
    <n v="120"/>
    <n v="26"/>
    <x v="1"/>
    <x v="17"/>
    <x v="82"/>
    <x v="124"/>
    <n v="1"/>
    <n v="-3"/>
    <x v="0"/>
    <n v="49.06"/>
    <x v="136"/>
    <n v="5781"/>
    <n v="364"/>
    <n v="2.72938443670151E-2"/>
    <s v="Nov-12"/>
    <x v="7"/>
    <n v="2.46"/>
  </r>
  <r>
    <x v="6"/>
    <n v="53"/>
    <x v="1"/>
    <x v="1"/>
    <x v="2"/>
    <x v="1"/>
    <x v="1"/>
    <x v="2"/>
    <x v="4"/>
    <x v="1"/>
    <x v="21"/>
    <x v="5"/>
    <n v="50"/>
    <n v="40"/>
    <n v="120"/>
    <n v="45"/>
    <x v="21"/>
    <x v="1"/>
    <x v="42"/>
    <x v="1"/>
    <n v="1.06"/>
    <n v="-14"/>
    <x v="0"/>
    <n v="39.35"/>
    <x v="1"/>
    <n v="3224"/>
    <n v="765"/>
    <n v="1.2333965844402276E-2"/>
    <s v="Nov-12"/>
    <x v="6"/>
    <n v="2.3396226415094339"/>
  </r>
  <r>
    <x v="9"/>
    <n v="54"/>
    <x v="1"/>
    <x v="1"/>
    <x v="3"/>
    <x v="6"/>
    <x v="1"/>
    <x v="2"/>
    <x v="4"/>
    <x v="33"/>
    <x v="57"/>
    <x v="8"/>
    <n v="50"/>
    <n v="50"/>
    <n v="120"/>
    <n v="26"/>
    <x v="57"/>
    <x v="33"/>
    <x v="46"/>
    <x v="41"/>
    <n v="1.08"/>
    <n v="2"/>
    <x v="0"/>
    <n v="48.96"/>
    <x v="223"/>
    <n v="6864"/>
    <n v="390"/>
    <n v="2.6262626262626265E-2"/>
    <s v="Nov-12"/>
    <x v="7"/>
    <n v="2.4444444444444446"/>
  </r>
  <r>
    <x v="39"/>
    <n v="43"/>
    <x v="1"/>
    <x v="1"/>
    <x v="1"/>
    <x v="10"/>
    <x v="1"/>
    <x v="3"/>
    <x v="7"/>
    <x v="30"/>
    <x v="12"/>
    <x v="17"/>
    <n v="50"/>
    <n v="30"/>
    <n v="120"/>
    <n v="46"/>
    <x v="12"/>
    <x v="30"/>
    <x v="34"/>
    <x v="34"/>
    <n v="0.86"/>
    <n v="-10"/>
    <x v="0"/>
    <n v="29.333333333333332"/>
    <x v="37"/>
    <n v="2180"/>
    <n v="644"/>
    <n v="1.3106159895150722E-2"/>
    <s v="Nov-12"/>
    <x v="9"/>
    <n v="2.5348837209302326"/>
  </r>
  <r>
    <x v="27"/>
    <n v="61"/>
    <x v="1"/>
    <x v="1"/>
    <x v="1"/>
    <x v="21"/>
    <x v="1"/>
    <x v="2"/>
    <x v="9"/>
    <x v="12"/>
    <x v="32"/>
    <x v="10"/>
    <n v="40"/>
    <n v="10"/>
    <n v="110"/>
    <n v="85"/>
    <x v="32"/>
    <x v="12"/>
    <x v="38"/>
    <x v="40"/>
    <n v="1.5249999999999999"/>
    <n v="-9"/>
    <x v="0"/>
    <n v="9.9"/>
    <x v="43"/>
    <n v="147"/>
    <n v="4675"/>
    <n v="1.2368583797155226E-4"/>
    <s v="Nov-12"/>
    <x v="10"/>
    <n v="2.4098360655737703"/>
  </r>
  <r>
    <x v="49"/>
    <n v="55"/>
    <x v="1"/>
    <x v="1"/>
    <x v="3"/>
    <x v="14"/>
    <x v="1"/>
    <x v="2"/>
    <x v="9"/>
    <x v="38"/>
    <x v="21"/>
    <x v="11"/>
    <n v="50"/>
    <n v="30"/>
    <n v="120"/>
    <n v="53"/>
    <x v="21"/>
    <x v="38"/>
    <x v="13"/>
    <x v="196"/>
    <n v="1.1000000000000001"/>
    <n v="-14"/>
    <x v="0"/>
    <n v="29.466666666666665"/>
    <x v="224"/>
    <n v="1984"/>
    <n v="1060"/>
    <n v="6.4516129032258064E-3"/>
    <s v="Nov-12"/>
    <x v="9"/>
    <n v="2.2545454545454544"/>
  </r>
  <r>
    <x v="6"/>
    <n v="82"/>
    <x v="1"/>
    <x v="1"/>
    <x v="2"/>
    <x v="33"/>
    <x v="0"/>
    <x v="0"/>
    <x v="0"/>
    <x v="68"/>
    <x v="106"/>
    <x v="5"/>
    <n v="60"/>
    <n v="30"/>
    <n v="130"/>
    <n v="64"/>
    <x v="106"/>
    <x v="68"/>
    <x v="38"/>
    <x v="197"/>
    <n v="1.3666666666666667"/>
    <n v="8"/>
    <x v="0"/>
    <n v="28.733333333333334"/>
    <x v="225"/>
    <n v="6992"/>
    <n v="1984"/>
    <n v="6.6619915848527347E-3"/>
    <s v="Nov-12"/>
    <x v="10"/>
    <n v="2.2439024390243905"/>
  </r>
  <r>
    <x v="65"/>
    <n v="61"/>
    <x v="1"/>
    <x v="1"/>
    <x v="0"/>
    <x v="21"/>
    <x v="0"/>
    <x v="1"/>
    <x v="11"/>
    <x v="80"/>
    <x v="32"/>
    <x v="13"/>
    <n v="50"/>
    <n v="0"/>
    <n v="120"/>
    <n v="84"/>
    <x v="32"/>
    <x v="80"/>
    <x v="113"/>
    <x v="198"/>
    <n v="1.22"/>
    <n v="2"/>
    <x v="0"/>
    <e v="#DIV/0!"/>
    <x v="226"/>
    <n v="294"/>
    <n v="4620"/>
    <n v="2.4737167594310452E-4"/>
    <s v="Nov-12"/>
    <x v="11"/>
    <n v="2.4098360655737703"/>
  </r>
  <r>
    <x v="16"/>
    <n v="53"/>
    <x v="1"/>
    <x v="1"/>
    <x v="3"/>
    <x v="20"/>
    <x v="0"/>
    <x v="1"/>
    <x v="2"/>
    <x v="31"/>
    <x v="29"/>
    <x v="14"/>
    <n v="30"/>
    <n v="50"/>
    <n v="100"/>
    <n v="39"/>
    <x v="29"/>
    <x v="31"/>
    <x v="36"/>
    <x v="36"/>
    <n v="1.7666666666666666"/>
    <n v="-1"/>
    <x v="0"/>
    <n v="49.02"/>
    <x v="39"/>
    <n v="6909"/>
    <n v="624"/>
    <n v="2.1719858156028369E-2"/>
    <s v="Nov-12"/>
    <x v="2"/>
    <n v="2.6603773584905661"/>
  </r>
  <r>
    <x v="83"/>
    <n v="47"/>
    <x v="2"/>
    <x v="0"/>
    <x v="0"/>
    <x v="22"/>
    <x v="1"/>
    <x v="3"/>
    <x v="5"/>
    <x v="15"/>
    <x v="34"/>
    <x v="18"/>
    <n v="40"/>
    <n v="10"/>
    <n v="110"/>
    <n v="71"/>
    <x v="34"/>
    <x v="15"/>
    <x v="41"/>
    <x v="42"/>
    <n v="1.175"/>
    <n v="-16"/>
    <x v="0"/>
    <n v="10.6"/>
    <x v="46"/>
    <n v="-672"/>
    <n v="2982"/>
    <n v="-1.2755102040816326E-3"/>
    <s v="Dec-12"/>
    <x v="10"/>
    <n v="2.3829787234042552"/>
  </r>
  <r>
    <x v="101"/>
    <n v="54"/>
    <x v="2"/>
    <x v="0"/>
    <x v="0"/>
    <x v="1"/>
    <x v="1"/>
    <x v="3"/>
    <x v="6"/>
    <x v="26"/>
    <x v="35"/>
    <x v="18"/>
    <n v="50"/>
    <n v="40"/>
    <n v="120"/>
    <n v="44"/>
    <x v="35"/>
    <x v="26"/>
    <x v="42"/>
    <x v="29"/>
    <n v="1.08"/>
    <n v="-11"/>
    <x v="0"/>
    <n v="39.274999999999999"/>
    <x v="47"/>
    <n v="3683"/>
    <n v="748"/>
    <n v="1.3432144511347846E-2"/>
    <s v="Dec-12"/>
    <x v="6"/>
    <n v="2.3518518518518516"/>
  </r>
  <r>
    <x v="102"/>
    <n v="67"/>
    <x v="2"/>
    <x v="0"/>
    <x v="1"/>
    <x v="34"/>
    <x v="1"/>
    <x v="2"/>
    <x v="9"/>
    <x v="17"/>
    <x v="107"/>
    <x v="1"/>
    <n v="50"/>
    <n v="30"/>
    <n v="120"/>
    <n v="54"/>
    <x v="107"/>
    <x v="17"/>
    <x v="72"/>
    <x v="199"/>
    <n v="1.34"/>
    <n v="17"/>
    <x v="0"/>
    <n v="28.433333333333334"/>
    <x v="227"/>
    <n v="7896"/>
    <n v="1188"/>
    <n v="1.2716450216450216E-2"/>
    <s v="Dec-12"/>
    <x v="9"/>
    <n v="2.5074626865671643"/>
  </r>
  <r>
    <x v="103"/>
    <n v="54"/>
    <x v="2"/>
    <x v="0"/>
    <x v="0"/>
    <x v="6"/>
    <x v="0"/>
    <x v="1"/>
    <x v="2"/>
    <x v="36"/>
    <x v="33"/>
    <x v="16"/>
    <n v="40"/>
    <n v="50"/>
    <n v="110"/>
    <n v="26"/>
    <x v="33"/>
    <x v="36"/>
    <x v="46"/>
    <x v="47"/>
    <n v="1.35"/>
    <n v="3"/>
    <x v="0"/>
    <n v="48.94"/>
    <x v="52"/>
    <n v="7049"/>
    <n v="390"/>
    <n v="2.6566416040100248E-2"/>
    <s v="Dec-12"/>
    <x v="0"/>
    <n v="2.4629629629629628"/>
  </r>
  <r>
    <x v="62"/>
    <n v="63"/>
    <x v="2"/>
    <x v="1"/>
    <x v="0"/>
    <x v="27"/>
    <x v="1"/>
    <x v="3"/>
    <x v="5"/>
    <x v="18"/>
    <x v="44"/>
    <x v="12"/>
    <n v="60"/>
    <n v="40"/>
    <n v="130"/>
    <n v="40"/>
    <x v="44"/>
    <x v="18"/>
    <x v="51"/>
    <x v="58"/>
    <n v="1.05"/>
    <n v="-4"/>
    <x v="0"/>
    <n v="39.1"/>
    <x v="62"/>
    <n v="5004"/>
    <n v="760"/>
    <n v="1.3631200302915562E-2"/>
    <s v="Dec-12"/>
    <x v="9"/>
    <n v="2.2063492063492065"/>
  </r>
  <r>
    <x v="67"/>
    <n v="49"/>
    <x v="2"/>
    <x v="1"/>
    <x v="2"/>
    <x v="20"/>
    <x v="1"/>
    <x v="2"/>
    <x v="4"/>
    <x v="6"/>
    <x v="11"/>
    <x v="5"/>
    <n v="40"/>
    <n v="40"/>
    <n v="110"/>
    <n v="44"/>
    <x v="11"/>
    <x v="6"/>
    <x v="73"/>
    <x v="200"/>
    <n v="1.2250000000000001"/>
    <n v="-19"/>
    <x v="0"/>
    <n v="39.475000000000001"/>
    <x v="228"/>
    <n v="2394"/>
    <n v="704"/>
    <n v="1.1513157894736841E-2"/>
    <s v="Dec-12"/>
    <x v="7"/>
    <n v="2.3265306122448979"/>
  </r>
  <r>
    <x v="9"/>
    <n v="50"/>
    <x v="2"/>
    <x v="1"/>
    <x v="3"/>
    <x v="10"/>
    <x v="1"/>
    <x v="2"/>
    <x v="4"/>
    <x v="17"/>
    <x v="1"/>
    <x v="8"/>
    <n v="40"/>
    <n v="50"/>
    <n v="110"/>
    <n v="26"/>
    <x v="1"/>
    <x v="17"/>
    <x v="82"/>
    <x v="124"/>
    <n v="1.25"/>
    <n v="-3"/>
    <x v="0"/>
    <n v="49.06"/>
    <x v="136"/>
    <n v="5781"/>
    <n v="364"/>
    <n v="2.72938443670151E-2"/>
    <s v="Dec-12"/>
    <x v="0"/>
    <n v="2.46"/>
  </r>
  <r>
    <x v="10"/>
    <n v="52"/>
    <x v="2"/>
    <x v="1"/>
    <x v="2"/>
    <x v="20"/>
    <x v="1"/>
    <x v="3"/>
    <x v="6"/>
    <x v="8"/>
    <x v="35"/>
    <x v="9"/>
    <n v="40"/>
    <n v="50"/>
    <n v="110"/>
    <n v="38"/>
    <x v="35"/>
    <x v="8"/>
    <x v="6"/>
    <x v="201"/>
    <n v="1.3"/>
    <n v="-13"/>
    <x v="0"/>
    <n v="49.26"/>
    <x v="229"/>
    <n v="4699"/>
    <n v="608"/>
    <n v="1.8208661417322834E-2"/>
    <s v="Dec-12"/>
    <x v="0"/>
    <n v="2.4423076923076925"/>
  </r>
  <r>
    <x v="42"/>
    <n v="55"/>
    <x v="2"/>
    <x v="1"/>
    <x v="2"/>
    <x v="24"/>
    <x v="1"/>
    <x v="2"/>
    <x v="8"/>
    <x v="13"/>
    <x v="41"/>
    <x v="5"/>
    <n v="50"/>
    <n v="10"/>
    <n v="120"/>
    <n v="78"/>
    <x v="41"/>
    <x v="13"/>
    <x v="76"/>
    <x v="202"/>
    <n v="1.1000000000000001"/>
    <n v="-12"/>
    <x v="0"/>
    <n v="10.199999999999999"/>
    <x v="230"/>
    <n v="-262"/>
    <n v="3822.0000000000005"/>
    <n v="-3.1157501168406292E-4"/>
    <s v="Dec-12"/>
    <x v="8"/>
    <n v="2.3818181818181818"/>
  </r>
  <r>
    <x v="10"/>
    <n v="49"/>
    <x v="2"/>
    <x v="1"/>
    <x v="2"/>
    <x v="25"/>
    <x v="1"/>
    <x v="2"/>
    <x v="8"/>
    <x v="64"/>
    <x v="15"/>
    <x v="9"/>
    <n v="40"/>
    <n v="10"/>
    <n v="110"/>
    <n v="73"/>
    <x v="15"/>
    <x v="64"/>
    <x v="43"/>
    <x v="138"/>
    <n v="1.2250000000000001"/>
    <n v="-14"/>
    <x v="0"/>
    <n v="10.4"/>
    <x v="152"/>
    <n v="-472"/>
    <n v="3212"/>
    <n v="-7.7041602465331282E-4"/>
    <s v="Dec-12"/>
    <x v="10"/>
    <n v="2.4081632653061225"/>
  </r>
  <r>
    <x v="12"/>
    <n v="41"/>
    <x v="2"/>
    <x v="1"/>
    <x v="3"/>
    <x v="2"/>
    <x v="1"/>
    <x v="3"/>
    <x v="7"/>
    <x v="12"/>
    <x v="55"/>
    <x v="11"/>
    <n v="40"/>
    <n v="20"/>
    <n v="110"/>
    <n v="56"/>
    <x v="55"/>
    <x v="12"/>
    <x v="1"/>
    <x v="203"/>
    <n v="1.0249999999999999"/>
    <n v="-19"/>
    <x v="0"/>
    <n v="19.95"/>
    <x v="231"/>
    <n v="98"/>
    <n v="728"/>
    <n v="7.8492935635792783E-4"/>
    <s v="Dec-12"/>
    <x v="9"/>
    <n v="2.3902439024390243"/>
  </r>
  <r>
    <x v="12"/>
    <n v="54"/>
    <x v="2"/>
    <x v="1"/>
    <x v="3"/>
    <x v="1"/>
    <x v="1"/>
    <x v="2"/>
    <x v="8"/>
    <x v="2"/>
    <x v="35"/>
    <x v="11"/>
    <n v="50"/>
    <n v="40"/>
    <n v="120"/>
    <n v="45"/>
    <x v="35"/>
    <x v="2"/>
    <x v="44"/>
    <x v="45"/>
    <n v="1.08"/>
    <n v="-12"/>
    <x v="0"/>
    <n v="39.299999999999997"/>
    <x v="50"/>
    <n v="3556"/>
    <n v="765"/>
    <n v="1.2968967114404817E-2"/>
    <s v="Dec-12"/>
    <x v="6"/>
    <n v="2.3518518518518516"/>
  </r>
  <r>
    <x v="47"/>
    <n v="65"/>
    <x v="2"/>
    <x v="1"/>
    <x v="1"/>
    <x v="23"/>
    <x v="0"/>
    <x v="0"/>
    <x v="10"/>
    <x v="57"/>
    <x v="36"/>
    <x v="6"/>
    <n v="60"/>
    <n v="20"/>
    <n v="130"/>
    <n v="58"/>
    <x v="36"/>
    <x v="57"/>
    <x v="49"/>
    <x v="173"/>
    <n v="1.0833333333333333"/>
    <n v="2"/>
    <x v="0"/>
    <n v="18.899999999999999"/>
    <x v="47"/>
    <n v="3190"/>
    <n v="1392"/>
    <n v="6.32183908045977E-3"/>
    <s v="Dec-12"/>
    <x v="8"/>
    <n v="2.2307692307692308"/>
  </r>
  <r>
    <x v="9"/>
    <n v="52"/>
    <x v="2"/>
    <x v="1"/>
    <x v="3"/>
    <x v="20"/>
    <x v="0"/>
    <x v="0"/>
    <x v="10"/>
    <x v="18"/>
    <x v="35"/>
    <x v="8"/>
    <n v="40"/>
    <n v="40"/>
    <n v="110"/>
    <n v="39"/>
    <x v="35"/>
    <x v="18"/>
    <x v="79"/>
    <x v="115"/>
    <n v="1.3"/>
    <n v="-4"/>
    <x v="0"/>
    <n v="39.1"/>
    <x v="45"/>
    <n v="4572"/>
    <n v="624"/>
    <n v="1.7716535433070866E-2"/>
    <s v="Dec-12"/>
    <x v="7"/>
    <n v="2.4423076923076925"/>
  </r>
  <r>
    <x v="15"/>
    <n v="48"/>
    <x v="2"/>
    <x v="1"/>
    <x v="3"/>
    <x v="6"/>
    <x v="0"/>
    <x v="0"/>
    <x v="0"/>
    <x v="2"/>
    <x v="0"/>
    <x v="8"/>
    <n v="40"/>
    <n v="40"/>
    <n v="110"/>
    <n v="46"/>
    <x v="0"/>
    <x v="2"/>
    <x v="47"/>
    <x v="51"/>
    <n v="1.2"/>
    <n v="-12"/>
    <x v="0"/>
    <n v="39.299999999999997"/>
    <x v="56"/>
    <n v="3416"/>
    <n v="690"/>
    <n v="1.5300546448087432E-2"/>
    <s v="Dec-12"/>
    <x v="7"/>
    <n v="2.5416666666666665"/>
  </r>
  <r>
    <x v="16"/>
    <n v="49"/>
    <x v="2"/>
    <x v="1"/>
    <x v="3"/>
    <x v="2"/>
    <x v="0"/>
    <x v="0"/>
    <x v="0"/>
    <x v="43"/>
    <x v="10"/>
    <x v="14"/>
    <n v="40"/>
    <n v="50"/>
    <n v="110"/>
    <n v="25"/>
    <x v="10"/>
    <x v="43"/>
    <x v="107"/>
    <x v="189"/>
    <n v="1.2250000000000001"/>
    <n v="-4"/>
    <x v="0"/>
    <n v="49.08"/>
    <x v="232"/>
    <n v="5520"/>
    <n v="325"/>
    <n v="2.9487179487179487E-2"/>
    <s v="Dec-12"/>
    <x v="0"/>
    <n v="2.4489795918367347"/>
  </r>
  <r>
    <x v="6"/>
    <n v="50"/>
    <x v="2"/>
    <x v="1"/>
    <x v="2"/>
    <x v="10"/>
    <x v="0"/>
    <x v="1"/>
    <x v="2"/>
    <x v="17"/>
    <x v="1"/>
    <x v="5"/>
    <n v="50"/>
    <n v="50"/>
    <n v="120"/>
    <n v="26"/>
    <x v="1"/>
    <x v="17"/>
    <x v="82"/>
    <x v="124"/>
    <n v="1"/>
    <n v="-3"/>
    <x v="0"/>
    <n v="49.06"/>
    <x v="136"/>
    <n v="5781"/>
    <n v="364"/>
    <n v="2.72938443670151E-2"/>
    <s v="Dec-12"/>
    <x v="7"/>
    <n v="2.46"/>
  </r>
  <r>
    <x v="104"/>
    <n v="51"/>
    <x v="3"/>
    <x v="0"/>
    <x v="0"/>
    <x v="0"/>
    <x v="1"/>
    <x v="3"/>
    <x v="5"/>
    <x v="11"/>
    <x v="45"/>
    <x v="18"/>
    <n v="40"/>
    <n v="30"/>
    <n v="110"/>
    <n v="76"/>
    <x v="45"/>
    <x v="11"/>
    <x v="52"/>
    <x v="60"/>
    <n v="1.2749999999999999"/>
    <n v="-37"/>
    <x v="0"/>
    <n v="30.233333333333334"/>
    <x v="64"/>
    <n v="-910"/>
    <n v="3496"/>
    <n v="-1.1705685618729098E-3"/>
    <s v="Oct-13"/>
    <x v="6"/>
    <n v="2.5490196078431371"/>
  </r>
  <r>
    <x v="69"/>
    <n v="52"/>
    <x v="3"/>
    <x v="0"/>
    <x v="0"/>
    <x v="1"/>
    <x v="1"/>
    <x v="3"/>
    <x v="6"/>
    <x v="40"/>
    <x v="41"/>
    <x v="18"/>
    <n v="40"/>
    <n v="60"/>
    <n v="110"/>
    <n v="45"/>
    <x v="41"/>
    <x v="40"/>
    <x v="36"/>
    <x v="61"/>
    <n v="1.3"/>
    <n v="-21"/>
    <x v="0"/>
    <n v="59.35"/>
    <x v="65"/>
    <n v="5109"/>
    <n v="765"/>
    <n v="1.7512348450830714E-2"/>
    <s v="Oct-13"/>
    <x v="2"/>
    <n v="2.5192307692307692"/>
  </r>
  <r>
    <x v="90"/>
    <n v="43"/>
    <x v="3"/>
    <x v="0"/>
    <x v="0"/>
    <x v="2"/>
    <x v="1"/>
    <x v="3"/>
    <x v="7"/>
    <x v="41"/>
    <x v="11"/>
    <x v="18"/>
    <n v="30"/>
    <n v="60"/>
    <n v="100"/>
    <n v="36"/>
    <x v="11"/>
    <x v="41"/>
    <x v="16"/>
    <x v="62"/>
    <n v="1.4333333333333333"/>
    <n v="-18"/>
    <x v="0"/>
    <n v="59.3"/>
    <x v="66"/>
    <n v="4788"/>
    <n v="468"/>
    <n v="2.8340080971659919E-2"/>
    <s v="Oct-13"/>
    <x v="1"/>
    <n v="2.6511627906976742"/>
  </r>
  <r>
    <x v="20"/>
    <n v="51"/>
    <x v="3"/>
    <x v="0"/>
    <x v="2"/>
    <x v="0"/>
    <x v="1"/>
    <x v="2"/>
    <x v="8"/>
    <x v="86"/>
    <x v="21"/>
    <x v="15"/>
    <n v="30"/>
    <n v="30"/>
    <n v="100"/>
    <n v="76"/>
    <x v="21"/>
    <x v="86"/>
    <x v="65"/>
    <x v="204"/>
    <n v="1.7"/>
    <n v="-46"/>
    <x v="0"/>
    <n v="30.533333333333335"/>
    <x v="233"/>
    <n v="-1984"/>
    <n v="3496"/>
    <n v="-2.8050490883590462E-3"/>
    <s v="Oct-13"/>
    <x v="7"/>
    <n v="2.4313725490196076"/>
  </r>
  <r>
    <x v="33"/>
    <n v="72"/>
    <x v="3"/>
    <x v="0"/>
    <x v="1"/>
    <x v="4"/>
    <x v="1"/>
    <x v="2"/>
    <x v="9"/>
    <x v="87"/>
    <x v="47"/>
    <x v="1"/>
    <n v="40"/>
    <n v="50"/>
    <n v="110"/>
    <n v="55"/>
    <x v="47"/>
    <x v="87"/>
    <x v="85"/>
    <x v="205"/>
    <n v="1.8"/>
    <n v="32"/>
    <x v="0"/>
    <n v="48.36"/>
    <x v="234"/>
    <n v="15908"/>
    <n v="1265"/>
    <n v="1.8377409233527566E-2"/>
    <s v="Oct-13"/>
    <x v="0"/>
    <n v="2.6944444444444446"/>
  </r>
  <r>
    <x v="105"/>
    <n v="48"/>
    <x v="3"/>
    <x v="0"/>
    <x v="2"/>
    <x v="2"/>
    <x v="0"/>
    <x v="1"/>
    <x v="3"/>
    <x v="88"/>
    <x v="53"/>
    <x v="2"/>
    <n v="50"/>
    <n v="60"/>
    <n v="120"/>
    <n v="24"/>
    <x v="53"/>
    <x v="88"/>
    <x v="31"/>
    <x v="206"/>
    <n v="0.96"/>
    <n v="8"/>
    <x v="0"/>
    <n v="58.866666666666667"/>
    <x v="235"/>
    <n v="8568"/>
    <n v="312"/>
    <n v="4.1514041514041512E-2"/>
    <s v="Oct-13"/>
    <x v="0"/>
    <n v="2.625"/>
  </r>
  <r>
    <x v="29"/>
    <n v="60"/>
    <x v="3"/>
    <x v="1"/>
    <x v="1"/>
    <x v="31"/>
    <x v="1"/>
    <x v="2"/>
    <x v="8"/>
    <x v="89"/>
    <x v="92"/>
    <x v="10"/>
    <n v="30"/>
    <n v="70"/>
    <n v="100"/>
    <n v="41"/>
    <x v="92"/>
    <x v="89"/>
    <x v="25"/>
    <x v="154"/>
    <n v="2"/>
    <n v="16"/>
    <x v="0"/>
    <n v="68.771428571428572"/>
    <x v="236"/>
    <n v="14534"/>
    <n v="738"/>
    <n v="2.827087442472058E-2"/>
    <s v="Oct-13"/>
    <x v="3"/>
    <n v="2.8166666666666669"/>
  </r>
  <r>
    <x v="49"/>
    <n v="52"/>
    <x v="3"/>
    <x v="1"/>
    <x v="3"/>
    <x v="1"/>
    <x v="1"/>
    <x v="2"/>
    <x v="8"/>
    <x v="54"/>
    <x v="41"/>
    <x v="11"/>
    <n v="30"/>
    <n v="60"/>
    <n v="100"/>
    <n v="44"/>
    <x v="41"/>
    <x v="54"/>
    <x v="79"/>
    <x v="207"/>
    <n v="1.7333333333333334"/>
    <n v="-20"/>
    <x v="0"/>
    <n v="59.333333333333336"/>
    <x v="237"/>
    <n v="5240"/>
    <n v="748"/>
    <n v="1.7961383026493041E-2"/>
    <s v="Oct-13"/>
    <x v="1"/>
    <n v="2.5192307692307692"/>
  </r>
  <r>
    <x v="16"/>
    <n v="56"/>
    <x v="3"/>
    <x v="1"/>
    <x v="3"/>
    <x v="28"/>
    <x v="1"/>
    <x v="2"/>
    <x v="8"/>
    <x v="10"/>
    <x v="108"/>
    <x v="14"/>
    <n v="40"/>
    <n v="50"/>
    <n v="110"/>
    <n v="54"/>
    <x v="108"/>
    <x v="10"/>
    <x v="60"/>
    <x v="208"/>
    <n v="1.4"/>
    <n v="-26"/>
    <x v="0"/>
    <n v="49.52"/>
    <x v="112"/>
    <n v="3216"/>
    <n v="1134"/>
    <n v="8.5287846481876331E-3"/>
    <s v="Oct-13"/>
    <x v="0"/>
    <n v="2.3928571428571428"/>
  </r>
  <r>
    <x v="28"/>
    <n v="56"/>
    <x v="3"/>
    <x v="1"/>
    <x v="1"/>
    <x v="28"/>
    <x v="0"/>
    <x v="0"/>
    <x v="10"/>
    <x v="10"/>
    <x v="108"/>
    <x v="6"/>
    <n v="40"/>
    <n v="50"/>
    <n v="110"/>
    <n v="54"/>
    <x v="108"/>
    <x v="10"/>
    <x v="60"/>
    <x v="208"/>
    <n v="1.4"/>
    <n v="-26"/>
    <x v="0"/>
    <n v="49.52"/>
    <x v="112"/>
    <n v="3216"/>
    <n v="1134"/>
    <n v="8.5287846481876331E-3"/>
    <s v="Oct-13"/>
    <x v="0"/>
    <n v="2.3928571428571428"/>
  </r>
  <r>
    <x v="9"/>
    <n v="45"/>
    <x v="3"/>
    <x v="1"/>
    <x v="3"/>
    <x v="10"/>
    <x v="0"/>
    <x v="0"/>
    <x v="0"/>
    <x v="28"/>
    <x v="26"/>
    <x v="8"/>
    <n v="20"/>
    <n v="60"/>
    <n v="90"/>
    <n v="46"/>
    <x v="26"/>
    <x v="28"/>
    <x v="10"/>
    <x v="209"/>
    <n v="2.25"/>
    <n v="-26"/>
    <x v="0"/>
    <n v="59.43333333333333"/>
    <x v="238"/>
    <n v="4114"/>
    <n v="644"/>
    <n v="2.0070838252656435E-2"/>
    <s v="Oct-13"/>
    <x v="3"/>
    <n v="2.6888888888888891"/>
  </r>
  <r>
    <x v="69"/>
    <n v="52"/>
    <x v="4"/>
    <x v="0"/>
    <x v="0"/>
    <x v="17"/>
    <x v="1"/>
    <x v="3"/>
    <x v="5"/>
    <x v="64"/>
    <x v="33"/>
    <x v="18"/>
    <n v="50"/>
    <n v="10"/>
    <n v="120"/>
    <n v="76"/>
    <x v="33"/>
    <x v="64"/>
    <x v="52"/>
    <x v="194"/>
    <n v="1.04"/>
    <n v="-14"/>
    <x v="0"/>
    <n v="10.4"/>
    <x v="239"/>
    <n v="-532"/>
    <n v="3572"/>
    <n v="-6.3989761638137894E-4"/>
    <s v="Nov-13"/>
    <x v="8"/>
    <n v="2.5576923076923075"/>
  </r>
  <r>
    <x v="104"/>
    <n v="46"/>
    <x v="4"/>
    <x v="0"/>
    <x v="0"/>
    <x v="10"/>
    <x v="1"/>
    <x v="3"/>
    <x v="7"/>
    <x v="17"/>
    <x v="26"/>
    <x v="18"/>
    <n v="40"/>
    <n v="40"/>
    <n v="110"/>
    <n v="36"/>
    <x v="26"/>
    <x v="17"/>
    <x v="107"/>
    <x v="124"/>
    <n v="1.1499999999999999"/>
    <n v="7"/>
    <x v="0"/>
    <n v="38.825000000000003"/>
    <x v="240"/>
    <n v="5687"/>
    <n v="504"/>
    <n v="2.7744982290436836E-2"/>
    <s v="Nov-13"/>
    <x v="7"/>
    <n v="2.6304347826086958"/>
  </r>
  <r>
    <x v="1"/>
    <n v="52"/>
    <x v="4"/>
    <x v="0"/>
    <x v="0"/>
    <x v="17"/>
    <x v="0"/>
    <x v="0"/>
    <x v="0"/>
    <x v="15"/>
    <x v="33"/>
    <x v="0"/>
    <n v="40"/>
    <n v="10"/>
    <n v="110"/>
    <n v="77"/>
    <x v="33"/>
    <x v="15"/>
    <x v="92"/>
    <x v="210"/>
    <n v="1.3"/>
    <n v="-16"/>
    <x v="0"/>
    <n v="10.6"/>
    <x v="241"/>
    <n v="-798"/>
    <n v="3619.0000000000005"/>
    <n v="-9.5984642457206835E-4"/>
    <s v="Nov-13"/>
    <x v="10"/>
    <n v="2.5576923076923075"/>
  </r>
  <r>
    <x v="1"/>
    <n v="59"/>
    <x v="4"/>
    <x v="0"/>
    <x v="0"/>
    <x v="27"/>
    <x v="0"/>
    <x v="0"/>
    <x v="1"/>
    <x v="17"/>
    <x v="32"/>
    <x v="0"/>
    <n v="50"/>
    <n v="40"/>
    <n v="120"/>
    <n v="47"/>
    <x v="32"/>
    <x v="17"/>
    <x v="110"/>
    <x v="211"/>
    <n v="1.18"/>
    <n v="7"/>
    <x v="0"/>
    <n v="38.825000000000003"/>
    <x v="242"/>
    <n v="6909"/>
    <n v="893"/>
    <n v="1.6827783745076978E-2"/>
    <s v="Nov-13"/>
    <x v="6"/>
    <n v="2.4915254237288136"/>
  </r>
  <r>
    <x v="22"/>
    <n v="59"/>
    <x v="4"/>
    <x v="0"/>
    <x v="1"/>
    <x v="27"/>
    <x v="0"/>
    <x v="0"/>
    <x v="10"/>
    <x v="17"/>
    <x v="32"/>
    <x v="1"/>
    <n v="50"/>
    <n v="40"/>
    <n v="120"/>
    <n v="47"/>
    <x v="32"/>
    <x v="17"/>
    <x v="110"/>
    <x v="211"/>
    <n v="1.18"/>
    <n v="7"/>
    <x v="0"/>
    <n v="38.825000000000003"/>
    <x v="242"/>
    <n v="6909"/>
    <n v="893"/>
    <n v="1.6827783745076978E-2"/>
    <s v="Nov-13"/>
    <x v="6"/>
    <n v="2.4915254237288136"/>
  </r>
  <r>
    <x v="106"/>
    <n v="50"/>
    <x v="4"/>
    <x v="0"/>
    <x v="2"/>
    <x v="10"/>
    <x v="0"/>
    <x v="1"/>
    <x v="3"/>
    <x v="50"/>
    <x v="41"/>
    <x v="19"/>
    <n v="50"/>
    <n v="50"/>
    <n v="120"/>
    <n v="26"/>
    <x v="41"/>
    <x v="50"/>
    <x v="8"/>
    <x v="68"/>
    <n v="1"/>
    <n v="20"/>
    <x v="0"/>
    <n v="48.6"/>
    <x v="166"/>
    <n v="9170"/>
    <n v="364"/>
    <n v="3.8167938931297711E-2"/>
    <s v="Nov-13"/>
    <x v="7"/>
    <n v="2.62"/>
  </r>
  <r>
    <x v="31"/>
    <n v="53"/>
    <x v="4"/>
    <x v="1"/>
    <x v="2"/>
    <x v="1"/>
    <x v="1"/>
    <x v="2"/>
    <x v="4"/>
    <x v="40"/>
    <x v="57"/>
    <x v="5"/>
    <n v="50"/>
    <n v="40"/>
    <n v="120"/>
    <n v="45"/>
    <x v="57"/>
    <x v="40"/>
    <x v="73"/>
    <x v="61"/>
    <n v="1.06"/>
    <n v="-1"/>
    <x v="0"/>
    <n v="39.024999999999999"/>
    <x v="65"/>
    <n v="5148"/>
    <n v="765"/>
    <n v="1.7379679144385027E-2"/>
    <s v="Nov-13"/>
    <x v="6"/>
    <n v="2.4905660377358489"/>
  </r>
  <r>
    <x v="9"/>
    <n v="54"/>
    <x v="4"/>
    <x v="1"/>
    <x v="3"/>
    <x v="6"/>
    <x v="1"/>
    <x v="2"/>
    <x v="4"/>
    <x v="61"/>
    <x v="29"/>
    <x v="8"/>
    <n v="50"/>
    <n v="50"/>
    <n v="120"/>
    <n v="26"/>
    <x v="29"/>
    <x v="61"/>
    <x v="105"/>
    <x v="98"/>
    <n v="1.08"/>
    <n v="27"/>
    <x v="0"/>
    <n v="48.46"/>
    <x v="243"/>
    <n v="10857"/>
    <n v="389.99999999999994"/>
    <n v="3.6406619385342794E-2"/>
    <s v="Nov-13"/>
    <x v="7"/>
    <n v="2.6111111111111112"/>
  </r>
  <r>
    <x v="39"/>
    <n v="43"/>
    <x v="4"/>
    <x v="1"/>
    <x v="1"/>
    <x v="10"/>
    <x v="1"/>
    <x v="3"/>
    <x v="7"/>
    <x v="27"/>
    <x v="52"/>
    <x v="17"/>
    <n v="50"/>
    <n v="30"/>
    <n v="120"/>
    <n v="46"/>
    <x v="52"/>
    <x v="27"/>
    <x v="32"/>
    <x v="33"/>
    <n v="0.86"/>
    <n v="0"/>
    <x v="0"/>
    <n v="29"/>
    <x v="100"/>
    <n v="3480"/>
    <n v="644"/>
    <n v="1.8472906403940885E-2"/>
    <s v="Nov-13"/>
    <x v="9"/>
    <n v="2.6976744186046511"/>
  </r>
  <r>
    <x v="11"/>
    <n v="61"/>
    <x v="4"/>
    <x v="1"/>
    <x v="1"/>
    <x v="21"/>
    <x v="1"/>
    <x v="2"/>
    <x v="9"/>
    <x v="12"/>
    <x v="63"/>
    <x v="10"/>
    <n v="40"/>
    <n v="10"/>
    <n v="110"/>
    <n v="85"/>
    <x v="63"/>
    <x v="12"/>
    <x v="71"/>
    <x v="40"/>
    <n v="1.5249999999999999"/>
    <n v="-9"/>
    <x v="0"/>
    <n v="9.9"/>
    <x v="43"/>
    <n v="157"/>
    <n v="4675"/>
    <n v="1.1580775911986103E-4"/>
    <s v="Nov-13"/>
    <x v="10"/>
    <n v="2.5737704918032787"/>
  </r>
  <r>
    <x v="12"/>
    <n v="55"/>
    <x v="4"/>
    <x v="1"/>
    <x v="3"/>
    <x v="14"/>
    <x v="1"/>
    <x v="2"/>
    <x v="9"/>
    <x v="10"/>
    <x v="57"/>
    <x v="11"/>
    <n v="50"/>
    <n v="30"/>
    <n v="120"/>
    <n v="53"/>
    <x v="57"/>
    <x v="10"/>
    <x v="13"/>
    <x v="212"/>
    <n v="1.1000000000000001"/>
    <n v="-6"/>
    <x v="0"/>
    <n v="29.2"/>
    <x v="244"/>
    <n v="3168"/>
    <n v="1060"/>
    <n v="9.0909090909090905E-3"/>
    <s v="Nov-13"/>
    <x v="9"/>
    <n v="2.4"/>
  </r>
  <r>
    <x v="42"/>
    <n v="82"/>
    <x v="4"/>
    <x v="1"/>
    <x v="2"/>
    <x v="33"/>
    <x v="0"/>
    <x v="0"/>
    <x v="0"/>
    <x v="4"/>
    <x v="109"/>
    <x v="5"/>
    <n v="60"/>
    <n v="30"/>
    <n v="130"/>
    <n v="64"/>
    <x v="109"/>
    <x v="4"/>
    <x v="65"/>
    <x v="213"/>
    <n v="1.3666666666666667"/>
    <n v="26"/>
    <x v="0"/>
    <n v="28.133333333333333"/>
    <x v="245"/>
    <n v="10976"/>
    <n v="1984"/>
    <n v="9.2165898617511521E-3"/>
    <s v="Nov-13"/>
    <x v="10"/>
    <n v="2.3902439024390243"/>
  </r>
  <r>
    <x v="65"/>
    <n v="61"/>
    <x v="4"/>
    <x v="1"/>
    <x v="0"/>
    <x v="21"/>
    <x v="0"/>
    <x v="1"/>
    <x v="11"/>
    <x v="83"/>
    <x v="63"/>
    <x v="13"/>
    <n v="50"/>
    <n v="0"/>
    <n v="120"/>
    <n v="84"/>
    <x v="63"/>
    <x v="83"/>
    <x v="114"/>
    <x v="214"/>
    <n v="1.22"/>
    <n v="3"/>
    <x v="0"/>
    <e v="#DIV/0!"/>
    <x v="246"/>
    <n v="471"/>
    <n v="4620"/>
    <n v="3.4742327735958308E-4"/>
    <s v="Nov-13"/>
    <x v="11"/>
    <n v="2.5737704918032787"/>
  </r>
  <r>
    <x v="30"/>
    <n v="53"/>
    <x v="4"/>
    <x v="1"/>
    <x v="3"/>
    <x v="20"/>
    <x v="0"/>
    <x v="1"/>
    <x v="2"/>
    <x v="59"/>
    <x v="61"/>
    <x v="14"/>
    <n v="30"/>
    <n v="50"/>
    <n v="100"/>
    <n v="39"/>
    <x v="61"/>
    <x v="59"/>
    <x v="45"/>
    <x v="95"/>
    <n v="1.7666666666666666"/>
    <n v="23"/>
    <x v="0"/>
    <n v="48.54"/>
    <x v="102"/>
    <n v="10950"/>
    <n v="624"/>
    <n v="3.0416666666666668E-2"/>
    <s v="Nov-13"/>
    <x v="2"/>
    <n v="2.8301886792452828"/>
  </r>
  <r>
    <x v="101"/>
    <n v="47"/>
    <x v="5"/>
    <x v="0"/>
    <x v="0"/>
    <x v="22"/>
    <x v="1"/>
    <x v="3"/>
    <x v="5"/>
    <x v="48"/>
    <x v="16"/>
    <x v="18"/>
    <n v="40"/>
    <n v="10"/>
    <n v="110"/>
    <n v="71"/>
    <x v="16"/>
    <x v="48"/>
    <x v="23"/>
    <x v="99"/>
    <n v="1.175"/>
    <n v="-19"/>
    <x v="0"/>
    <n v="10.9"/>
    <x v="107"/>
    <n v="-1071"/>
    <n v="2982"/>
    <n v="-1.8007202881152461E-3"/>
    <s v="Dec-13"/>
    <x v="10"/>
    <n v="2.5319148936170213"/>
  </r>
  <r>
    <x v="104"/>
    <n v="54"/>
    <x v="5"/>
    <x v="0"/>
    <x v="0"/>
    <x v="1"/>
    <x v="1"/>
    <x v="3"/>
    <x v="6"/>
    <x v="58"/>
    <x v="65"/>
    <x v="18"/>
    <n v="50"/>
    <n v="40"/>
    <n v="120"/>
    <n v="44"/>
    <x v="65"/>
    <x v="58"/>
    <x v="36"/>
    <x v="86"/>
    <n v="1.08"/>
    <n v="3"/>
    <x v="0"/>
    <n v="38.924999999999997"/>
    <x v="108"/>
    <n v="5805"/>
    <n v="748"/>
    <n v="1.8736383442265796E-2"/>
    <s v="Dec-13"/>
    <x v="6"/>
    <n v="2.5"/>
  </r>
  <r>
    <x v="107"/>
    <n v="67"/>
    <x v="5"/>
    <x v="0"/>
    <x v="1"/>
    <x v="34"/>
    <x v="1"/>
    <x v="2"/>
    <x v="9"/>
    <x v="50"/>
    <x v="110"/>
    <x v="1"/>
    <n v="50"/>
    <n v="30"/>
    <n v="120"/>
    <n v="54"/>
    <x v="110"/>
    <x v="50"/>
    <x v="26"/>
    <x v="215"/>
    <n v="1.34"/>
    <n v="40"/>
    <x v="0"/>
    <n v="27.666666666666668"/>
    <x v="247"/>
    <n v="12530"/>
    <n v="1188"/>
    <n v="1.7775520568816656E-2"/>
    <s v="Dec-13"/>
    <x v="9"/>
    <n v="2.6716417910447761"/>
  </r>
  <r>
    <x v="89"/>
    <n v="54"/>
    <x v="5"/>
    <x v="0"/>
    <x v="0"/>
    <x v="6"/>
    <x v="0"/>
    <x v="1"/>
    <x v="2"/>
    <x v="63"/>
    <x v="64"/>
    <x v="16"/>
    <n v="40"/>
    <n v="50"/>
    <n v="110"/>
    <n v="26"/>
    <x v="64"/>
    <x v="63"/>
    <x v="17"/>
    <x v="104"/>
    <n v="1.35"/>
    <n v="29"/>
    <x v="0"/>
    <n v="48.42"/>
    <x v="113"/>
    <n v="11218"/>
    <n v="390"/>
    <n v="3.7089201877934269E-2"/>
    <s v="Dec-13"/>
    <x v="0"/>
    <n v="2.6296296296296298"/>
  </r>
  <r>
    <x v="54"/>
    <n v="63"/>
    <x v="5"/>
    <x v="1"/>
    <x v="0"/>
    <x v="27"/>
    <x v="1"/>
    <x v="3"/>
    <x v="5"/>
    <x v="36"/>
    <x v="74"/>
    <x v="12"/>
    <n v="60"/>
    <n v="40"/>
    <n v="130"/>
    <n v="40"/>
    <x v="74"/>
    <x v="36"/>
    <x v="78"/>
    <x v="113"/>
    <n v="1.05"/>
    <n v="13"/>
    <x v="0"/>
    <n v="38.674999999999997"/>
    <x v="121"/>
    <n v="7844"/>
    <n v="760.00000000000011"/>
    <n v="1.8847795163584636E-2"/>
    <s v="Dec-13"/>
    <x v="9"/>
    <n v="2.3492063492063493"/>
  </r>
  <r>
    <x v="31"/>
    <n v="49"/>
    <x v="5"/>
    <x v="1"/>
    <x v="2"/>
    <x v="20"/>
    <x v="1"/>
    <x v="2"/>
    <x v="4"/>
    <x v="5"/>
    <x v="26"/>
    <x v="5"/>
    <n v="40"/>
    <n v="40"/>
    <n v="110"/>
    <n v="44"/>
    <x v="26"/>
    <x v="5"/>
    <x v="6"/>
    <x v="216"/>
    <n v="1.2250000000000001"/>
    <n v="-9"/>
    <x v="0"/>
    <n v="39.225000000000001"/>
    <x v="248"/>
    <n v="3751"/>
    <n v="704"/>
    <n v="1.6012396694214875E-2"/>
    <s v="Dec-13"/>
    <x v="7"/>
    <n v="2.4693877551020407"/>
  </r>
  <r>
    <x v="9"/>
    <n v="50"/>
    <x v="5"/>
    <x v="1"/>
    <x v="3"/>
    <x v="10"/>
    <x v="1"/>
    <x v="2"/>
    <x v="4"/>
    <x v="50"/>
    <x v="41"/>
    <x v="8"/>
    <n v="40"/>
    <n v="50"/>
    <n v="110"/>
    <n v="26"/>
    <x v="41"/>
    <x v="50"/>
    <x v="8"/>
    <x v="68"/>
    <n v="1.25"/>
    <n v="20"/>
    <x v="0"/>
    <n v="48.6"/>
    <x v="166"/>
    <n v="9170"/>
    <n v="364"/>
    <n v="3.8167938931297711E-2"/>
    <s v="Dec-13"/>
    <x v="0"/>
    <n v="2.62"/>
  </r>
  <r>
    <x v="10"/>
    <n v="52"/>
    <x v="5"/>
    <x v="1"/>
    <x v="2"/>
    <x v="20"/>
    <x v="1"/>
    <x v="3"/>
    <x v="6"/>
    <x v="45"/>
    <x v="65"/>
    <x v="9"/>
    <n v="40"/>
    <n v="50"/>
    <n v="110"/>
    <n v="38"/>
    <x v="65"/>
    <x v="45"/>
    <x v="46"/>
    <x v="217"/>
    <n v="1.3"/>
    <n v="5"/>
    <x v="0"/>
    <n v="48.9"/>
    <x v="249"/>
    <n v="7425"/>
    <n v="608"/>
    <n v="2.5462962962962962E-2"/>
    <s v="Dec-13"/>
    <x v="0"/>
    <n v="2.5961538461538463"/>
  </r>
  <r>
    <x v="31"/>
    <n v="55"/>
    <x v="5"/>
    <x v="1"/>
    <x v="2"/>
    <x v="24"/>
    <x v="1"/>
    <x v="2"/>
    <x v="8"/>
    <x v="37"/>
    <x v="71"/>
    <x v="5"/>
    <n v="50"/>
    <n v="10"/>
    <n v="120"/>
    <n v="78"/>
    <x v="71"/>
    <x v="37"/>
    <x v="12"/>
    <x v="52"/>
    <n v="1.1000000000000001"/>
    <n v="-13"/>
    <x v="0"/>
    <n v="10.3"/>
    <x v="250"/>
    <n v="-420"/>
    <n v="3822"/>
    <n v="-4.3731778425655976E-4"/>
    <s v="Dec-13"/>
    <x v="8"/>
    <n v="2.5454545454545454"/>
  </r>
  <r>
    <x v="10"/>
    <n v="49"/>
    <x v="5"/>
    <x v="1"/>
    <x v="2"/>
    <x v="25"/>
    <x v="1"/>
    <x v="2"/>
    <x v="8"/>
    <x v="15"/>
    <x v="53"/>
    <x v="9"/>
    <n v="40"/>
    <n v="10"/>
    <n v="110"/>
    <n v="73"/>
    <x v="53"/>
    <x v="15"/>
    <x v="104"/>
    <x v="158"/>
    <n v="1.2250000000000001"/>
    <n v="-16"/>
    <x v="0"/>
    <n v="10.6"/>
    <x v="182"/>
    <n v="-756"/>
    <n v="3212.0000000000005"/>
    <n v="-1.0822510822510823E-3"/>
    <s v="Dec-13"/>
    <x v="10"/>
    <n v="2.5714285714285716"/>
  </r>
  <r>
    <x v="49"/>
    <n v="41"/>
    <x v="5"/>
    <x v="1"/>
    <x v="3"/>
    <x v="2"/>
    <x v="1"/>
    <x v="3"/>
    <x v="7"/>
    <x v="12"/>
    <x v="111"/>
    <x v="11"/>
    <n v="40"/>
    <n v="20"/>
    <n v="110"/>
    <n v="56"/>
    <x v="111"/>
    <x v="12"/>
    <x v="51"/>
    <x v="203"/>
    <n v="1.0249999999999999"/>
    <n v="-19"/>
    <x v="0"/>
    <n v="19.95"/>
    <x v="231"/>
    <n v="104"/>
    <n v="728"/>
    <n v="7.3964497041420127E-4"/>
    <s v="Dec-13"/>
    <x v="9"/>
    <n v="2.5365853658536586"/>
  </r>
  <r>
    <x v="12"/>
    <n v="54"/>
    <x v="5"/>
    <x v="1"/>
    <x v="3"/>
    <x v="1"/>
    <x v="1"/>
    <x v="2"/>
    <x v="8"/>
    <x v="41"/>
    <x v="65"/>
    <x v="11"/>
    <n v="50"/>
    <n v="40"/>
    <n v="120"/>
    <n v="45"/>
    <x v="65"/>
    <x v="41"/>
    <x v="73"/>
    <x v="102"/>
    <n v="1.08"/>
    <n v="2"/>
    <x v="0"/>
    <n v="38.950000000000003"/>
    <x v="111"/>
    <n v="5670"/>
    <n v="765"/>
    <n v="1.8300653594771243E-2"/>
    <s v="Dec-13"/>
    <x v="6"/>
    <n v="2.5"/>
  </r>
  <r>
    <x v="47"/>
    <n v="65"/>
    <x v="5"/>
    <x v="1"/>
    <x v="1"/>
    <x v="23"/>
    <x v="0"/>
    <x v="0"/>
    <x v="10"/>
    <x v="9"/>
    <x v="66"/>
    <x v="6"/>
    <n v="60"/>
    <n v="20"/>
    <n v="130"/>
    <n v="58"/>
    <x v="66"/>
    <x v="9"/>
    <x v="43"/>
    <x v="218"/>
    <n v="1.0833333333333333"/>
    <n v="13"/>
    <x v="0"/>
    <n v="18.350000000000001"/>
    <x v="251"/>
    <n v="5115"/>
    <n v="1392"/>
    <n v="8.870967741935484E-3"/>
    <s v="Dec-13"/>
    <x v="8"/>
    <n v="2.3846153846153846"/>
  </r>
  <r>
    <x v="9"/>
    <n v="52"/>
    <x v="5"/>
    <x v="1"/>
    <x v="3"/>
    <x v="20"/>
    <x v="0"/>
    <x v="0"/>
    <x v="10"/>
    <x v="36"/>
    <x v="65"/>
    <x v="8"/>
    <n v="40"/>
    <n v="40"/>
    <n v="110"/>
    <n v="39"/>
    <x v="65"/>
    <x v="36"/>
    <x v="90"/>
    <x v="219"/>
    <n v="1.3"/>
    <n v="13"/>
    <x v="0"/>
    <n v="38.674999999999997"/>
    <x v="252"/>
    <n v="7155"/>
    <n v="624"/>
    <n v="2.4537037037037038E-2"/>
    <s v="Dec-13"/>
    <x v="7"/>
    <n v="2.5961538461538463"/>
  </r>
  <r>
    <x v="9"/>
    <n v="48"/>
    <x v="5"/>
    <x v="1"/>
    <x v="3"/>
    <x v="6"/>
    <x v="0"/>
    <x v="0"/>
    <x v="0"/>
    <x v="41"/>
    <x v="45"/>
    <x v="8"/>
    <n v="40"/>
    <n v="40"/>
    <n v="110"/>
    <n v="46"/>
    <x v="45"/>
    <x v="41"/>
    <x v="75"/>
    <x v="107"/>
    <n v="1.2"/>
    <n v="2"/>
    <x v="0"/>
    <n v="38.950000000000003"/>
    <x v="116"/>
    <n v="5460"/>
    <n v="690"/>
    <n v="2.1538461538461538E-2"/>
    <s v="Dec-13"/>
    <x v="7"/>
    <n v="2.7083333333333335"/>
  </r>
  <r>
    <x v="16"/>
    <n v="49"/>
    <x v="5"/>
    <x v="1"/>
    <x v="3"/>
    <x v="2"/>
    <x v="0"/>
    <x v="0"/>
    <x v="0"/>
    <x v="88"/>
    <x v="51"/>
    <x v="14"/>
    <n v="40"/>
    <n v="50"/>
    <n v="110"/>
    <n v="25"/>
    <x v="51"/>
    <x v="88"/>
    <x v="64"/>
    <x v="206"/>
    <n v="1.2250000000000001"/>
    <n v="18"/>
    <x v="0"/>
    <n v="48.64"/>
    <x v="253"/>
    <n v="8704"/>
    <n v="325"/>
    <n v="4.0865384615384616E-2"/>
    <s v="Dec-13"/>
    <x v="0"/>
    <n v="2.6122448979591835"/>
  </r>
  <r>
    <x v="67"/>
    <n v="50"/>
    <x v="5"/>
    <x v="1"/>
    <x v="2"/>
    <x v="10"/>
    <x v="0"/>
    <x v="1"/>
    <x v="2"/>
    <x v="50"/>
    <x v="41"/>
    <x v="5"/>
    <n v="50"/>
    <n v="50"/>
    <n v="120"/>
    <n v="26"/>
    <x v="41"/>
    <x v="50"/>
    <x v="8"/>
    <x v="68"/>
    <n v="1"/>
    <n v="20"/>
    <x v="0"/>
    <n v="48.6"/>
    <x v="166"/>
    <n v="9170"/>
    <n v="364"/>
    <n v="3.8167938931297711E-2"/>
    <s v="Dec-13"/>
    <x v="7"/>
    <n v="2.62"/>
  </r>
  <r>
    <x v="90"/>
    <n v="21"/>
    <x v="0"/>
    <x v="0"/>
    <x v="0"/>
    <x v="35"/>
    <x v="0"/>
    <x v="0"/>
    <x v="10"/>
    <x v="38"/>
    <x v="112"/>
    <x v="18"/>
    <n v="0"/>
    <n v="30"/>
    <n v="30"/>
    <n v="16"/>
    <x v="112"/>
    <x v="38"/>
    <x v="102"/>
    <x v="220"/>
    <e v="#DIV/0!"/>
    <n v="-14"/>
    <x v="0"/>
    <n v="29.466666666666665"/>
    <x v="254"/>
    <n v="848"/>
    <n v="80"/>
    <n v="6.0377358490566038E-2"/>
    <s v="Oct-12"/>
    <x v="4"/>
    <n v="2.5238095238095237"/>
  </r>
  <r>
    <x v="101"/>
    <n v="27"/>
    <x v="0"/>
    <x v="0"/>
    <x v="0"/>
    <x v="7"/>
    <x v="0"/>
    <x v="0"/>
    <x v="0"/>
    <x v="30"/>
    <x v="7"/>
    <x v="18"/>
    <n v="10"/>
    <n v="30"/>
    <n v="40"/>
    <n v="19"/>
    <x v="7"/>
    <x v="30"/>
    <x v="66"/>
    <x v="117"/>
    <n v="2.7"/>
    <n v="-10"/>
    <x v="0"/>
    <n v="29.333333333333332"/>
    <x v="126"/>
    <n v="1320"/>
    <n v="133"/>
    <n v="4.3290043290043288E-2"/>
    <s v="Oct-12"/>
    <x v="12"/>
    <n v="2.4444444444444446"/>
  </r>
  <r>
    <x v="3"/>
    <n v="56"/>
    <x v="0"/>
    <x v="0"/>
    <x v="2"/>
    <x v="28"/>
    <x v="0"/>
    <x v="0"/>
    <x v="0"/>
    <x v="38"/>
    <x v="53"/>
    <x v="2"/>
    <n v="30"/>
    <n v="20"/>
    <n v="60"/>
    <n v="54"/>
    <x v="53"/>
    <x v="38"/>
    <x v="60"/>
    <x v="191"/>
    <n v="1.8666666666666667"/>
    <n v="-4"/>
    <x v="0"/>
    <n v="19.2"/>
    <x v="51"/>
    <n v="2016"/>
    <n v="1134"/>
    <n v="6.0468631897203319E-3"/>
    <s v="Oct-12"/>
    <x v="1"/>
    <n v="2.25"/>
  </r>
  <r>
    <x v="108"/>
    <n v="54"/>
    <x v="0"/>
    <x v="0"/>
    <x v="2"/>
    <x v="14"/>
    <x v="0"/>
    <x v="0"/>
    <x v="0"/>
    <x v="32"/>
    <x v="10"/>
    <x v="15"/>
    <n v="30"/>
    <n v="20"/>
    <n v="60"/>
    <n v="53"/>
    <x v="10"/>
    <x v="32"/>
    <x v="33"/>
    <x v="37"/>
    <n v="1.8"/>
    <n v="-7"/>
    <x v="0"/>
    <n v="19.350000000000001"/>
    <x v="124"/>
    <n v="1560"/>
    <n v="1060"/>
    <n v="5.4166666666666669E-3"/>
    <s v="Oct-12"/>
    <x v="1"/>
    <n v="2.2222222222222223"/>
  </r>
  <r>
    <x v="109"/>
    <n v="21"/>
    <x v="0"/>
    <x v="0"/>
    <x v="2"/>
    <x v="35"/>
    <x v="0"/>
    <x v="1"/>
    <x v="3"/>
    <x v="25"/>
    <x v="112"/>
    <x v="15"/>
    <n v="20"/>
    <n v="30"/>
    <n v="50"/>
    <n v="17"/>
    <x v="112"/>
    <x v="25"/>
    <x v="115"/>
    <x v="7"/>
    <n v="1.05"/>
    <n v="-15"/>
    <x v="0"/>
    <n v="29.5"/>
    <x v="255"/>
    <n v="795"/>
    <n v="85"/>
    <n v="5.6603773584905662E-2"/>
    <s v="Oct-12"/>
    <x v="5"/>
    <n v="2.5238095238095237"/>
  </r>
  <r>
    <x v="39"/>
    <n v="39"/>
    <x v="0"/>
    <x v="1"/>
    <x v="1"/>
    <x v="13"/>
    <x v="1"/>
    <x v="2"/>
    <x v="4"/>
    <x v="29"/>
    <x v="19"/>
    <x v="17"/>
    <n v="20"/>
    <n v="20"/>
    <n v="50"/>
    <n v="39"/>
    <x v="19"/>
    <x v="29"/>
    <x v="69"/>
    <x v="221"/>
    <n v="1.95"/>
    <n v="-6"/>
    <x v="0"/>
    <n v="19.3"/>
    <x v="256"/>
    <n v="1288"/>
    <n v="467.99999999999994"/>
    <n v="1.2681159420289856E-2"/>
    <s v="Oct-12"/>
    <x v="3"/>
    <n v="2.358974358974359"/>
  </r>
  <r>
    <x v="48"/>
    <n v="23"/>
    <x v="0"/>
    <x v="1"/>
    <x v="3"/>
    <x v="29"/>
    <x v="1"/>
    <x v="2"/>
    <x v="4"/>
    <x v="39"/>
    <x v="78"/>
    <x v="7"/>
    <n v="10"/>
    <n v="30"/>
    <n v="40"/>
    <n v="18"/>
    <x v="78"/>
    <x v="39"/>
    <x v="67"/>
    <x v="136"/>
    <n v="2.2999999999999998"/>
    <n v="-13"/>
    <x v="0"/>
    <n v="29.433333333333334"/>
    <x v="129"/>
    <n v="986"/>
    <n v="108"/>
    <n v="4.8850574712643681E-2"/>
    <s v="Oct-12"/>
    <x v="12"/>
    <n v="2.5217391304347827"/>
  </r>
  <r>
    <x v="46"/>
    <n v="21"/>
    <x v="0"/>
    <x v="1"/>
    <x v="0"/>
    <x v="35"/>
    <x v="1"/>
    <x v="3"/>
    <x v="6"/>
    <x v="25"/>
    <x v="97"/>
    <x v="4"/>
    <n v="10"/>
    <n v="30"/>
    <n v="40"/>
    <n v="16"/>
    <x v="97"/>
    <x v="25"/>
    <x v="102"/>
    <x v="7"/>
    <n v="2.1"/>
    <n v="-15"/>
    <x v="0"/>
    <n v="29.5"/>
    <x v="149"/>
    <n v="780"/>
    <n v="80"/>
    <n v="5.7692307692307696E-2"/>
    <s v="Oct-12"/>
    <x v="12"/>
    <n v="2.4761904761904763"/>
  </r>
  <r>
    <x v="10"/>
    <n v="25"/>
    <x v="0"/>
    <x v="1"/>
    <x v="2"/>
    <x v="8"/>
    <x v="1"/>
    <x v="2"/>
    <x v="12"/>
    <x v="55"/>
    <x v="82"/>
    <x v="9"/>
    <n v="10"/>
    <n v="10"/>
    <n v="40"/>
    <n v="43"/>
    <x v="82"/>
    <x v="55"/>
    <x v="103"/>
    <x v="222"/>
    <n v="2.5"/>
    <n v="-22"/>
    <x v="0"/>
    <n v="11.2"/>
    <x v="257"/>
    <n v="-672"/>
    <n v="387"/>
    <n v="-2.3809523809523808E-2"/>
    <s v="Oct-12"/>
    <x v="3"/>
    <n v="2.2400000000000002"/>
  </r>
  <r>
    <x v="47"/>
    <n v="21"/>
    <x v="0"/>
    <x v="1"/>
    <x v="1"/>
    <x v="35"/>
    <x v="1"/>
    <x v="2"/>
    <x v="8"/>
    <x v="25"/>
    <x v="112"/>
    <x v="6"/>
    <n v="0"/>
    <n v="30"/>
    <n v="30"/>
    <n v="17"/>
    <x v="112"/>
    <x v="25"/>
    <x v="115"/>
    <x v="7"/>
    <e v="#DIV/0!"/>
    <n v="-15"/>
    <x v="0"/>
    <n v="29.5"/>
    <x v="255"/>
    <n v="795"/>
    <n v="85"/>
    <n v="5.6603773584905662E-2"/>
    <s v="Oct-12"/>
    <x v="4"/>
    <n v="2.5238095238095237"/>
  </r>
  <r>
    <x v="48"/>
    <n v="0"/>
    <x v="0"/>
    <x v="1"/>
    <x v="3"/>
    <x v="5"/>
    <x v="1"/>
    <x v="2"/>
    <x v="9"/>
    <x v="71"/>
    <x v="5"/>
    <x v="7"/>
    <n v="0"/>
    <n v="30"/>
    <n v="30"/>
    <n v="11"/>
    <x v="5"/>
    <x v="71"/>
    <x v="88"/>
    <x v="5"/>
    <e v="#DIV/0!"/>
    <n v="2"/>
    <x v="0"/>
    <n v="28.933333333333334"/>
    <x v="148"/>
    <n v="1376"/>
    <e v="#DIV/0!"/>
    <e v="#DIV/0!"/>
    <s v="Oct-12"/>
    <x v="4"/>
    <e v="#DIV/0!"/>
  </r>
  <r>
    <x v="10"/>
    <n v="34"/>
    <x v="0"/>
    <x v="1"/>
    <x v="2"/>
    <x v="13"/>
    <x v="0"/>
    <x v="0"/>
    <x v="0"/>
    <x v="37"/>
    <x v="14"/>
    <x v="9"/>
    <n v="10"/>
    <n v="20"/>
    <n v="40"/>
    <n v="46"/>
    <x v="14"/>
    <x v="37"/>
    <x v="46"/>
    <x v="72"/>
    <n v="3.4"/>
    <n v="-23"/>
    <x v="0"/>
    <n v="20.149999999999999"/>
    <x v="258"/>
    <n v="-231"/>
    <n v="552"/>
    <n v="-3.246753246753247E-3"/>
    <s v="Oct-12"/>
    <x v="5"/>
    <n v="2.2647058823529411"/>
  </r>
  <r>
    <x v="39"/>
    <n v="21"/>
    <x v="0"/>
    <x v="1"/>
    <x v="1"/>
    <x v="35"/>
    <x v="0"/>
    <x v="0"/>
    <x v="10"/>
    <x v="29"/>
    <x v="97"/>
    <x v="17"/>
    <n v="10"/>
    <n v="30"/>
    <n v="40"/>
    <n v="17"/>
    <x v="97"/>
    <x v="29"/>
    <x v="115"/>
    <x v="107"/>
    <n v="2.1"/>
    <n v="-16"/>
    <x v="0"/>
    <n v="29.533333333333335"/>
    <x v="259"/>
    <n v="728"/>
    <n v="85"/>
    <n v="5.3846153846153842E-2"/>
    <s v="Oct-12"/>
    <x v="12"/>
    <n v="2.4761904761904763"/>
  </r>
  <r>
    <x v="17"/>
    <n v="25"/>
    <x v="0"/>
    <x v="1"/>
    <x v="3"/>
    <x v="7"/>
    <x v="0"/>
    <x v="0"/>
    <x v="10"/>
    <x v="39"/>
    <x v="113"/>
    <x v="11"/>
    <n v="10"/>
    <n v="30"/>
    <n v="40"/>
    <n v="19"/>
    <x v="113"/>
    <x v="39"/>
    <x v="100"/>
    <x v="209"/>
    <n v="2.5"/>
    <n v="-13"/>
    <x v="0"/>
    <n v="29.433333333333334"/>
    <x v="260"/>
    <n v="1037"/>
    <n v="133"/>
    <n v="3.9812646370023415E-2"/>
    <s v="Oct-12"/>
    <x v="12"/>
    <n v="2.44"/>
  </r>
  <r>
    <x v="26"/>
    <n v="34"/>
    <x v="0"/>
    <x v="1"/>
    <x v="0"/>
    <x v="13"/>
    <x v="0"/>
    <x v="1"/>
    <x v="3"/>
    <x v="37"/>
    <x v="14"/>
    <x v="12"/>
    <n v="10"/>
    <n v="10"/>
    <n v="40"/>
    <n v="46"/>
    <x v="14"/>
    <x v="37"/>
    <x v="46"/>
    <x v="72"/>
    <n v="3.4"/>
    <n v="-13"/>
    <x v="0"/>
    <n v="10.3"/>
    <x v="258"/>
    <n v="-231"/>
    <n v="552"/>
    <n v="-3.246753246753247E-3"/>
    <s v="Oct-12"/>
    <x v="3"/>
    <n v="2.2647058823529411"/>
  </r>
  <r>
    <x v="10"/>
    <n v="21"/>
    <x v="0"/>
    <x v="1"/>
    <x v="2"/>
    <x v="35"/>
    <x v="0"/>
    <x v="1"/>
    <x v="2"/>
    <x v="29"/>
    <x v="97"/>
    <x v="9"/>
    <n v="20"/>
    <n v="30"/>
    <n v="50"/>
    <n v="17"/>
    <x v="97"/>
    <x v="29"/>
    <x v="115"/>
    <x v="107"/>
    <n v="1.05"/>
    <n v="-16"/>
    <x v="0"/>
    <n v="29.533333333333335"/>
    <x v="259"/>
    <n v="728"/>
    <n v="85"/>
    <n v="5.3846153846153842E-2"/>
    <s v="Oct-12"/>
    <x v="5"/>
    <n v="2.4761904761904763"/>
  </r>
  <r>
    <x v="9"/>
    <n v="39"/>
    <x v="0"/>
    <x v="1"/>
    <x v="3"/>
    <x v="13"/>
    <x v="0"/>
    <x v="1"/>
    <x v="11"/>
    <x v="29"/>
    <x v="19"/>
    <x v="8"/>
    <n v="10"/>
    <n v="20"/>
    <n v="40"/>
    <n v="39"/>
    <x v="19"/>
    <x v="29"/>
    <x v="69"/>
    <x v="221"/>
    <n v="3.9"/>
    <n v="-6"/>
    <x v="0"/>
    <n v="19.3"/>
    <x v="256"/>
    <n v="1288"/>
    <n v="467.99999999999994"/>
    <n v="1.2681159420289856E-2"/>
    <s v="Oct-12"/>
    <x v="5"/>
    <n v="2.358974358974359"/>
  </r>
  <r>
    <x v="78"/>
    <n v="46"/>
    <x v="0"/>
    <x v="1"/>
    <x v="3"/>
    <x v="10"/>
    <x v="0"/>
    <x v="1"/>
    <x v="11"/>
    <x v="5"/>
    <x v="27"/>
    <x v="14"/>
    <n v="20"/>
    <n v="30"/>
    <n v="50"/>
    <n v="36"/>
    <x v="27"/>
    <x v="5"/>
    <x v="90"/>
    <x v="27"/>
    <n v="2.2999999999999998"/>
    <n v="1"/>
    <x v="0"/>
    <n v="28.966666666666665"/>
    <x v="261"/>
    <n v="3503"/>
    <n v="503.99999999999994"/>
    <n v="1.9595448798988623E-2"/>
    <s v="Oct-12"/>
    <x v="5"/>
    <n v="2.4565217391304346"/>
  </r>
  <r>
    <x v="8"/>
    <n v="22"/>
    <x v="1"/>
    <x v="1"/>
    <x v="3"/>
    <x v="29"/>
    <x v="1"/>
    <x v="2"/>
    <x v="4"/>
    <x v="39"/>
    <x v="82"/>
    <x v="7"/>
    <n v="20"/>
    <n v="20"/>
    <n v="50"/>
    <n v="17"/>
    <x v="82"/>
    <x v="39"/>
    <x v="56"/>
    <x v="136"/>
    <n v="1.1000000000000001"/>
    <n v="-3"/>
    <x v="0"/>
    <n v="19.149999999999999"/>
    <x v="262"/>
    <n v="952"/>
    <n v="102"/>
    <n v="5.0595238095238096E-2"/>
    <s v="Nov-12"/>
    <x v="3"/>
    <n v="2.5454545454545454"/>
  </r>
  <r>
    <x v="39"/>
    <n v="34"/>
    <x v="1"/>
    <x v="1"/>
    <x v="1"/>
    <x v="13"/>
    <x v="1"/>
    <x v="2"/>
    <x v="9"/>
    <x v="64"/>
    <x v="99"/>
    <x v="17"/>
    <n v="20"/>
    <n v="-10"/>
    <n v="50"/>
    <n v="46"/>
    <x v="99"/>
    <x v="64"/>
    <x v="46"/>
    <x v="128"/>
    <n v="1.7"/>
    <n v="6"/>
    <x v="0"/>
    <n v="-10.4"/>
    <x v="263"/>
    <n v="-304"/>
    <n v="552"/>
    <n v="-4.3859649122807015E-3"/>
    <s v="Nov-12"/>
    <x v="0"/>
    <n v="2.2352941176470589"/>
  </r>
  <r>
    <x v="56"/>
    <n v="22"/>
    <x v="1"/>
    <x v="1"/>
    <x v="3"/>
    <x v="7"/>
    <x v="1"/>
    <x v="2"/>
    <x v="9"/>
    <x v="78"/>
    <x v="97"/>
    <x v="14"/>
    <n v="20"/>
    <n v="20"/>
    <n v="50"/>
    <n v="19"/>
    <x v="97"/>
    <x v="78"/>
    <x v="67"/>
    <x v="163"/>
    <n v="1.1000000000000001"/>
    <n v="-9"/>
    <x v="0"/>
    <n v="19.45"/>
    <x v="188"/>
    <n v="572"/>
    <n v="133"/>
    <n v="3.021978021978022E-2"/>
    <s v="Nov-12"/>
    <x v="3"/>
    <n v="2.3636363636363638"/>
  </r>
  <r>
    <x v="10"/>
    <n v="33"/>
    <x v="1"/>
    <x v="1"/>
    <x v="2"/>
    <x v="13"/>
    <x v="0"/>
    <x v="0"/>
    <x v="0"/>
    <x v="64"/>
    <x v="83"/>
    <x v="9"/>
    <n v="20"/>
    <n v="0"/>
    <n v="50"/>
    <n v="45"/>
    <x v="83"/>
    <x v="64"/>
    <x v="69"/>
    <x v="128"/>
    <n v="1.65"/>
    <n v="-4"/>
    <x v="0"/>
    <e v="#DIV/0!"/>
    <x v="140"/>
    <n v="-296"/>
    <n v="540"/>
    <n v="-4.5045045045045045E-3"/>
    <s v="Nov-12"/>
    <x v="2"/>
    <n v="2.2424242424242422"/>
  </r>
  <r>
    <x v="39"/>
    <n v="29"/>
    <x v="1"/>
    <x v="1"/>
    <x v="1"/>
    <x v="18"/>
    <x v="0"/>
    <x v="0"/>
    <x v="0"/>
    <x v="79"/>
    <x v="98"/>
    <x v="17"/>
    <n v="20"/>
    <n v="10"/>
    <n v="50"/>
    <n v="30"/>
    <x v="98"/>
    <x v="79"/>
    <x v="3"/>
    <x v="165"/>
    <n v="1.45"/>
    <n v="-5"/>
    <x v="0"/>
    <n v="9.5"/>
    <x v="190"/>
    <n v="320"/>
    <n v="240"/>
    <n v="9.765625E-3"/>
    <s v="Nov-12"/>
    <x v="1"/>
    <n v="2.2068965517241379"/>
  </r>
  <r>
    <x v="12"/>
    <n v="25"/>
    <x v="1"/>
    <x v="1"/>
    <x v="3"/>
    <x v="7"/>
    <x v="0"/>
    <x v="0"/>
    <x v="10"/>
    <x v="60"/>
    <x v="114"/>
    <x v="11"/>
    <n v="20"/>
    <n v="20"/>
    <n v="50"/>
    <n v="19"/>
    <x v="114"/>
    <x v="60"/>
    <x v="100"/>
    <x v="21"/>
    <n v="1.25"/>
    <n v="-1"/>
    <x v="0"/>
    <n v="19.05"/>
    <x v="210"/>
    <n v="1197"/>
    <n v="133"/>
    <n v="4.3083900226757371E-2"/>
    <s v="Nov-12"/>
    <x v="3"/>
    <n v="2.52"/>
  </r>
  <r>
    <x v="10"/>
    <n v="15"/>
    <x v="1"/>
    <x v="1"/>
    <x v="2"/>
    <x v="36"/>
    <x v="0"/>
    <x v="1"/>
    <x v="2"/>
    <x v="72"/>
    <x v="115"/>
    <x v="9"/>
    <n v="10"/>
    <n v="20"/>
    <n v="40"/>
    <n v="16"/>
    <x v="115"/>
    <x v="72"/>
    <x v="116"/>
    <x v="22"/>
    <n v="1.5"/>
    <n v="-12"/>
    <x v="0"/>
    <n v="19.600000000000001"/>
    <x v="264"/>
    <n v="312"/>
    <n v="64"/>
    <n v="5.128205128205128E-2"/>
    <s v="Nov-12"/>
    <x v="5"/>
    <n v="2.6"/>
  </r>
  <r>
    <x v="49"/>
    <n v="32"/>
    <x v="1"/>
    <x v="1"/>
    <x v="3"/>
    <x v="18"/>
    <x v="0"/>
    <x v="1"/>
    <x v="2"/>
    <x v="2"/>
    <x v="81"/>
    <x v="11"/>
    <n v="20"/>
    <n v="30"/>
    <n v="50"/>
    <n v="20"/>
    <x v="81"/>
    <x v="2"/>
    <x v="117"/>
    <x v="3"/>
    <n v="1.6"/>
    <n v="-2"/>
    <x v="0"/>
    <n v="29.066666666666666"/>
    <x v="265"/>
    <n v="2240"/>
    <n v="160"/>
    <n v="4.3749999999999997E-2"/>
    <s v="Nov-12"/>
    <x v="5"/>
    <n v="2.5"/>
  </r>
  <r>
    <x v="9"/>
    <n v="35"/>
    <x v="1"/>
    <x v="1"/>
    <x v="3"/>
    <x v="9"/>
    <x v="0"/>
    <x v="1"/>
    <x v="11"/>
    <x v="76"/>
    <x v="40"/>
    <x v="8"/>
    <n v="20"/>
    <n v="10"/>
    <n v="50"/>
    <n v="38"/>
    <x v="40"/>
    <x v="76"/>
    <x v="15"/>
    <x v="167"/>
    <n v="1.75"/>
    <n v="-1"/>
    <x v="0"/>
    <n v="9.1"/>
    <x v="192"/>
    <n v="738"/>
    <n v="418"/>
    <n v="9.977827050997784E-3"/>
    <s v="Nov-12"/>
    <x v="1"/>
    <n v="2.342857142857143"/>
  </r>
  <r>
    <x v="15"/>
    <n v="34"/>
    <x v="1"/>
    <x v="1"/>
    <x v="3"/>
    <x v="13"/>
    <x v="0"/>
    <x v="1"/>
    <x v="3"/>
    <x v="37"/>
    <x v="99"/>
    <x v="8"/>
    <n v="20"/>
    <n v="0"/>
    <n v="50"/>
    <n v="45"/>
    <x v="99"/>
    <x v="37"/>
    <x v="2"/>
    <x v="72"/>
    <n v="1.7"/>
    <n v="-3"/>
    <x v="0"/>
    <e v="#DIV/0!"/>
    <x v="77"/>
    <n v="-228"/>
    <n v="540"/>
    <n v="-3.2894736842105261E-3"/>
    <s v="Nov-12"/>
    <x v="2"/>
    <n v="2.2352941176470589"/>
  </r>
  <r>
    <x v="105"/>
    <n v="24"/>
    <x v="2"/>
    <x v="0"/>
    <x v="2"/>
    <x v="7"/>
    <x v="0"/>
    <x v="0"/>
    <x v="10"/>
    <x v="14"/>
    <x v="82"/>
    <x v="2"/>
    <n v="10"/>
    <n v="20"/>
    <n v="40"/>
    <n v="20"/>
    <x v="82"/>
    <x v="14"/>
    <x v="100"/>
    <x v="11"/>
    <n v="2.4"/>
    <n v="-8"/>
    <x v="0"/>
    <n v="19.399999999999999"/>
    <x v="149"/>
    <n v="672"/>
    <n v="140"/>
    <n v="3.0612244897959183E-2"/>
    <s v="Dec-12"/>
    <x v="5"/>
    <n v="2.3333333333333335"/>
  </r>
  <r>
    <x v="39"/>
    <n v="38"/>
    <x v="2"/>
    <x v="1"/>
    <x v="1"/>
    <x v="13"/>
    <x v="1"/>
    <x v="2"/>
    <x v="4"/>
    <x v="14"/>
    <x v="101"/>
    <x v="17"/>
    <n v="30"/>
    <n v="0"/>
    <n v="60"/>
    <n v="39"/>
    <x v="101"/>
    <x v="14"/>
    <x v="45"/>
    <x v="174"/>
    <n v="1.2666666666666666"/>
    <n v="12"/>
    <x v="0"/>
    <e v="#DIV/0!"/>
    <x v="200"/>
    <n v="1068"/>
    <n v="468"/>
    <n v="1.1235955056179775E-2"/>
    <s v="Dec-12"/>
    <x v="0"/>
    <n v="2.3421052631578947"/>
  </r>
  <r>
    <x v="48"/>
    <n v="23"/>
    <x v="2"/>
    <x v="1"/>
    <x v="3"/>
    <x v="29"/>
    <x v="1"/>
    <x v="2"/>
    <x v="4"/>
    <x v="39"/>
    <x v="78"/>
    <x v="7"/>
    <n v="20"/>
    <n v="20"/>
    <n v="50"/>
    <n v="18"/>
    <x v="78"/>
    <x v="39"/>
    <x v="67"/>
    <x v="136"/>
    <n v="1.1499999999999999"/>
    <n v="-3"/>
    <x v="0"/>
    <n v="19.149999999999999"/>
    <x v="129"/>
    <n v="986"/>
    <n v="108"/>
    <n v="4.8850574712643681E-2"/>
    <s v="Dec-12"/>
    <x v="3"/>
    <n v="2.5217391304347827"/>
  </r>
  <r>
    <x v="77"/>
    <n v="16"/>
    <x v="2"/>
    <x v="1"/>
    <x v="0"/>
    <x v="36"/>
    <x v="1"/>
    <x v="3"/>
    <x v="6"/>
    <x v="44"/>
    <x v="116"/>
    <x v="4"/>
    <n v="10"/>
    <n v="20"/>
    <n v="40"/>
    <n v="15"/>
    <x v="116"/>
    <x v="44"/>
    <x v="116"/>
    <x v="55"/>
    <n v="1.6"/>
    <n v="-10"/>
    <x v="0"/>
    <n v="19.5"/>
    <x v="190"/>
    <n v="410"/>
    <n v="60"/>
    <n v="6.097560975609756E-2"/>
    <s v="Dec-12"/>
    <x v="5"/>
    <n v="2.5625"/>
  </r>
  <r>
    <x v="46"/>
    <n v="31"/>
    <x v="2"/>
    <x v="1"/>
    <x v="0"/>
    <x v="8"/>
    <x v="1"/>
    <x v="3"/>
    <x v="7"/>
    <x v="72"/>
    <x v="85"/>
    <x v="4"/>
    <n v="30"/>
    <n v="10"/>
    <n v="60"/>
    <n v="30"/>
    <x v="85"/>
    <x v="72"/>
    <x v="8"/>
    <x v="135"/>
    <n v="1.0333333333333334"/>
    <n v="-2"/>
    <x v="0"/>
    <n v="9.1999999999999993"/>
    <x v="149"/>
    <n v="552"/>
    <n v="270"/>
    <n v="1.2882447665056361E-2"/>
    <s v="Dec-12"/>
    <x v="2"/>
    <n v="2.225806451612903"/>
  </r>
  <r>
    <x v="10"/>
    <n v="20"/>
    <x v="2"/>
    <x v="1"/>
    <x v="2"/>
    <x v="7"/>
    <x v="1"/>
    <x v="2"/>
    <x v="12"/>
    <x v="86"/>
    <x v="117"/>
    <x v="9"/>
    <n v="10"/>
    <n v="0"/>
    <n v="40"/>
    <n v="41"/>
    <x v="117"/>
    <x v="86"/>
    <x v="8"/>
    <x v="223"/>
    <n v="2"/>
    <n v="-16"/>
    <x v="0"/>
    <e v="#DIV/0!"/>
    <x v="266"/>
    <n v="-720"/>
    <n v="287"/>
    <n v="-5.0793650793650794E-2"/>
    <s v="Dec-12"/>
    <x v="1"/>
    <n v="2.25"/>
  </r>
  <r>
    <x v="28"/>
    <n v="29"/>
    <x v="2"/>
    <x v="1"/>
    <x v="1"/>
    <x v="18"/>
    <x v="1"/>
    <x v="2"/>
    <x v="8"/>
    <x v="10"/>
    <x v="100"/>
    <x v="6"/>
    <n v="20"/>
    <n v="20"/>
    <n v="50"/>
    <n v="20"/>
    <x v="100"/>
    <x v="10"/>
    <x v="68"/>
    <x v="7"/>
    <n v="1.45"/>
    <n v="4"/>
    <x v="0"/>
    <n v="18.8"/>
    <x v="267"/>
    <n v="1752"/>
    <n v="160"/>
    <n v="4.1095890410958902E-2"/>
    <s v="Dec-12"/>
    <x v="3"/>
    <n v="2.5172413793103448"/>
  </r>
  <r>
    <x v="56"/>
    <n v="24"/>
    <x v="2"/>
    <x v="1"/>
    <x v="3"/>
    <x v="7"/>
    <x v="1"/>
    <x v="2"/>
    <x v="9"/>
    <x v="32"/>
    <x v="82"/>
    <x v="14"/>
    <n v="20"/>
    <n v="20"/>
    <n v="50"/>
    <n v="19"/>
    <x v="82"/>
    <x v="32"/>
    <x v="96"/>
    <x v="171"/>
    <n v="1.2"/>
    <n v="-7"/>
    <x v="0"/>
    <n v="19.350000000000001"/>
    <x v="196"/>
    <n v="728"/>
    <n v="133"/>
    <n v="3.3163265306122451E-2"/>
    <s v="Dec-12"/>
    <x v="3"/>
    <n v="2.3333333333333335"/>
  </r>
  <r>
    <x v="49"/>
    <n v="24"/>
    <x v="2"/>
    <x v="1"/>
    <x v="3"/>
    <x v="29"/>
    <x v="0"/>
    <x v="0"/>
    <x v="10"/>
    <x v="60"/>
    <x v="94"/>
    <x v="11"/>
    <n v="20"/>
    <n v="20"/>
    <n v="50"/>
    <n v="17"/>
    <x v="94"/>
    <x v="60"/>
    <x v="67"/>
    <x v="122"/>
    <n v="1.2"/>
    <n v="-1"/>
    <x v="0"/>
    <n v="19.05"/>
    <x v="260"/>
    <n v="1140"/>
    <n v="102"/>
    <n v="5.2777777777777778E-2"/>
    <s v="Dec-12"/>
    <x v="3"/>
    <n v="2.5"/>
  </r>
  <r>
    <x v="10"/>
    <n v="16"/>
    <x v="2"/>
    <x v="1"/>
    <x v="2"/>
    <x v="36"/>
    <x v="0"/>
    <x v="1"/>
    <x v="2"/>
    <x v="44"/>
    <x v="116"/>
    <x v="9"/>
    <n v="10"/>
    <n v="20"/>
    <n v="40"/>
    <n v="15"/>
    <x v="116"/>
    <x v="44"/>
    <x v="116"/>
    <x v="55"/>
    <n v="1.6"/>
    <n v="-10"/>
    <x v="0"/>
    <n v="19.5"/>
    <x v="190"/>
    <n v="410"/>
    <n v="60"/>
    <n v="6.097560975609756E-2"/>
    <s v="Dec-12"/>
    <x v="5"/>
    <n v="2.5625"/>
  </r>
  <r>
    <x v="17"/>
    <n v="29"/>
    <x v="2"/>
    <x v="1"/>
    <x v="3"/>
    <x v="18"/>
    <x v="0"/>
    <x v="1"/>
    <x v="2"/>
    <x v="65"/>
    <x v="100"/>
    <x v="11"/>
    <n v="20"/>
    <n v="30"/>
    <n v="50"/>
    <n v="19"/>
    <x v="100"/>
    <x v="65"/>
    <x v="53"/>
    <x v="168"/>
    <n v="1.45"/>
    <n v="-5"/>
    <x v="0"/>
    <n v="29.166666666666668"/>
    <x v="193"/>
    <n v="1825"/>
    <n v="152"/>
    <n v="4.2808219178082189E-2"/>
    <s v="Dec-12"/>
    <x v="5"/>
    <n v="2.5172413793103448"/>
  </r>
  <r>
    <x v="90"/>
    <n v="21"/>
    <x v="3"/>
    <x v="0"/>
    <x v="0"/>
    <x v="35"/>
    <x v="0"/>
    <x v="0"/>
    <x v="10"/>
    <x v="10"/>
    <x v="82"/>
    <x v="18"/>
    <n v="0"/>
    <n v="30"/>
    <n v="30"/>
    <n v="16"/>
    <x v="82"/>
    <x v="10"/>
    <x v="118"/>
    <x v="224"/>
    <e v="#DIV/0!"/>
    <n v="-6"/>
    <x v="0"/>
    <n v="29.2"/>
    <x v="268"/>
    <n v="1344"/>
    <n v="80"/>
    <n v="8.5714285714285715E-2"/>
    <s v="Oct-13"/>
    <x v="4"/>
    <n v="2.6666666666666665"/>
  </r>
  <r>
    <x v="90"/>
    <n v="27"/>
    <x v="3"/>
    <x v="0"/>
    <x v="0"/>
    <x v="7"/>
    <x v="0"/>
    <x v="0"/>
    <x v="0"/>
    <x v="27"/>
    <x v="49"/>
    <x v="18"/>
    <n v="10"/>
    <n v="30"/>
    <n v="40"/>
    <n v="19"/>
    <x v="49"/>
    <x v="27"/>
    <x v="80"/>
    <x v="140"/>
    <n v="2.7"/>
    <n v="0"/>
    <x v="0"/>
    <n v="29"/>
    <x v="157"/>
    <n v="2100"/>
    <n v="133"/>
    <n v="6.1224489795918366E-2"/>
    <s v="Oct-13"/>
    <x v="12"/>
    <n v="2.5925925925925926"/>
  </r>
  <r>
    <x v="110"/>
    <n v="56"/>
    <x v="3"/>
    <x v="0"/>
    <x v="2"/>
    <x v="28"/>
    <x v="0"/>
    <x v="0"/>
    <x v="0"/>
    <x v="10"/>
    <x v="108"/>
    <x v="2"/>
    <n v="30"/>
    <n v="20"/>
    <n v="60"/>
    <n v="54"/>
    <x v="108"/>
    <x v="10"/>
    <x v="60"/>
    <x v="208"/>
    <n v="1.8666666666666667"/>
    <n v="4"/>
    <x v="0"/>
    <n v="18.8"/>
    <x v="112"/>
    <n v="3216"/>
    <n v="1134"/>
    <n v="8.5287846481876331E-3"/>
    <s v="Oct-13"/>
    <x v="1"/>
    <n v="2.3928571428571428"/>
  </r>
  <r>
    <x v="25"/>
    <n v="54"/>
    <x v="3"/>
    <x v="0"/>
    <x v="2"/>
    <x v="14"/>
    <x v="0"/>
    <x v="0"/>
    <x v="0"/>
    <x v="60"/>
    <x v="51"/>
    <x v="15"/>
    <n v="30"/>
    <n v="20"/>
    <n v="60"/>
    <n v="53"/>
    <x v="51"/>
    <x v="60"/>
    <x v="26"/>
    <x v="96"/>
    <n v="1.8"/>
    <n v="-1"/>
    <x v="0"/>
    <n v="19.05"/>
    <x v="155"/>
    <n v="2432"/>
    <n v="1060"/>
    <n v="7.4218749999999997E-3"/>
    <s v="Oct-13"/>
    <x v="1"/>
    <n v="2.3703703703703702"/>
  </r>
  <r>
    <x v="108"/>
    <n v="21"/>
    <x v="3"/>
    <x v="0"/>
    <x v="2"/>
    <x v="35"/>
    <x v="0"/>
    <x v="1"/>
    <x v="3"/>
    <x v="57"/>
    <x v="82"/>
    <x v="15"/>
    <n v="20"/>
    <n v="30"/>
    <n v="50"/>
    <n v="17"/>
    <x v="82"/>
    <x v="57"/>
    <x v="119"/>
    <x v="225"/>
    <n v="1.05"/>
    <n v="-8"/>
    <x v="0"/>
    <n v="29.266666666666666"/>
    <x v="269"/>
    <n v="1232"/>
    <n v="85"/>
    <n v="7.8571428571428584E-2"/>
    <s v="Oct-13"/>
    <x v="5"/>
    <n v="2.6666666666666665"/>
  </r>
  <r>
    <x v="39"/>
    <n v="39"/>
    <x v="3"/>
    <x v="1"/>
    <x v="1"/>
    <x v="13"/>
    <x v="1"/>
    <x v="2"/>
    <x v="4"/>
    <x v="6"/>
    <x v="55"/>
    <x v="17"/>
    <n v="20"/>
    <n v="20"/>
    <n v="50"/>
    <n v="39"/>
    <x v="55"/>
    <x v="6"/>
    <x v="45"/>
    <x v="120"/>
    <n v="1.95"/>
    <n v="1"/>
    <x v="0"/>
    <n v="18.95"/>
    <x v="270"/>
    <n v="2058"/>
    <n v="468"/>
    <n v="1.7857142857142856E-2"/>
    <s v="Oct-13"/>
    <x v="3"/>
    <n v="2.5128205128205128"/>
  </r>
  <r>
    <x v="8"/>
    <n v="23"/>
    <x v="3"/>
    <x v="1"/>
    <x v="3"/>
    <x v="29"/>
    <x v="1"/>
    <x v="2"/>
    <x v="4"/>
    <x v="65"/>
    <x v="89"/>
    <x v="7"/>
    <n v="10"/>
    <n v="30"/>
    <n v="40"/>
    <n v="18"/>
    <x v="89"/>
    <x v="65"/>
    <x v="102"/>
    <x v="156"/>
    <n v="2.2999999999999998"/>
    <n v="-5"/>
    <x v="0"/>
    <n v="29.166666666666668"/>
    <x v="180"/>
    <n v="1550"/>
    <n v="107.99999999999999"/>
    <n v="6.7204301075268827E-2"/>
    <s v="Oct-13"/>
    <x v="12"/>
    <n v="2.6956521739130435"/>
  </r>
  <r>
    <x v="74"/>
    <n v="21"/>
    <x v="3"/>
    <x v="1"/>
    <x v="0"/>
    <x v="35"/>
    <x v="1"/>
    <x v="3"/>
    <x v="6"/>
    <x v="57"/>
    <x v="103"/>
    <x v="4"/>
    <n v="10"/>
    <n v="30"/>
    <n v="40"/>
    <n v="16"/>
    <x v="103"/>
    <x v="57"/>
    <x v="120"/>
    <x v="225"/>
    <n v="2.1"/>
    <n v="-8"/>
    <x v="0"/>
    <n v="29.266666666666666"/>
    <x v="148"/>
    <n v="1210"/>
    <n v="80"/>
    <n v="0.08"/>
    <s v="Oct-13"/>
    <x v="12"/>
    <n v="2.6190476190476191"/>
  </r>
  <r>
    <x v="10"/>
    <n v="25"/>
    <x v="3"/>
    <x v="1"/>
    <x v="2"/>
    <x v="8"/>
    <x v="1"/>
    <x v="2"/>
    <x v="12"/>
    <x v="90"/>
    <x v="94"/>
    <x v="9"/>
    <n v="10"/>
    <n v="10"/>
    <n v="40"/>
    <n v="43"/>
    <x v="94"/>
    <x v="90"/>
    <x v="69"/>
    <x v="226"/>
    <n v="2.5"/>
    <n v="-28"/>
    <x v="0"/>
    <n v="11.8"/>
    <x v="271"/>
    <n v="-1080"/>
    <n v="387"/>
    <n v="-3.3333333333333333E-2"/>
    <s v="Oct-13"/>
    <x v="3"/>
    <n v="2.4"/>
  </r>
  <r>
    <x v="28"/>
    <n v="21"/>
    <x v="3"/>
    <x v="1"/>
    <x v="1"/>
    <x v="35"/>
    <x v="1"/>
    <x v="2"/>
    <x v="8"/>
    <x v="57"/>
    <x v="82"/>
    <x v="6"/>
    <n v="0"/>
    <n v="30"/>
    <n v="30"/>
    <n v="17"/>
    <x v="82"/>
    <x v="57"/>
    <x v="119"/>
    <x v="225"/>
    <e v="#DIV/0!"/>
    <n v="-8"/>
    <x v="0"/>
    <n v="29.266666666666666"/>
    <x v="269"/>
    <n v="1232"/>
    <n v="85"/>
    <n v="7.8571428571428584E-2"/>
    <s v="Oct-13"/>
    <x v="4"/>
    <n v="2.6666666666666665"/>
  </r>
  <r>
    <x v="48"/>
    <n v="0"/>
    <x v="3"/>
    <x v="1"/>
    <x v="3"/>
    <x v="5"/>
    <x v="1"/>
    <x v="2"/>
    <x v="9"/>
    <x v="17"/>
    <x v="48"/>
    <x v="7"/>
    <n v="0"/>
    <n v="30"/>
    <n v="30"/>
    <n v="11"/>
    <x v="48"/>
    <x v="17"/>
    <x v="101"/>
    <x v="5"/>
    <e v="#DIV/0!"/>
    <n v="17"/>
    <x v="0"/>
    <n v="28.433333333333334"/>
    <x v="178"/>
    <n v="2162"/>
    <e v="#DIV/0!"/>
    <e v="#DIV/0!"/>
    <s v="Oct-13"/>
    <x v="4"/>
    <e v="#DIV/0!"/>
  </r>
  <r>
    <x v="10"/>
    <n v="34"/>
    <x v="3"/>
    <x v="1"/>
    <x v="2"/>
    <x v="13"/>
    <x v="0"/>
    <x v="0"/>
    <x v="0"/>
    <x v="64"/>
    <x v="40"/>
    <x v="9"/>
    <n v="10"/>
    <n v="20"/>
    <n v="40"/>
    <n v="46"/>
    <x v="40"/>
    <x v="64"/>
    <x v="32"/>
    <x v="128"/>
    <n v="3.4"/>
    <n v="-24"/>
    <x v="0"/>
    <n v="20.2"/>
    <x v="263"/>
    <n v="-328"/>
    <n v="552"/>
    <n v="-4.0650406504065036E-3"/>
    <s v="Oct-13"/>
    <x v="5"/>
    <n v="2.4117647058823528"/>
  </r>
  <r>
    <x v="39"/>
    <n v="21"/>
    <x v="3"/>
    <x v="1"/>
    <x v="1"/>
    <x v="35"/>
    <x v="0"/>
    <x v="0"/>
    <x v="10"/>
    <x v="6"/>
    <x v="103"/>
    <x v="17"/>
    <n v="10"/>
    <n v="30"/>
    <n v="40"/>
    <n v="17"/>
    <x v="103"/>
    <x v="6"/>
    <x v="119"/>
    <x v="227"/>
    <n v="2.1"/>
    <n v="-9"/>
    <x v="0"/>
    <n v="29.3"/>
    <x v="272"/>
    <n v="1155"/>
    <n v="85"/>
    <n v="7.636363636363637E-2"/>
    <s v="Oct-13"/>
    <x v="12"/>
    <n v="2.6190476190476191"/>
  </r>
  <r>
    <x v="17"/>
    <n v="25"/>
    <x v="3"/>
    <x v="1"/>
    <x v="3"/>
    <x v="7"/>
    <x v="0"/>
    <x v="0"/>
    <x v="10"/>
    <x v="65"/>
    <x v="118"/>
    <x v="11"/>
    <n v="10"/>
    <n v="30"/>
    <n v="40"/>
    <n v="19"/>
    <x v="118"/>
    <x v="65"/>
    <x v="80"/>
    <x v="228"/>
    <n v="2.5"/>
    <n v="-5"/>
    <x v="0"/>
    <n v="29.166666666666668"/>
    <x v="193"/>
    <n v="1625"/>
    <n v="133"/>
    <n v="5.4945054945054951E-2"/>
    <s v="Oct-13"/>
    <x v="12"/>
    <n v="2.6"/>
  </r>
  <r>
    <x v="26"/>
    <n v="34"/>
    <x v="3"/>
    <x v="1"/>
    <x v="0"/>
    <x v="13"/>
    <x v="0"/>
    <x v="1"/>
    <x v="3"/>
    <x v="64"/>
    <x v="40"/>
    <x v="12"/>
    <n v="10"/>
    <n v="10"/>
    <n v="40"/>
    <n v="46"/>
    <x v="40"/>
    <x v="64"/>
    <x v="32"/>
    <x v="128"/>
    <n v="3.4"/>
    <n v="-14"/>
    <x v="0"/>
    <n v="10.4"/>
    <x v="263"/>
    <n v="-328"/>
    <n v="552"/>
    <n v="-4.0650406504065036E-3"/>
    <s v="Oct-13"/>
    <x v="3"/>
    <n v="2.4117647058823528"/>
  </r>
  <r>
    <x v="10"/>
    <n v="21"/>
    <x v="3"/>
    <x v="1"/>
    <x v="2"/>
    <x v="35"/>
    <x v="0"/>
    <x v="1"/>
    <x v="2"/>
    <x v="6"/>
    <x v="103"/>
    <x v="9"/>
    <n v="20"/>
    <n v="30"/>
    <n v="50"/>
    <n v="17"/>
    <x v="103"/>
    <x v="6"/>
    <x v="119"/>
    <x v="227"/>
    <n v="1.05"/>
    <n v="-9"/>
    <x v="0"/>
    <n v="29.3"/>
    <x v="272"/>
    <n v="1155"/>
    <n v="85"/>
    <n v="7.636363636363637E-2"/>
    <s v="Oct-13"/>
    <x v="5"/>
    <n v="2.6190476190476191"/>
  </r>
  <r>
    <x v="9"/>
    <n v="39"/>
    <x v="3"/>
    <x v="1"/>
    <x v="3"/>
    <x v="13"/>
    <x v="0"/>
    <x v="1"/>
    <x v="11"/>
    <x v="6"/>
    <x v="55"/>
    <x v="8"/>
    <n v="10"/>
    <n v="20"/>
    <n v="40"/>
    <n v="39"/>
    <x v="55"/>
    <x v="6"/>
    <x v="45"/>
    <x v="120"/>
    <n v="3.9"/>
    <n v="1"/>
    <x v="0"/>
    <n v="18.95"/>
    <x v="270"/>
    <n v="2058"/>
    <n v="468"/>
    <n v="1.7857142857142856E-2"/>
    <s v="Oct-13"/>
    <x v="5"/>
    <n v="2.5128205128205128"/>
  </r>
  <r>
    <x v="30"/>
    <n v="46"/>
    <x v="3"/>
    <x v="1"/>
    <x v="3"/>
    <x v="10"/>
    <x v="0"/>
    <x v="1"/>
    <x v="11"/>
    <x v="43"/>
    <x v="10"/>
    <x v="14"/>
    <n v="20"/>
    <n v="30"/>
    <n v="50"/>
    <n v="36"/>
    <x v="10"/>
    <x v="43"/>
    <x v="107"/>
    <x v="84"/>
    <n v="2.2999999999999998"/>
    <n v="16"/>
    <x v="0"/>
    <n v="28.466666666666665"/>
    <x v="273"/>
    <n v="5520"/>
    <n v="504"/>
    <n v="2.7380952380952381E-2"/>
    <s v="Oct-13"/>
    <x v="5"/>
    <n v="2.6086956521739131"/>
  </r>
  <r>
    <x v="8"/>
    <n v="22"/>
    <x v="4"/>
    <x v="1"/>
    <x v="3"/>
    <x v="29"/>
    <x v="1"/>
    <x v="2"/>
    <x v="4"/>
    <x v="65"/>
    <x v="94"/>
    <x v="7"/>
    <n v="20"/>
    <n v="20"/>
    <n v="50"/>
    <n v="17"/>
    <x v="94"/>
    <x v="65"/>
    <x v="91"/>
    <x v="156"/>
    <n v="1.1000000000000001"/>
    <n v="5"/>
    <x v="0"/>
    <n v="18.75"/>
    <x v="274"/>
    <n v="1500"/>
    <n v="101.99999999999999"/>
    <n v="6.9444444444444448E-2"/>
    <s v="Nov-13"/>
    <x v="3"/>
    <n v="2.7272727272727271"/>
  </r>
  <r>
    <x v="39"/>
    <n v="34"/>
    <x v="4"/>
    <x v="1"/>
    <x v="1"/>
    <x v="13"/>
    <x v="1"/>
    <x v="2"/>
    <x v="9"/>
    <x v="15"/>
    <x v="24"/>
    <x v="17"/>
    <n v="20"/>
    <n v="-10"/>
    <n v="50"/>
    <n v="46"/>
    <x v="24"/>
    <x v="15"/>
    <x v="10"/>
    <x v="149"/>
    <n v="1.7"/>
    <n v="4"/>
    <x v="0"/>
    <n v="-10.6"/>
    <x v="275"/>
    <n v="-486"/>
    <n v="552"/>
    <n v="-6.1728395061728392E-3"/>
    <s v="Nov-13"/>
    <x v="0"/>
    <n v="2.3823529411764706"/>
  </r>
  <r>
    <x v="16"/>
    <n v="22"/>
    <x v="4"/>
    <x v="1"/>
    <x v="3"/>
    <x v="7"/>
    <x v="1"/>
    <x v="2"/>
    <x v="9"/>
    <x v="38"/>
    <x v="103"/>
    <x v="14"/>
    <n v="20"/>
    <n v="20"/>
    <n v="50"/>
    <n v="19"/>
    <x v="103"/>
    <x v="38"/>
    <x v="56"/>
    <x v="177"/>
    <n v="1.1000000000000001"/>
    <n v="-4"/>
    <x v="0"/>
    <n v="19.2"/>
    <x v="205"/>
    <n v="880"/>
    <n v="133"/>
    <n v="4.1558441558441558E-2"/>
    <s v="Nov-13"/>
    <x v="3"/>
    <n v="2.5"/>
  </r>
  <r>
    <x v="10"/>
    <n v="33"/>
    <x v="4"/>
    <x v="1"/>
    <x v="2"/>
    <x v="13"/>
    <x v="0"/>
    <x v="0"/>
    <x v="0"/>
    <x v="15"/>
    <x v="95"/>
    <x v="9"/>
    <n v="20"/>
    <n v="0"/>
    <n v="50"/>
    <n v="45"/>
    <x v="95"/>
    <x v="15"/>
    <x v="58"/>
    <x v="149"/>
    <n v="1.65"/>
    <n v="-6"/>
    <x v="0"/>
    <e v="#DIV/0!"/>
    <x v="170"/>
    <n v="-474"/>
    <n v="540"/>
    <n v="-6.3291139240506328E-3"/>
    <s v="Nov-13"/>
    <x v="2"/>
    <n v="2.393939393939394"/>
  </r>
  <r>
    <x v="39"/>
    <n v="29"/>
    <x v="4"/>
    <x v="1"/>
    <x v="1"/>
    <x v="18"/>
    <x v="0"/>
    <x v="0"/>
    <x v="0"/>
    <x v="7"/>
    <x v="8"/>
    <x v="17"/>
    <n v="20"/>
    <n v="10"/>
    <n v="50"/>
    <n v="30"/>
    <x v="8"/>
    <x v="7"/>
    <x v="8"/>
    <x v="179"/>
    <n v="1.45"/>
    <n v="-3"/>
    <x v="0"/>
    <n v="9.3000000000000007"/>
    <x v="8"/>
    <n v="476"/>
    <n v="240"/>
    <n v="1.2867647058823529E-2"/>
    <s v="Nov-13"/>
    <x v="1"/>
    <n v="2.3448275862068964"/>
  </r>
  <r>
    <x v="49"/>
    <n v="25"/>
    <x v="4"/>
    <x v="1"/>
    <x v="3"/>
    <x v="7"/>
    <x v="0"/>
    <x v="0"/>
    <x v="10"/>
    <x v="2"/>
    <x v="119"/>
    <x v="11"/>
    <n v="20"/>
    <n v="20"/>
    <n v="50"/>
    <n v="19"/>
    <x v="119"/>
    <x v="2"/>
    <x v="56"/>
    <x v="148"/>
    <n v="1.25"/>
    <n v="8"/>
    <x v="0"/>
    <n v="18.600000000000001"/>
    <x v="32"/>
    <n v="1876"/>
    <n v="133"/>
    <n v="5.9701492537313432E-2"/>
    <s v="Nov-13"/>
    <x v="3"/>
    <n v="2.68"/>
  </r>
  <r>
    <x v="10"/>
    <n v="15"/>
    <x v="4"/>
    <x v="1"/>
    <x v="2"/>
    <x v="36"/>
    <x v="0"/>
    <x v="1"/>
    <x v="2"/>
    <x v="14"/>
    <x v="120"/>
    <x v="9"/>
    <n v="10"/>
    <n v="20"/>
    <n v="40"/>
    <n v="16"/>
    <x v="120"/>
    <x v="14"/>
    <x v="121"/>
    <x v="7"/>
    <n v="1.5"/>
    <n v="-8"/>
    <x v="0"/>
    <n v="19.399999999999999"/>
    <x v="276"/>
    <n v="504"/>
    <n v="64"/>
    <n v="7.1428571428571425E-2"/>
    <s v="Nov-13"/>
    <x v="5"/>
    <n v="2.8"/>
  </r>
  <r>
    <x v="12"/>
    <n v="32"/>
    <x v="4"/>
    <x v="1"/>
    <x v="3"/>
    <x v="18"/>
    <x v="0"/>
    <x v="1"/>
    <x v="2"/>
    <x v="41"/>
    <x v="39"/>
    <x v="11"/>
    <n v="20"/>
    <n v="30"/>
    <n v="50"/>
    <n v="20"/>
    <x v="39"/>
    <x v="41"/>
    <x v="96"/>
    <x v="89"/>
    <n v="1.6"/>
    <n v="12"/>
    <x v="0"/>
    <n v="28.6"/>
    <x v="94"/>
    <n v="3570"/>
    <n v="160"/>
    <n v="6.1764705882352944E-2"/>
    <s v="Nov-13"/>
    <x v="5"/>
    <n v="2.65625"/>
  </r>
  <r>
    <x v="9"/>
    <n v="35"/>
    <x v="4"/>
    <x v="1"/>
    <x v="3"/>
    <x v="9"/>
    <x v="0"/>
    <x v="1"/>
    <x v="11"/>
    <x v="32"/>
    <x v="70"/>
    <x v="8"/>
    <n v="20"/>
    <n v="10"/>
    <n v="50"/>
    <n v="38"/>
    <x v="70"/>
    <x v="32"/>
    <x v="107"/>
    <x v="181"/>
    <n v="1.75"/>
    <n v="3"/>
    <x v="0"/>
    <n v="8.6999999999999993"/>
    <x v="195"/>
    <n v="1131"/>
    <n v="418"/>
    <n v="1.3584117032392895E-2"/>
    <s v="Nov-13"/>
    <x v="1"/>
    <n v="2.4857142857142858"/>
  </r>
  <r>
    <x v="9"/>
    <n v="34"/>
    <x v="4"/>
    <x v="1"/>
    <x v="3"/>
    <x v="13"/>
    <x v="0"/>
    <x v="1"/>
    <x v="3"/>
    <x v="64"/>
    <x v="24"/>
    <x v="8"/>
    <n v="20"/>
    <n v="0"/>
    <n v="50"/>
    <n v="45"/>
    <x v="24"/>
    <x v="64"/>
    <x v="58"/>
    <x v="128"/>
    <n v="1.7"/>
    <n v="-4"/>
    <x v="0"/>
    <e v="#DIV/0!"/>
    <x v="140"/>
    <n v="-324"/>
    <n v="540"/>
    <n v="-4.1152263374485592E-3"/>
    <s v="Nov-13"/>
    <x v="2"/>
    <n v="2.3823529411764706"/>
  </r>
  <r>
    <x v="79"/>
    <n v="24"/>
    <x v="5"/>
    <x v="0"/>
    <x v="2"/>
    <x v="7"/>
    <x v="0"/>
    <x v="0"/>
    <x v="10"/>
    <x v="47"/>
    <x v="94"/>
    <x v="2"/>
    <n v="10"/>
    <n v="20"/>
    <n v="40"/>
    <n v="20"/>
    <x v="94"/>
    <x v="47"/>
    <x v="74"/>
    <x v="70"/>
    <n v="2.4"/>
    <n v="-2"/>
    <x v="0"/>
    <n v="19.100000000000001"/>
    <x v="179"/>
    <n v="1080"/>
    <n v="140"/>
    <n v="4.2857142857142858E-2"/>
    <s v="Dec-13"/>
    <x v="5"/>
    <n v="2.5"/>
  </r>
  <r>
    <x v="39"/>
    <n v="38"/>
    <x v="5"/>
    <x v="1"/>
    <x v="1"/>
    <x v="13"/>
    <x v="1"/>
    <x v="2"/>
    <x v="4"/>
    <x v="47"/>
    <x v="104"/>
    <x v="17"/>
    <n v="30"/>
    <n v="0"/>
    <n v="60"/>
    <n v="39"/>
    <x v="104"/>
    <x v="47"/>
    <x v="45"/>
    <x v="186"/>
    <n v="1.2666666666666666"/>
    <n v="18"/>
    <x v="0"/>
    <e v="#DIV/0!"/>
    <x v="40"/>
    <n v="1710"/>
    <n v="468"/>
    <n v="1.5789473684210527E-2"/>
    <s v="Dec-13"/>
    <x v="0"/>
    <n v="2.5"/>
  </r>
  <r>
    <x v="8"/>
    <n v="23"/>
    <x v="5"/>
    <x v="1"/>
    <x v="3"/>
    <x v="29"/>
    <x v="1"/>
    <x v="2"/>
    <x v="4"/>
    <x v="65"/>
    <x v="89"/>
    <x v="7"/>
    <n v="20"/>
    <n v="20"/>
    <n v="50"/>
    <n v="18"/>
    <x v="89"/>
    <x v="65"/>
    <x v="102"/>
    <x v="156"/>
    <n v="1.1499999999999999"/>
    <n v="5"/>
    <x v="0"/>
    <n v="18.75"/>
    <x v="180"/>
    <n v="1550"/>
    <n v="107.99999999999999"/>
    <n v="6.7204301075268827E-2"/>
    <s v="Dec-13"/>
    <x v="3"/>
    <n v="2.6956521739130435"/>
  </r>
  <r>
    <x v="46"/>
    <n v="16"/>
    <x v="5"/>
    <x v="1"/>
    <x v="0"/>
    <x v="36"/>
    <x v="1"/>
    <x v="3"/>
    <x v="6"/>
    <x v="25"/>
    <x v="121"/>
    <x v="4"/>
    <n v="10"/>
    <n v="20"/>
    <n v="40"/>
    <n v="15"/>
    <x v="121"/>
    <x v="25"/>
    <x v="122"/>
    <x v="110"/>
    <n v="1.6"/>
    <n v="-5"/>
    <x v="0"/>
    <n v="19.25"/>
    <x v="277"/>
    <n v="660"/>
    <n v="60"/>
    <n v="8.5227272727272721E-2"/>
    <s v="Dec-13"/>
    <x v="5"/>
    <n v="2.75"/>
  </r>
  <r>
    <x v="77"/>
    <n v="31"/>
    <x v="5"/>
    <x v="1"/>
    <x v="0"/>
    <x v="8"/>
    <x v="1"/>
    <x v="3"/>
    <x v="7"/>
    <x v="14"/>
    <x v="83"/>
    <x v="4"/>
    <n v="30"/>
    <n v="10"/>
    <n v="60"/>
    <n v="30"/>
    <x v="83"/>
    <x v="14"/>
    <x v="9"/>
    <x v="155"/>
    <n v="1.0333333333333334"/>
    <n v="2"/>
    <x v="0"/>
    <n v="8.8000000000000007"/>
    <x v="179"/>
    <n v="888"/>
    <n v="270"/>
    <n v="1.8018018018018018E-2"/>
    <s v="Dec-13"/>
    <x v="2"/>
    <n v="2.3870967741935485"/>
  </r>
  <r>
    <x v="10"/>
    <n v="20"/>
    <x v="5"/>
    <x v="1"/>
    <x v="2"/>
    <x v="7"/>
    <x v="1"/>
    <x v="2"/>
    <x v="12"/>
    <x v="91"/>
    <x v="122"/>
    <x v="9"/>
    <n v="10"/>
    <n v="0"/>
    <n v="40"/>
    <n v="41"/>
    <x v="122"/>
    <x v="91"/>
    <x v="16"/>
    <x v="229"/>
    <n v="2"/>
    <n v="-24"/>
    <x v="0"/>
    <e v="#DIV/0!"/>
    <x v="278"/>
    <n v="-1152"/>
    <n v="287"/>
    <n v="-7.1428571428571425E-2"/>
    <s v="Dec-13"/>
    <x v="1"/>
    <n v="2.4"/>
  </r>
  <r>
    <x v="28"/>
    <n v="29"/>
    <x v="5"/>
    <x v="1"/>
    <x v="1"/>
    <x v="18"/>
    <x v="1"/>
    <x v="2"/>
    <x v="8"/>
    <x v="18"/>
    <x v="25"/>
    <x v="6"/>
    <n v="20"/>
    <n v="20"/>
    <n v="50"/>
    <n v="20"/>
    <x v="25"/>
    <x v="18"/>
    <x v="74"/>
    <x v="90"/>
    <n v="1.45"/>
    <n v="16"/>
    <x v="0"/>
    <n v="18.2"/>
    <x v="279"/>
    <n v="2808"/>
    <n v="160"/>
    <n v="5.7692307692307696E-2"/>
    <s v="Dec-13"/>
    <x v="3"/>
    <n v="2.6896551724137931"/>
  </r>
  <r>
    <x v="32"/>
    <n v="24"/>
    <x v="5"/>
    <x v="1"/>
    <x v="3"/>
    <x v="7"/>
    <x v="1"/>
    <x v="2"/>
    <x v="9"/>
    <x v="60"/>
    <x v="94"/>
    <x v="14"/>
    <n v="20"/>
    <n v="20"/>
    <n v="50"/>
    <n v="19"/>
    <x v="94"/>
    <x v="60"/>
    <x v="67"/>
    <x v="21"/>
    <n v="1.2"/>
    <n v="-1"/>
    <x v="0"/>
    <n v="19.05"/>
    <x v="210"/>
    <n v="1140"/>
    <n v="133"/>
    <n v="4.5238095238095237E-2"/>
    <s v="Dec-13"/>
    <x v="3"/>
    <n v="2.5"/>
  </r>
  <r>
    <x v="12"/>
    <n v="24"/>
    <x v="5"/>
    <x v="1"/>
    <x v="3"/>
    <x v="29"/>
    <x v="0"/>
    <x v="0"/>
    <x v="10"/>
    <x v="2"/>
    <x v="98"/>
    <x v="11"/>
    <n v="20"/>
    <n v="20"/>
    <n v="50"/>
    <n v="17"/>
    <x v="98"/>
    <x v="2"/>
    <x v="95"/>
    <x v="106"/>
    <n v="1.2"/>
    <n v="8"/>
    <x v="0"/>
    <n v="18.600000000000001"/>
    <x v="280"/>
    <n v="1792"/>
    <n v="102"/>
    <n v="7.2916666666666671E-2"/>
    <s v="Dec-13"/>
    <x v="3"/>
    <n v="2.6666666666666665"/>
  </r>
  <r>
    <x v="10"/>
    <n v="16"/>
    <x v="5"/>
    <x v="1"/>
    <x v="2"/>
    <x v="36"/>
    <x v="0"/>
    <x v="1"/>
    <x v="2"/>
    <x v="25"/>
    <x v="121"/>
    <x v="9"/>
    <n v="10"/>
    <n v="20"/>
    <n v="40"/>
    <n v="15"/>
    <x v="121"/>
    <x v="25"/>
    <x v="122"/>
    <x v="110"/>
    <n v="1.6"/>
    <n v="-5"/>
    <x v="0"/>
    <n v="19.25"/>
    <x v="277"/>
    <n v="660"/>
    <n v="60"/>
    <n v="8.5227272727272721E-2"/>
    <s v="Dec-13"/>
    <x v="5"/>
    <n v="2.75"/>
  </r>
  <r>
    <x v="49"/>
    <n v="29"/>
    <x v="5"/>
    <x v="1"/>
    <x v="3"/>
    <x v="18"/>
    <x v="0"/>
    <x v="1"/>
    <x v="2"/>
    <x v="8"/>
    <x v="25"/>
    <x v="11"/>
    <n v="20"/>
    <n v="30"/>
    <n v="50"/>
    <n v="19"/>
    <x v="25"/>
    <x v="8"/>
    <x v="67"/>
    <x v="182"/>
    <n v="1.45"/>
    <n v="7"/>
    <x v="0"/>
    <n v="28.766666666666666"/>
    <x v="207"/>
    <n v="2886"/>
    <n v="152"/>
    <n v="5.9294871794871792E-2"/>
    <s v="Dec-13"/>
    <x v="5"/>
    <n v="2.6896551724137931"/>
  </r>
  <r>
    <x v="18"/>
    <n v="76"/>
    <x v="0"/>
    <x v="0"/>
    <x v="1"/>
    <x v="28"/>
    <x v="1"/>
    <x v="2"/>
    <x v="4"/>
    <x v="92"/>
    <x v="76"/>
    <x v="1"/>
    <n v="40"/>
    <n v="80"/>
    <n v="120"/>
    <n v="33"/>
    <x v="76"/>
    <x v="92"/>
    <x v="26"/>
    <x v="230"/>
    <n v="1.9"/>
    <n v="-2"/>
    <x v="0"/>
    <n v="79.025000000000006"/>
    <x v="281"/>
    <n v="14586"/>
    <n v="693"/>
    <n v="1.9862490450725745E-2"/>
    <s v="Oct-12"/>
    <x v="1"/>
    <n v="2.4605263157894739"/>
  </r>
  <r>
    <x v="99"/>
    <n v="52"/>
    <x v="0"/>
    <x v="0"/>
    <x v="1"/>
    <x v="1"/>
    <x v="0"/>
    <x v="0"/>
    <x v="10"/>
    <x v="1"/>
    <x v="1"/>
    <x v="1"/>
    <n v="30"/>
    <n v="70"/>
    <n v="110"/>
    <n v="45"/>
    <x v="1"/>
    <x v="1"/>
    <x v="1"/>
    <x v="1"/>
    <n v="1.7333333333333334"/>
    <n v="-44"/>
    <x v="0"/>
    <n v="69.628571428571433"/>
    <x v="1"/>
    <n v="3198"/>
    <n v="765"/>
    <n v="1.2434241989478718E-2"/>
    <s v="Oct-12"/>
    <x v="1"/>
    <n v="2.3653846153846154"/>
  </r>
  <r>
    <x v="111"/>
    <n v="76"/>
    <x v="0"/>
    <x v="0"/>
    <x v="0"/>
    <x v="28"/>
    <x v="0"/>
    <x v="1"/>
    <x v="2"/>
    <x v="92"/>
    <x v="76"/>
    <x v="16"/>
    <n v="50"/>
    <n v="80"/>
    <n v="130"/>
    <n v="33"/>
    <x v="76"/>
    <x v="92"/>
    <x v="26"/>
    <x v="230"/>
    <n v="1.52"/>
    <n v="-2"/>
    <x v="0"/>
    <n v="79.025000000000006"/>
    <x v="281"/>
    <n v="14586"/>
    <n v="693"/>
    <n v="1.9862490450725745E-2"/>
    <s v="Oct-12"/>
    <x v="2"/>
    <n v="2.4605263157894739"/>
  </r>
  <r>
    <x v="24"/>
    <n v="72"/>
    <x v="0"/>
    <x v="0"/>
    <x v="0"/>
    <x v="4"/>
    <x v="0"/>
    <x v="1"/>
    <x v="11"/>
    <x v="45"/>
    <x v="4"/>
    <x v="16"/>
    <n v="50"/>
    <n v="50"/>
    <n v="130"/>
    <n v="55"/>
    <x v="4"/>
    <x v="45"/>
    <x v="0"/>
    <x v="188"/>
    <n v="1.44"/>
    <n v="5"/>
    <x v="0"/>
    <n v="48.9"/>
    <x v="215"/>
    <n v="10010"/>
    <n v="1265"/>
    <n v="1.3139034878165312E-2"/>
    <s v="Oct-12"/>
    <x v="6"/>
    <n v="2.5277777777777777"/>
  </r>
  <r>
    <x v="95"/>
    <n v="65"/>
    <x v="0"/>
    <x v="1"/>
    <x v="0"/>
    <x v="14"/>
    <x v="1"/>
    <x v="3"/>
    <x v="5"/>
    <x v="3"/>
    <x v="64"/>
    <x v="12"/>
    <n v="50"/>
    <n v="70"/>
    <n v="130"/>
    <n v="42"/>
    <x v="64"/>
    <x v="3"/>
    <x v="33"/>
    <x v="120"/>
    <n v="1.3"/>
    <n v="-35"/>
    <x v="0"/>
    <n v="69.5"/>
    <x v="131"/>
    <n v="4970"/>
    <n v="840"/>
    <n v="1.232394366197183E-2"/>
    <s v="Oct-12"/>
    <x v="0"/>
    <n v="2.1846153846153844"/>
  </r>
  <r>
    <x v="95"/>
    <n v="32"/>
    <x v="0"/>
    <x v="1"/>
    <x v="0"/>
    <x v="18"/>
    <x v="1"/>
    <x v="2"/>
    <x v="4"/>
    <x v="2"/>
    <x v="95"/>
    <x v="12"/>
    <n v="30"/>
    <n v="80"/>
    <n v="110"/>
    <n v="19"/>
    <x v="95"/>
    <x v="2"/>
    <x v="57"/>
    <x v="3"/>
    <n v="1.0666666666666667"/>
    <n v="-52"/>
    <x v="0"/>
    <n v="79.650000000000006"/>
    <x v="32"/>
    <n v="2212"/>
    <n v="152"/>
    <n v="4.4303797468354431E-2"/>
    <s v="Oct-12"/>
    <x v="3"/>
    <n v="2.46875"/>
  </r>
  <r>
    <x v="47"/>
    <n v="82"/>
    <x v="0"/>
    <x v="1"/>
    <x v="1"/>
    <x v="15"/>
    <x v="1"/>
    <x v="2"/>
    <x v="4"/>
    <x v="56"/>
    <x v="17"/>
    <x v="6"/>
    <n v="50"/>
    <n v="60"/>
    <n v="130"/>
    <n v="58"/>
    <x v="17"/>
    <x v="56"/>
    <x v="65"/>
    <x v="231"/>
    <n v="1.64"/>
    <n v="5"/>
    <x v="0"/>
    <n v="58.916666666666664"/>
    <x v="282"/>
    <n v="13325"/>
    <n v="1566"/>
    <n v="1.1743450767841012E-2"/>
    <s v="Oct-12"/>
    <x v="7"/>
    <n v="2.5"/>
  </r>
  <r>
    <x v="65"/>
    <n v="56"/>
    <x v="0"/>
    <x v="1"/>
    <x v="0"/>
    <x v="28"/>
    <x v="1"/>
    <x v="3"/>
    <x v="6"/>
    <x v="25"/>
    <x v="53"/>
    <x v="13"/>
    <n v="40"/>
    <n v="50"/>
    <n v="120"/>
    <n v="55"/>
    <x v="53"/>
    <x v="25"/>
    <x v="54"/>
    <x v="232"/>
    <n v="1.4"/>
    <n v="-35"/>
    <x v="0"/>
    <n v="49.7"/>
    <x v="283"/>
    <n v="1890"/>
    <n v="1155"/>
    <n v="5.6689342403628117E-3"/>
    <s v="Oct-12"/>
    <x v="7"/>
    <n v="2.25"/>
  </r>
  <r>
    <x v="47"/>
    <n v="91"/>
    <x v="0"/>
    <x v="1"/>
    <x v="1"/>
    <x v="16"/>
    <x v="1"/>
    <x v="2"/>
    <x v="9"/>
    <x v="20"/>
    <x v="18"/>
    <x v="6"/>
    <n v="50"/>
    <n v="70"/>
    <n v="130"/>
    <n v="51"/>
    <x v="18"/>
    <x v="20"/>
    <x v="19"/>
    <x v="21"/>
    <n v="1.82"/>
    <n v="6"/>
    <x v="0"/>
    <n v="68.914285714285711"/>
    <x v="21"/>
    <n v="16568"/>
    <n v="1428"/>
    <n v="1.2450851900393186E-2"/>
    <s v="Oct-12"/>
    <x v="0"/>
    <n v="2.3956043956043955"/>
  </r>
  <r>
    <x v="112"/>
    <n v="60"/>
    <x v="0"/>
    <x v="1"/>
    <x v="0"/>
    <x v="31"/>
    <x v="0"/>
    <x v="0"/>
    <x v="10"/>
    <x v="67"/>
    <x v="80"/>
    <x v="13"/>
    <n v="40"/>
    <n v="80"/>
    <n v="120"/>
    <n v="42"/>
    <x v="80"/>
    <x v="67"/>
    <x v="81"/>
    <x v="122"/>
    <n v="1.5"/>
    <n v="-23"/>
    <x v="0"/>
    <n v="79.287499999999994"/>
    <x v="133"/>
    <n v="9063"/>
    <n v="756"/>
    <n v="1.9916142557651992E-2"/>
    <s v="Oct-12"/>
    <x v="1"/>
    <n v="2.65"/>
  </r>
  <r>
    <x v="83"/>
    <n v="55"/>
    <x v="1"/>
    <x v="0"/>
    <x v="0"/>
    <x v="14"/>
    <x v="1"/>
    <x v="2"/>
    <x v="4"/>
    <x v="38"/>
    <x v="21"/>
    <x v="18"/>
    <n v="70"/>
    <n v="40"/>
    <n v="150"/>
    <n v="53"/>
    <x v="21"/>
    <x v="38"/>
    <x v="13"/>
    <x v="196"/>
    <n v="0.7857142857142857"/>
    <n v="-24"/>
    <x v="0"/>
    <n v="39.6"/>
    <x v="224"/>
    <n v="1984"/>
    <n v="1060"/>
    <n v="6.4516129032258064E-3"/>
    <s v="Nov-12"/>
    <x v="8"/>
    <n v="2.2545454545454544"/>
  </r>
  <r>
    <x v="87"/>
    <n v="59"/>
    <x v="1"/>
    <x v="0"/>
    <x v="0"/>
    <x v="27"/>
    <x v="1"/>
    <x v="3"/>
    <x v="6"/>
    <x v="9"/>
    <x v="105"/>
    <x v="18"/>
    <n v="50"/>
    <n v="50"/>
    <n v="130"/>
    <n v="46"/>
    <x v="105"/>
    <x v="9"/>
    <x v="123"/>
    <x v="233"/>
    <n v="1.18"/>
    <n v="-17"/>
    <x v="0"/>
    <n v="49.34"/>
    <x v="284"/>
    <n v="4554"/>
    <n v="874"/>
    <n v="1.2585812356979406E-2"/>
    <s v="Nov-12"/>
    <x v="6"/>
    <n v="2.3389830508474576"/>
  </r>
  <r>
    <x v="73"/>
    <n v="75"/>
    <x v="1"/>
    <x v="0"/>
    <x v="3"/>
    <x v="23"/>
    <x v="0"/>
    <x v="1"/>
    <x v="3"/>
    <x v="93"/>
    <x v="90"/>
    <x v="3"/>
    <n v="50"/>
    <n v="40"/>
    <n v="130"/>
    <n v="55"/>
    <x v="90"/>
    <x v="93"/>
    <x v="83"/>
    <x v="234"/>
    <n v="1.5"/>
    <n v="19"/>
    <x v="0"/>
    <n v="38.524999999999999"/>
    <x v="285"/>
    <n v="11151"/>
    <n v="1320"/>
    <n v="1.3007054673721341E-2"/>
    <s v="Nov-12"/>
    <x v="9"/>
    <n v="2.52"/>
  </r>
  <r>
    <x v="26"/>
    <n v="69"/>
    <x v="1"/>
    <x v="1"/>
    <x v="0"/>
    <x v="28"/>
    <x v="1"/>
    <x v="3"/>
    <x v="5"/>
    <x v="68"/>
    <x v="61"/>
    <x v="12"/>
    <n v="60"/>
    <n v="40"/>
    <n v="140"/>
    <n v="43"/>
    <x v="61"/>
    <x v="68"/>
    <x v="85"/>
    <x v="129"/>
    <n v="1.1499999999999999"/>
    <n v="-2"/>
    <x v="0"/>
    <n v="39.049999999999997"/>
    <x v="142"/>
    <n v="5700"/>
    <n v="903"/>
    <n v="1.2063492063492064E-2"/>
    <s v="Nov-12"/>
    <x v="10"/>
    <n v="2.1739130434782608"/>
  </r>
  <r>
    <x v="12"/>
    <n v="46"/>
    <x v="1"/>
    <x v="1"/>
    <x v="3"/>
    <x v="10"/>
    <x v="1"/>
    <x v="3"/>
    <x v="5"/>
    <x v="71"/>
    <x v="11"/>
    <x v="11"/>
    <n v="50"/>
    <n v="50"/>
    <n v="130"/>
    <n v="36"/>
    <x v="11"/>
    <x v="71"/>
    <x v="90"/>
    <x v="177"/>
    <n v="0.92"/>
    <n v="-18"/>
    <x v="0"/>
    <n v="49.36"/>
    <x v="220"/>
    <n v="3648"/>
    <n v="504"/>
    <n v="2.0050125313283207E-2"/>
    <s v="Nov-12"/>
    <x v="6"/>
    <n v="2.4782608695652173"/>
  </r>
  <r>
    <x v="32"/>
    <n v="75"/>
    <x v="1"/>
    <x v="1"/>
    <x v="3"/>
    <x v="4"/>
    <x v="1"/>
    <x v="2"/>
    <x v="4"/>
    <x v="16"/>
    <x v="20"/>
    <x v="14"/>
    <n v="70"/>
    <n v="40"/>
    <n v="150"/>
    <n v="44"/>
    <x v="20"/>
    <x v="16"/>
    <x v="63"/>
    <x v="235"/>
    <n v="1.0714285714285714"/>
    <n v="5"/>
    <x v="0"/>
    <n v="38.875"/>
    <x v="26"/>
    <n v="7380"/>
    <n v="1012"/>
    <n v="1.193001060445387E-2"/>
    <s v="Nov-12"/>
    <x v="8"/>
    <n v="2.1866666666666665"/>
  </r>
  <r>
    <x v="31"/>
    <n v="61"/>
    <x v="1"/>
    <x v="1"/>
    <x v="2"/>
    <x v="21"/>
    <x v="1"/>
    <x v="2"/>
    <x v="8"/>
    <x v="80"/>
    <x v="32"/>
    <x v="5"/>
    <n v="60"/>
    <n v="10"/>
    <n v="140"/>
    <n v="84"/>
    <x v="32"/>
    <x v="80"/>
    <x v="113"/>
    <x v="198"/>
    <n v="1.0166666666666666"/>
    <n v="-8"/>
    <x v="0"/>
    <n v="9.8000000000000007"/>
    <x v="226"/>
    <n v="294"/>
    <n v="4620"/>
    <n v="2.4737167594310452E-4"/>
    <s v="Nov-12"/>
    <x v="13"/>
    <n v="2.4098360655737703"/>
  </r>
  <r>
    <x v="29"/>
    <n v="47"/>
    <x v="1"/>
    <x v="1"/>
    <x v="1"/>
    <x v="2"/>
    <x v="1"/>
    <x v="3"/>
    <x v="7"/>
    <x v="24"/>
    <x v="30"/>
    <x v="10"/>
    <n v="50"/>
    <n v="60"/>
    <n v="130"/>
    <n v="24"/>
    <x v="30"/>
    <x v="24"/>
    <x v="37"/>
    <x v="38"/>
    <n v="0.94"/>
    <n v="-16"/>
    <x v="0"/>
    <n v="59.266666666666666"/>
    <x v="41"/>
    <n v="5060"/>
    <n v="312"/>
    <n v="2.9431438127090301E-2"/>
    <s v="Nov-12"/>
    <x v="7"/>
    <n v="2.4468085106382977"/>
  </r>
  <r>
    <x v="49"/>
    <n v="52"/>
    <x v="1"/>
    <x v="1"/>
    <x v="3"/>
    <x v="17"/>
    <x v="1"/>
    <x v="3"/>
    <x v="6"/>
    <x v="64"/>
    <x v="22"/>
    <x v="11"/>
    <n v="60"/>
    <n v="10"/>
    <n v="140"/>
    <n v="77"/>
    <x v="22"/>
    <x v="64"/>
    <x v="111"/>
    <x v="194"/>
    <n v="0.8666666666666667"/>
    <n v="-14"/>
    <x v="0"/>
    <n v="10.4"/>
    <x v="221"/>
    <n v="-500"/>
    <n v="3619"/>
    <n v="-6.8085106382978727E-4"/>
    <s v="Nov-12"/>
    <x v="13"/>
    <n v="2.4038461538461537"/>
  </r>
  <r>
    <x v="9"/>
    <n v="53"/>
    <x v="1"/>
    <x v="1"/>
    <x v="3"/>
    <x v="1"/>
    <x v="1"/>
    <x v="3"/>
    <x v="7"/>
    <x v="22"/>
    <x v="21"/>
    <x v="8"/>
    <n v="60"/>
    <n v="50"/>
    <n v="140"/>
    <n v="44"/>
    <x v="21"/>
    <x v="22"/>
    <x v="1"/>
    <x v="190"/>
    <n v="0.8833333333333333"/>
    <n v="-23"/>
    <x v="0"/>
    <n v="49.46"/>
    <x v="91"/>
    <n v="3348"/>
    <n v="748"/>
    <n v="1.2808349146110056E-2"/>
    <s v="Nov-12"/>
    <x v="9"/>
    <n v="2.3396226415094339"/>
  </r>
  <r>
    <x v="12"/>
    <n v="59"/>
    <x v="1"/>
    <x v="1"/>
    <x v="3"/>
    <x v="27"/>
    <x v="1"/>
    <x v="2"/>
    <x v="8"/>
    <x v="9"/>
    <x v="105"/>
    <x v="11"/>
    <n v="50"/>
    <n v="50"/>
    <n v="130"/>
    <n v="46"/>
    <x v="105"/>
    <x v="9"/>
    <x v="123"/>
    <x v="233"/>
    <n v="1.18"/>
    <n v="-17"/>
    <x v="0"/>
    <n v="49.34"/>
    <x v="284"/>
    <n v="4554"/>
    <n v="874"/>
    <n v="1.2585812356979406E-2"/>
    <s v="Nov-12"/>
    <x v="6"/>
    <n v="2.3389830508474576"/>
  </r>
  <r>
    <x v="41"/>
    <n v="53"/>
    <x v="1"/>
    <x v="1"/>
    <x v="0"/>
    <x v="20"/>
    <x v="0"/>
    <x v="0"/>
    <x v="10"/>
    <x v="21"/>
    <x v="29"/>
    <x v="13"/>
    <n v="50"/>
    <n v="50"/>
    <n v="130"/>
    <n v="40"/>
    <x v="29"/>
    <x v="21"/>
    <x v="73"/>
    <x v="7"/>
    <n v="1.06"/>
    <n v="-2"/>
    <x v="0"/>
    <n v="49.04"/>
    <x v="286"/>
    <n v="6768"/>
    <n v="640"/>
    <n v="2.1276595744680851E-2"/>
    <s v="Nov-12"/>
    <x v="6"/>
    <n v="2.6603773584905661"/>
  </r>
  <r>
    <x v="67"/>
    <n v="54"/>
    <x v="1"/>
    <x v="1"/>
    <x v="2"/>
    <x v="6"/>
    <x v="0"/>
    <x v="1"/>
    <x v="2"/>
    <x v="94"/>
    <x v="57"/>
    <x v="5"/>
    <n v="50"/>
    <n v="60"/>
    <n v="130"/>
    <n v="27"/>
    <x v="57"/>
    <x v="94"/>
    <x v="40"/>
    <x v="236"/>
    <n v="1.08"/>
    <n v="-9"/>
    <x v="0"/>
    <n v="59.15"/>
    <x v="287"/>
    <n v="6732"/>
    <n v="405"/>
    <n v="2.5757575757575757E-2"/>
    <s v="Nov-12"/>
    <x v="7"/>
    <n v="2.4444444444444446"/>
  </r>
  <r>
    <x v="113"/>
    <n v="46"/>
    <x v="2"/>
    <x v="0"/>
    <x v="0"/>
    <x v="1"/>
    <x v="1"/>
    <x v="2"/>
    <x v="4"/>
    <x v="70"/>
    <x v="84"/>
    <x v="18"/>
    <n v="50"/>
    <n v="40"/>
    <n v="130"/>
    <n v="51"/>
    <x v="84"/>
    <x v="70"/>
    <x v="1"/>
    <x v="132"/>
    <n v="0.92"/>
    <n v="-34"/>
    <x v="0"/>
    <n v="39.85"/>
    <x v="129"/>
    <n v="618"/>
    <n v="867"/>
    <n v="3.4266133637921191E-3"/>
    <s v="Dec-12"/>
    <x v="9"/>
    <n v="2.2391304347826089"/>
  </r>
  <r>
    <x v="89"/>
    <n v="67"/>
    <x v="2"/>
    <x v="0"/>
    <x v="0"/>
    <x v="34"/>
    <x v="0"/>
    <x v="1"/>
    <x v="11"/>
    <x v="17"/>
    <x v="107"/>
    <x v="16"/>
    <n v="50"/>
    <n v="40"/>
    <n v="130"/>
    <n v="54"/>
    <x v="107"/>
    <x v="17"/>
    <x v="72"/>
    <x v="199"/>
    <n v="1.34"/>
    <n v="7"/>
    <x v="0"/>
    <n v="38.825000000000003"/>
    <x v="227"/>
    <n v="7896"/>
    <n v="1188"/>
    <n v="1.2716450216450216E-2"/>
    <s v="Dec-12"/>
    <x v="9"/>
    <n v="2.5074626865671643"/>
  </r>
  <r>
    <x v="114"/>
    <n v="54"/>
    <x v="2"/>
    <x v="0"/>
    <x v="2"/>
    <x v="6"/>
    <x v="0"/>
    <x v="1"/>
    <x v="3"/>
    <x v="33"/>
    <x v="33"/>
    <x v="19"/>
    <n v="50"/>
    <n v="60"/>
    <n v="130"/>
    <n v="27"/>
    <x v="33"/>
    <x v="33"/>
    <x v="40"/>
    <x v="41"/>
    <n v="1.08"/>
    <n v="-8"/>
    <x v="0"/>
    <n v="59.133333333333333"/>
    <x v="45"/>
    <n v="6916"/>
    <n v="405"/>
    <n v="2.606516290726817E-2"/>
    <s v="Dec-12"/>
    <x v="7"/>
    <n v="2.4629629629629628"/>
  </r>
  <r>
    <x v="115"/>
    <n v="67"/>
    <x v="2"/>
    <x v="0"/>
    <x v="3"/>
    <x v="34"/>
    <x v="0"/>
    <x v="1"/>
    <x v="3"/>
    <x v="17"/>
    <x v="107"/>
    <x v="3"/>
    <n v="40"/>
    <n v="50"/>
    <n v="120"/>
    <n v="54"/>
    <x v="107"/>
    <x v="17"/>
    <x v="72"/>
    <x v="199"/>
    <n v="1.675"/>
    <n v="-3"/>
    <x v="0"/>
    <n v="49.06"/>
    <x v="227"/>
    <n v="7896"/>
    <n v="1188"/>
    <n v="1.2716450216450216E-2"/>
    <s v="Dec-12"/>
    <x v="7"/>
    <n v="2.5074626865671643"/>
  </r>
  <r>
    <x v="12"/>
    <n v="41"/>
    <x v="2"/>
    <x v="1"/>
    <x v="3"/>
    <x v="2"/>
    <x v="1"/>
    <x v="3"/>
    <x v="5"/>
    <x v="65"/>
    <x v="38"/>
    <x v="11"/>
    <n v="40"/>
    <n v="50"/>
    <n v="120"/>
    <n v="35"/>
    <x v="38"/>
    <x v="65"/>
    <x v="82"/>
    <x v="237"/>
    <n v="1.0249999999999999"/>
    <n v="-25"/>
    <x v="0"/>
    <n v="49.5"/>
    <x v="288"/>
    <n v="2525"/>
    <n v="455"/>
    <n v="1.9040365575019039E-2"/>
    <s v="Dec-12"/>
    <x v="7"/>
    <n v="2.4634146341463414"/>
  </r>
  <r>
    <x v="65"/>
    <n v="65"/>
    <x v="2"/>
    <x v="1"/>
    <x v="0"/>
    <x v="23"/>
    <x v="1"/>
    <x v="3"/>
    <x v="6"/>
    <x v="57"/>
    <x v="36"/>
    <x v="13"/>
    <n v="60"/>
    <n v="30"/>
    <n v="140"/>
    <n v="58"/>
    <x v="36"/>
    <x v="57"/>
    <x v="49"/>
    <x v="173"/>
    <n v="1.0833333333333333"/>
    <n v="-8"/>
    <x v="0"/>
    <n v="29.266666666666666"/>
    <x v="47"/>
    <n v="3190"/>
    <n v="1392"/>
    <n v="6.32183908045977E-3"/>
    <s v="Dec-12"/>
    <x v="8"/>
    <n v="2.2307692307692308"/>
  </r>
  <r>
    <x v="12"/>
    <n v="47"/>
    <x v="2"/>
    <x v="1"/>
    <x v="3"/>
    <x v="22"/>
    <x v="1"/>
    <x v="3"/>
    <x v="6"/>
    <x v="11"/>
    <x v="34"/>
    <x v="11"/>
    <n v="50"/>
    <n v="20"/>
    <n v="130"/>
    <n v="72"/>
    <x v="34"/>
    <x v="11"/>
    <x v="63"/>
    <x v="14"/>
    <n v="0.94"/>
    <n v="-27"/>
    <x v="0"/>
    <n v="20.350000000000001"/>
    <x v="289"/>
    <n v="-784"/>
    <n v="3024"/>
    <n v="-1.488095238095238E-3"/>
    <s v="Dec-12"/>
    <x v="8"/>
    <n v="2.3829787234042552"/>
  </r>
  <r>
    <x v="15"/>
    <n v="49"/>
    <x v="2"/>
    <x v="1"/>
    <x v="3"/>
    <x v="20"/>
    <x v="1"/>
    <x v="3"/>
    <x v="7"/>
    <x v="6"/>
    <x v="11"/>
    <x v="8"/>
    <n v="50"/>
    <n v="50"/>
    <n v="130"/>
    <n v="44"/>
    <x v="11"/>
    <x v="6"/>
    <x v="73"/>
    <x v="200"/>
    <n v="0.98"/>
    <n v="-29"/>
    <x v="0"/>
    <n v="49.58"/>
    <x v="228"/>
    <n v="2394"/>
    <n v="704"/>
    <n v="1.1513157894736841E-2"/>
    <s v="Dec-12"/>
    <x v="6"/>
    <n v="2.3265306122448979"/>
  </r>
  <r>
    <x v="30"/>
    <n v="65"/>
    <x v="2"/>
    <x v="1"/>
    <x v="3"/>
    <x v="23"/>
    <x v="1"/>
    <x v="2"/>
    <x v="8"/>
    <x v="34"/>
    <x v="36"/>
    <x v="14"/>
    <n v="60"/>
    <n v="30"/>
    <n v="140"/>
    <n v="57"/>
    <x v="36"/>
    <x v="34"/>
    <x v="43"/>
    <x v="43"/>
    <n v="1.0833333333333333"/>
    <n v="-7"/>
    <x v="0"/>
    <n v="29.233333333333334"/>
    <x v="48"/>
    <n v="3335"/>
    <n v="1368"/>
    <n v="6.6091954022988505E-3"/>
    <s v="Dec-12"/>
    <x v="8"/>
    <n v="2.2307692307692308"/>
  </r>
  <r>
    <x v="38"/>
    <n v="68"/>
    <x v="2"/>
    <x v="1"/>
    <x v="1"/>
    <x v="26"/>
    <x v="0"/>
    <x v="0"/>
    <x v="0"/>
    <x v="1"/>
    <x v="43"/>
    <x v="10"/>
    <n v="60"/>
    <n v="30"/>
    <n v="140"/>
    <n v="59"/>
    <x v="43"/>
    <x v="1"/>
    <x v="0"/>
    <x v="238"/>
    <n v="1.1333333333333333"/>
    <n v="-4"/>
    <x v="0"/>
    <n v="29.133333333333333"/>
    <x v="290"/>
    <n v="3978"/>
    <n v="1475"/>
    <n v="6.7973856209150333E-3"/>
    <s v="Dec-12"/>
    <x v="8"/>
    <n v="2.25"/>
  </r>
  <r>
    <x v="116"/>
    <n v="76"/>
    <x v="3"/>
    <x v="0"/>
    <x v="1"/>
    <x v="28"/>
    <x v="1"/>
    <x v="2"/>
    <x v="4"/>
    <x v="95"/>
    <x v="87"/>
    <x v="1"/>
    <n v="40"/>
    <n v="80"/>
    <n v="120"/>
    <n v="33"/>
    <x v="87"/>
    <x v="95"/>
    <x v="25"/>
    <x v="239"/>
    <n v="1.9"/>
    <n v="36"/>
    <x v="0"/>
    <n v="78.55"/>
    <x v="291"/>
    <n v="23084"/>
    <n v="693"/>
    <n v="2.7757836803062933E-2"/>
    <s v="Oct-13"/>
    <x v="1"/>
    <n v="2.6184210526315788"/>
  </r>
  <r>
    <x v="60"/>
    <n v="52"/>
    <x v="3"/>
    <x v="0"/>
    <x v="1"/>
    <x v="1"/>
    <x v="0"/>
    <x v="0"/>
    <x v="10"/>
    <x v="40"/>
    <x v="41"/>
    <x v="1"/>
    <n v="30"/>
    <n v="70"/>
    <n v="110"/>
    <n v="45"/>
    <x v="41"/>
    <x v="40"/>
    <x v="36"/>
    <x v="61"/>
    <n v="1.7333333333333334"/>
    <n v="-31"/>
    <x v="0"/>
    <n v="69.442857142857136"/>
    <x v="65"/>
    <n v="5109"/>
    <n v="765"/>
    <n v="1.7512348450830714E-2"/>
    <s v="Oct-13"/>
    <x v="1"/>
    <n v="2.5192307692307692"/>
  </r>
  <r>
    <x v="117"/>
    <n v="76"/>
    <x v="3"/>
    <x v="0"/>
    <x v="0"/>
    <x v="28"/>
    <x v="0"/>
    <x v="1"/>
    <x v="2"/>
    <x v="95"/>
    <x v="87"/>
    <x v="16"/>
    <n v="50"/>
    <n v="80"/>
    <n v="130"/>
    <n v="33"/>
    <x v="87"/>
    <x v="95"/>
    <x v="25"/>
    <x v="239"/>
    <n v="1.52"/>
    <n v="36"/>
    <x v="0"/>
    <n v="78.55"/>
    <x v="291"/>
    <n v="23084"/>
    <n v="693"/>
    <n v="2.7757836803062933E-2"/>
    <s v="Oct-13"/>
    <x v="2"/>
    <n v="2.6184210526315788"/>
  </r>
  <r>
    <x v="117"/>
    <n v="72"/>
    <x v="3"/>
    <x v="0"/>
    <x v="0"/>
    <x v="4"/>
    <x v="0"/>
    <x v="1"/>
    <x v="11"/>
    <x v="87"/>
    <x v="47"/>
    <x v="16"/>
    <n v="50"/>
    <n v="50"/>
    <n v="130"/>
    <n v="55"/>
    <x v="47"/>
    <x v="87"/>
    <x v="85"/>
    <x v="205"/>
    <n v="1.44"/>
    <n v="32"/>
    <x v="0"/>
    <n v="48.36"/>
    <x v="234"/>
    <n v="15908"/>
    <n v="1265"/>
    <n v="1.8377409233527566E-2"/>
    <s v="Oct-13"/>
    <x v="6"/>
    <n v="2.6944444444444446"/>
  </r>
  <r>
    <x v="54"/>
    <n v="65"/>
    <x v="3"/>
    <x v="1"/>
    <x v="0"/>
    <x v="14"/>
    <x v="1"/>
    <x v="3"/>
    <x v="5"/>
    <x v="33"/>
    <x v="91"/>
    <x v="12"/>
    <n v="50"/>
    <n v="70"/>
    <n v="130"/>
    <n v="42"/>
    <x v="91"/>
    <x v="33"/>
    <x v="44"/>
    <x v="143"/>
    <n v="1.3"/>
    <n v="-18"/>
    <x v="0"/>
    <n v="69.257142857142853"/>
    <x v="162"/>
    <n v="7852"/>
    <n v="840"/>
    <n v="1.7218543046357615E-2"/>
    <s v="Oct-13"/>
    <x v="0"/>
    <n v="2.3230769230769233"/>
  </r>
  <r>
    <x v="40"/>
    <n v="32"/>
    <x v="3"/>
    <x v="1"/>
    <x v="0"/>
    <x v="18"/>
    <x v="1"/>
    <x v="2"/>
    <x v="4"/>
    <x v="41"/>
    <x v="102"/>
    <x v="12"/>
    <n v="30"/>
    <n v="80"/>
    <n v="110"/>
    <n v="19"/>
    <x v="102"/>
    <x v="41"/>
    <x v="74"/>
    <x v="89"/>
    <n v="1.0666666666666667"/>
    <n v="-38"/>
    <x v="0"/>
    <n v="79.474999999999994"/>
    <x v="95"/>
    <n v="3528"/>
    <n v="152"/>
    <n v="6.25E-2"/>
    <s v="Oct-13"/>
    <x v="3"/>
    <n v="2.625"/>
  </r>
  <r>
    <x v="47"/>
    <n v="82"/>
    <x v="3"/>
    <x v="1"/>
    <x v="1"/>
    <x v="15"/>
    <x v="1"/>
    <x v="2"/>
    <x v="4"/>
    <x v="96"/>
    <x v="18"/>
    <x v="6"/>
    <n v="50"/>
    <n v="60"/>
    <n v="130"/>
    <n v="58"/>
    <x v="18"/>
    <x v="96"/>
    <x v="43"/>
    <x v="240"/>
    <n v="1.64"/>
    <n v="36"/>
    <x v="0"/>
    <n v="58.4"/>
    <x v="292"/>
    <n v="20928"/>
    <n v="1566"/>
    <n v="1.6309887869520895E-2"/>
    <s v="Oct-13"/>
    <x v="7"/>
    <n v="2.6585365853658538"/>
  </r>
  <r>
    <x v="112"/>
    <n v="56"/>
    <x v="3"/>
    <x v="1"/>
    <x v="0"/>
    <x v="28"/>
    <x v="1"/>
    <x v="3"/>
    <x v="6"/>
    <x v="57"/>
    <x v="108"/>
    <x v="13"/>
    <n v="40"/>
    <n v="50"/>
    <n v="120"/>
    <n v="55"/>
    <x v="108"/>
    <x v="57"/>
    <x v="85"/>
    <x v="241"/>
    <n v="1.4"/>
    <n v="-28"/>
    <x v="0"/>
    <n v="49.56"/>
    <x v="73"/>
    <n v="2948"/>
    <n v="1155"/>
    <n v="7.818052594171997E-3"/>
    <s v="Oct-13"/>
    <x v="7"/>
    <n v="2.3928571428571428"/>
  </r>
  <r>
    <x v="47"/>
    <n v="91"/>
    <x v="3"/>
    <x v="1"/>
    <x v="1"/>
    <x v="16"/>
    <x v="1"/>
    <x v="2"/>
    <x v="9"/>
    <x v="52"/>
    <x v="54"/>
    <x v="6"/>
    <n v="50"/>
    <n v="70"/>
    <n v="130"/>
    <n v="51"/>
    <x v="54"/>
    <x v="52"/>
    <x v="63"/>
    <x v="79"/>
    <n v="1.82"/>
    <n v="43"/>
    <x v="0"/>
    <n v="68.385714285714286"/>
    <x v="84"/>
    <n v="26216"/>
    <n v="1428"/>
    <n v="1.7395320197044335E-2"/>
    <s v="Oct-13"/>
    <x v="0"/>
    <n v="2.5494505494505493"/>
  </r>
  <r>
    <x v="65"/>
    <n v="60"/>
    <x v="3"/>
    <x v="1"/>
    <x v="0"/>
    <x v="31"/>
    <x v="0"/>
    <x v="0"/>
    <x v="10"/>
    <x v="74"/>
    <x v="92"/>
    <x v="13"/>
    <n v="40"/>
    <n v="80"/>
    <n v="120"/>
    <n v="42"/>
    <x v="92"/>
    <x v="74"/>
    <x v="94"/>
    <x v="144"/>
    <n v="1.5"/>
    <n v="5"/>
    <x v="0"/>
    <n v="78.9375"/>
    <x v="163"/>
    <n v="14365"/>
    <n v="756"/>
    <n v="2.7942143326758713E-2"/>
    <s v="Oct-13"/>
    <x v="1"/>
    <n v="2.8166666666666669"/>
  </r>
  <r>
    <x v="90"/>
    <n v="55"/>
    <x v="4"/>
    <x v="0"/>
    <x v="0"/>
    <x v="14"/>
    <x v="1"/>
    <x v="2"/>
    <x v="4"/>
    <x v="10"/>
    <x v="57"/>
    <x v="18"/>
    <n v="70"/>
    <n v="40"/>
    <n v="150"/>
    <n v="53"/>
    <x v="57"/>
    <x v="10"/>
    <x v="13"/>
    <x v="212"/>
    <n v="0.7857142857142857"/>
    <n v="-16"/>
    <x v="0"/>
    <n v="39.4"/>
    <x v="244"/>
    <n v="3168"/>
    <n v="1060"/>
    <n v="9.0909090909090905E-3"/>
    <s v="Nov-13"/>
    <x v="8"/>
    <n v="2.4"/>
  </r>
  <r>
    <x v="104"/>
    <n v="59"/>
    <x v="4"/>
    <x v="0"/>
    <x v="0"/>
    <x v="27"/>
    <x v="1"/>
    <x v="3"/>
    <x v="6"/>
    <x v="31"/>
    <x v="32"/>
    <x v="18"/>
    <n v="50"/>
    <n v="50"/>
    <n v="130"/>
    <n v="46"/>
    <x v="32"/>
    <x v="31"/>
    <x v="42"/>
    <x v="242"/>
    <n v="1.18"/>
    <n v="-1"/>
    <x v="0"/>
    <n v="49.02"/>
    <x v="293"/>
    <n v="7203"/>
    <n v="874"/>
    <n v="1.7543859649122806E-2"/>
    <s v="Nov-13"/>
    <x v="6"/>
    <n v="2.4915254237288136"/>
  </r>
  <r>
    <x v="64"/>
    <n v="75"/>
    <x v="4"/>
    <x v="0"/>
    <x v="3"/>
    <x v="23"/>
    <x v="0"/>
    <x v="1"/>
    <x v="3"/>
    <x v="97"/>
    <x v="123"/>
    <x v="3"/>
    <n v="50"/>
    <n v="40"/>
    <n v="130"/>
    <n v="55"/>
    <x v="123"/>
    <x v="97"/>
    <x v="84"/>
    <x v="243"/>
    <n v="1.5"/>
    <n v="48"/>
    <x v="0"/>
    <n v="37.799999999999997"/>
    <x v="294"/>
    <n v="17688"/>
    <n v="1320"/>
    <n v="1.824212271973466E-2"/>
    <s v="Nov-13"/>
    <x v="9"/>
    <n v="2.68"/>
  </r>
  <r>
    <x v="40"/>
    <n v="69"/>
    <x v="4"/>
    <x v="1"/>
    <x v="0"/>
    <x v="28"/>
    <x v="1"/>
    <x v="3"/>
    <x v="5"/>
    <x v="4"/>
    <x v="42"/>
    <x v="12"/>
    <n v="60"/>
    <n v="40"/>
    <n v="140"/>
    <n v="43"/>
    <x v="42"/>
    <x v="4"/>
    <x v="97"/>
    <x v="126"/>
    <n v="1.1499999999999999"/>
    <n v="16"/>
    <x v="0"/>
    <n v="38.6"/>
    <x v="172"/>
    <n v="8960"/>
    <n v="903"/>
    <n v="1.6666666666666666E-2"/>
    <s v="Nov-13"/>
    <x v="10"/>
    <n v="2.318840579710145"/>
  </r>
  <r>
    <x v="12"/>
    <n v="46"/>
    <x v="4"/>
    <x v="1"/>
    <x v="3"/>
    <x v="10"/>
    <x v="1"/>
    <x v="3"/>
    <x v="5"/>
    <x v="17"/>
    <x v="26"/>
    <x v="11"/>
    <n v="50"/>
    <n v="50"/>
    <n v="130"/>
    <n v="36"/>
    <x v="26"/>
    <x v="17"/>
    <x v="107"/>
    <x v="124"/>
    <n v="0.92"/>
    <n v="-3"/>
    <x v="0"/>
    <n v="49.06"/>
    <x v="240"/>
    <n v="5687"/>
    <n v="504"/>
    <n v="2.7744982290436836E-2"/>
    <s v="Nov-13"/>
    <x v="6"/>
    <n v="2.6304347826086958"/>
  </r>
  <r>
    <x v="16"/>
    <n v="75"/>
    <x v="4"/>
    <x v="1"/>
    <x v="3"/>
    <x v="4"/>
    <x v="1"/>
    <x v="2"/>
    <x v="4"/>
    <x v="49"/>
    <x v="56"/>
    <x v="14"/>
    <n v="70"/>
    <n v="40"/>
    <n v="150"/>
    <n v="44"/>
    <x v="56"/>
    <x v="49"/>
    <x v="13"/>
    <x v="244"/>
    <n v="1.0714285714285714"/>
    <n v="27"/>
    <x v="0"/>
    <n v="38.325000000000003"/>
    <x v="295"/>
    <n v="11725"/>
    <n v="1012"/>
    <n v="1.6645962732919253E-2"/>
    <s v="Nov-13"/>
    <x v="8"/>
    <n v="2.3333333333333335"/>
  </r>
  <r>
    <x v="42"/>
    <n v="61"/>
    <x v="4"/>
    <x v="1"/>
    <x v="2"/>
    <x v="21"/>
    <x v="1"/>
    <x v="2"/>
    <x v="8"/>
    <x v="83"/>
    <x v="63"/>
    <x v="5"/>
    <n v="60"/>
    <n v="10"/>
    <n v="140"/>
    <n v="84"/>
    <x v="63"/>
    <x v="83"/>
    <x v="114"/>
    <x v="214"/>
    <n v="1.0166666666666666"/>
    <n v="-7"/>
    <x v="0"/>
    <n v="9.6999999999999993"/>
    <x v="246"/>
    <n v="471"/>
    <n v="4620"/>
    <n v="3.4742327735958308E-4"/>
    <s v="Nov-13"/>
    <x v="13"/>
    <n v="2.5737704918032787"/>
  </r>
  <r>
    <x v="11"/>
    <n v="47"/>
    <x v="4"/>
    <x v="1"/>
    <x v="1"/>
    <x v="2"/>
    <x v="1"/>
    <x v="3"/>
    <x v="7"/>
    <x v="56"/>
    <x v="1"/>
    <x v="10"/>
    <n v="50"/>
    <n v="60"/>
    <n v="130"/>
    <n v="24"/>
    <x v="1"/>
    <x v="56"/>
    <x v="31"/>
    <x v="68"/>
    <n v="0.94"/>
    <n v="5"/>
    <x v="0"/>
    <n v="58.916666666666664"/>
    <x v="104"/>
    <n v="7995"/>
    <n v="312"/>
    <n v="4.065040650406504E-2"/>
    <s v="Nov-13"/>
    <x v="7"/>
    <n v="2.6170212765957448"/>
  </r>
  <r>
    <x v="17"/>
    <n v="52"/>
    <x v="4"/>
    <x v="1"/>
    <x v="3"/>
    <x v="17"/>
    <x v="1"/>
    <x v="3"/>
    <x v="6"/>
    <x v="15"/>
    <x v="33"/>
    <x v="11"/>
    <n v="60"/>
    <n v="10"/>
    <n v="140"/>
    <n v="77"/>
    <x v="33"/>
    <x v="15"/>
    <x v="92"/>
    <x v="210"/>
    <n v="0.8666666666666667"/>
    <n v="-16"/>
    <x v="0"/>
    <n v="10.6"/>
    <x v="241"/>
    <n v="-798"/>
    <n v="3619.0000000000005"/>
    <n v="-9.5984642457206835E-4"/>
    <s v="Nov-13"/>
    <x v="13"/>
    <n v="2.5576923076923075"/>
  </r>
  <r>
    <x v="9"/>
    <n v="53"/>
    <x v="4"/>
    <x v="1"/>
    <x v="3"/>
    <x v="1"/>
    <x v="1"/>
    <x v="3"/>
    <x v="7"/>
    <x v="54"/>
    <x v="57"/>
    <x v="8"/>
    <n v="60"/>
    <n v="50"/>
    <n v="140"/>
    <n v="44"/>
    <x v="57"/>
    <x v="54"/>
    <x v="36"/>
    <x v="207"/>
    <n v="0.8833333333333333"/>
    <n v="-10"/>
    <x v="0"/>
    <n v="49.2"/>
    <x v="237"/>
    <n v="5280"/>
    <n v="748"/>
    <n v="1.7825311942959002E-2"/>
    <s v="Nov-13"/>
    <x v="9"/>
    <n v="2.4905660377358489"/>
  </r>
  <r>
    <x v="49"/>
    <n v="59"/>
    <x v="4"/>
    <x v="1"/>
    <x v="3"/>
    <x v="27"/>
    <x v="1"/>
    <x v="2"/>
    <x v="8"/>
    <x v="31"/>
    <x v="32"/>
    <x v="11"/>
    <n v="50"/>
    <n v="50"/>
    <n v="130"/>
    <n v="46"/>
    <x v="32"/>
    <x v="31"/>
    <x v="42"/>
    <x v="242"/>
    <n v="1.18"/>
    <n v="-1"/>
    <x v="0"/>
    <n v="49.02"/>
    <x v="293"/>
    <n v="7203"/>
    <n v="874"/>
    <n v="1.7543859649122806E-2"/>
    <s v="Nov-13"/>
    <x v="6"/>
    <n v="2.4915254237288136"/>
  </r>
  <r>
    <x v="14"/>
    <n v="53"/>
    <x v="4"/>
    <x v="1"/>
    <x v="0"/>
    <x v="20"/>
    <x v="0"/>
    <x v="0"/>
    <x v="10"/>
    <x v="53"/>
    <x v="61"/>
    <x v="13"/>
    <n v="50"/>
    <n v="50"/>
    <n v="130"/>
    <n v="40"/>
    <x v="61"/>
    <x v="53"/>
    <x v="2"/>
    <x v="245"/>
    <n v="1.06"/>
    <n v="21"/>
    <x v="0"/>
    <n v="48.58"/>
    <x v="296"/>
    <n v="10650"/>
    <n v="640"/>
    <n v="2.9583333333333333E-2"/>
    <s v="Nov-13"/>
    <x v="6"/>
    <n v="2.8301886792452828"/>
  </r>
  <r>
    <x v="6"/>
    <n v="54"/>
    <x v="4"/>
    <x v="1"/>
    <x v="2"/>
    <x v="6"/>
    <x v="0"/>
    <x v="1"/>
    <x v="2"/>
    <x v="20"/>
    <x v="29"/>
    <x v="5"/>
    <n v="50"/>
    <n v="60"/>
    <n v="130"/>
    <n v="27"/>
    <x v="29"/>
    <x v="20"/>
    <x v="22"/>
    <x v="246"/>
    <n v="1.08"/>
    <n v="16"/>
    <x v="0"/>
    <n v="58.733333333333334"/>
    <x v="297"/>
    <n v="10716"/>
    <n v="405"/>
    <n v="3.59338061465721E-2"/>
    <s v="Nov-13"/>
    <x v="7"/>
    <n v="2.6111111111111112"/>
  </r>
  <r>
    <x v="83"/>
    <n v="46"/>
    <x v="5"/>
    <x v="0"/>
    <x v="0"/>
    <x v="1"/>
    <x v="1"/>
    <x v="2"/>
    <x v="4"/>
    <x v="76"/>
    <x v="96"/>
    <x v="18"/>
    <n v="50"/>
    <n v="40"/>
    <n v="130"/>
    <n v="51"/>
    <x v="96"/>
    <x v="76"/>
    <x v="99"/>
    <x v="152"/>
    <n v="0.92"/>
    <n v="-31"/>
    <x v="0"/>
    <n v="39.774999999999999"/>
    <x v="160"/>
    <n v="990"/>
    <n v="867"/>
    <n v="4.8128342245989308E-3"/>
    <s v="Dec-13"/>
    <x v="9"/>
    <n v="2.3913043478260869"/>
  </r>
  <r>
    <x v="52"/>
    <n v="67"/>
    <x v="5"/>
    <x v="0"/>
    <x v="0"/>
    <x v="34"/>
    <x v="0"/>
    <x v="1"/>
    <x v="11"/>
    <x v="50"/>
    <x v="110"/>
    <x v="16"/>
    <n v="50"/>
    <n v="40"/>
    <n v="130"/>
    <n v="54"/>
    <x v="110"/>
    <x v="50"/>
    <x v="26"/>
    <x v="215"/>
    <n v="1.34"/>
    <n v="30"/>
    <x v="0"/>
    <n v="38.25"/>
    <x v="247"/>
    <n v="12530"/>
    <n v="1188"/>
    <n v="1.7775520568816656E-2"/>
    <s v="Dec-13"/>
    <x v="9"/>
    <n v="2.6716417910447761"/>
  </r>
  <r>
    <x v="118"/>
    <n v="54"/>
    <x v="5"/>
    <x v="0"/>
    <x v="2"/>
    <x v="6"/>
    <x v="0"/>
    <x v="1"/>
    <x v="3"/>
    <x v="61"/>
    <x v="64"/>
    <x v="19"/>
    <n v="50"/>
    <n v="60"/>
    <n v="130"/>
    <n v="27"/>
    <x v="64"/>
    <x v="61"/>
    <x v="22"/>
    <x v="98"/>
    <n v="1.08"/>
    <n v="17"/>
    <x v="0"/>
    <n v="58.716666666666669"/>
    <x v="106"/>
    <n v="10934"/>
    <n v="404.99999999999994"/>
    <n v="3.615023474178404E-2"/>
    <s v="Dec-13"/>
    <x v="7"/>
    <n v="2.6296296296296298"/>
  </r>
  <r>
    <x v="45"/>
    <n v="67"/>
    <x v="5"/>
    <x v="0"/>
    <x v="3"/>
    <x v="34"/>
    <x v="0"/>
    <x v="1"/>
    <x v="3"/>
    <x v="50"/>
    <x v="110"/>
    <x v="3"/>
    <n v="40"/>
    <n v="50"/>
    <n v="120"/>
    <n v="54"/>
    <x v="110"/>
    <x v="50"/>
    <x v="26"/>
    <x v="215"/>
    <n v="1.675"/>
    <n v="20"/>
    <x v="0"/>
    <n v="48.6"/>
    <x v="247"/>
    <n v="12530"/>
    <n v="1188"/>
    <n v="1.7775520568816656E-2"/>
    <s v="Dec-13"/>
    <x v="7"/>
    <n v="2.6716417910447761"/>
  </r>
  <r>
    <x v="49"/>
    <n v="41"/>
    <x v="5"/>
    <x v="1"/>
    <x v="3"/>
    <x v="2"/>
    <x v="1"/>
    <x v="3"/>
    <x v="5"/>
    <x v="8"/>
    <x v="68"/>
    <x v="11"/>
    <n v="40"/>
    <n v="50"/>
    <n v="120"/>
    <n v="35"/>
    <x v="68"/>
    <x v="8"/>
    <x v="37"/>
    <x v="247"/>
    <n v="1.0249999999999999"/>
    <n v="-13"/>
    <x v="0"/>
    <n v="49.26"/>
    <x v="298"/>
    <n v="3996"/>
    <n v="455"/>
    <n v="2.6353276353276354E-2"/>
    <s v="Dec-13"/>
    <x v="7"/>
    <n v="2.6341463414634148"/>
  </r>
  <r>
    <x v="41"/>
    <n v="65"/>
    <x v="5"/>
    <x v="1"/>
    <x v="0"/>
    <x v="23"/>
    <x v="1"/>
    <x v="3"/>
    <x v="6"/>
    <x v="9"/>
    <x v="66"/>
    <x v="13"/>
    <n v="60"/>
    <n v="30"/>
    <n v="140"/>
    <n v="58"/>
    <x v="66"/>
    <x v="9"/>
    <x v="43"/>
    <x v="218"/>
    <n v="1.0833333333333333"/>
    <n v="3"/>
    <x v="0"/>
    <n v="28.9"/>
    <x v="251"/>
    <n v="5115"/>
    <n v="1392"/>
    <n v="8.870967741935484E-3"/>
    <s v="Dec-13"/>
    <x v="8"/>
    <n v="2.3846153846153846"/>
  </r>
  <r>
    <x v="49"/>
    <n v="47"/>
    <x v="5"/>
    <x v="1"/>
    <x v="3"/>
    <x v="22"/>
    <x v="1"/>
    <x v="3"/>
    <x v="6"/>
    <x v="46"/>
    <x v="16"/>
    <x v="11"/>
    <n v="50"/>
    <n v="20"/>
    <n v="130"/>
    <n v="72"/>
    <x v="16"/>
    <x v="46"/>
    <x v="111"/>
    <x v="248"/>
    <n v="0.94"/>
    <n v="-30"/>
    <x v="0"/>
    <n v="20.5"/>
    <x v="299"/>
    <n v="-1190"/>
    <n v="3024"/>
    <n v="-2.0008003201280513E-3"/>
    <s v="Dec-13"/>
    <x v="8"/>
    <n v="2.5319148936170213"/>
  </r>
  <r>
    <x v="9"/>
    <n v="49"/>
    <x v="5"/>
    <x v="1"/>
    <x v="3"/>
    <x v="20"/>
    <x v="1"/>
    <x v="3"/>
    <x v="7"/>
    <x v="5"/>
    <x v="26"/>
    <x v="8"/>
    <n v="50"/>
    <n v="50"/>
    <n v="130"/>
    <n v="44"/>
    <x v="26"/>
    <x v="5"/>
    <x v="6"/>
    <x v="216"/>
    <n v="0.98"/>
    <n v="-19"/>
    <x v="0"/>
    <n v="49.38"/>
    <x v="248"/>
    <n v="3751"/>
    <n v="704"/>
    <n v="1.6012396694214875E-2"/>
    <s v="Dec-13"/>
    <x v="6"/>
    <n v="2.4693877551020407"/>
  </r>
  <r>
    <x v="30"/>
    <n v="65"/>
    <x v="5"/>
    <x v="1"/>
    <x v="3"/>
    <x v="23"/>
    <x v="1"/>
    <x v="2"/>
    <x v="8"/>
    <x v="28"/>
    <x v="66"/>
    <x v="14"/>
    <n v="60"/>
    <n v="30"/>
    <n v="140"/>
    <n v="57"/>
    <x v="66"/>
    <x v="28"/>
    <x v="72"/>
    <x v="100"/>
    <n v="1.0833333333333333"/>
    <n v="4"/>
    <x v="0"/>
    <n v="28.866666666666667"/>
    <x v="109"/>
    <n v="5270"/>
    <n v="1368"/>
    <n v="9.1397849462365593E-3"/>
    <s v="Dec-13"/>
    <x v="8"/>
    <n v="2.3846153846153846"/>
  </r>
  <r>
    <x v="11"/>
    <n v="68"/>
    <x v="5"/>
    <x v="1"/>
    <x v="1"/>
    <x v="26"/>
    <x v="0"/>
    <x v="0"/>
    <x v="0"/>
    <x v="40"/>
    <x v="73"/>
    <x v="10"/>
    <n v="60"/>
    <n v="30"/>
    <n v="140"/>
    <n v="59"/>
    <x v="73"/>
    <x v="40"/>
    <x v="124"/>
    <x v="249"/>
    <n v="1.1333333333333333"/>
    <n v="9"/>
    <x v="0"/>
    <n v="28.7"/>
    <x v="300"/>
    <n v="6357"/>
    <n v="1475"/>
    <n v="9.5705521472392637E-3"/>
    <s v="Dec-13"/>
    <x v="8"/>
    <n v="2.3970588235294117"/>
  </r>
  <r>
    <x v="34"/>
    <n v="39"/>
    <x v="0"/>
    <x v="0"/>
    <x v="1"/>
    <x v="13"/>
    <x v="1"/>
    <x v="3"/>
    <x v="5"/>
    <x v="1"/>
    <x v="31"/>
    <x v="1"/>
    <n v="40"/>
    <n v="80"/>
    <n v="130"/>
    <n v="25"/>
    <x v="31"/>
    <x v="1"/>
    <x v="105"/>
    <x v="159"/>
    <n v="0.97499999999999998"/>
    <n v="-54"/>
    <x v="0"/>
    <n v="79.674999999999997"/>
    <x v="183"/>
    <n v="2340"/>
    <n v="300"/>
    <n v="2.4074074074074074E-2"/>
    <s v="Oct-12"/>
    <x v="2"/>
    <n v="2.3076923076923075"/>
  </r>
  <r>
    <x v="22"/>
    <n v="239"/>
    <x v="0"/>
    <x v="0"/>
    <x v="1"/>
    <x v="37"/>
    <x v="1"/>
    <x v="3"/>
    <x v="7"/>
    <x v="98"/>
    <x v="124"/>
    <x v="1"/>
    <n v="350"/>
    <n v="340"/>
    <n v="770"/>
    <n v="96"/>
    <x v="124"/>
    <x v="98"/>
    <x v="125"/>
    <x v="55"/>
    <n v="0.68285714285714283"/>
    <n v="-155"/>
    <x v="0"/>
    <n v="339.45588235294116"/>
    <x v="301"/>
    <n v="96200"/>
    <n v="7104"/>
    <n v="4.807692307692308E-3"/>
    <s v="Oct-12"/>
    <x v="15"/>
    <n v="2.1757322175732217"/>
  </r>
  <r>
    <x v="19"/>
    <n v="123"/>
    <x v="0"/>
    <x v="0"/>
    <x v="1"/>
    <x v="38"/>
    <x v="1"/>
    <x v="2"/>
    <x v="8"/>
    <x v="99"/>
    <x v="125"/>
    <x v="1"/>
    <n v="70"/>
    <n v="100"/>
    <n v="190"/>
    <n v="46"/>
    <x v="125"/>
    <x v="99"/>
    <x v="126"/>
    <x v="250"/>
    <n v="1.7571428571428571"/>
    <n v="33"/>
    <x v="0"/>
    <n v="98.67"/>
    <x v="302"/>
    <n v="40166"/>
    <n v="1564"/>
    <n v="1.2952863264511102E-2"/>
    <s v="Oct-12"/>
    <x v="9"/>
    <n v="2.4552845528455283"/>
  </r>
  <r>
    <x v="29"/>
    <n v="48"/>
    <x v="0"/>
    <x v="1"/>
    <x v="1"/>
    <x v="2"/>
    <x v="1"/>
    <x v="3"/>
    <x v="5"/>
    <x v="16"/>
    <x v="15"/>
    <x v="10"/>
    <n v="70"/>
    <n v="80"/>
    <n v="160"/>
    <n v="25"/>
    <x v="15"/>
    <x v="16"/>
    <x v="15"/>
    <x v="17"/>
    <n v="0.68571428571428572"/>
    <n v="-35"/>
    <x v="0"/>
    <n v="79.4375"/>
    <x v="17"/>
    <n v="5310"/>
    <n v="325"/>
    <n v="2.9335071707953065E-2"/>
    <s v="Oct-12"/>
    <x v="6"/>
    <n v="2.4583333333333335"/>
  </r>
  <r>
    <x v="29"/>
    <n v="48"/>
    <x v="0"/>
    <x v="1"/>
    <x v="1"/>
    <x v="2"/>
    <x v="1"/>
    <x v="3"/>
    <x v="7"/>
    <x v="17"/>
    <x v="16"/>
    <x v="10"/>
    <n v="70"/>
    <n v="80"/>
    <n v="160"/>
    <n v="24"/>
    <x v="16"/>
    <x v="17"/>
    <x v="16"/>
    <x v="18"/>
    <n v="0.68571428571428572"/>
    <n v="-33"/>
    <x v="0"/>
    <n v="79.412499999999994"/>
    <x v="18"/>
    <n v="5593"/>
    <n v="312"/>
    <n v="3.0381383322559793E-2"/>
    <s v="Oct-12"/>
    <x v="6"/>
    <n v="2.4791666666666665"/>
  </r>
  <r>
    <x v="39"/>
    <n v="45"/>
    <x v="0"/>
    <x v="1"/>
    <x v="1"/>
    <x v="10"/>
    <x v="1"/>
    <x v="3"/>
    <x v="7"/>
    <x v="34"/>
    <x v="11"/>
    <x v="17"/>
    <n v="50"/>
    <n v="80"/>
    <n v="160"/>
    <n v="46"/>
    <x v="11"/>
    <x v="34"/>
    <x v="79"/>
    <x v="192"/>
    <n v="0.9"/>
    <n v="-57"/>
    <x v="0"/>
    <n v="79.712500000000006"/>
    <x v="218"/>
    <n v="2622"/>
    <n v="644"/>
    <n v="1.4411027568922305E-2"/>
    <s v="Oct-12"/>
    <x v="6"/>
    <n v="2.5333333333333332"/>
  </r>
  <r>
    <x v="7"/>
    <n v="90"/>
    <x v="0"/>
    <x v="1"/>
    <x v="1"/>
    <x v="39"/>
    <x v="1"/>
    <x v="3"/>
    <x v="7"/>
    <x v="62"/>
    <x v="17"/>
    <x v="6"/>
    <n v="130"/>
    <n v="140"/>
    <n v="290"/>
    <n v="41"/>
    <x v="17"/>
    <x v="62"/>
    <x v="108"/>
    <x v="251"/>
    <n v="0.69230769230769229"/>
    <n v="-66"/>
    <x v="0"/>
    <n v="139.47142857142856"/>
    <x v="303"/>
    <n v="15170"/>
    <n v="1189"/>
    <n v="1.244743481917578E-2"/>
    <s v="Oct-12"/>
    <x v="16"/>
    <n v="2.2777777777777777"/>
  </r>
  <r>
    <x v="39"/>
    <n v="25"/>
    <x v="0"/>
    <x v="1"/>
    <x v="1"/>
    <x v="8"/>
    <x v="1"/>
    <x v="2"/>
    <x v="9"/>
    <x v="55"/>
    <x v="82"/>
    <x v="17"/>
    <n v="10"/>
    <n v="10"/>
    <n v="30"/>
    <n v="43"/>
    <x v="82"/>
    <x v="55"/>
    <x v="103"/>
    <x v="222"/>
    <n v="2.5"/>
    <n v="-22"/>
    <x v="0"/>
    <n v="11.2"/>
    <x v="257"/>
    <n v="-672"/>
    <n v="387"/>
    <n v="-2.3809523809523808E-2"/>
    <s v="Oct-12"/>
    <x v="5"/>
    <n v="2.2400000000000002"/>
  </r>
  <r>
    <x v="29"/>
    <n v="103"/>
    <x v="0"/>
    <x v="1"/>
    <x v="1"/>
    <x v="40"/>
    <x v="0"/>
    <x v="0"/>
    <x v="10"/>
    <x v="100"/>
    <x v="126"/>
    <x v="10"/>
    <n v="80"/>
    <n v="110"/>
    <n v="210"/>
    <n v="46"/>
    <x v="126"/>
    <x v="100"/>
    <x v="127"/>
    <x v="252"/>
    <n v="1.2875000000000001"/>
    <n v="-23"/>
    <x v="0"/>
    <n v="109.2090909090909"/>
    <x v="304"/>
    <n v="20532"/>
    <n v="1518"/>
    <n v="1.1171032357473035E-2"/>
    <s v="Oct-12"/>
    <x v="10"/>
    <n v="2.29126213592233"/>
  </r>
  <r>
    <x v="27"/>
    <n v="79"/>
    <x v="0"/>
    <x v="1"/>
    <x v="1"/>
    <x v="30"/>
    <x v="0"/>
    <x v="0"/>
    <x v="0"/>
    <x v="28"/>
    <x v="79"/>
    <x v="10"/>
    <n v="60"/>
    <n v="60"/>
    <n v="150"/>
    <n v="64"/>
    <x v="79"/>
    <x v="28"/>
    <x v="12"/>
    <x v="119"/>
    <n v="1.3166666666666667"/>
    <n v="-26"/>
    <x v="0"/>
    <n v="59.43333333333333"/>
    <x v="130"/>
    <n v="6018"/>
    <n v="1920"/>
    <n v="6.4030131826741995E-3"/>
    <s v="Oct-12"/>
    <x v="9"/>
    <n v="2.240506329113924"/>
  </r>
  <r>
    <x v="47"/>
    <n v="96"/>
    <x v="0"/>
    <x v="1"/>
    <x v="1"/>
    <x v="41"/>
    <x v="0"/>
    <x v="0"/>
    <x v="0"/>
    <x v="39"/>
    <x v="127"/>
    <x v="6"/>
    <n v="80"/>
    <n v="40"/>
    <n v="200"/>
    <n v="117"/>
    <x v="127"/>
    <x v="39"/>
    <x v="128"/>
    <x v="253"/>
    <n v="1.2"/>
    <n v="-23"/>
    <x v="0"/>
    <n v="39.575000000000003"/>
    <x v="305"/>
    <n v="3910"/>
    <n v="10179"/>
    <n v="8.4957521239380316E-4"/>
    <s v="Oct-12"/>
    <x v="17"/>
    <n v="2.3958333333333335"/>
  </r>
  <r>
    <x v="57"/>
    <n v="225"/>
    <x v="1"/>
    <x v="0"/>
    <x v="1"/>
    <x v="42"/>
    <x v="1"/>
    <x v="3"/>
    <x v="7"/>
    <x v="101"/>
    <x v="128"/>
    <x v="1"/>
    <n v="260"/>
    <n v="230"/>
    <n v="580"/>
    <n v="91"/>
    <x v="128"/>
    <x v="101"/>
    <x v="129"/>
    <x v="254"/>
    <n v="0.86538461538461542"/>
    <n v="-56"/>
    <x v="0"/>
    <n v="229.24347826086955"/>
    <x v="306"/>
    <n v="85260"/>
    <n v="6279"/>
    <n v="5.1464063886424135E-3"/>
    <s v="Nov-12"/>
    <x v="18"/>
    <n v="2.1777777777777776"/>
  </r>
  <r>
    <x v="119"/>
    <n v="75"/>
    <x v="1"/>
    <x v="0"/>
    <x v="1"/>
    <x v="23"/>
    <x v="1"/>
    <x v="2"/>
    <x v="9"/>
    <x v="93"/>
    <x v="90"/>
    <x v="1"/>
    <n v="50"/>
    <n v="40"/>
    <n v="140"/>
    <n v="55"/>
    <x v="90"/>
    <x v="93"/>
    <x v="83"/>
    <x v="234"/>
    <n v="1.5"/>
    <n v="19"/>
    <x v="0"/>
    <n v="38.524999999999999"/>
    <x v="285"/>
    <n v="11151"/>
    <n v="1320"/>
    <n v="1.3007054673721341E-2"/>
    <s v="Nov-12"/>
    <x v="10"/>
    <n v="2.52"/>
  </r>
  <r>
    <x v="2"/>
    <n v="118"/>
    <x v="1"/>
    <x v="0"/>
    <x v="1"/>
    <x v="40"/>
    <x v="1"/>
    <x v="2"/>
    <x v="8"/>
    <x v="102"/>
    <x v="129"/>
    <x v="1"/>
    <n v="90"/>
    <n v="100"/>
    <n v="220"/>
    <n v="45"/>
    <x v="129"/>
    <x v="102"/>
    <x v="130"/>
    <x v="255"/>
    <n v="1.3111111111111111"/>
    <n v="27"/>
    <x v="0"/>
    <n v="98.73"/>
    <x v="307"/>
    <n v="36830"/>
    <n v="1485"/>
    <n v="1.3270637408568443E-2"/>
    <s v="Nov-12"/>
    <x v="11"/>
    <n v="2.4576271186440679"/>
  </r>
  <r>
    <x v="7"/>
    <n v="78"/>
    <x v="1"/>
    <x v="1"/>
    <x v="1"/>
    <x v="26"/>
    <x v="1"/>
    <x v="2"/>
    <x v="4"/>
    <x v="103"/>
    <x v="130"/>
    <x v="6"/>
    <n v="60"/>
    <n v="40"/>
    <n v="150"/>
    <n v="57"/>
    <x v="130"/>
    <x v="103"/>
    <x v="106"/>
    <x v="256"/>
    <n v="1.3"/>
    <n v="22"/>
    <x v="0"/>
    <n v="38.450000000000003"/>
    <x v="308"/>
    <n v="12214"/>
    <n v="1425"/>
    <n v="1.2588832487309645E-2"/>
    <s v="Nov-12"/>
    <x v="8"/>
    <n v="2.5256410256410255"/>
  </r>
  <r>
    <x v="7"/>
    <n v="88"/>
    <x v="1"/>
    <x v="1"/>
    <x v="1"/>
    <x v="39"/>
    <x v="1"/>
    <x v="3"/>
    <x v="7"/>
    <x v="53"/>
    <x v="131"/>
    <x v="6"/>
    <n v="100"/>
    <n v="90"/>
    <n v="230"/>
    <n v="41"/>
    <x v="131"/>
    <x v="53"/>
    <x v="111"/>
    <x v="257"/>
    <n v="0.88"/>
    <n v="-19"/>
    <x v="0"/>
    <n v="89.211111111111109"/>
    <x v="309"/>
    <n v="14200"/>
    <n v="1189"/>
    <n v="1.2241379310344826E-2"/>
    <s v="Nov-12"/>
    <x v="14"/>
    <n v="2.2727272727272729"/>
  </r>
  <r>
    <x v="7"/>
    <n v="102"/>
    <x v="1"/>
    <x v="1"/>
    <x v="1"/>
    <x v="33"/>
    <x v="1"/>
    <x v="2"/>
    <x v="9"/>
    <x v="104"/>
    <x v="132"/>
    <x v="6"/>
    <n v="80"/>
    <n v="60"/>
    <n v="180"/>
    <n v="54"/>
    <x v="132"/>
    <x v="104"/>
    <x v="71"/>
    <x v="258"/>
    <n v="1.2749999999999999"/>
    <n v="29"/>
    <x v="0"/>
    <n v="58.516666666666666"/>
    <x v="310"/>
    <n v="21805"/>
    <n v="1674"/>
    <n v="1.1718235681369323E-2"/>
    <s v="Nov-12"/>
    <x v="11"/>
    <n v="2.4019607843137254"/>
  </r>
  <r>
    <x v="55"/>
    <n v="101"/>
    <x v="1"/>
    <x v="1"/>
    <x v="1"/>
    <x v="40"/>
    <x v="0"/>
    <x v="0"/>
    <x v="10"/>
    <x v="74"/>
    <x v="133"/>
    <x v="10"/>
    <n v="90"/>
    <n v="80"/>
    <n v="210"/>
    <n v="45"/>
    <x v="133"/>
    <x v="74"/>
    <x v="38"/>
    <x v="259"/>
    <n v="1.1222222222222222"/>
    <n v="5"/>
    <x v="0"/>
    <n v="78.9375"/>
    <x v="311"/>
    <n v="19635"/>
    <n v="1485"/>
    <n v="1.1150465695920242E-2"/>
    <s v="Nov-12"/>
    <x v="13"/>
    <n v="2.2871287128712869"/>
  </r>
  <r>
    <x v="39"/>
    <n v="15"/>
    <x v="1"/>
    <x v="1"/>
    <x v="1"/>
    <x v="36"/>
    <x v="0"/>
    <x v="0"/>
    <x v="10"/>
    <x v="76"/>
    <x v="115"/>
    <x v="17"/>
    <n v="10"/>
    <n v="10"/>
    <n v="30"/>
    <n v="15"/>
    <x v="115"/>
    <x v="76"/>
    <x v="121"/>
    <x v="115"/>
    <n v="1.5"/>
    <n v="-1"/>
    <x v="0"/>
    <n v="9.1"/>
    <x v="312"/>
    <n v="351"/>
    <n v="60"/>
    <n v="5.7692307692307696E-2"/>
    <s v="Nov-12"/>
    <x v="5"/>
    <n v="2.6"/>
  </r>
  <r>
    <x v="55"/>
    <n v="82"/>
    <x v="1"/>
    <x v="1"/>
    <x v="1"/>
    <x v="33"/>
    <x v="0"/>
    <x v="0"/>
    <x v="0"/>
    <x v="68"/>
    <x v="106"/>
    <x v="10"/>
    <n v="70"/>
    <n v="40"/>
    <n v="170"/>
    <n v="64"/>
    <x v="106"/>
    <x v="68"/>
    <x v="38"/>
    <x v="197"/>
    <n v="1.1714285714285715"/>
    <n v="-2"/>
    <x v="0"/>
    <n v="39.049999999999997"/>
    <x v="225"/>
    <n v="6992"/>
    <n v="1984"/>
    <n v="6.6619915848527347E-3"/>
    <s v="Nov-12"/>
    <x v="13"/>
    <n v="2.2439024390243905"/>
  </r>
  <r>
    <x v="28"/>
    <n v="94"/>
    <x v="1"/>
    <x v="1"/>
    <x v="1"/>
    <x v="43"/>
    <x v="0"/>
    <x v="0"/>
    <x v="0"/>
    <x v="25"/>
    <x v="134"/>
    <x v="6"/>
    <n v="80"/>
    <n v="20"/>
    <n v="200"/>
    <n v="115"/>
    <x v="134"/>
    <x v="25"/>
    <x v="131"/>
    <x v="260"/>
    <n v="1.175"/>
    <n v="-5"/>
    <x v="0"/>
    <n v="19.25"/>
    <x v="313"/>
    <n v="3360"/>
    <n v="9775"/>
    <n v="7.8781512605042019E-4"/>
    <s v="Nov-12"/>
    <x v="19"/>
    <n v="2.3829787234042552"/>
  </r>
  <r>
    <x v="120"/>
    <n v="241"/>
    <x v="2"/>
    <x v="0"/>
    <x v="1"/>
    <x v="37"/>
    <x v="1"/>
    <x v="3"/>
    <x v="7"/>
    <x v="105"/>
    <x v="135"/>
    <x v="1"/>
    <n v="280"/>
    <n v="240"/>
    <n v="620"/>
    <n v="96"/>
    <x v="135"/>
    <x v="105"/>
    <x v="132"/>
    <x v="261"/>
    <n v="0.86071428571428577"/>
    <n v="-52"/>
    <x v="0"/>
    <n v="239.21666666666667"/>
    <x v="314"/>
    <n v="98700"/>
    <n v="7104.0000000000009"/>
    <n v="4.8391248391248384E-3"/>
    <s v="Dec-12"/>
    <x v="20"/>
    <n v="2.1784232365145226"/>
  </r>
  <r>
    <x v="120"/>
    <n v="123"/>
    <x v="2"/>
    <x v="0"/>
    <x v="1"/>
    <x v="38"/>
    <x v="1"/>
    <x v="2"/>
    <x v="8"/>
    <x v="99"/>
    <x v="125"/>
    <x v="1"/>
    <n v="90"/>
    <n v="110"/>
    <n v="230"/>
    <n v="46"/>
    <x v="125"/>
    <x v="99"/>
    <x v="126"/>
    <x v="250"/>
    <n v="1.3666666666666667"/>
    <n v="23"/>
    <x v="0"/>
    <n v="108.7909090909091"/>
    <x v="302"/>
    <n v="40166"/>
    <n v="1564"/>
    <n v="1.2952863264511102E-2"/>
    <s v="Dec-12"/>
    <x v="11"/>
    <n v="2.4552845528455283"/>
  </r>
  <r>
    <x v="39"/>
    <n v="92"/>
    <x v="2"/>
    <x v="1"/>
    <x v="1"/>
    <x v="16"/>
    <x v="1"/>
    <x v="3"/>
    <x v="5"/>
    <x v="38"/>
    <x v="42"/>
    <x v="17"/>
    <n v="100"/>
    <n v="40"/>
    <n v="190"/>
    <n v="52"/>
    <x v="42"/>
    <x v="38"/>
    <x v="50"/>
    <x v="56"/>
    <n v="0.92"/>
    <n v="-24"/>
    <x v="0"/>
    <n v="39.6"/>
    <x v="60"/>
    <n v="2560"/>
    <n v="1456"/>
    <n v="3.5714285714285713E-3"/>
    <s v="Dec-12"/>
    <x v="16"/>
    <n v="1.7391304347826086"/>
  </r>
  <r>
    <x v="47"/>
    <n v="88"/>
    <x v="2"/>
    <x v="1"/>
    <x v="1"/>
    <x v="39"/>
    <x v="1"/>
    <x v="2"/>
    <x v="4"/>
    <x v="106"/>
    <x v="136"/>
    <x v="6"/>
    <n v="60"/>
    <n v="60"/>
    <n v="170"/>
    <n v="61"/>
    <x v="136"/>
    <x v="106"/>
    <x v="127"/>
    <x v="262"/>
    <n v="1.4666666666666666"/>
    <n v="12"/>
    <x v="0"/>
    <n v="58.8"/>
    <x v="315"/>
    <n v="15912"/>
    <n v="1769"/>
    <n v="1.1234201903573101E-2"/>
    <s v="Dec-12"/>
    <x v="8"/>
    <n v="2.5113636363636362"/>
  </r>
  <r>
    <x v="11"/>
    <n v="49"/>
    <x v="2"/>
    <x v="1"/>
    <x v="1"/>
    <x v="2"/>
    <x v="1"/>
    <x v="3"/>
    <x v="7"/>
    <x v="43"/>
    <x v="10"/>
    <x v="10"/>
    <n v="50"/>
    <n v="70"/>
    <n v="140"/>
    <n v="25"/>
    <x v="10"/>
    <x v="43"/>
    <x v="107"/>
    <x v="189"/>
    <n v="0.98"/>
    <n v="-24"/>
    <x v="0"/>
    <n v="69.342857142857142"/>
    <x v="232"/>
    <n v="5520"/>
    <n v="325"/>
    <n v="2.9487179487179487E-2"/>
    <s v="Dec-12"/>
    <x v="7"/>
    <n v="2.4489795918367347"/>
  </r>
  <r>
    <x v="39"/>
    <n v="48"/>
    <x v="2"/>
    <x v="1"/>
    <x v="1"/>
    <x v="6"/>
    <x v="1"/>
    <x v="3"/>
    <x v="7"/>
    <x v="22"/>
    <x v="0"/>
    <x v="17"/>
    <n v="50"/>
    <n v="50"/>
    <n v="140"/>
    <n v="47"/>
    <x v="0"/>
    <x v="22"/>
    <x v="78"/>
    <x v="263"/>
    <n v="0.96"/>
    <n v="-23"/>
    <x v="0"/>
    <n v="49.46"/>
    <x v="316"/>
    <n v="3294"/>
    <n v="705"/>
    <n v="1.4754098360655738E-2"/>
    <s v="Dec-12"/>
    <x v="9"/>
    <n v="2.5416666666666665"/>
  </r>
  <r>
    <x v="47"/>
    <n v="81"/>
    <x v="2"/>
    <x v="1"/>
    <x v="1"/>
    <x v="32"/>
    <x v="1"/>
    <x v="3"/>
    <x v="7"/>
    <x v="107"/>
    <x v="86"/>
    <x v="6"/>
    <n v="90"/>
    <n v="100"/>
    <n v="220"/>
    <n v="38"/>
    <x v="86"/>
    <x v="107"/>
    <x v="63"/>
    <x v="264"/>
    <n v="0.9"/>
    <n v="-34"/>
    <x v="0"/>
    <n v="99.34"/>
    <x v="317"/>
    <n v="12210"/>
    <n v="988"/>
    <n v="1.372141372141372E-2"/>
    <s v="Dec-12"/>
    <x v="11"/>
    <n v="2.2839506172839505"/>
  </r>
  <r>
    <x v="39"/>
    <n v="20"/>
    <x v="2"/>
    <x v="1"/>
    <x v="1"/>
    <x v="7"/>
    <x v="1"/>
    <x v="2"/>
    <x v="9"/>
    <x v="108"/>
    <x v="117"/>
    <x v="17"/>
    <n v="10"/>
    <n v="-10"/>
    <n v="30"/>
    <n v="40"/>
    <x v="117"/>
    <x v="108"/>
    <x v="64"/>
    <x v="265"/>
    <n v="2"/>
    <n v="-5"/>
    <x v="0"/>
    <n v="-11.5"/>
    <x v="318"/>
    <n v="-675"/>
    <n v="280"/>
    <n v="-4.7619047619047616E-2"/>
    <s v="Dec-12"/>
    <x v="1"/>
    <n v="2.25"/>
  </r>
  <r>
    <x v="7"/>
    <n v="134"/>
    <x v="2"/>
    <x v="1"/>
    <x v="1"/>
    <x v="11"/>
    <x v="1"/>
    <x v="2"/>
    <x v="9"/>
    <x v="109"/>
    <x v="137"/>
    <x v="6"/>
    <n v="100"/>
    <n v="90"/>
    <n v="240"/>
    <n v="65"/>
    <x v="137"/>
    <x v="109"/>
    <x v="133"/>
    <x v="266"/>
    <n v="1.34"/>
    <n v="31"/>
    <x v="0"/>
    <n v="88.655555555555551"/>
    <x v="319"/>
    <n v="38720"/>
    <n v="2665"/>
    <n v="9.2225609756097556E-3"/>
    <s v="Dec-12"/>
    <x v="16"/>
    <n v="2.3880597014925371"/>
  </r>
  <r>
    <x v="29"/>
    <n v="94"/>
    <x v="2"/>
    <x v="1"/>
    <x v="1"/>
    <x v="33"/>
    <x v="0"/>
    <x v="0"/>
    <x v="10"/>
    <x v="61"/>
    <x v="138"/>
    <x v="10"/>
    <n v="80"/>
    <n v="70"/>
    <n v="190"/>
    <n v="43"/>
    <x v="138"/>
    <x v="61"/>
    <x v="52"/>
    <x v="267"/>
    <n v="1.175"/>
    <n v="7"/>
    <x v="0"/>
    <n v="68.900000000000006"/>
    <x v="320"/>
    <n v="16478"/>
    <n v="1333"/>
    <n v="1.1606873681037081E-2"/>
    <s v="Dec-12"/>
    <x v="11"/>
    <n v="2.2765957446808511"/>
  </r>
  <r>
    <x v="39"/>
    <n v="16"/>
    <x v="2"/>
    <x v="1"/>
    <x v="1"/>
    <x v="36"/>
    <x v="0"/>
    <x v="0"/>
    <x v="10"/>
    <x v="76"/>
    <x v="116"/>
    <x v="17"/>
    <n v="10"/>
    <n v="10"/>
    <n v="30"/>
    <n v="16"/>
    <x v="116"/>
    <x v="76"/>
    <x v="118"/>
    <x v="115"/>
    <n v="1.6"/>
    <n v="-1"/>
    <x v="0"/>
    <n v="9.1"/>
    <x v="321"/>
    <n v="369"/>
    <n v="64"/>
    <n v="5.4878048780487805E-2"/>
    <s v="Dec-12"/>
    <x v="5"/>
    <n v="2.5625"/>
  </r>
  <r>
    <x v="28"/>
    <n v="105"/>
    <x v="2"/>
    <x v="1"/>
    <x v="1"/>
    <x v="44"/>
    <x v="0"/>
    <x v="0"/>
    <x v="0"/>
    <x v="30"/>
    <x v="139"/>
    <x v="6"/>
    <n v="90"/>
    <n v="30"/>
    <n v="230"/>
    <n v="125"/>
    <x v="139"/>
    <x v="30"/>
    <x v="134"/>
    <x v="268"/>
    <n v="1.1666666666666667"/>
    <n v="-10"/>
    <x v="0"/>
    <n v="29.333333333333332"/>
    <x v="322"/>
    <n v="5000"/>
    <n v="11875"/>
    <n v="8.4210526315789467E-4"/>
    <s v="Dec-12"/>
    <x v="21"/>
    <n v="2.3809523809523809"/>
  </r>
  <r>
    <x v="121"/>
    <n v="39"/>
    <x v="3"/>
    <x v="0"/>
    <x v="1"/>
    <x v="13"/>
    <x v="1"/>
    <x v="3"/>
    <x v="5"/>
    <x v="40"/>
    <x v="62"/>
    <x v="1"/>
    <n v="40"/>
    <n v="80"/>
    <n v="130"/>
    <n v="25"/>
    <x v="62"/>
    <x v="40"/>
    <x v="28"/>
    <x v="170"/>
    <n v="0.97499999999999998"/>
    <n v="-41"/>
    <x v="0"/>
    <n v="79.512500000000003"/>
    <x v="201"/>
    <n v="3744"/>
    <n v="300"/>
    <n v="3.3854166666666664E-2"/>
    <s v="Oct-13"/>
    <x v="2"/>
    <n v="2.4615384615384617"/>
  </r>
  <r>
    <x v="116"/>
    <n v="239"/>
    <x v="3"/>
    <x v="0"/>
    <x v="1"/>
    <x v="37"/>
    <x v="1"/>
    <x v="3"/>
    <x v="7"/>
    <x v="110"/>
    <x v="140"/>
    <x v="1"/>
    <n v="350"/>
    <n v="340"/>
    <n v="770"/>
    <n v="96"/>
    <x v="140"/>
    <x v="110"/>
    <x v="135"/>
    <x v="269"/>
    <n v="0.68285714285714283"/>
    <n v="-65"/>
    <x v="0"/>
    <n v="339.19117647058823"/>
    <x v="323"/>
    <n v="152350"/>
    <n v="7104"/>
    <n v="6.7079715094155523E-3"/>
    <s v="Oct-13"/>
    <x v="15"/>
    <n v="2.3179916317991633"/>
  </r>
  <r>
    <x v="119"/>
    <n v="123"/>
    <x v="3"/>
    <x v="0"/>
    <x v="1"/>
    <x v="38"/>
    <x v="1"/>
    <x v="2"/>
    <x v="8"/>
    <x v="111"/>
    <x v="141"/>
    <x v="1"/>
    <n v="70"/>
    <n v="100"/>
    <n v="190"/>
    <n v="46"/>
    <x v="141"/>
    <x v="111"/>
    <x v="61"/>
    <x v="270"/>
    <n v="1.7571428571428571"/>
    <n v="97"/>
    <x v="0"/>
    <n v="98.03"/>
    <x v="324"/>
    <n v="63434"/>
    <n v="1564"/>
    <n v="1.7994154183412495E-2"/>
    <s v="Oct-13"/>
    <x v="9"/>
    <n v="2.6178861788617884"/>
  </r>
  <r>
    <x v="38"/>
    <n v="48"/>
    <x v="3"/>
    <x v="1"/>
    <x v="1"/>
    <x v="2"/>
    <x v="1"/>
    <x v="3"/>
    <x v="5"/>
    <x v="49"/>
    <x v="53"/>
    <x v="10"/>
    <n v="70"/>
    <n v="80"/>
    <n v="160"/>
    <n v="25"/>
    <x v="53"/>
    <x v="49"/>
    <x v="3"/>
    <x v="75"/>
    <n v="0.68571428571428572"/>
    <n v="-13"/>
    <x v="0"/>
    <n v="79.162499999999994"/>
    <x v="80"/>
    <n v="8442"/>
    <n v="325"/>
    <n v="4.0903540903540904E-2"/>
    <s v="Oct-13"/>
    <x v="6"/>
    <n v="2.625"/>
  </r>
  <r>
    <x v="55"/>
    <n v="48"/>
    <x v="3"/>
    <x v="1"/>
    <x v="1"/>
    <x v="2"/>
    <x v="1"/>
    <x v="3"/>
    <x v="7"/>
    <x v="50"/>
    <x v="35"/>
    <x v="10"/>
    <n v="70"/>
    <n v="80"/>
    <n v="160"/>
    <n v="24"/>
    <x v="35"/>
    <x v="50"/>
    <x v="28"/>
    <x v="76"/>
    <n v="0.68571428571428572"/>
    <n v="-10"/>
    <x v="0"/>
    <n v="79.125"/>
    <x v="81"/>
    <n v="8890"/>
    <n v="312"/>
    <n v="4.2398546335554212E-2"/>
    <s v="Oct-13"/>
    <x v="6"/>
    <n v="2.6458333333333335"/>
  </r>
  <r>
    <x v="39"/>
    <n v="45"/>
    <x v="3"/>
    <x v="1"/>
    <x v="1"/>
    <x v="10"/>
    <x v="1"/>
    <x v="3"/>
    <x v="7"/>
    <x v="28"/>
    <x v="26"/>
    <x v="17"/>
    <n v="50"/>
    <n v="80"/>
    <n v="160"/>
    <n v="46"/>
    <x v="26"/>
    <x v="28"/>
    <x v="10"/>
    <x v="209"/>
    <n v="0.9"/>
    <n v="-46"/>
    <x v="0"/>
    <n v="79.575000000000003"/>
    <x v="238"/>
    <n v="4114"/>
    <n v="644"/>
    <n v="2.0070838252656435E-2"/>
    <s v="Oct-13"/>
    <x v="6"/>
    <n v="2.6888888888888891"/>
  </r>
  <r>
    <x v="7"/>
    <n v="90"/>
    <x v="3"/>
    <x v="1"/>
    <x v="1"/>
    <x v="39"/>
    <x v="1"/>
    <x v="3"/>
    <x v="7"/>
    <x v="112"/>
    <x v="18"/>
    <x v="6"/>
    <n v="130"/>
    <n v="140"/>
    <n v="290"/>
    <n v="41"/>
    <x v="18"/>
    <x v="112"/>
    <x v="13"/>
    <x v="271"/>
    <n v="0.69230769230769229"/>
    <n v="-30"/>
    <x v="0"/>
    <n v="139.21428571428572"/>
    <x v="234"/>
    <n v="23980"/>
    <n v="1189"/>
    <n v="1.7399557102182852E-2"/>
    <s v="Oct-13"/>
    <x v="16"/>
    <n v="2.4222222222222221"/>
  </r>
  <r>
    <x v="39"/>
    <n v="25"/>
    <x v="3"/>
    <x v="1"/>
    <x v="1"/>
    <x v="8"/>
    <x v="1"/>
    <x v="2"/>
    <x v="9"/>
    <x v="90"/>
    <x v="94"/>
    <x v="17"/>
    <n v="10"/>
    <n v="10"/>
    <n v="30"/>
    <n v="43"/>
    <x v="94"/>
    <x v="90"/>
    <x v="69"/>
    <x v="226"/>
    <n v="2.5"/>
    <n v="-28"/>
    <x v="0"/>
    <n v="11.8"/>
    <x v="271"/>
    <n v="-1080"/>
    <n v="387"/>
    <n v="-3.3333333333333333E-2"/>
    <s v="Oct-13"/>
    <x v="5"/>
    <n v="2.4"/>
  </r>
  <r>
    <x v="11"/>
    <n v="103"/>
    <x v="3"/>
    <x v="1"/>
    <x v="1"/>
    <x v="40"/>
    <x v="0"/>
    <x v="0"/>
    <x v="10"/>
    <x v="113"/>
    <x v="142"/>
    <x v="10"/>
    <n v="80"/>
    <n v="110"/>
    <n v="210"/>
    <n v="46"/>
    <x v="142"/>
    <x v="113"/>
    <x v="43"/>
    <x v="272"/>
    <n v="1.2875000000000001"/>
    <n v="19"/>
    <x v="0"/>
    <n v="108.82727272727273"/>
    <x v="325"/>
    <n v="32379"/>
    <n v="1518"/>
    <n v="1.5574067366896052E-2"/>
    <s v="Oct-13"/>
    <x v="10"/>
    <n v="2.436893203883495"/>
  </r>
  <r>
    <x v="29"/>
    <n v="79"/>
    <x v="3"/>
    <x v="1"/>
    <x v="1"/>
    <x v="30"/>
    <x v="0"/>
    <x v="0"/>
    <x v="0"/>
    <x v="35"/>
    <x v="90"/>
    <x v="10"/>
    <n v="60"/>
    <n v="60"/>
    <n v="150"/>
    <n v="64"/>
    <x v="90"/>
    <x v="35"/>
    <x v="92"/>
    <x v="142"/>
    <n v="1.3166666666666667"/>
    <n v="-10"/>
    <x v="0"/>
    <n v="59.166666666666664"/>
    <x v="161"/>
    <n v="9450"/>
    <n v="1920"/>
    <n v="8.8183421516754863E-3"/>
    <s v="Oct-13"/>
    <x v="9"/>
    <n v="2.3924050632911391"/>
  </r>
  <r>
    <x v="7"/>
    <n v="96"/>
    <x v="3"/>
    <x v="1"/>
    <x v="1"/>
    <x v="41"/>
    <x v="0"/>
    <x v="0"/>
    <x v="0"/>
    <x v="65"/>
    <x v="132"/>
    <x v="6"/>
    <n v="80"/>
    <n v="40"/>
    <n v="200"/>
    <n v="117"/>
    <x v="132"/>
    <x v="65"/>
    <x v="136"/>
    <x v="273"/>
    <n v="1.2"/>
    <n v="-15"/>
    <x v="0"/>
    <n v="39.375"/>
    <x v="89"/>
    <n v="6125"/>
    <n v="10179"/>
    <n v="1.1728829462819611E-3"/>
    <s v="Oct-13"/>
    <x v="17"/>
    <n v="2.5520833333333335"/>
  </r>
  <r>
    <x v="116"/>
    <n v="225"/>
    <x v="4"/>
    <x v="0"/>
    <x v="1"/>
    <x v="42"/>
    <x v="1"/>
    <x v="3"/>
    <x v="7"/>
    <x v="114"/>
    <x v="143"/>
    <x v="1"/>
    <n v="260"/>
    <n v="230"/>
    <n v="580"/>
    <n v="91"/>
    <x v="143"/>
    <x v="114"/>
    <x v="137"/>
    <x v="274"/>
    <n v="0.86538461538461542"/>
    <n v="28"/>
    <x v="0"/>
    <n v="228.87826086956522"/>
    <x v="326"/>
    <n v="134676"/>
    <n v="6279"/>
    <n v="7.1630851241046151E-3"/>
    <s v="Nov-13"/>
    <x v="18"/>
    <n v="2.3199999999999998"/>
  </r>
  <r>
    <x v="51"/>
    <n v="75"/>
    <x v="4"/>
    <x v="0"/>
    <x v="1"/>
    <x v="23"/>
    <x v="1"/>
    <x v="2"/>
    <x v="9"/>
    <x v="97"/>
    <x v="123"/>
    <x v="1"/>
    <n v="50"/>
    <n v="40"/>
    <n v="140"/>
    <n v="55"/>
    <x v="123"/>
    <x v="97"/>
    <x v="84"/>
    <x v="243"/>
    <n v="1.5"/>
    <n v="48"/>
    <x v="0"/>
    <n v="37.799999999999997"/>
    <x v="294"/>
    <n v="17688"/>
    <n v="1320"/>
    <n v="1.824212271973466E-2"/>
    <s v="Nov-13"/>
    <x v="10"/>
    <n v="2.68"/>
  </r>
  <r>
    <x v="18"/>
    <n v="118"/>
    <x v="4"/>
    <x v="0"/>
    <x v="1"/>
    <x v="40"/>
    <x v="1"/>
    <x v="2"/>
    <x v="8"/>
    <x v="105"/>
    <x v="144"/>
    <x v="1"/>
    <n v="90"/>
    <n v="100"/>
    <n v="220"/>
    <n v="45"/>
    <x v="144"/>
    <x v="105"/>
    <x v="72"/>
    <x v="275"/>
    <n v="1.3111111111111111"/>
    <n v="88"/>
    <x v="0"/>
    <n v="98.12"/>
    <x v="327"/>
    <n v="58092"/>
    <n v="1485"/>
    <n v="1.8436795135824264E-2"/>
    <s v="Nov-13"/>
    <x v="11"/>
    <n v="2.6186440677966103"/>
  </r>
  <r>
    <x v="28"/>
    <n v="78"/>
    <x v="4"/>
    <x v="1"/>
    <x v="1"/>
    <x v="26"/>
    <x v="1"/>
    <x v="2"/>
    <x v="4"/>
    <x v="115"/>
    <x v="145"/>
    <x v="6"/>
    <n v="60"/>
    <n v="40"/>
    <n v="150"/>
    <n v="57"/>
    <x v="145"/>
    <x v="115"/>
    <x v="41"/>
    <x v="276"/>
    <n v="1.3"/>
    <n v="52"/>
    <x v="0"/>
    <n v="37.700000000000003"/>
    <x v="328"/>
    <n v="19320"/>
    <n v="1425"/>
    <n v="1.7523809523809525E-2"/>
    <s v="Nov-13"/>
    <x v="8"/>
    <n v="2.6923076923076925"/>
  </r>
  <r>
    <x v="7"/>
    <n v="88"/>
    <x v="4"/>
    <x v="1"/>
    <x v="1"/>
    <x v="39"/>
    <x v="1"/>
    <x v="3"/>
    <x v="7"/>
    <x v="116"/>
    <x v="146"/>
    <x v="6"/>
    <n v="100"/>
    <n v="90"/>
    <n v="230"/>
    <n v="41"/>
    <x v="146"/>
    <x v="116"/>
    <x v="13"/>
    <x v="277"/>
    <n v="0.88"/>
    <n v="15"/>
    <x v="0"/>
    <n v="88.833333333333329"/>
    <x v="329"/>
    <n v="22365"/>
    <n v="1189"/>
    <n v="1.6998542982030112E-2"/>
    <s v="Nov-13"/>
    <x v="14"/>
    <n v="2.4204545454545454"/>
  </r>
  <r>
    <x v="47"/>
    <n v="102"/>
    <x v="4"/>
    <x v="1"/>
    <x v="1"/>
    <x v="33"/>
    <x v="1"/>
    <x v="2"/>
    <x v="9"/>
    <x v="117"/>
    <x v="147"/>
    <x v="6"/>
    <n v="80"/>
    <n v="60"/>
    <n v="180"/>
    <n v="54"/>
    <x v="147"/>
    <x v="117"/>
    <x v="111"/>
    <x v="278"/>
    <n v="1.2749999999999999"/>
    <n v="72"/>
    <x v="0"/>
    <n v="57.8"/>
    <x v="330"/>
    <n v="34452"/>
    <n v="1674"/>
    <n v="1.6314423433444566E-2"/>
    <s v="Nov-13"/>
    <x v="11"/>
    <n v="2.5588235294117645"/>
  </r>
  <r>
    <x v="38"/>
    <n v="101"/>
    <x v="4"/>
    <x v="1"/>
    <x v="1"/>
    <x v="40"/>
    <x v="0"/>
    <x v="0"/>
    <x v="10"/>
    <x v="118"/>
    <x v="148"/>
    <x v="10"/>
    <n v="90"/>
    <n v="80"/>
    <n v="210"/>
    <n v="45"/>
    <x v="148"/>
    <x v="118"/>
    <x v="24"/>
    <x v="279"/>
    <n v="1.1222222222222222"/>
    <n v="46"/>
    <x v="0"/>
    <n v="78.424999999999997"/>
    <x v="331"/>
    <n v="30996"/>
    <n v="1485"/>
    <n v="1.5521064301552107E-2"/>
    <s v="Nov-13"/>
    <x v="13"/>
    <n v="2.4356435643564356"/>
  </r>
  <r>
    <x v="39"/>
    <n v="15"/>
    <x v="4"/>
    <x v="1"/>
    <x v="1"/>
    <x v="36"/>
    <x v="0"/>
    <x v="0"/>
    <x v="10"/>
    <x v="32"/>
    <x v="120"/>
    <x v="17"/>
    <n v="10"/>
    <n v="10"/>
    <n v="30"/>
    <n v="15"/>
    <x v="120"/>
    <x v="32"/>
    <x v="122"/>
    <x v="170"/>
    <n v="1.5"/>
    <n v="3"/>
    <x v="0"/>
    <n v="8.6999999999999993"/>
    <x v="332"/>
    <n v="546"/>
    <n v="60"/>
    <n v="7.7380952380952384E-2"/>
    <s v="Nov-13"/>
    <x v="5"/>
    <n v="2.8"/>
  </r>
  <r>
    <x v="55"/>
    <n v="82"/>
    <x v="4"/>
    <x v="1"/>
    <x v="1"/>
    <x v="33"/>
    <x v="0"/>
    <x v="0"/>
    <x v="0"/>
    <x v="4"/>
    <x v="109"/>
    <x v="10"/>
    <n v="70"/>
    <n v="40"/>
    <n v="170"/>
    <n v="64"/>
    <x v="109"/>
    <x v="4"/>
    <x v="65"/>
    <x v="213"/>
    <n v="1.1714285714285715"/>
    <n v="16"/>
    <x v="0"/>
    <n v="38.6"/>
    <x v="245"/>
    <n v="10976"/>
    <n v="1984"/>
    <n v="9.2165898617511521E-3"/>
    <s v="Nov-13"/>
    <x v="13"/>
    <n v="2.3902439024390243"/>
  </r>
  <r>
    <x v="47"/>
    <n v="94"/>
    <x v="4"/>
    <x v="1"/>
    <x v="1"/>
    <x v="43"/>
    <x v="0"/>
    <x v="0"/>
    <x v="0"/>
    <x v="57"/>
    <x v="149"/>
    <x v="6"/>
    <n v="80"/>
    <n v="20"/>
    <n v="200"/>
    <n v="115"/>
    <x v="149"/>
    <x v="57"/>
    <x v="138"/>
    <x v="280"/>
    <n v="1.175"/>
    <n v="2"/>
    <x v="0"/>
    <n v="18.899999999999999"/>
    <x v="333"/>
    <n v="5258"/>
    <n v="9774.9999999999982"/>
    <n v="1.0829436377061286E-3"/>
    <s v="Nov-13"/>
    <x v="19"/>
    <n v="2.5425531914893615"/>
  </r>
  <r>
    <x v="2"/>
    <n v="241"/>
    <x v="5"/>
    <x v="0"/>
    <x v="1"/>
    <x v="37"/>
    <x v="1"/>
    <x v="3"/>
    <x v="7"/>
    <x v="119"/>
    <x v="150"/>
    <x v="1"/>
    <n v="280"/>
    <n v="240"/>
    <n v="620"/>
    <n v="96"/>
    <x v="150"/>
    <x v="119"/>
    <x v="139"/>
    <x v="281"/>
    <n v="0.86071428571428577"/>
    <n v="39"/>
    <x v="0"/>
    <n v="238.83750000000001"/>
    <x v="334"/>
    <n v="155961"/>
    <n v="7104"/>
    <n v="6.7446695353672098E-3"/>
    <s v="Dec-13"/>
    <x v="20"/>
    <n v="2.3195020746887969"/>
  </r>
  <r>
    <x v="50"/>
    <n v="123"/>
    <x v="5"/>
    <x v="0"/>
    <x v="1"/>
    <x v="38"/>
    <x v="1"/>
    <x v="2"/>
    <x v="8"/>
    <x v="111"/>
    <x v="141"/>
    <x v="1"/>
    <n v="90"/>
    <n v="110"/>
    <n v="230"/>
    <n v="46"/>
    <x v="141"/>
    <x v="111"/>
    <x v="61"/>
    <x v="270"/>
    <n v="1.3666666666666667"/>
    <n v="87"/>
    <x v="0"/>
    <n v="108.2090909090909"/>
    <x v="324"/>
    <n v="63434"/>
    <n v="1564"/>
    <n v="1.7994154183412495E-2"/>
    <s v="Dec-13"/>
    <x v="11"/>
    <n v="2.6178861788617884"/>
  </r>
  <r>
    <x v="39"/>
    <n v="92"/>
    <x v="5"/>
    <x v="1"/>
    <x v="1"/>
    <x v="16"/>
    <x v="1"/>
    <x v="3"/>
    <x v="5"/>
    <x v="10"/>
    <x v="72"/>
    <x v="17"/>
    <n v="100"/>
    <n v="40"/>
    <n v="190"/>
    <n v="52"/>
    <x v="72"/>
    <x v="10"/>
    <x v="77"/>
    <x v="111"/>
    <n v="0.92"/>
    <n v="-16"/>
    <x v="0"/>
    <n v="39.4"/>
    <x v="119"/>
    <n v="4104"/>
    <n v="1456"/>
    <n v="5.0125313283208017E-3"/>
    <s v="Dec-13"/>
    <x v="16"/>
    <n v="1.8586956521739131"/>
  </r>
  <r>
    <x v="7"/>
    <n v="88"/>
    <x v="5"/>
    <x v="1"/>
    <x v="1"/>
    <x v="39"/>
    <x v="1"/>
    <x v="2"/>
    <x v="4"/>
    <x v="120"/>
    <x v="126"/>
    <x v="6"/>
    <n v="60"/>
    <n v="60"/>
    <n v="170"/>
    <n v="61"/>
    <x v="126"/>
    <x v="120"/>
    <x v="111"/>
    <x v="282"/>
    <n v="1.4666666666666666"/>
    <n v="47"/>
    <x v="0"/>
    <n v="58.216666666666669"/>
    <x v="335"/>
    <n v="25252"/>
    <n v="1769"/>
    <n v="1.5634132086499122E-2"/>
    <s v="Dec-13"/>
    <x v="8"/>
    <n v="2.6818181818181817"/>
  </r>
  <r>
    <x v="38"/>
    <n v="49"/>
    <x v="5"/>
    <x v="1"/>
    <x v="1"/>
    <x v="2"/>
    <x v="1"/>
    <x v="3"/>
    <x v="7"/>
    <x v="88"/>
    <x v="51"/>
    <x v="10"/>
    <n v="50"/>
    <n v="70"/>
    <n v="140"/>
    <n v="25"/>
    <x v="51"/>
    <x v="88"/>
    <x v="64"/>
    <x v="206"/>
    <n v="0.98"/>
    <n v="-2"/>
    <x v="0"/>
    <n v="69.028571428571425"/>
    <x v="253"/>
    <n v="8704"/>
    <n v="325"/>
    <n v="4.0865384615384616E-2"/>
    <s v="Dec-13"/>
    <x v="7"/>
    <n v="2.6122448979591835"/>
  </r>
  <r>
    <x v="39"/>
    <n v="48"/>
    <x v="5"/>
    <x v="1"/>
    <x v="1"/>
    <x v="6"/>
    <x v="1"/>
    <x v="3"/>
    <x v="7"/>
    <x v="54"/>
    <x v="45"/>
    <x v="17"/>
    <n v="50"/>
    <n v="50"/>
    <n v="140"/>
    <n v="47"/>
    <x v="45"/>
    <x v="54"/>
    <x v="6"/>
    <x v="126"/>
    <n v="0.96"/>
    <n v="-10"/>
    <x v="0"/>
    <n v="49.2"/>
    <x v="336"/>
    <n v="5200"/>
    <n v="705"/>
    <n v="2.0512820512820513E-2"/>
    <s v="Dec-13"/>
    <x v="9"/>
    <n v="2.7083333333333335"/>
  </r>
  <r>
    <x v="28"/>
    <n v="81"/>
    <x v="5"/>
    <x v="1"/>
    <x v="1"/>
    <x v="32"/>
    <x v="1"/>
    <x v="3"/>
    <x v="7"/>
    <x v="121"/>
    <x v="130"/>
    <x v="6"/>
    <n v="90"/>
    <n v="100"/>
    <n v="220"/>
    <n v="38"/>
    <x v="130"/>
    <x v="121"/>
    <x v="44"/>
    <x v="283"/>
    <n v="0.9"/>
    <n v="-2"/>
    <x v="0"/>
    <n v="99.02"/>
    <x v="337"/>
    <n v="19306"/>
    <n v="988"/>
    <n v="1.9133151112846546E-2"/>
    <s v="Dec-13"/>
    <x v="11"/>
    <n v="2.4320987654320989"/>
  </r>
  <r>
    <x v="39"/>
    <n v="20"/>
    <x v="5"/>
    <x v="1"/>
    <x v="1"/>
    <x v="7"/>
    <x v="1"/>
    <x v="2"/>
    <x v="9"/>
    <x v="122"/>
    <x v="122"/>
    <x v="17"/>
    <n v="10"/>
    <n v="-10"/>
    <n v="30"/>
    <n v="40"/>
    <x v="122"/>
    <x v="122"/>
    <x v="86"/>
    <x v="284"/>
    <n v="2"/>
    <n v="-12"/>
    <x v="0"/>
    <n v="-12.2"/>
    <x v="338"/>
    <n v="-1056"/>
    <n v="280"/>
    <n v="-6.5476190476190479E-2"/>
    <s v="Dec-13"/>
    <x v="1"/>
    <n v="2.4"/>
  </r>
  <r>
    <x v="7"/>
    <n v="134"/>
    <x v="5"/>
    <x v="1"/>
    <x v="1"/>
    <x v="11"/>
    <x v="1"/>
    <x v="2"/>
    <x v="9"/>
    <x v="123"/>
    <x v="151"/>
    <x v="6"/>
    <n v="100"/>
    <n v="90"/>
    <n v="240"/>
    <n v="65"/>
    <x v="151"/>
    <x v="123"/>
    <x v="140"/>
    <x v="285"/>
    <n v="1.34"/>
    <n v="90"/>
    <x v="0"/>
    <n v="88"/>
    <x v="339"/>
    <n v="61380"/>
    <n v="2665"/>
    <n v="1.287461554967456E-2"/>
    <s v="Dec-13"/>
    <x v="16"/>
    <n v="2.544776119402985"/>
  </r>
  <r>
    <x v="38"/>
    <n v="94"/>
    <x v="5"/>
    <x v="1"/>
    <x v="1"/>
    <x v="33"/>
    <x v="0"/>
    <x v="0"/>
    <x v="10"/>
    <x v="124"/>
    <x v="152"/>
    <x v="10"/>
    <n v="80"/>
    <n v="70"/>
    <n v="190"/>
    <n v="43"/>
    <x v="152"/>
    <x v="124"/>
    <x v="35"/>
    <x v="286"/>
    <n v="1.175"/>
    <n v="44"/>
    <x v="0"/>
    <n v="68.371428571428567"/>
    <x v="340"/>
    <n v="25992"/>
    <n v="1333"/>
    <n v="1.6129032258064516E-2"/>
    <s v="Dec-13"/>
    <x v="11"/>
    <n v="2.4255319148936172"/>
  </r>
  <r>
    <x v="39"/>
    <n v="16"/>
    <x v="5"/>
    <x v="1"/>
    <x v="1"/>
    <x v="36"/>
    <x v="0"/>
    <x v="0"/>
    <x v="10"/>
    <x v="32"/>
    <x v="121"/>
    <x v="17"/>
    <n v="10"/>
    <n v="10"/>
    <n v="30"/>
    <n v="16"/>
    <x v="121"/>
    <x v="32"/>
    <x v="116"/>
    <x v="170"/>
    <n v="1.6"/>
    <n v="3"/>
    <x v="0"/>
    <n v="8.6999999999999993"/>
    <x v="341"/>
    <n v="572"/>
    <n v="64"/>
    <n v="7.3863636363636367E-2"/>
    <s v="Dec-13"/>
    <x v="5"/>
    <n v="2.75"/>
  </r>
  <r>
    <x v="28"/>
    <n v="105"/>
    <x v="5"/>
    <x v="1"/>
    <x v="1"/>
    <x v="44"/>
    <x v="0"/>
    <x v="0"/>
    <x v="0"/>
    <x v="27"/>
    <x v="153"/>
    <x v="6"/>
    <n v="90"/>
    <n v="30"/>
    <n v="230"/>
    <n v="125"/>
    <x v="153"/>
    <x v="27"/>
    <x v="141"/>
    <x v="287"/>
    <n v="1.1666666666666667"/>
    <n v="0"/>
    <x v="0"/>
    <n v="29"/>
    <x v="342"/>
    <n v="7980"/>
    <n v="11875"/>
    <n v="1.1871784724970321E-3"/>
    <s v="Dec-13"/>
    <x v="21"/>
    <n v="2.5333333333333332"/>
  </r>
  <r>
    <x v="6"/>
    <n v="125"/>
    <x v="0"/>
    <x v="1"/>
    <x v="2"/>
    <x v="11"/>
    <x v="1"/>
    <x v="3"/>
    <x v="7"/>
    <x v="125"/>
    <x v="154"/>
    <x v="5"/>
    <n v="100"/>
    <n v="130"/>
    <n v="260"/>
    <n v="73"/>
    <x v="154"/>
    <x v="125"/>
    <x v="142"/>
    <x v="288"/>
    <n v="1.25"/>
    <n v="-15"/>
    <x v="0"/>
    <n v="129.11538461538461"/>
    <x v="343"/>
    <n v="35995"/>
    <n v="2993"/>
    <n v="8.9612717213434102E-3"/>
    <s v="Oct-12"/>
    <x v="13"/>
    <n v="2.504"/>
  </r>
  <r>
    <x v="31"/>
    <n v="60"/>
    <x v="0"/>
    <x v="1"/>
    <x v="2"/>
    <x v="12"/>
    <x v="1"/>
    <x v="2"/>
    <x v="8"/>
    <x v="12"/>
    <x v="13"/>
    <x v="5"/>
    <n v="40"/>
    <n v="40"/>
    <n v="130"/>
    <n v="83"/>
    <x v="13"/>
    <x v="12"/>
    <x v="12"/>
    <x v="13"/>
    <n v="1.5"/>
    <n v="-39"/>
    <x v="0"/>
    <n v="39.975000000000001"/>
    <x v="13"/>
    <n v="144"/>
    <n v="4482"/>
    <n v="1.2860082304526747E-4"/>
    <s v="Oct-12"/>
    <x v="9"/>
    <n v="2.4"/>
  </r>
  <r>
    <x v="31"/>
    <n v="130"/>
    <x v="1"/>
    <x v="1"/>
    <x v="2"/>
    <x v="22"/>
    <x v="1"/>
    <x v="3"/>
    <x v="7"/>
    <x v="126"/>
    <x v="155"/>
    <x v="5"/>
    <n v="110"/>
    <n v="130"/>
    <n v="290"/>
    <n v="73"/>
    <x v="155"/>
    <x v="126"/>
    <x v="143"/>
    <x v="289"/>
    <n v="1.1818181818181819"/>
    <n v="-8"/>
    <x v="0"/>
    <n v="129.06153846153848"/>
    <x v="344"/>
    <n v="39650"/>
    <n v="3066"/>
    <n v="8.9377289377289369E-3"/>
    <s v="Nov-12"/>
    <x v="17"/>
    <n v="2.5"/>
  </r>
  <r>
    <x v="31"/>
    <n v="115"/>
    <x v="2"/>
    <x v="1"/>
    <x v="2"/>
    <x v="45"/>
    <x v="1"/>
    <x v="3"/>
    <x v="7"/>
    <x v="116"/>
    <x v="156"/>
    <x v="5"/>
    <n v="100"/>
    <n v="110"/>
    <n v="260"/>
    <n v="69"/>
    <x v="156"/>
    <x v="116"/>
    <x v="144"/>
    <x v="290"/>
    <n v="1.1499999999999999"/>
    <n v="-5"/>
    <x v="0"/>
    <n v="109.04545454545455"/>
    <x v="345"/>
    <n v="30345"/>
    <n v="2553"/>
    <n v="9.819508089404282E-3"/>
    <s v="Dec-12"/>
    <x v="16"/>
    <n v="2.5130434782608697"/>
  </r>
  <r>
    <x v="31"/>
    <n v="125"/>
    <x v="3"/>
    <x v="1"/>
    <x v="2"/>
    <x v="11"/>
    <x v="1"/>
    <x v="3"/>
    <x v="7"/>
    <x v="127"/>
    <x v="157"/>
    <x v="5"/>
    <n v="100"/>
    <n v="130"/>
    <n v="260"/>
    <n v="73"/>
    <x v="157"/>
    <x v="127"/>
    <x v="130"/>
    <x v="291"/>
    <n v="1.25"/>
    <n v="41"/>
    <x v="0"/>
    <n v="128.6846153846154"/>
    <x v="346"/>
    <n v="57114"/>
    <n v="2993"/>
    <n v="1.2487220680590039E-2"/>
    <s v="Oct-13"/>
    <x v="13"/>
    <n v="2.6720000000000002"/>
  </r>
  <r>
    <x v="67"/>
    <n v="60"/>
    <x v="3"/>
    <x v="1"/>
    <x v="2"/>
    <x v="12"/>
    <x v="1"/>
    <x v="2"/>
    <x v="8"/>
    <x v="12"/>
    <x v="43"/>
    <x v="5"/>
    <n v="40"/>
    <n v="40"/>
    <n v="130"/>
    <n v="83"/>
    <x v="43"/>
    <x v="12"/>
    <x v="59"/>
    <x v="13"/>
    <n v="1.5"/>
    <n v="-39"/>
    <x v="0"/>
    <n v="39.975000000000001"/>
    <x v="13"/>
    <n v="153"/>
    <n v="4482"/>
    <n v="1.2103606874848704E-4"/>
    <s v="Oct-13"/>
    <x v="9"/>
    <n v="2.5499999999999998"/>
  </r>
  <r>
    <x v="31"/>
    <n v="130"/>
    <x v="4"/>
    <x v="1"/>
    <x v="2"/>
    <x v="22"/>
    <x v="1"/>
    <x v="3"/>
    <x v="7"/>
    <x v="128"/>
    <x v="158"/>
    <x v="5"/>
    <n v="110"/>
    <n v="130"/>
    <n v="290"/>
    <n v="73"/>
    <x v="158"/>
    <x v="128"/>
    <x v="145"/>
    <x v="292"/>
    <n v="1.1818181818181819"/>
    <n v="51"/>
    <x v="0"/>
    <n v="128.6076923076923"/>
    <x v="347"/>
    <n v="62626"/>
    <n v="3066"/>
    <n v="1.2455271125791357E-2"/>
    <s v="Nov-13"/>
    <x v="17"/>
    <n v="2.6615384615384614"/>
  </r>
  <r>
    <x v="67"/>
    <n v="115"/>
    <x v="5"/>
    <x v="1"/>
    <x v="2"/>
    <x v="45"/>
    <x v="1"/>
    <x v="3"/>
    <x v="7"/>
    <x v="129"/>
    <x v="159"/>
    <x v="5"/>
    <n v="100"/>
    <n v="110"/>
    <n v="260"/>
    <n v="69"/>
    <x v="159"/>
    <x v="129"/>
    <x v="59"/>
    <x v="293"/>
    <n v="1.1499999999999999"/>
    <n v="46"/>
    <x v="0"/>
    <n v="108.58181818181818"/>
    <x v="348"/>
    <n v="48048"/>
    <n v="2553.0000000000005"/>
    <n v="1.3689013689013688E-2"/>
    <s v="Dec-13"/>
    <x v="16"/>
    <n v="2.6782608695652175"/>
  </r>
  <r>
    <x v="35"/>
    <n v="91"/>
    <x v="0"/>
    <x v="0"/>
    <x v="2"/>
    <x v="16"/>
    <x v="1"/>
    <x v="3"/>
    <x v="5"/>
    <x v="20"/>
    <x v="18"/>
    <x v="2"/>
    <n v="70"/>
    <n v="90"/>
    <n v="180"/>
    <n v="51"/>
    <x v="18"/>
    <x v="20"/>
    <x v="19"/>
    <x v="21"/>
    <n v="1.3"/>
    <n v="-14"/>
    <x v="0"/>
    <n v="89.155555555555551"/>
    <x v="21"/>
    <n v="16568"/>
    <n v="1428"/>
    <n v="1.2450851900393186E-2"/>
    <s v="Oct-12"/>
    <x v="9"/>
    <n v="2.3956043956043955"/>
  </r>
  <r>
    <x v="122"/>
    <n v="86"/>
    <x v="0"/>
    <x v="0"/>
    <x v="2"/>
    <x v="16"/>
    <x v="1"/>
    <x v="2"/>
    <x v="4"/>
    <x v="130"/>
    <x v="160"/>
    <x v="2"/>
    <n v="70"/>
    <n v="90"/>
    <n v="180"/>
    <n v="56"/>
    <x v="160"/>
    <x v="130"/>
    <x v="19"/>
    <x v="33"/>
    <n v="1.2285714285714286"/>
    <n v="-30"/>
    <x v="0"/>
    <n v="89.333333333333329"/>
    <x v="349"/>
    <n v="12120"/>
    <n v="1568"/>
    <n v="1.0608203677510608E-2"/>
    <s v="Oct-12"/>
    <x v="9"/>
    <n v="2.3488372093023258"/>
  </r>
  <r>
    <x v="59"/>
    <n v="82"/>
    <x v="0"/>
    <x v="0"/>
    <x v="2"/>
    <x v="15"/>
    <x v="1"/>
    <x v="3"/>
    <x v="7"/>
    <x v="19"/>
    <x v="17"/>
    <x v="2"/>
    <n v="60"/>
    <n v="90"/>
    <n v="170"/>
    <n v="59"/>
    <x v="17"/>
    <x v="19"/>
    <x v="18"/>
    <x v="20"/>
    <n v="1.3666666666666667"/>
    <n v="-26"/>
    <x v="0"/>
    <n v="89.288888888888891"/>
    <x v="20"/>
    <n v="13120"/>
    <n v="1593"/>
    <n v="1.156278229448961E-2"/>
    <s v="Oct-12"/>
    <x v="6"/>
    <n v="2.5"/>
  </r>
  <r>
    <x v="84"/>
    <n v="72"/>
    <x v="0"/>
    <x v="0"/>
    <x v="2"/>
    <x v="4"/>
    <x v="1"/>
    <x v="3"/>
    <x v="7"/>
    <x v="131"/>
    <x v="161"/>
    <x v="15"/>
    <n v="50"/>
    <n v="330"/>
    <n v="400"/>
    <n v="54"/>
    <x v="161"/>
    <x v="131"/>
    <x v="4"/>
    <x v="294"/>
    <n v="1.44"/>
    <n v="18"/>
    <x v="0"/>
    <n v="328.94545454545454"/>
    <x v="350"/>
    <n v="164952"/>
    <n v="1242"/>
    <n v="3.1920748486516236E-2"/>
    <s v="Oct-12"/>
    <x v="7"/>
    <n v="6.583333333333333"/>
  </r>
  <r>
    <x v="123"/>
    <n v="260"/>
    <x v="0"/>
    <x v="0"/>
    <x v="2"/>
    <x v="46"/>
    <x v="1"/>
    <x v="3"/>
    <x v="7"/>
    <x v="132"/>
    <x v="162"/>
    <x v="19"/>
    <n v="210"/>
    <n v="230"/>
    <n v="540"/>
    <n v="143"/>
    <x v="162"/>
    <x v="132"/>
    <x v="146"/>
    <x v="21"/>
    <n v="1.2380952380952381"/>
    <n v="17"/>
    <x v="0"/>
    <n v="228.92608695652174"/>
    <x v="351"/>
    <n v="160550"/>
    <n v="13013"/>
    <n v="4.1758241758241763E-3"/>
    <s v="Oct-12"/>
    <x v="22"/>
    <n v="2.5"/>
  </r>
  <r>
    <x v="122"/>
    <n v="96"/>
    <x v="0"/>
    <x v="0"/>
    <x v="2"/>
    <x v="41"/>
    <x v="1"/>
    <x v="2"/>
    <x v="8"/>
    <x v="47"/>
    <x v="127"/>
    <x v="2"/>
    <n v="80"/>
    <n v="50"/>
    <n v="210"/>
    <n v="116"/>
    <x v="127"/>
    <x v="47"/>
    <x v="147"/>
    <x v="295"/>
    <n v="1.2"/>
    <n v="-32"/>
    <x v="0"/>
    <n v="49.64"/>
    <x v="352"/>
    <n v="4140"/>
    <n v="10092"/>
    <n v="8.9955022488755621E-4"/>
    <s v="Oct-12"/>
    <x v="17"/>
    <n v="2.3958333333333335"/>
  </r>
  <r>
    <x v="124"/>
    <n v="125"/>
    <x v="0"/>
    <x v="0"/>
    <x v="2"/>
    <x v="47"/>
    <x v="1"/>
    <x v="2"/>
    <x v="8"/>
    <x v="133"/>
    <x v="85"/>
    <x v="19"/>
    <n v="110"/>
    <n v="-170"/>
    <n v="50"/>
    <n v="146"/>
    <x v="85"/>
    <x v="133"/>
    <x v="148"/>
    <x v="296"/>
    <n v="1.1363636363636365"/>
    <n v="-32"/>
    <x v="0"/>
    <n v="-171.18823529411765"/>
    <x v="353"/>
    <n v="-13938"/>
    <n v="16498"/>
    <n v="-2.5907400282159803E-2"/>
    <s v="Oct-12"/>
    <x v="23"/>
    <n v="0.55200000000000005"/>
  </r>
  <r>
    <x v="108"/>
    <n v="161"/>
    <x v="0"/>
    <x v="0"/>
    <x v="2"/>
    <x v="48"/>
    <x v="1"/>
    <x v="2"/>
    <x v="12"/>
    <x v="115"/>
    <x v="141"/>
    <x v="15"/>
    <n v="140"/>
    <n v="120"/>
    <n v="300"/>
    <n v="69"/>
    <x v="141"/>
    <x v="115"/>
    <x v="134"/>
    <x v="297"/>
    <n v="1.1499999999999999"/>
    <n v="-28"/>
    <x v="0"/>
    <n v="119.23333333333333"/>
    <x v="354"/>
    <n v="29624"/>
    <n v="3105.0000000000005"/>
    <n v="6.3492063492063483E-3"/>
    <s v="Oct-12"/>
    <x v="19"/>
    <n v="2"/>
  </r>
  <r>
    <x v="100"/>
    <n v="239"/>
    <x v="0"/>
    <x v="0"/>
    <x v="2"/>
    <x v="49"/>
    <x v="1"/>
    <x v="2"/>
    <x v="12"/>
    <x v="134"/>
    <x v="163"/>
    <x v="19"/>
    <n v="210"/>
    <n v="450"/>
    <n v="720"/>
    <n v="91"/>
    <x v="163"/>
    <x v="134"/>
    <x v="149"/>
    <x v="298"/>
    <n v="1.138095238095238"/>
    <n v="-15"/>
    <x v="0"/>
    <n v="449.03333333333336"/>
    <x v="355"/>
    <n v="332775"/>
    <n v="6006"/>
    <n v="8.6155674390968502E-3"/>
    <s v="Oct-12"/>
    <x v="24"/>
    <n v="3.2008368200836821"/>
  </r>
  <r>
    <x v="125"/>
    <n v="22"/>
    <x v="0"/>
    <x v="0"/>
    <x v="2"/>
    <x v="7"/>
    <x v="0"/>
    <x v="0"/>
    <x v="10"/>
    <x v="44"/>
    <x v="77"/>
    <x v="2"/>
    <n v="0"/>
    <n v="20"/>
    <n v="20"/>
    <n v="19"/>
    <x v="77"/>
    <x v="44"/>
    <x v="67"/>
    <x v="34"/>
    <e v="#DIV/0!"/>
    <n v="-10"/>
    <x v="0"/>
    <n v="19.5"/>
    <x v="128"/>
    <n v="510"/>
    <n v="133"/>
    <n v="2.8011204481792718E-2"/>
    <s v="Oct-12"/>
    <x v="4"/>
    <n v="2.3181818181818183"/>
  </r>
  <r>
    <x v="124"/>
    <n v="255"/>
    <x v="0"/>
    <x v="0"/>
    <x v="2"/>
    <x v="50"/>
    <x v="0"/>
    <x v="0"/>
    <x v="0"/>
    <x v="113"/>
    <x v="164"/>
    <x v="19"/>
    <n v="140"/>
    <n v="70"/>
    <n v="290"/>
    <n v="129"/>
    <x v="164"/>
    <x v="113"/>
    <x v="150"/>
    <x v="299"/>
    <n v="1.8214285714285714"/>
    <n v="59"/>
    <x v="0"/>
    <n v="68.157142857142858"/>
    <x v="356"/>
    <n v="66177"/>
    <n v="12384"/>
    <n v="2.6193957115009745E-3"/>
    <s v="Oct-12"/>
    <x v="23"/>
    <n v="2.0117647058823529"/>
  </r>
  <r>
    <x v="123"/>
    <n v="239"/>
    <x v="0"/>
    <x v="0"/>
    <x v="2"/>
    <x v="37"/>
    <x v="0"/>
    <x v="0"/>
    <x v="1"/>
    <x v="135"/>
    <x v="20"/>
    <x v="19"/>
    <n v="130"/>
    <n v="-100"/>
    <n v="80"/>
    <n v="95"/>
    <x v="20"/>
    <x v="135"/>
    <x v="151"/>
    <x v="300"/>
    <n v="1.8384615384615384"/>
    <n v="-70"/>
    <x v="0"/>
    <n v="-101.7"/>
    <x v="357"/>
    <n v="-27880"/>
    <n v="7030"/>
    <n v="-1.4007910349373764E-2"/>
    <s v="Oct-12"/>
    <x v="19"/>
    <n v="0.68619246861924688"/>
  </r>
  <r>
    <x v="126"/>
    <n v="108"/>
    <x v="0"/>
    <x v="0"/>
    <x v="2"/>
    <x v="30"/>
    <x v="0"/>
    <x v="1"/>
    <x v="2"/>
    <x v="125"/>
    <x v="165"/>
    <x v="19"/>
    <n v="110"/>
    <n v="140"/>
    <n v="280"/>
    <n v="42"/>
    <x v="165"/>
    <x v="125"/>
    <x v="152"/>
    <x v="157"/>
    <n v="0.98181818181818181"/>
    <n v="-25"/>
    <x v="0"/>
    <n v="139.17857142857142"/>
    <x v="358"/>
    <n v="30475"/>
    <n v="1260"/>
    <n v="1.4465408805031447E-2"/>
    <s v="Oct-12"/>
    <x v="14"/>
    <n v="2.4537037037037037"/>
  </r>
  <r>
    <x v="127"/>
    <n v="123"/>
    <x v="0"/>
    <x v="0"/>
    <x v="2"/>
    <x v="38"/>
    <x v="0"/>
    <x v="1"/>
    <x v="11"/>
    <x v="136"/>
    <x v="125"/>
    <x v="19"/>
    <n v="130"/>
    <n v="160"/>
    <n v="320"/>
    <n v="45"/>
    <x v="125"/>
    <x v="136"/>
    <x v="153"/>
    <x v="301"/>
    <n v="0.94615384615384612"/>
    <n v="-26"/>
    <x v="0"/>
    <n v="159.16249999999999"/>
    <x v="359"/>
    <n v="40468"/>
    <n v="1530"/>
    <n v="1.3050253213868329E-2"/>
    <s v="Oct-12"/>
    <x v="17"/>
    <n v="2.4552845528455283"/>
  </r>
  <r>
    <x v="114"/>
    <n v="76"/>
    <x v="0"/>
    <x v="0"/>
    <x v="2"/>
    <x v="28"/>
    <x v="0"/>
    <x v="1"/>
    <x v="3"/>
    <x v="92"/>
    <x v="76"/>
    <x v="19"/>
    <n v="80"/>
    <n v="100"/>
    <n v="200"/>
    <n v="33"/>
    <x v="76"/>
    <x v="92"/>
    <x v="26"/>
    <x v="230"/>
    <n v="0.95"/>
    <n v="-22"/>
    <x v="0"/>
    <n v="99.22"/>
    <x v="281"/>
    <n v="14586"/>
    <n v="693"/>
    <n v="1.9862490450725745E-2"/>
    <s v="Oct-12"/>
    <x v="10"/>
    <n v="2.4605263157894739"/>
  </r>
  <r>
    <x v="105"/>
    <n v="102"/>
    <x v="1"/>
    <x v="0"/>
    <x v="2"/>
    <x v="33"/>
    <x v="1"/>
    <x v="3"/>
    <x v="5"/>
    <x v="104"/>
    <x v="132"/>
    <x v="2"/>
    <n v="90"/>
    <n v="90"/>
    <n v="220"/>
    <n v="54"/>
    <x v="132"/>
    <x v="104"/>
    <x v="71"/>
    <x v="258"/>
    <n v="1.1333333333333333"/>
    <n v="-1"/>
    <x v="0"/>
    <n v="89.011111111111106"/>
    <x v="310"/>
    <n v="21805"/>
    <n v="1674"/>
    <n v="1.1718235681369323E-2"/>
    <s v="Nov-12"/>
    <x v="13"/>
    <n v="2.4019607843137254"/>
  </r>
  <r>
    <x v="35"/>
    <n v="77"/>
    <x v="1"/>
    <x v="0"/>
    <x v="2"/>
    <x v="26"/>
    <x v="1"/>
    <x v="2"/>
    <x v="4"/>
    <x v="94"/>
    <x v="166"/>
    <x v="2"/>
    <n v="70"/>
    <n v="60"/>
    <n v="170"/>
    <n v="52"/>
    <x v="166"/>
    <x v="94"/>
    <x v="111"/>
    <x v="302"/>
    <n v="1.1000000000000001"/>
    <n v="-9"/>
    <x v="0"/>
    <n v="59.15"/>
    <x v="360"/>
    <n v="9180"/>
    <n v="1300"/>
    <n v="1.1333333333333334E-2"/>
    <s v="Nov-12"/>
    <x v="8"/>
    <n v="2.3376623376623376"/>
  </r>
  <r>
    <x v="128"/>
    <n v="78"/>
    <x v="1"/>
    <x v="0"/>
    <x v="2"/>
    <x v="26"/>
    <x v="1"/>
    <x v="3"/>
    <x v="7"/>
    <x v="137"/>
    <x v="130"/>
    <x v="2"/>
    <n v="70"/>
    <n v="60"/>
    <n v="170"/>
    <n v="56"/>
    <x v="130"/>
    <x v="137"/>
    <x v="48"/>
    <x v="303"/>
    <n v="1.1142857142857143"/>
    <n v="3"/>
    <x v="0"/>
    <n v="58.95"/>
    <x v="361"/>
    <n v="12411"/>
    <n v="1400"/>
    <n v="1.2791878172588833E-2"/>
    <s v="Nov-12"/>
    <x v="8"/>
    <n v="2.5256410256410255"/>
  </r>
  <r>
    <x v="80"/>
    <n v="75"/>
    <x v="1"/>
    <x v="0"/>
    <x v="2"/>
    <x v="23"/>
    <x v="1"/>
    <x v="3"/>
    <x v="7"/>
    <x v="138"/>
    <x v="167"/>
    <x v="15"/>
    <n v="60"/>
    <n v="300"/>
    <n v="400"/>
    <n v="55"/>
    <x v="167"/>
    <x v="138"/>
    <x v="83"/>
    <x v="304"/>
    <n v="1.25"/>
    <n v="24"/>
    <x v="0"/>
    <n v="298.92"/>
    <x v="362"/>
    <n v="147096"/>
    <n v="1320"/>
    <n v="2.9735682819383259E-2"/>
    <s v="Nov-12"/>
    <x v="10"/>
    <n v="6.0533333333333337"/>
  </r>
  <r>
    <x v="129"/>
    <n v="249"/>
    <x v="1"/>
    <x v="0"/>
    <x v="2"/>
    <x v="41"/>
    <x v="1"/>
    <x v="3"/>
    <x v="7"/>
    <x v="139"/>
    <x v="168"/>
    <x v="19"/>
    <n v="220"/>
    <n v="230"/>
    <n v="560"/>
    <n v="138"/>
    <x v="168"/>
    <x v="139"/>
    <x v="154"/>
    <x v="305"/>
    <n v="1.1318181818181818"/>
    <n v="6"/>
    <x v="0"/>
    <n v="228.97391304347826"/>
    <x v="363"/>
    <n v="147028"/>
    <n v="12006"/>
    <n v="4.3541632073208977E-3"/>
    <s v="Nov-12"/>
    <x v="25"/>
    <n v="2.5020080321285141"/>
  </r>
  <r>
    <x v="128"/>
    <n v="94"/>
    <x v="1"/>
    <x v="0"/>
    <x v="2"/>
    <x v="43"/>
    <x v="1"/>
    <x v="2"/>
    <x v="8"/>
    <x v="25"/>
    <x v="134"/>
    <x v="2"/>
    <n v="90"/>
    <n v="20"/>
    <n v="210"/>
    <n v="115"/>
    <x v="134"/>
    <x v="25"/>
    <x v="131"/>
    <x v="260"/>
    <n v="1.0444444444444445"/>
    <n v="-5"/>
    <x v="0"/>
    <n v="19.25"/>
    <x v="313"/>
    <n v="3360"/>
    <n v="9775"/>
    <n v="7.8781512605042019E-4"/>
    <s v="Nov-12"/>
    <x v="26"/>
    <n v="2.3829787234042552"/>
  </r>
  <r>
    <x v="129"/>
    <n v="121"/>
    <x v="1"/>
    <x v="0"/>
    <x v="2"/>
    <x v="51"/>
    <x v="1"/>
    <x v="2"/>
    <x v="8"/>
    <x v="133"/>
    <x v="113"/>
    <x v="19"/>
    <n v="110"/>
    <n v="-190"/>
    <n v="50"/>
    <n v="142"/>
    <x v="113"/>
    <x v="133"/>
    <x v="155"/>
    <x v="306"/>
    <n v="1.1000000000000001"/>
    <n v="-12"/>
    <x v="0"/>
    <n v="-191.06315789473683"/>
    <x v="364"/>
    <n v="-12322"/>
    <n v="15478"/>
    <n v="-3.0380508347119868E-2"/>
    <s v="Nov-12"/>
    <x v="27"/>
    <n v="0.50413223140495866"/>
  </r>
  <r>
    <x v="63"/>
    <n v="181"/>
    <x v="1"/>
    <x v="0"/>
    <x v="2"/>
    <x v="52"/>
    <x v="1"/>
    <x v="2"/>
    <x v="12"/>
    <x v="140"/>
    <x v="169"/>
    <x v="15"/>
    <n v="170"/>
    <n v="120"/>
    <n v="350"/>
    <n v="74"/>
    <x v="169"/>
    <x v="140"/>
    <x v="156"/>
    <x v="307"/>
    <n v="1.0647058823529412"/>
    <n v="-12"/>
    <x v="0"/>
    <n v="119.1"/>
    <x v="365"/>
    <n v="39204"/>
    <n v="3699.9999999999995"/>
    <n v="5.9504132231404964E-3"/>
    <s v="Nov-12"/>
    <x v="28"/>
    <n v="2.0055248618784529"/>
  </r>
  <r>
    <x v="130"/>
    <n v="211"/>
    <x v="1"/>
    <x v="0"/>
    <x v="2"/>
    <x v="53"/>
    <x v="1"/>
    <x v="2"/>
    <x v="12"/>
    <x v="141"/>
    <x v="170"/>
    <x v="19"/>
    <n v="200"/>
    <n v="390"/>
    <n v="660"/>
    <n v="83"/>
    <x v="170"/>
    <x v="141"/>
    <x v="157"/>
    <x v="308"/>
    <n v="1.0549999999999999"/>
    <n v="-9"/>
    <x v="0"/>
    <n v="389.02307692307693"/>
    <x v="366"/>
    <n v="257175"/>
    <n v="4897"/>
    <n v="9.5668549905838039E-3"/>
    <s v="Nov-12"/>
    <x v="24"/>
    <n v="3.1990521327014219"/>
  </r>
  <r>
    <x v="35"/>
    <n v="22"/>
    <x v="1"/>
    <x v="0"/>
    <x v="2"/>
    <x v="7"/>
    <x v="0"/>
    <x v="0"/>
    <x v="10"/>
    <x v="78"/>
    <x v="97"/>
    <x v="2"/>
    <n v="10"/>
    <n v="10"/>
    <n v="30"/>
    <n v="19"/>
    <x v="97"/>
    <x v="78"/>
    <x v="67"/>
    <x v="163"/>
    <n v="2.2000000000000002"/>
    <n v="1"/>
    <x v="0"/>
    <n v="8.9"/>
    <x v="188"/>
    <n v="572"/>
    <n v="133"/>
    <n v="3.021978021978022E-2"/>
    <s v="Nov-12"/>
    <x v="5"/>
    <n v="2.3636363636363638"/>
  </r>
  <r>
    <x v="131"/>
    <n v="245"/>
    <x v="1"/>
    <x v="0"/>
    <x v="2"/>
    <x v="54"/>
    <x v="0"/>
    <x v="0"/>
    <x v="0"/>
    <x v="142"/>
    <x v="171"/>
    <x v="19"/>
    <n v="180"/>
    <n v="140"/>
    <n v="420"/>
    <n v="127"/>
    <x v="171"/>
    <x v="142"/>
    <x v="158"/>
    <x v="309"/>
    <n v="1.3611111111111112"/>
    <n v="64"/>
    <x v="0"/>
    <n v="138.54285714285714"/>
    <x v="367"/>
    <n v="117504"/>
    <n v="11811.000000000002"/>
    <n v="3.8082437275985658E-3"/>
    <s v="Nov-12"/>
    <x v="29"/>
    <n v="2.3510204081632655"/>
  </r>
  <r>
    <x v="106"/>
    <n v="225"/>
    <x v="1"/>
    <x v="0"/>
    <x v="2"/>
    <x v="42"/>
    <x v="0"/>
    <x v="0"/>
    <x v="1"/>
    <x v="143"/>
    <x v="42"/>
    <x v="19"/>
    <n v="160"/>
    <n v="-120"/>
    <n v="110"/>
    <n v="91"/>
    <x v="42"/>
    <x v="143"/>
    <x v="129"/>
    <x v="310"/>
    <n v="1.40625"/>
    <n v="-36"/>
    <x v="0"/>
    <n v="-121.3"/>
    <x v="368"/>
    <n v="-24960"/>
    <n v="6279.0000000000009"/>
    <n v="-1.4130434782608694E-2"/>
    <s v="Nov-12"/>
    <x v="28"/>
    <n v="0.71111111111111114"/>
  </r>
  <r>
    <x v="114"/>
    <n v="81"/>
    <x v="1"/>
    <x v="0"/>
    <x v="2"/>
    <x v="34"/>
    <x v="0"/>
    <x v="1"/>
    <x v="2"/>
    <x v="144"/>
    <x v="172"/>
    <x v="19"/>
    <n v="80"/>
    <n v="90"/>
    <n v="200"/>
    <n v="33"/>
    <x v="172"/>
    <x v="144"/>
    <x v="35"/>
    <x v="279"/>
    <n v="1.0125"/>
    <n v="-6"/>
    <x v="0"/>
    <n v="89.066666666666663"/>
    <x v="369"/>
    <n v="16632"/>
    <n v="726"/>
    <n v="1.928374655647383E-2"/>
    <s v="Nov-12"/>
    <x v="8"/>
    <n v="2.4444444444444446"/>
  </r>
  <r>
    <x v="123"/>
    <n v="118"/>
    <x v="1"/>
    <x v="0"/>
    <x v="2"/>
    <x v="40"/>
    <x v="0"/>
    <x v="1"/>
    <x v="11"/>
    <x v="102"/>
    <x v="129"/>
    <x v="19"/>
    <n v="120"/>
    <n v="130"/>
    <n v="290"/>
    <n v="45"/>
    <x v="129"/>
    <x v="102"/>
    <x v="130"/>
    <x v="255"/>
    <n v="0.98333333333333328"/>
    <n v="-3"/>
    <x v="0"/>
    <n v="129.02307692307693"/>
    <x v="307"/>
    <n v="36830"/>
    <n v="1485"/>
    <n v="1.3270637408568443E-2"/>
    <s v="Nov-12"/>
    <x v="17"/>
    <n v="2.4576271186440679"/>
  </r>
  <r>
    <x v="91"/>
    <n v="134"/>
    <x v="2"/>
    <x v="0"/>
    <x v="2"/>
    <x v="11"/>
    <x v="1"/>
    <x v="3"/>
    <x v="5"/>
    <x v="126"/>
    <x v="137"/>
    <x v="2"/>
    <n v="120"/>
    <n v="110"/>
    <n v="280"/>
    <n v="64"/>
    <x v="137"/>
    <x v="126"/>
    <x v="142"/>
    <x v="311"/>
    <n v="1.1166666666666667"/>
    <n v="12"/>
    <x v="0"/>
    <n v="108.89090909090909"/>
    <x v="370"/>
    <n v="39040"/>
    <n v="2624"/>
    <n v="9.2987804878048776E-3"/>
    <s v="Dec-12"/>
    <x v="30"/>
    <n v="2.3880597014925371"/>
  </r>
  <r>
    <x v="59"/>
    <n v="83"/>
    <x v="2"/>
    <x v="0"/>
    <x v="2"/>
    <x v="15"/>
    <x v="1"/>
    <x v="2"/>
    <x v="4"/>
    <x v="85"/>
    <x v="173"/>
    <x v="2"/>
    <n v="80"/>
    <n v="70"/>
    <n v="190"/>
    <n v="54"/>
    <x v="173"/>
    <x v="85"/>
    <x v="52"/>
    <x v="312"/>
    <n v="1.0375000000000001"/>
    <n v="-12"/>
    <x v="0"/>
    <n v="69.171428571428578"/>
    <x v="371"/>
    <n v="11310"/>
    <n v="1457.9999999999998"/>
    <n v="1.1016144349477683E-2"/>
    <s v="Dec-12"/>
    <x v="11"/>
    <n v="2.3493975903614457"/>
  </r>
  <r>
    <x v="128"/>
    <n v="88"/>
    <x v="2"/>
    <x v="0"/>
    <x v="2"/>
    <x v="39"/>
    <x v="1"/>
    <x v="3"/>
    <x v="7"/>
    <x v="59"/>
    <x v="136"/>
    <x v="2"/>
    <n v="70"/>
    <n v="80"/>
    <n v="190"/>
    <n v="60"/>
    <x v="136"/>
    <x v="59"/>
    <x v="159"/>
    <x v="313"/>
    <n v="1.2571428571428571"/>
    <n v="-7"/>
    <x v="0"/>
    <n v="79.087500000000006"/>
    <x v="372"/>
    <n v="16133"/>
    <n v="1740"/>
    <n v="1.1390232485567172E-2"/>
    <s v="Dec-12"/>
    <x v="8"/>
    <n v="2.5113636363636362"/>
  </r>
  <r>
    <x v="53"/>
    <n v="67"/>
    <x v="2"/>
    <x v="0"/>
    <x v="2"/>
    <x v="34"/>
    <x v="1"/>
    <x v="3"/>
    <x v="7"/>
    <x v="145"/>
    <x v="174"/>
    <x v="15"/>
    <n v="60"/>
    <n v="360"/>
    <n v="450"/>
    <n v="53"/>
    <x v="174"/>
    <x v="145"/>
    <x v="24"/>
    <x v="314"/>
    <n v="1.1166666666666667"/>
    <n v="30"/>
    <x v="0"/>
    <n v="358.91666666666669"/>
    <x v="373"/>
    <n v="198900"/>
    <n v="1166"/>
    <n v="3.4759358288770054E-2"/>
    <s v="Dec-12"/>
    <x v="9"/>
    <n v="7.6119402985074629"/>
  </r>
  <r>
    <x v="124"/>
    <n v="279"/>
    <x v="2"/>
    <x v="0"/>
    <x v="2"/>
    <x v="55"/>
    <x v="1"/>
    <x v="3"/>
    <x v="7"/>
    <x v="146"/>
    <x v="175"/>
    <x v="19"/>
    <n v="250"/>
    <n v="250"/>
    <n v="620"/>
    <n v="149"/>
    <x v="175"/>
    <x v="146"/>
    <x v="160"/>
    <x v="315"/>
    <n v="1.1160000000000001"/>
    <n v="21"/>
    <x v="0"/>
    <n v="248.916"/>
    <x v="374"/>
    <n v="189429"/>
    <n v="14453"/>
    <n v="3.9968732946919754E-3"/>
    <s v="Dec-12"/>
    <x v="31"/>
    <n v="2.5053763440860215"/>
  </r>
  <r>
    <x v="58"/>
    <n v="105"/>
    <x v="2"/>
    <x v="0"/>
    <x v="2"/>
    <x v="44"/>
    <x v="1"/>
    <x v="2"/>
    <x v="8"/>
    <x v="6"/>
    <x v="139"/>
    <x v="2"/>
    <n v="100"/>
    <n v="30"/>
    <n v="240"/>
    <n v="124"/>
    <x v="139"/>
    <x v="6"/>
    <x v="161"/>
    <x v="316"/>
    <n v="1.05"/>
    <n v="-9"/>
    <x v="0"/>
    <n v="29.3"/>
    <x v="375"/>
    <n v="5250"/>
    <n v="11780"/>
    <n v="8.8421052631578942E-4"/>
    <s v="Dec-12"/>
    <x v="32"/>
    <n v="2.3809523809523809"/>
  </r>
  <r>
    <x v="132"/>
    <n v="135"/>
    <x v="2"/>
    <x v="0"/>
    <x v="2"/>
    <x v="56"/>
    <x v="1"/>
    <x v="2"/>
    <x v="8"/>
    <x v="147"/>
    <x v="7"/>
    <x v="19"/>
    <n v="130"/>
    <n v="-210"/>
    <n v="60"/>
    <n v="155"/>
    <x v="7"/>
    <x v="147"/>
    <x v="162"/>
    <x v="317"/>
    <n v="1.0384615384615385"/>
    <n v="-14"/>
    <x v="0"/>
    <n v="-211.06666666666666"/>
    <x v="376"/>
    <n v="-14784"/>
    <n v="18910"/>
    <n v="-2.7819175360158967E-2"/>
    <s v="Dec-12"/>
    <x v="24"/>
    <n v="0.48888888888888887"/>
  </r>
  <r>
    <x v="53"/>
    <n v="153"/>
    <x v="2"/>
    <x v="0"/>
    <x v="2"/>
    <x v="22"/>
    <x v="1"/>
    <x v="2"/>
    <x v="12"/>
    <x v="100"/>
    <x v="176"/>
    <x v="15"/>
    <n v="150"/>
    <n v="80"/>
    <n v="290"/>
    <n v="66"/>
    <x v="176"/>
    <x v="100"/>
    <x v="163"/>
    <x v="130"/>
    <n v="1.02"/>
    <n v="7"/>
    <x v="0"/>
    <n v="78.912499999999994"/>
    <x v="377"/>
    <n v="26622"/>
    <n v="2771.9999999999995"/>
    <n v="6.7693744164332402E-3"/>
    <s v="Dec-12"/>
    <x v="32"/>
    <n v="2"/>
  </r>
  <r>
    <x v="100"/>
    <n v="250"/>
    <x v="2"/>
    <x v="0"/>
    <x v="2"/>
    <x v="57"/>
    <x v="1"/>
    <x v="2"/>
    <x v="12"/>
    <x v="148"/>
    <x v="177"/>
    <x v="19"/>
    <n v="240"/>
    <n v="320"/>
    <n v="640"/>
    <n v="95"/>
    <x v="177"/>
    <x v="148"/>
    <x v="164"/>
    <x v="318"/>
    <n v="1.0416666666666667"/>
    <n v="-8"/>
    <x v="0"/>
    <n v="319.02499999999998"/>
    <x v="378"/>
    <n v="204984"/>
    <n v="6650"/>
    <n v="6.7840834964122635E-3"/>
    <s v="Dec-12"/>
    <x v="33"/>
    <n v="2.6280000000000001"/>
  </r>
  <r>
    <x v="133"/>
    <n v="294"/>
    <x v="2"/>
    <x v="0"/>
    <x v="2"/>
    <x v="58"/>
    <x v="0"/>
    <x v="0"/>
    <x v="0"/>
    <x v="149"/>
    <x v="178"/>
    <x v="19"/>
    <n v="220"/>
    <n v="210"/>
    <n v="540"/>
    <n v="144"/>
    <x v="178"/>
    <x v="149"/>
    <x v="165"/>
    <x v="319"/>
    <n v="1.3363636363636364"/>
    <n v="99"/>
    <x v="0"/>
    <n v="208.52857142857144"/>
    <x v="379"/>
    <n v="230823"/>
    <n v="15984"/>
    <n v="3.7266181844495096E-3"/>
    <s v="Dec-12"/>
    <x v="25"/>
    <n v="2.5408163265306123"/>
  </r>
  <r>
    <x v="127"/>
    <n v="241"/>
    <x v="2"/>
    <x v="0"/>
    <x v="2"/>
    <x v="37"/>
    <x v="0"/>
    <x v="0"/>
    <x v="1"/>
    <x v="150"/>
    <x v="74"/>
    <x v="19"/>
    <n v="180"/>
    <n v="-150"/>
    <n v="100"/>
    <n v="96"/>
    <x v="74"/>
    <x v="150"/>
    <x v="132"/>
    <x v="320"/>
    <n v="1.3388888888888888"/>
    <n v="-39"/>
    <x v="0"/>
    <n v="-151.26"/>
    <x v="380"/>
    <n v="-27972"/>
    <n v="7104"/>
    <n v="-1.7257121986851715E-2"/>
    <s v="Dec-12"/>
    <x v="34"/>
    <n v="0.61410788381742742"/>
  </r>
  <r>
    <x v="127"/>
    <n v="86"/>
    <x v="2"/>
    <x v="0"/>
    <x v="2"/>
    <x v="23"/>
    <x v="0"/>
    <x v="1"/>
    <x v="2"/>
    <x v="104"/>
    <x v="145"/>
    <x v="19"/>
    <n v="90"/>
    <n v="90"/>
    <n v="210"/>
    <n v="35"/>
    <x v="145"/>
    <x v="104"/>
    <x v="72"/>
    <x v="321"/>
    <n v="0.9555555555555556"/>
    <n v="-1"/>
    <x v="0"/>
    <n v="89.011111111111106"/>
    <x v="381"/>
    <n v="18690"/>
    <n v="840"/>
    <n v="1.7658730158730158E-2"/>
    <s v="Dec-12"/>
    <x v="11"/>
    <n v="2.441860465116279"/>
  </r>
  <r>
    <x v="100"/>
    <n v="123"/>
    <x v="2"/>
    <x v="0"/>
    <x v="2"/>
    <x v="38"/>
    <x v="0"/>
    <x v="1"/>
    <x v="11"/>
    <x v="99"/>
    <x v="125"/>
    <x v="19"/>
    <n v="120"/>
    <n v="150"/>
    <n v="310"/>
    <n v="46"/>
    <x v="125"/>
    <x v="99"/>
    <x v="126"/>
    <x v="250"/>
    <n v="1.0249999999999999"/>
    <n v="-17"/>
    <x v="0"/>
    <n v="149.11333333333334"/>
    <x v="302"/>
    <n v="40166"/>
    <n v="1564"/>
    <n v="1.2952863264511102E-2"/>
    <s v="Dec-12"/>
    <x v="17"/>
    <n v="2.4552845528455283"/>
  </r>
  <r>
    <x v="105"/>
    <n v="91"/>
    <x v="3"/>
    <x v="0"/>
    <x v="2"/>
    <x v="16"/>
    <x v="1"/>
    <x v="3"/>
    <x v="5"/>
    <x v="52"/>
    <x v="54"/>
    <x v="2"/>
    <n v="70"/>
    <n v="90"/>
    <n v="180"/>
    <n v="51"/>
    <x v="54"/>
    <x v="52"/>
    <x v="63"/>
    <x v="79"/>
    <n v="1.3"/>
    <n v="23"/>
    <x v="0"/>
    <n v="88.74444444444444"/>
    <x v="84"/>
    <n v="26216"/>
    <n v="1428"/>
    <n v="1.7395320197044335E-2"/>
    <s v="Oct-13"/>
    <x v="9"/>
    <n v="2.5494505494505493"/>
  </r>
  <r>
    <x v="88"/>
    <n v="86"/>
    <x v="3"/>
    <x v="0"/>
    <x v="2"/>
    <x v="16"/>
    <x v="1"/>
    <x v="2"/>
    <x v="4"/>
    <x v="104"/>
    <x v="179"/>
    <x v="2"/>
    <n v="70"/>
    <n v="90"/>
    <n v="180"/>
    <n v="56"/>
    <x v="179"/>
    <x v="104"/>
    <x v="4"/>
    <x v="322"/>
    <n v="1.2285714285714286"/>
    <n v="-1"/>
    <x v="0"/>
    <n v="89.011111111111106"/>
    <x v="382"/>
    <n v="19135"/>
    <n v="1568"/>
    <n v="1.4784053156146178E-2"/>
    <s v="Oct-13"/>
    <x v="9"/>
    <n v="2.5"/>
  </r>
  <r>
    <x v="21"/>
    <n v="82"/>
    <x v="3"/>
    <x v="0"/>
    <x v="2"/>
    <x v="15"/>
    <x v="1"/>
    <x v="3"/>
    <x v="7"/>
    <x v="51"/>
    <x v="18"/>
    <x v="2"/>
    <n v="60"/>
    <n v="90"/>
    <n v="170"/>
    <n v="59"/>
    <x v="18"/>
    <x v="51"/>
    <x v="49"/>
    <x v="78"/>
    <n v="1.3666666666666667"/>
    <n v="5"/>
    <x v="0"/>
    <n v="88.944444444444443"/>
    <x v="83"/>
    <n v="20710"/>
    <n v="1593"/>
    <n v="1.6139993204213388E-2"/>
    <s v="Oct-13"/>
    <x v="6"/>
    <n v="2.6585365853658538"/>
  </r>
  <r>
    <x v="84"/>
    <n v="72"/>
    <x v="3"/>
    <x v="0"/>
    <x v="2"/>
    <x v="4"/>
    <x v="1"/>
    <x v="3"/>
    <x v="7"/>
    <x v="151"/>
    <x v="180"/>
    <x v="15"/>
    <n v="50"/>
    <n v="330"/>
    <n v="400"/>
    <n v="54"/>
    <x v="180"/>
    <x v="151"/>
    <x v="166"/>
    <x v="323"/>
    <n v="1.44"/>
    <n v="186"/>
    <x v="0"/>
    <n v="328.43636363636364"/>
    <x v="383"/>
    <n v="260580"/>
    <n v="1242"/>
    <n v="4.4425312096427035E-2"/>
    <s v="Oct-13"/>
    <x v="7"/>
    <n v="7.0138888888888893"/>
  </r>
  <r>
    <x v="127"/>
    <n v="260"/>
    <x v="3"/>
    <x v="0"/>
    <x v="2"/>
    <x v="46"/>
    <x v="1"/>
    <x v="3"/>
    <x v="7"/>
    <x v="152"/>
    <x v="181"/>
    <x v="19"/>
    <n v="210"/>
    <n v="230"/>
    <n v="540"/>
    <n v="143"/>
    <x v="181"/>
    <x v="152"/>
    <x v="167"/>
    <x v="324"/>
    <n v="1.2380952380952381"/>
    <n v="137"/>
    <x v="1"/>
    <n v="228.40434782608696"/>
    <x v="384"/>
    <n v="254331"/>
    <n v="13013"/>
    <n v="5.8195772481486763E-3"/>
    <s v="Oct-13"/>
    <x v="22"/>
    <n v="2.6653846153846152"/>
  </r>
  <r>
    <x v="134"/>
    <n v="96"/>
    <x v="3"/>
    <x v="0"/>
    <x v="2"/>
    <x v="41"/>
    <x v="1"/>
    <x v="2"/>
    <x v="8"/>
    <x v="22"/>
    <x v="132"/>
    <x v="2"/>
    <n v="80"/>
    <n v="50"/>
    <n v="210"/>
    <n v="116"/>
    <x v="132"/>
    <x v="22"/>
    <x v="168"/>
    <x v="325"/>
    <n v="1.2"/>
    <n v="-23"/>
    <x v="0"/>
    <n v="49.46"/>
    <x v="371"/>
    <n v="6615"/>
    <n v="10092"/>
    <n v="1.2667135819845179E-3"/>
    <s v="Oct-13"/>
    <x v="17"/>
    <n v="2.5520833333333335"/>
  </r>
  <r>
    <x v="106"/>
    <n v="125"/>
    <x v="3"/>
    <x v="0"/>
    <x v="2"/>
    <x v="47"/>
    <x v="1"/>
    <x v="2"/>
    <x v="8"/>
    <x v="153"/>
    <x v="83"/>
    <x v="19"/>
    <n v="110"/>
    <n v="-170"/>
    <n v="50"/>
    <n v="146"/>
    <x v="83"/>
    <x v="153"/>
    <x v="169"/>
    <x v="326"/>
    <n v="1.1363636363636365"/>
    <n v="-130"/>
    <x v="0"/>
    <n v="-171.76470588235293"/>
    <x v="385"/>
    <n v="-22200"/>
    <n v="16498"/>
    <n v="-3.5876584549150922E-2"/>
    <s v="Oct-13"/>
    <x v="23"/>
    <n v="0.59199999999999997"/>
  </r>
  <r>
    <x v="63"/>
    <n v="161"/>
    <x v="3"/>
    <x v="0"/>
    <x v="2"/>
    <x v="48"/>
    <x v="1"/>
    <x v="2"/>
    <x v="12"/>
    <x v="154"/>
    <x v="182"/>
    <x v="15"/>
    <n v="140"/>
    <n v="120"/>
    <n v="300"/>
    <n v="69"/>
    <x v="182"/>
    <x v="154"/>
    <x v="170"/>
    <x v="327"/>
    <n v="1.1499999999999999"/>
    <n v="17"/>
    <x v="0"/>
    <n v="118.85833333333333"/>
    <x v="386"/>
    <n v="46991"/>
    <n v="3105"/>
    <n v="8.875931324910916E-3"/>
    <s v="Oct-13"/>
    <x v="19"/>
    <n v="2.1304347826086958"/>
  </r>
  <r>
    <x v="132"/>
    <n v="239"/>
    <x v="3"/>
    <x v="0"/>
    <x v="2"/>
    <x v="49"/>
    <x v="1"/>
    <x v="2"/>
    <x v="12"/>
    <x v="155"/>
    <x v="183"/>
    <x v="19"/>
    <n v="210"/>
    <n v="450"/>
    <n v="720"/>
    <n v="91"/>
    <x v="183"/>
    <x v="155"/>
    <x v="126"/>
    <x v="328"/>
    <n v="1.138095238095238"/>
    <n v="196"/>
    <x v="1"/>
    <n v="448.56444444444446"/>
    <x v="387"/>
    <n v="526490"/>
    <n v="6006"/>
    <n v="1.200966722439115E-2"/>
    <s v="Oct-13"/>
    <x v="24"/>
    <n v="3.4100418410041842"/>
  </r>
  <r>
    <x v="79"/>
    <n v="22"/>
    <x v="3"/>
    <x v="0"/>
    <x v="2"/>
    <x v="7"/>
    <x v="0"/>
    <x v="0"/>
    <x v="10"/>
    <x v="25"/>
    <x v="88"/>
    <x v="2"/>
    <n v="0"/>
    <n v="20"/>
    <n v="20"/>
    <n v="19"/>
    <x v="88"/>
    <x v="25"/>
    <x v="56"/>
    <x v="33"/>
    <e v="#DIV/0!"/>
    <n v="-5"/>
    <x v="0"/>
    <n v="19.25"/>
    <x v="159"/>
    <n v="810"/>
    <n v="133"/>
    <n v="3.968253968253968E-2"/>
    <s v="Oct-13"/>
    <x v="4"/>
    <n v="2.4545454545454546"/>
  </r>
  <r>
    <x v="118"/>
    <n v="255"/>
    <x v="3"/>
    <x v="0"/>
    <x v="2"/>
    <x v="50"/>
    <x v="0"/>
    <x v="0"/>
    <x v="0"/>
    <x v="156"/>
    <x v="184"/>
    <x v="19"/>
    <n v="140"/>
    <n v="70"/>
    <n v="290"/>
    <n v="129"/>
    <x v="184"/>
    <x v="156"/>
    <x v="171"/>
    <x v="329"/>
    <n v="1.8214285714285714"/>
    <n v="121"/>
    <x v="0"/>
    <n v="67.271428571428572"/>
    <x v="388"/>
    <n v="104477"/>
    <n v="12384"/>
    <n v="3.6372638634978669E-3"/>
    <s v="Oct-13"/>
    <x v="23"/>
    <n v="2.1450980392156862"/>
  </r>
  <r>
    <x v="131"/>
    <n v="239"/>
    <x v="3"/>
    <x v="0"/>
    <x v="2"/>
    <x v="37"/>
    <x v="0"/>
    <x v="0"/>
    <x v="1"/>
    <x v="157"/>
    <x v="56"/>
    <x v="19"/>
    <n v="130"/>
    <n v="-100"/>
    <n v="80"/>
    <n v="95"/>
    <x v="56"/>
    <x v="157"/>
    <x v="172"/>
    <x v="330"/>
    <n v="1.8384615384615384"/>
    <n v="-152"/>
    <x v="0"/>
    <n v="-102.52"/>
    <x v="389"/>
    <n v="-44100"/>
    <n v="7030"/>
    <n v="-1.9459459459459458E-2"/>
    <s v="Oct-13"/>
    <x v="19"/>
    <n v="0.73221757322175729"/>
  </r>
  <r>
    <x v="118"/>
    <n v="108"/>
    <x v="3"/>
    <x v="0"/>
    <x v="2"/>
    <x v="30"/>
    <x v="0"/>
    <x v="1"/>
    <x v="2"/>
    <x v="127"/>
    <x v="185"/>
    <x v="19"/>
    <n v="110"/>
    <n v="140"/>
    <n v="280"/>
    <n v="42"/>
    <x v="185"/>
    <x v="127"/>
    <x v="54"/>
    <x v="331"/>
    <n v="0.98181818181818181"/>
    <n v="31"/>
    <x v="0"/>
    <n v="138.77857142857144"/>
    <x v="390"/>
    <n v="48222"/>
    <n v="1260"/>
    <n v="2.021276595744681E-2"/>
    <s v="Oct-13"/>
    <x v="14"/>
    <n v="2.6111111111111112"/>
  </r>
  <r>
    <x v="100"/>
    <n v="123"/>
    <x v="3"/>
    <x v="0"/>
    <x v="2"/>
    <x v="38"/>
    <x v="0"/>
    <x v="1"/>
    <x v="11"/>
    <x v="158"/>
    <x v="141"/>
    <x v="19"/>
    <n v="130"/>
    <n v="160"/>
    <n v="320"/>
    <n v="45"/>
    <x v="141"/>
    <x v="158"/>
    <x v="49"/>
    <x v="332"/>
    <n v="0.94615384615384612"/>
    <n v="39"/>
    <x v="0"/>
    <n v="158.75624999999999"/>
    <x v="391"/>
    <n v="64078"/>
    <n v="1530"/>
    <n v="1.8176835951772011E-2"/>
    <s v="Oct-13"/>
    <x v="17"/>
    <n v="2.6178861788617884"/>
  </r>
  <r>
    <x v="133"/>
    <n v="76"/>
    <x v="3"/>
    <x v="0"/>
    <x v="2"/>
    <x v="28"/>
    <x v="0"/>
    <x v="1"/>
    <x v="3"/>
    <x v="95"/>
    <x v="87"/>
    <x v="19"/>
    <n v="80"/>
    <n v="100"/>
    <n v="200"/>
    <n v="33"/>
    <x v="87"/>
    <x v="95"/>
    <x v="25"/>
    <x v="239"/>
    <n v="0.95"/>
    <n v="16"/>
    <x v="0"/>
    <n v="98.84"/>
    <x v="291"/>
    <n v="23084"/>
    <n v="693"/>
    <n v="2.7757836803062933E-2"/>
    <s v="Oct-13"/>
    <x v="10"/>
    <n v="2.6184210526315788"/>
  </r>
  <r>
    <x v="79"/>
    <n v="102"/>
    <x v="4"/>
    <x v="0"/>
    <x v="2"/>
    <x v="33"/>
    <x v="1"/>
    <x v="3"/>
    <x v="5"/>
    <x v="117"/>
    <x v="147"/>
    <x v="2"/>
    <n v="90"/>
    <n v="90"/>
    <n v="220"/>
    <n v="54"/>
    <x v="147"/>
    <x v="117"/>
    <x v="111"/>
    <x v="278"/>
    <n v="1.1333333333333333"/>
    <n v="42"/>
    <x v="0"/>
    <n v="88.533333333333331"/>
    <x v="330"/>
    <n v="34452"/>
    <n v="1674"/>
    <n v="1.6314423433444566E-2"/>
    <s v="Nov-13"/>
    <x v="13"/>
    <n v="2.5588235294117645"/>
  </r>
  <r>
    <x v="105"/>
    <n v="77"/>
    <x v="4"/>
    <x v="0"/>
    <x v="2"/>
    <x v="26"/>
    <x v="1"/>
    <x v="2"/>
    <x v="4"/>
    <x v="20"/>
    <x v="186"/>
    <x v="2"/>
    <n v="70"/>
    <n v="60"/>
    <n v="170"/>
    <n v="52"/>
    <x v="186"/>
    <x v="20"/>
    <x v="11"/>
    <x v="333"/>
    <n v="1.1000000000000001"/>
    <n v="16"/>
    <x v="0"/>
    <n v="58.733333333333334"/>
    <x v="392"/>
    <n v="14592"/>
    <n v="1300"/>
    <n v="1.5833333333333335E-2"/>
    <s v="Nov-13"/>
    <x v="8"/>
    <n v="2.4935064935064934"/>
  </r>
  <r>
    <x v="110"/>
    <n v="78"/>
    <x v="4"/>
    <x v="0"/>
    <x v="2"/>
    <x v="26"/>
    <x v="1"/>
    <x v="3"/>
    <x v="7"/>
    <x v="159"/>
    <x v="145"/>
    <x v="2"/>
    <n v="70"/>
    <n v="60"/>
    <n v="170"/>
    <n v="56"/>
    <x v="145"/>
    <x v="159"/>
    <x v="173"/>
    <x v="334"/>
    <n v="1.1142857142857143"/>
    <n v="33"/>
    <x v="0"/>
    <n v="58.45"/>
    <x v="393"/>
    <n v="19530"/>
    <n v="1400"/>
    <n v="1.7714285714285714E-2"/>
    <s v="Nov-13"/>
    <x v="8"/>
    <n v="2.6923076923076925"/>
  </r>
  <r>
    <x v="84"/>
    <n v="75"/>
    <x v="4"/>
    <x v="0"/>
    <x v="2"/>
    <x v="23"/>
    <x v="1"/>
    <x v="3"/>
    <x v="7"/>
    <x v="160"/>
    <x v="187"/>
    <x v="15"/>
    <n v="60"/>
    <n v="300"/>
    <n v="400"/>
    <n v="55"/>
    <x v="187"/>
    <x v="160"/>
    <x v="174"/>
    <x v="335"/>
    <n v="1.25"/>
    <n v="181"/>
    <x v="0"/>
    <n v="298.39666666666665"/>
    <x v="394"/>
    <n v="232804"/>
    <n v="1320"/>
    <n v="4.1408402203856755E-2"/>
    <s v="Nov-13"/>
    <x v="10"/>
    <n v="6.4533333333333331"/>
  </r>
  <r>
    <x v="133"/>
    <n v="249"/>
    <x v="4"/>
    <x v="0"/>
    <x v="2"/>
    <x v="41"/>
    <x v="1"/>
    <x v="3"/>
    <x v="7"/>
    <x v="161"/>
    <x v="188"/>
    <x v="19"/>
    <n v="220"/>
    <n v="230"/>
    <n v="560"/>
    <n v="138"/>
    <x v="188"/>
    <x v="161"/>
    <x v="175"/>
    <x v="336"/>
    <n v="1.1318181818181818"/>
    <n v="120"/>
    <x v="0"/>
    <n v="228.47826086956522"/>
    <x v="395"/>
    <n v="232400"/>
    <n v="12006"/>
    <n v="6.0587176291372388E-3"/>
    <s v="Nov-13"/>
    <x v="25"/>
    <n v="2.6666666666666665"/>
  </r>
  <r>
    <x v="91"/>
    <n v="94"/>
    <x v="4"/>
    <x v="0"/>
    <x v="2"/>
    <x v="43"/>
    <x v="1"/>
    <x v="2"/>
    <x v="8"/>
    <x v="57"/>
    <x v="149"/>
    <x v="2"/>
    <n v="90"/>
    <n v="20"/>
    <n v="210"/>
    <n v="115"/>
    <x v="149"/>
    <x v="57"/>
    <x v="138"/>
    <x v="280"/>
    <n v="1.0444444444444445"/>
    <n v="2"/>
    <x v="0"/>
    <n v="18.899999999999999"/>
    <x v="333"/>
    <n v="5258"/>
    <n v="9774.9999999999982"/>
    <n v="1.0829436377061286E-3"/>
    <s v="Nov-13"/>
    <x v="26"/>
    <n v="2.5425531914893615"/>
  </r>
  <r>
    <x v="106"/>
    <n v="121"/>
    <x v="4"/>
    <x v="0"/>
    <x v="2"/>
    <x v="51"/>
    <x v="1"/>
    <x v="2"/>
    <x v="8"/>
    <x v="153"/>
    <x v="118"/>
    <x v="19"/>
    <n v="110"/>
    <n v="-190"/>
    <n v="50"/>
    <n v="142"/>
    <x v="118"/>
    <x v="153"/>
    <x v="176"/>
    <x v="337"/>
    <n v="1.1000000000000001"/>
    <n v="-110"/>
    <x v="0"/>
    <n v="-191.57894736842104"/>
    <x v="396"/>
    <n v="-19500"/>
    <n v="15478"/>
    <n v="-4.2342978122794639E-2"/>
    <s v="Nov-13"/>
    <x v="27"/>
    <n v="0.53719008264462809"/>
  </r>
  <r>
    <x v="70"/>
    <n v="181"/>
    <x v="4"/>
    <x v="0"/>
    <x v="2"/>
    <x v="52"/>
    <x v="1"/>
    <x v="2"/>
    <x v="12"/>
    <x v="162"/>
    <x v="189"/>
    <x v="15"/>
    <n v="170"/>
    <n v="120"/>
    <n v="350"/>
    <n v="74"/>
    <x v="189"/>
    <x v="162"/>
    <x v="177"/>
    <x v="220"/>
    <n v="1.0647058823529412"/>
    <n v="40"/>
    <x v="0"/>
    <n v="118.66666666666667"/>
    <x v="397"/>
    <n v="61920"/>
    <n v="3700"/>
    <n v="8.2687338501292E-3"/>
    <s v="Nov-13"/>
    <x v="28"/>
    <n v="2.1381215469613259"/>
  </r>
  <r>
    <x v="135"/>
    <n v="211"/>
    <x v="4"/>
    <x v="0"/>
    <x v="2"/>
    <x v="53"/>
    <x v="1"/>
    <x v="2"/>
    <x v="12"/>
    <x v="163"/>
    <x v="190"/>
    <x v="19"/>
    <n v="200"/>
    <n v="390"/>
    <n v="660"/>
    <n v="83"/>
    <x v="190"/>
    <x v="163"/>
    <x v="114"/>
    <x v="338"/>
    <n v="1.0549999999999999"/>
    <n v="175"/>
    <x v="0"/>
    <n v="388.55128205128204"/>
    <x v="398"/>
    <n v="406235"/>
    <n v="4897"/>
    <n v="1.331887508545296E-2"/>
    <s v="Nov-13"/>
    <x v="24"/>
    <n v="3.4075829383886256"/>
  </r>
  <r>
    <x v="134"/>
    <n v="22"/>
    <x v="4"/>
    <x v="0"/>
    <x v="2"/>
    <x v="7"/>
    <x v="0"/>
    <x v="0"/>
    <x v="10"/>
    <x v="38"/>
    <x v="103"/>
    <x v="2"/>
    <n v="10"/>
    <n v="10"/>
    <n v="30"/>
    <n v="19"/>
    <x v="103"/>
    <x v="38"/>
    <x v="56"/>
    <x v="177"/>
    <n v="2.2000000000000002"/>
    <n v="6"/>
    <x v="0"/>
    <n v="8.4"/>
    <x v="205"/>
    <n v="880"/>
    <n v="133"/>
    <n v="4.1558441558441558E-2"/>
    <s v="Nov-13"/>
    <x v="5"/>
    <n v="2.5"/>
  </r>
  <r>
    <x v="118"/>
    <n v="245"/>
    <x v="4"/>
    <x v="0"/>
    <x v="2"/>
    <x v="54"/>
    <x v="0"/>
    <x v="0"/>
    <x v="0"/>
    <x v="164"/>
    <x v="191"/>
    <x v="19"/>
    <n v="180"/>
    <n v="140"/>
    <n v="420"/>
    <n v="127"/>
    <x v="191"/>
    <x v="164"/>
    <x v="178"/>
    <x v="339"/>
    <n v="1.3611111111111112"/>
    <n v="163"/>
    <x v="0"/>
    <n v="137.83571428571429"/>
    <x v="399"/>
    <n v="186042"/>
    <n v="11811"/>
    <n v="5.3062940002101509E-3"/>
    <s v="Nov-13"/>
    <x v="29"/>
    <n v="2.5061224489795917"/>
  </r>
  <r>
    <x v="114"/>
    <n v="225"/>
    <x v="4"/>
    <x v="0"/>
    <x v="2"/>
    <x v="42"/>
    <x v="0"/>
    <x v="0"/>
    <x v="1"/>
    <x v="165"/>
    <x v="72"/>
    <x v="19"/>
    <n v="160"/>
    <n v="-120"/>
    <n v="110"/>
    <n v="91"/>
    <x v="72"/>
    <x v="165"/>
    <x v="146"/>
    <x v="340"/>
    <n v="1.40625"/>
    <n v="-112"/>
    <x v="0"/>
    <n v="-121.93333333333334"/>
    <x v="400"/>
    <n v="-39672"/>
    <n v="6279"/>
    <n v="-1.9662683278243918E-2"/>
    <s v="Nov-13"/>
    <x v="28"/>
    <n v="0.76"/>
  </r>
  <r>
    <x v="126"/>
    <n v="81"/>
    <x v="4"/>
    <x v="0"/>
    <x v="2"/>
    <x v="34"/>
    <x v="0"/>
    <x v="1"/>
    <x v="2"/>
    <x v="166"/>
    <x v="192"/>
    <x v="19"/>
    <n v="80"/>
    <n v="90"/>
    <n v="200"/>
    <n v="33"/>
    <x v="192"/>
    <x v="166"/>
    <x v="32"/>
    <x v="341"/>
    <n v="1.0125"/>
    <n v="35"/>
    <x v="0"/>
    <n v="88.611111111111114"/>
    <x v="401"/>
    <n v="26375"/>
    <n v="726"/>
    <n v="2.6928048255062471E-2"/>
    <s v="Nov-13"/>
    <x v="8"/>
    <n v="2.6049382716049383"/>
  </r>
  <r>
    <x v="106"/>
    <n v="118"/>
    <x v="4"/>
    <x v="0"/>
    <x v="2"/>
    <x v="40"/>
    <x v="0"/>
    <x v="1"/>
    <x v="11"/>
    <x v="105"/>
    <x v="144"/>
    <x v="19"/>
    <n v="120"/>
    <n v="130"/>
    <n v="290"/>
    <n v="45"/>
    <x v="144"/>
    <x v="105"/>
    <x v="72"/>
    <x v="275"/>
    <n v="0.98333333333333328"/>
    <n v="58"/>
    <x v="0"/>
    <n v="128.55384615384617"/>
    <x v="327"/>
    <n v="58092"/>
    <n v="1485"/>
    <n v="1.8436795135824264E-2"/>
    <s v="Nov-13"/>
    <x v="17"/>
    <n v="2.6186440677966103"/>
  </r>
  <r>
    <x v="134"/>
    <n v="134"/>
    <x v="5"/>
    <x v="0"/>
    <x v="2"/>
    <x v="11"/>
    <x v="1"/>
    <x v="3"/>
    <x v="5"/>
    <x v="128"/>
    <x v="151"/>
    <x v="2"/>
    <n v="120"/>
    <n v="110"/>
    <n v="280"/>
    <n v="64"/>
    <x v="151"/>
    <x v="128"/>
    <x v="179"/>
    <x v="342"/>
    <n v="1.1166666666666667"/>
    <n v="71"/>
    <x v="0"/>
    <n v="108.35454545454546"/>
    <x v="402"/>
    <n v="61721"/>
    <n v="2624"/>
    <n v="1.2946141191617196E-2"/>
    <s v="Dec-13"/>
    <x v="30"/>
    <n v="2.544776119402985"/>
  </r>
  <r>
    <x v="125"/>
    <n v="83"/>
    <x v="5"/>
    <x v="0"/>
    <x v="2"/>
    <x v="15"/>
    <x v="1"/>
    <x v="2"/>
    <x v="4"/>
    <x v="89"/>
    <x v="193"/>
    <x v="2"/>
    <n v="80"/>
    <n v="70"/>
    <n v="190"/>
    <n v="54"/>
    <x v="193"/>
    <x v="89"/>
    <x v="43"/>
    <x v="343"/>
    <n v="1.0375000000000001"/>
    <n v="16"/>
    <x v="0"/>
    <n v="68.771428571428572"/>
    <x v="403"/>
    <n v="17888"/>
    <n v="1458"/>
    <n v="1.5313390313390313E-2"/>
    <s v="Dec-13"/>
    <x v="11"/>
    <n v="2.5060240963855422"/>
  </r>
  <r>
    <x v="59"/>
    <n v="88"/>
    <x v="5"/>
    <x v="0"/>
    <x v="2"/>
    <x v="39"/>
    <x v="1"/>
    <x v="3"/>
    <x v="7"/>
    <x v="140"/>
    <x v="126"/>
    <x v="2"/>
    <n v="70"/>
    <n v="80"/>
    <n v="190"/>
    <n v="60"/>
    <x v="126"/>
    <x v="140"/>
    <x v="23"/>
    <x v="344"/>
    <n v="1.2571428571428571"/>
    <n v="28"/>
    <x v="0"/>
    <n v="78.650000000000006"/>
    <x v="404"/>
    <n v="25488"/>
    <n v="1740"/>
    <n v="1.5780245470485097E-2"/>
    <s v="Dec-13"/>
    <x v="8"/>
    <n v="2.6818181818181817"/>
  </r>
  <r>
    <x v="53"/>
    <n v="67"/>
    <x v="5"/>
    <x v="0"/>
    <x v="2"/>
    <x v="34"/>
    <x v="1"/>
    <x v="3"/>
    <x v="7"/>
    <x v="167"/>
    <x v="194"/>
    <x v="15"/>
    <n v="60"/>
    <n v="360"/>
    <n v="450"/>
    <n v="53"/>
    <x v="194"/>
    <x v="167"/>
    <x v="180"/>
    <x v="345"/>
    <n v="1.1166666666666667"/>
    <n v="219"/>
    <x v="0"/>
    <n v="358.39166666666665"/>
    <x v="405"/>
    <n v="314397"/>
    <n v="1166"/>
    <n v="4.8468106479156198E-2"/>
    <s v="Dec-13"/>
    <x v="9"/>
    <n v="8.1044776119402986"/>
  </r>
  <r>
    <x v="123"/>
    <n v="279"/>
    <x v="5"/>
    <x v="0"/>
    <x v="2"/>
    <x v="55"/>
    <x v="1"/>
    <x v="3"/>
    <x v="7"/>
    <x v="168"/>
    <x v="195"/>
    <x v="19"/>
    <n v="250"/>
    <n v="250"/>
    <n v="620"/>
    <n v="149"/>
    <x v="195"/>
    <x v="168"/>
    <x v="181"/>
    <x v="346"/>
    <n v="1.1160000000000001"/>
    <n v="152"/>
    <x v="1"/>
    <n v="248.392"/>
    <x v="406"/>
    <n v="299490"/>
    <n v="14452.999999999998"/>
    <n v="5.5628589220231102E-3"/>
    <s v="Dec-13"/>
    <x v="31"/>
    <n v="2.6702508960573477"/>
  </r>
  <r>
    <x v="58"/>
    <n v="105"/>
    <x v="5"/>
    <x v="0"/>
    <x v="2"/>
    <x v="44"/>
    <x v="1"/>
    <x v="2"/>
    <x v="8"/>
    <x v="5"/>
    <x v="153"/>
    <x v="2"/>
    <n v="100"/>
    <n v="30"/>
    <n v="240"/>
    <n v="124"/>
    <x v="153"/>
    <x v="5"/>
    <x v="182"/>
    <x v="347"/>
    <n v="1.05"/>
    <n v="1"/>
    <x v="0"/>
    <n v="28.966666666666665"/>
    <x v="407"/>
    <n v="8246"/>
    <n v="11780"/>
    <n v="1.2267510882469331E-3"/>
    <s v="Dec-13"/>
    <x v="32"/>
    <n v="2.5333333333333332"/>
  </r>
  <r>
    <x v="124"/>
    <n v="135"/>
    <x v="5"/>
    <x v="0"/>
    <x v="2"/>
    <x v="56"/>
    <x v="1"/>
    <x v="2"/>
    <x v="8"/>
    <x v="169"/>
    <x v="49"/>
    <x v="19"/>
    <n v="130"/>
    <n v="-210"/>
    <n v="60"/>
    <n v="155"/>
    <x v="49"/>
    <x v="169"/>
    <x v="183"/>
    <x v="348"/>
    <n v="1.0384615384615385"/>
    <n v="-122"/>
    <x v="0"/>
    <n v="-211.58095238095237"/>
    <x v="408"/>
    <n v="-23240"/>
    <n v="18910"/>
    <n v="-3.8875878220140513E-2"/>
    <s v="Dec-13"/>
    <x v="24"/>
    <n v="0.51851851851851849"/>
  </r>
  <r>
    <x v="84"/>
    <n v="153"/>
    <x v="5"/>
    <x v="0"/>
    <x v="2"/>
    <x v="22"/>
    <x v="1"/>
    <x v="2"/>
    <x v="12"/>
    <x v="113"/>
    <x v="196"/>
    <x v="15"/>
    <n v="150"/>
    <n v="80"/>
    <n v="290"/>
    <n v="66"/>
    <x v="196"/>
    <x v="113"/>
    <x v="184"/>
    <x v="150"/>
    <n v="1.02"/>
    <n v="49"/>
    <x v="0"/>
    <n v="78.387500000000003"/>
    <x v="409"/>
    <n v="42054"/>
    <n v="2772"/>
    <n v="9.4215600350569684E-3"/>
    <s v="Dec-13"/>
    <x v="32"/>
    <n v="2.130718954248366"/>
  </r>
  <r>
    <x v="114"/>
    <n v="250"/>
    <x v="5"/>
    <x v="0"/>
    <x v="2"/>
    <x v="57"/>
    <x v="1"/>
    <x v="2"/>
    <x v="12"/>
    <x v="170"/>
    <x v="197"/>
    <x v="19"/>
    <n v="240"/>
    <n v="320"/>
    <n v="640"/>
    <n v="95"/>
    <x v="197"/>
    <x v="170"/>
    <x v="185"/>
    <x v="349"/>
    <n v="1.0416666666666667"/>
    <n v="143"/>
    <x v="0"/>
    <n v="318.55312500000002"/>
    <x v="410"/>
    <n v="324100"/>
    <n v="6650"/>
    <n v="9.4489795918367338E-3"/>
    <s v="Dec-13"/>
    <x v="33"/>
    <n v="2.8"/>
  </r>
  <r>
    <x v="131"/>
    <n v="294"/>
    <x v="5"/>
    <x v="0"/>
    <x v="2"/>
    <x v="58"/>
    <x v="0"/>
    <x v="0"/>
    <x v="0"/>
    <x v="171"/>
    <x v="198"/>
    <x v="19"/>
    <n v="220"/>
    <n v="210"/>
    <n v="540"/>
    <n v="144"/>
    <x v="198"/>
    <x v="171"/>
    <x v="132"/>
    <x v="350"/>
    <n v="1.3363636363636364"/>
    <n v="249"/>
    <x v="1"/>
    <n v="207.81428571428572"/>
    <x v="411"/>
    <n v="365364"/>
    <n v="15984"/>
    <n v="5.1948933858481598E-3"/>
    <s v="Dec-13"/>
    <x v="25"/>
    <n v="2.7074829931972788"/>
  </r>
  <r>
    <x v="127"/>
    <n v="241"/>
    <x v="5"/>
    <x v="0"/>
    <x v="2"/>
    <x v="37"/>
    <x v="0"/>
    <x v="0"/>
    <x v="1"/>
    <x v="172"/>
    <x v="199"/>
    <x v="19"/>
    <n v="180"/>
    <n v="-150"/>
    <n v="100"/>
    <n v="96"/>
    <x v="199"/>
    <x v="172"/>
    <x v="165"/>
    <x v="351"/>
    <n v="1.3388888888888888"/>
    <n v="-130"/>
    <x v="0"/>
    <n v="-151.86666666666667"/>
    <x v="412"/>
    <n v="-44240"/>
    <n v="7104"/>
    <n v="-2.3947998631542934E-2"/>
    <s v="Dec-13"/>
    <x v="34"/>
    <n v="0.65560165975103735"/>
  </r>
  <r>
    <x v="100"/>
    <n v="86"/>
    <x v="5"/>
    <x v="0"/>
    <x v="2"/>
    <x v="23"/>
    <x v="0"/>
    <x v="1"/>
    <x v="2"/>
    <x v="117"/>
    <x v="134"/>
    <x v="19"/>
    <n v="90"/>
    <n v="90"/>
    <n v="210"/>
    <n v="35"/>
    <x v="134"/>
    <x v="117"/>
    <x v="36"/>
    <x v="352"/>
    <n v="0.9555555555555556"/>
    <n v="42"/>
    <x v="0"/>
    <n v="88.533333333333331"/>
    <x v="413"/>
    <n v="29568"/>
    <n v="840"/>
    <n v="2.4553571428571428E-2"/>
    <s v="Dec-13"/>
    <x v="11"/>
    <n v="2.6046511627906979"/>
  </r>
  <r>
    <x v="114"/>
    <n v="123"/>
    <x v="5"/>
    <x v="0"/>
    <x v="2"/>
    <x v="38"/>
    <x v="0"/>
    <x v="1"/>
    <x v="11"/>
    <x v="111"/>
    <x v="141"/>
    <x v="19"/>
    <n v="120"/>
    <n v="150"/>
    <n v="310"/>
    <n v="46"/>
    <x v="141"/>
    <x v="111"/>
    <x v="61"/>
    <x v="270"/>
    <n v="1.0249999999999999"/>
    <n v="47"/>
    <x v="0"/>
    <n v="148.68666666666667"/>
    <x v="324"/>
    <n v="63434"/>
    <n v="1564"/>
    <n v="1.7994154183412495E-2"/>
    <s v="Dec-13"/>
    <x v="17"/>
    <n v="2.6178861788617884"/>
  </r>
  <r>
    <x v="23"/>
    <n v="108"/>
    <x v="0"/>
    <x v="0"/>
    <x v="0"/>
    <x v="30"/>
    <x v="1"/>
    <x v="3"/>
    <x v="5"/>
    <x v="95"/>
    <x v="165"/>
    <x v="0"/>
    <n v="100"/>
    <n v="150"/>
    <n v="260"/>
    <n v="41"/>
    <x v="165"/>
    <x v="95"/>
    <x v="127"/>
    <x v="353"/>
    <n v="1.08"/>
    <n v="-34"/>
    <x v="0"/>
    <n v="149.22666666666666"/>
    <x v="414"/>
    <n v="30740"/>
    <n v="1230"/>
    <n v="1.459119496855346E-2"/>
    <s v="Oct-12"/>
    <x v="8"/>
    <n v="2.4537037037037037"/>
  </r>
  <r>
    <x v="117"/>
    <n v="122"/>
    <x v="0"/>
    <x v="0"/>
    <x v="0"/>
    <x v="59"/>
    <x v="1"/>
    <x v="3"/>
    <x v="5"/>
    <x v="125"/>
    <x v="200"/>
    <x v="16"/>
    <n v="110"/>
    <n v="160"/>
    <n v="300"/>
    <n v="61"/>
    <x v="200"/>
    <x v="125"/>
    <x v="186"/>
    <x v="354"/>
    <n v="1.1090909090909091"/>
    <n v="-45"/>
    <x v="0"/>
    <n v="159.28125"/>
    <x v="415"/>
    <n v="34270"/>
    <n v="2379"/>
    <n v="9.8950266735501648E-3"/>
    <s v="Oct-12"/>
    <x v="14"/>
    <n v="2.442622950819672"/>
  </r>
  <r>
    <x v="0"/>
    <n v="72"/>
    <x v="0"/>
    <x v="0"/>
    <x v="0"/>
    <x v="4"/>
    <x v="1"/>
    <x v="2"/>
    <x v="4"/>
    <x v="4"/>
    <x v="4"/>
    <x v="0"/>
    <n v="100"/>
    <n v="130"/>
    <n v="260"/>
    <n v="54"/>
    <x v="4"/>
    <x v="4"/>
    <x v="4"/>
    <x v="4"/>
    <n v="0.72"/>
    <n v="-74"/>
    <x v="0"/>
    <n v="129.56923076923076"/>
    <x v="4"/>
    <n v="10192"/>
    <n v="1242"/>
    <n v="1.3377926421404684E-2"/>
    <s v="Oct-12"/>
    <x v="13"/>
    <n v="2.5277777777777777"/>
  </r>
  <r>
    <x v="82"/>
    <n v="239"/>
    <x v="0"/>
    <x v="0"/>
    <x v="0"/>
    <x v="49"/>
    <x v="1"/>
    <x v="2"/>
    <x v="4"/>
    <x v="173"/>
    <x v="201"/>
    <x v="16"/>
    <n v="340"/>
    <n v="300"/>
    <n v="710"/>
    <n v="90"/>
    <x v="201"/>
    <x v="173"/>
    <x v="187"/>
    <x v="355"/>
    <n v="0.70294117647058818"/>
    <n v="-151"/>
    <x v="0"/>
    <n v="299.50333333333333"/>
    <x v="416"/>
    <n v="71222"/>
    <n v="5939.9999999999991"/>
    <n v="4.7229618359325475E-3"/>
    <s v="Oct-12"/>
    <x v="35"/>
    <n v="2"/>
  </r>
  <r>
    <x v="69"/>
    <n v="54"/>
    <x v="0"/>
    <x v="0"/>
    <x v="0"/>
    <x v="14"/>
    <x v="1"/>
    <x v="2"/>
    <x v="4"/>
    <x v="14"/>
    <x v="10"/>
    <x v="18"/>
    <n v="70"/>
    <n v="70"/>
    <n v="170"/>
    <n v="54"/>
    <x v="10"/>
    <x v="14"/>
    <x v="13"/>
    <x v="15"/>
    <n v="0.77142857142857146"/>
    <n v="-58"/>
    <x v="0"/>
    <n v="69.828571428571422"/>
    <x v="15"/>
    <n v="1440"/>
    <n v="1080"/>
    <n v="5.0000000000000001E-3"/>
    <s v="Oct-12"/>
    <x v="10"/>
    <n v="2.2222222222222223"/>
  </r>
  <r>
    <x v="1"/>
    <n v="123"/>
    <x v="0"/>
    <x v="0"/>
    <x v="0"/>
    <x v="38"/>
    <x v="1"/>
    <x v="3"/>
    <x v="6"/>
    <x v="99"/>
    <x v="125"/>
    <x v="0"/>
    <n v="120"/>
    <n v="160"/>
    <n v="300"/>
    <n v="46"/>
    <x v="125"/>
    <x v="99"/>
    <x v="126"/>
    <x v="250"/>
    <n v="1.0249999999999999"/>
    <n v="-27"/>
    <x v="0"/>
    <n v="159.16874999999999"/>
    <x v="302"/>
    <n v="40166"/>
    <n v="1564"/>
    <n v="1.2952863264511102E-2"/>
    <s v="Oct-12"/>
    <x v="14"/>
    <n v="2.4552845528455283"/>
  </r>
  <r>
    <x v="117"/>
    <n v="154"/>
    <x v="0"/>
    <x v="0"/>
    <x v="0"/>
    <x v="52"/>
    <x v="1"/>
    <x v="3"/>
    <x v="7"/>
    <x v="174"/>
    <x v="202"/>
    <x v="16"/>
    <n v="150"/>
    <n v="160"/>
    <n v="370"/>
    <n v="93"/>
    <x v="202"/>
    <x v="174"/>
    <x v="188"/>
    <x v="356"/>
    <n v="1.0266666666666666"/>
    <n v="-40"/>
    <x v="0"/>
    <n v="159.25"/>
    <x v="417"/>
    <n v="44040"/>
    <n v="4650"/>
    <n v="6.5395095367847406E-3"/>
    <s v="Oct-12"/>
    <x v="32"/>
    <n v="2.383116883116883"/>
  </r>
  <r>
    <x v="0"/>
    <n v="76"/>
    <x v="0"/>
    <x v="0"/>
    <x v="0"/>
    <x v="28"/>
    <x v="1"/>
    <x v="2"/>
    <x v="8"/>
    <x v="63"/>
    <x v="76"/>
    <x v="0"/>
    <n v="100"/>
    <n v="170"/>
    <n v="280"/>
    <n v="32"/>
    <x v="76"/>
    <x v="63"/>
    <x v="13"/>
    <x v="118"/>
    <n v="0.76"/>
    <n v="-91"/>
    <x v="0"/>
    <n v="169.53529411764706"/>
    <x v="127"/>
    <n v="14773"/>
    <n v="672"/>
    <n v="2.0117137764196588E-2"/>
    <s v="Oct-12"/>
    <x v="8"/>
    <n v="2.4605263157894739"/>
  </r>
  <r>
    <x v="117"/>
    <n v="257"/>
    <x v="0"/>
    <x v="0"/>
    <x v="0"/>
    <x v="60"/>
    <x v="1"/>
    <x v="2"/>
    <x v="8"/>
    <x v="175"/>
    <x v="203"/>
    <x v="16"/>
    <n v="370"/>
    <n v="420"/>
    <n v="890"/>
    <n v="117"/>
    <x v="203"/>
    <x v="175"/>
    <x v="169"/>
    <x v="126"/>
    <n v="0.69459459459459461"/>
    <n v="-196"/>
    <x v="0"/>
    <n v="419.46666666666664"/>
    <x v="418"/>
    <n v="133952"/>
    <n v="9828"/>
    <n v="4.459308807134894E-3"/>
    <s v="Oct-12"/>
    <x v="36"/>
    <n v="2.3268482490272375"/>
  </r>
  <r>
    <x v="98"/>
    <n v="161"/>
    <x v="0"/>
    <x v="0"/>
    <x v="0"/>
    <x v="48"/>
    <x v="1"/>
    <x v="2"/>
    <x v="8"/>
    <x v="115"/>
    <x v="141"/>
    <x v="18"/>
    <n v="230"/>
    <n v="190"/>
    <n v="470"/>
    <n v="69"/>
    <x v="141"/>
    <x v="115"/>
    <x v="134"/>
    <x v="297"/>
    <n v="0.7"/>
    <n v="-98"/>
    <x v="0"/>
    <n v="189.51578947368421"/>
    <x v="354"/>
    <n v="29624"/>
    <n v="3105.0000000000005"/>
    <n v="6.3492063492063483E-3"/>
    <s v="Oct-12"/>
    <x v="29"/>
    <n v="2"/>
  </r>
  <r>
    <x v="23"/>
    <n v="161"/>
    <x v="0"/>
    <x v="0"/>
    <x v="0"/>
    <x v="48"/>
    <x v="0"/>
    <x v="0"/>
    <x v="10"/>
    <x v="115"/>
    <x v="141"/>
    <x v="0"/>
    <n v="120"/>
    <n v="110"/>
    <n v="260"/>
    <n v="69"/>
    <x v="141"/>
    <x v="115"/>
    <x v="134"/>
    <x v="297"/>
    <n v="1.3416666666666666"/>
    <n v="-18"/>
    <x v="0"/>
    <n v="109.16363636363636"/>
    <x v="354"/>
    <n v="29624"/>
    <n v="3105.0000000000005"/>
    <n v="6.3492063492063483E-3"/>
    <s v="Oct-12"/>
    <x v="16"/>
    <n v="2"/>
  </r>
  <r>
    <x v="52"/>
    <n v="123"/>
    <x v="0"/>
    <x v="0"/>
    <x v="0"/>
    <x v="38"/>
    <x v="0"/>
    <x v="0"/>
    <x v="10"/>
    <x v="99"/>
    <x v="125"/>
    <x v="16"/>
    <n v="90"/>
    <n v="140"/>
    <n v="240"/>
    <n v="46"/>
    <x v="125"/>
    <x v="99"/>
    <x v="126"/>
    <x v="250"/>
    <n v="1.3666666666666667"/>
    <n v="-7"/>
    <x v="0"/>
    <n v="139.05000000000001"/>
    <x v="302"/>
    <n v="40166"/>
    <n v="1564"/>
    <n v="1.2952863264511102E-2"/>
    <s v="Oct-12"/>
    <x v="10"/>
    <n v="2.4552845528455283"/>
  </r>
  <r>
    <x v="117"/>
    <n v="108"/>
    <x v="0"/>
    <x v="0"/>
    <x v="0"/>
    <x v="30"/>
    <x v="0"/>
    <x v="0"/>
    <x v="1"/>
    <x v="95"/>
    <x v="165"/>
    <x v="16"/>
    <n v="80"/>
    <n v="120"/>
    <n v="210"/>
    <n v="41"/>
    <x v="165"/>
    <x v="95"/>
    <x v="127"/>
    <x v="353"/>
    <n v="1.35"/>
    <n v="-4"/>
    <x v="0"/>
    <n v="119.03333333333333"/>
    <x v="414"/>
    <n v="30740"/>
    <n v="1230"/>
    <n v="1.459119496855346E-2"/>
    <s v="Oct-12"/>
    <x v="9"/>
    <n v="2.4537037037037037"/>
  </r>
  <r>
    <x v="104"/>
    <n v="82"/>
    <x v="0"/>
    <x v="0"/>
    <x v="0"/>
    <x v="15"/>
    <x v="0"/>
    <x v="1"/>
    <x v="2"/>
    <x v="56"/>
    <x v="17"/>
    <x v="18"/>
    <n v="50"/>
    <n v="60"/>
    <n v="140"/>
    <n v="58"/>
    <x v="17"/>
    <x v="56"/>
    <x v="65"/>
    <x v="231"/>
    <n v="1.64"/>
    <n v="5"/>
    <x v="0"/>
    <n v="58.916666666666664"/>
    <x v="282"/>
    <n v="13325"/>
    <n v="1566"/>
    <n v="1.1743450767841012E-2"/>
    <s v="Oct-12"/>
    <x v="6"/>
    <n v="2.5"/>
  </r>
  <r>
    <x v="69"/>
    <n v="91"/>
    <x v="0"/>
    <x v="0"/>
    <x v="0"/>
    <x v="16"/>
    <x v="0"/>
    <x v="1"/>
    <x v="11"/>
    <x v="20"/>
    <x v="18"/>
    <x v="18"/>
    <n v="50"/>
    <n v="80"/>
    <n v="150"/>
    <n v="51"/>
    <x v="18"/>
    <x v="20"/>
    <x v="19"/>
    <x v="21"/>
    <n v="1.82"/>
    <n v="-4"/>
    <x v="0"/>
    <n v="79.05"/>
    <x v="21"/>
    <n v="16568"/>
    <n v="1428"/>
    <n v="1.2450851900393186E-2"/>
    <s v="Oct-12"/>
    <x v="7"/>
    <n v="2.3956043956043955"/>
  </r>
  <r>
    <x v="43"/>
    <n v="90"/>
    <x v="0"/>
    <x v="0"/>
    <x v="0"/>
    <x v="39"/>
    <x v="0"/>
    <x v="1"/>
    <x v="3"/>
    <x v="62"/>
    <x v="17"/>
    <x v="0"/>
    <n v="50"/>
    <n v="80"/>
    <n v="140"/>
    <n v="41"/>
    <x v="17"/>
    <x v="62"/>
    <x v="108"/>
    <x v="251"/>
    <n v="1.8"/>
    <n v="-6"/>
    <x v="0"/>
    <n v="79.075000000000003"/>
    <x v="303"/>
    <n v="15170"/>
    <n v="1189"/>
    <n v="1.244743481917578E-2"/>
    <s v="Oct-12"/>
    <x v="0"/>
    <n v="2.2777777777777777"/>
  </r>
  <r>
    <x v="77"/>
    <n v="10"/>
    <x v="0"/>
    <x v="1"/>
    <x v="0"/>
    <x v="61"/>
    <x v="1"/>
    <x v="3"/>
    <x v="5"/>
    <x v="13"/>
    <x v="204"/>
    <x v="4"/>
    <n v="0"/>
    <n v="10"/>
    <n v="10"/>
    <n v="15"/>
    <x v="204"/>
    <x v="13"/>
    <x v="189"/>
    <x v="357"/>
    <e v="#DIV/0!"/>
    <n v="-12"/>
    <x v="0"/>
    <n v="10.199999999999999"/>
    <x v="419"/>
    <n v="-46"/>
    <n v="45"/>
    <n v="-2.8985507246376808E-2"/>
    <s v="Oct-12"/>
    <x v="4"/>
    <n v="2.2999999999999998"/>
  </r>
  <r>
    <x v="65"/>
    <n v="86"/>
    <x v="0"/>
    <x v="1"/>
    <x v="0"/>
    <x v="16"/>
    <x v="1"/>
    <x v="3"/>
    <x v="5"/>
    <x v="176"/>
    <x v="160"/>
    <x v="13"/>
    <n v="80"/>
    <n v="100"/>
    <n v="200"/>
    <n v="55"/>
    <x v="160"/>
    <x v="176"/>
    <x v="18"/>
    <x v="358"/>
    <n v="1.075"/>
    <n v="-39"/>
    <x v="0"/>
    <n v="99.39"/>
    <x v="420"/>
    <n v="12322"/>
    <n v="1540.0000000000002"/>
    <n v="1.0785007072135784E-2"/>
    <s v="Oct-12"/>
    <x v="10"/>
    <n v="2.3488372093023258"/>
  </r>
  <r>
    <x v="62"/>
    <n v="79"/>
    <x v="0"/>
    <x v="1"/>
    <x v="0"/>
    <x v="30"/>
    <x v="1"/>
    <x v="3"/>
    <x v="7"/>
    <x v="3"/>
    <x v="79"/>
    <x v="12"/>
    <n v="70"/>
    <n v="70"/>
    <n v="170"/>
    <n v="63"/>
    <x v="79"/>
    <x v="3"/>
    <x v="19"/>
    <x v="221"/>
    <n v="1.1285714285714286"/>
    <n v="-35"/>
    <x v="0"/>
    <n v="69.5"/>
    <x v="421"/>
    <n v="6195"/>
    <n v="1889.9999999999998"/>
    <n v="6.5913370998116763E-3"/>
    <s v="Oct-12"/>
    <x v="10"/>
    <n v="2.240506329113924"/>
  </r>
  <r>
    <x v="65"/>
    <n v="96"/>
    <x v="0"/>
    <x v="1"/>
    <x v="0"/>
    <x v="41"/>
    <x v="1"/>
    <x v="3"/>
    <x v="7"/>
    <x v="47"/>
    <x v="127"/>
    <x v="13"/>
    <n v="90"/>
    <n v="60"/>
    <n v="230"/>
    <n v="116"/>
    <x v="127"/>
    <x v="47"/>
    <x v="147"/>
    <x v="295"/>
    <n v="1.0666666666666667"/>
    <n v="-42"/>
    <x v="0"/>
    <n v="59.7"/>
    <x v="352"/>
    <n v="4140"/>
    <n v="10092"/>
    <n v="8.9955022488755621E-4"/>
    <s v="Oct-12"/>
    <x v="30"/>
    <n v="2.3958333333333335"/>
  </r>
  <r>
    <x v="26"/>
    <n v="40"/>
    <x v="0"/>
    <x v="1"/>
    <x v="0"/>
    <x v="9"/>
    <x v="1"/>
    <x v="2"/>
    <x v="8"/>
    <x v="18"/>
    <x v="9"/>
    <x v="12"/>
    <n v="50"/>
    <n v="90"/>
    <n v="140"/>
    <n v="23"/>
    <x v="9"/>
    <x v="18"/>
    <x v="17"/>
    <x v="19"/>
    <n v="0.8"/>
    <n v="-54"/>
    <x v="0"/>
    <n v="89.6"/>
    <x v="19"/>
    <n v="3564"/>
    <n v="252.99999999999997"/>
    <n v="3.3057851239669422E-2"/>
    <s v="Oct-12"/>
    <x v="2"/>
    <n v="2.4750000000000001"/>
  </r>
  <r>
    <x v="94"/>
    <n v="80"/>
    <x v="0"/>
    <x v="1"/>
    <x v="0"/>
    <x v="23"/>
    <x v="1"/>
    <x v="2"/>
    <x v="8"/>
    <x v="21"/>
    <x v="75"/>
    <x v="13"/>
    <n v="110"/>
    <n v="120"/>
    <n v="250"/>
    <n v="46"/>
    <x v="75"/>
    <x v="21"/>
    <x v="4"/>
    <x v="22"/>
    <n v="0.72727272727272729"/>
    <n v="-72"/>
    <x v="0"/>
    <n v="119.6"/>
    <x v="123"/>
    <n v="8352"/>
    <n v="1104"/>
    <n v="1.1494252873563218E-2"/>
    <s v="Oct-12"/>
    <x v="13"/>
    <n v="2.1749999999999998"/>
  </r>
  <r>
    <x v="5"/>
    <n v="257"/>
    <x v="0"/>
    <x v="1"/>
    <x v="0"/>
    <x v="60"/>
    <x v="0"/>
    <x v="0"/>
    <x v="10"/>
    <x v="175"/>
    <x v="203"/>
    <x v="4"/>
    <n v="200"/>
    <n v="210"/>
    <n v="480"/>
    <n v="117"/>
    <x v="203"/>
    <x v="175"/>
    <x v="169"/>
    <x v="126"/>
    <n v="1.2849999999999999"/>
    <n v="14"/>
    <x v="0"/>
    <n v="208.93333333333334"/>
    <x v="418"/>
    <n v="133952"/>
    <n v="9828"/>
    <n v="4.459308807134894E-3"/>
    <s v="Oct-12"/>
    <x v="24"/>
    <n v="2.3268482490272375"/>
  </r>
  <r>
    <x v="77"/>
    <n v="122"/>
    <x v="0"/>
    <x v="1"/>
    <x v="0"/>
    <x v="59"/>
    <x v="0"/>
    <x v="0"/>
    <x v="0"/>
    <x v="124"/>
    <x v="200"/>
    <x v="4"/>
    <n v="90"/>
    <n v="130"/>
    <n v="240"/>
    <n v="62"/>
    <x v="200"/>
    <x v="124"/>
    <x v="144"/>
    <x v="359"/>
    <n v="1.3555555555555556"/>
    <n v="-16"/>
    <x v="0"/>
    <n v="129.12307692307692"/>
    <x v="422"/>
    <n v="33972"/>
    <n v="2418"/>
    <n v="9.8089829633453782E-3"/>
    <s v="Oct-12"/>
    <x v="8"/>
    <n v="2.442622950819672"/>
  </r>
  <r>
    <x v="13"/>
    <n v="86"/>
    <x v="0"/>
    <x v="1"/>
    <x v="0"/>
    <x v="32"/>
    <x v="0"/>
    <x v="0"/>
    <x v="0"/>
    <x v="77"/>
    <x v="12"/>
    <x v="12"/>
    <n v="60"/>
    <n v="10"/>
    <n v="80"/>
    <n v="49"/>
    <x v="12"/>
    <x v="77"/>
    <x v="106"/>
    <x v="160"/>
    <n v="1.4333333333333333"/>
    <n v="-36"/>
    <x v="0"/>
    <n v="12.6"/>
    <x v="184"/>
    <n v="-2834"/>
    <n v="1274"/>
    <n v="-9.1743119266055051E-3"/>
    <s v="Oct-12"/>
    <x v="7"/>
    <n v="1.2674418604651163"/>
  </r>
  <r>
    <x v="46"/>
    <n v="239"/>
    <x v="0"/>
    <x v="1"/>
    <x v="0"/>
    <x v="49"/>
    <x v="0"/>
    <x v="1"/>
    <x v="2"/>
    <x v="173"/>
    <x v="201"/>
    <x v="4"/>
    <n v="170"/>
    <n v="110"/>
    <n v="340"/>
    <n v="90"/>
    <x v="201"/>
    <x v="173"/>
    <x v="187"/>
    <x v="355"/>
    <n v="1.4058823529411764"/>
    <n v="39"/>
    <x v="0"/>
    <n v="108.64545454545454"/>
    <x v="416"/>
    <n v="71222"/>
    <n v="5939.9999999999991"/>
    <n v="4.7229618359325475E-3"/>
    <s v="Oct-12"/>
    <x v="28"/>
    <n v="2"/>
  </r>
  <r>
    <x v="46"/>
    <n v="255"/>
    <x v="0"/>
    <x v="1"/>
    <x v="0"/>
    <x v="50"/>
    <x v="0"/>
    <x v="1"/>
    <x v="11"/>
    <x v="177"/>
    <x v="205"/>
    <x v="4"/>
    <n v="170"/>
    <n v="130"/>
    <n v="400"/>
    <n v="129"/>
    <x v="205"/>
    <x v="177"/>
    <x v="150"/>
    <x v="360"/>
    <n v="1.5"/>
    <n v="53"/>
    <x v="0"/>
    <n v="128.59230769230768"/>
    <x v="423"/>
    <n v="103761"/>
    <n v="12384"/>
    <n v="3.3619929453262785E-3"/>
    <s v="Oct-12"/>
    <x v="24"/>
    <n v="2.223529411764706"/>
  </r>
  <r>
    <x v="40"/>
    <n v="25"/>
    <x v="0"/>
    <x v="1"/>
    <x v="0"/>
    <x v="8"/>
    <x v="0"/>
    <x v="1"/>
    <x v="11"/>
    <x v="84"/>
    <x v="82"/>
    <x v="12"/>
    <n v="10"/>
    <n v="0"/>
    <n v="30"/>
    <n v="42"/>
    <x v="82"/>
    <x v="84"/>
    <x v="190"/>
    <x v="361"/>
    <n v="2.5"/>
    <n v="-11"/>
    <x v="0"/>
    <e v="#DIV/0!"/>
    <x v="241"/>
    <n v="-616"/>
    <n v="377.99999999999994"/>
    <n v="-2.1825396825396828E-2"/>
    <s v="Oct-12"/>
    <x v="3"/>
    <n v="2.2400000000000002"/>
  </r>
  <r>
    <x v="1"/>
    <n v="81"/>
    <x v="1"/>
    <x v="0"/>
    <x v="0"/>
    <x v="34"/>
    <x v="1"/>
    <x v="3"/>
    <x v="5"/>
    <x v="144"/>
    <x v="172"/>
    <x v="0"/>
    <n v="80"/>
    <n v="80"/>
    <n v="190"/>
    <n v="33"/>
    <x v="172"/>
    <x v="144"/>
    <x v="35"/>
    <x v="279"/>
    <n v="1.0125"/>
    <n v="4"/>
    <x v="0"/>
    <n v="78.95"/>
    <x v="369"/>
    <n v="16632"/>
    <n v="726"/>
    <n v="1.928374655647383E-2"/>
    <s v="Nov-12"/>
    <x v="8"/>
    <n v="2.4444444444444446"/>
  </r>
  <r>
    <x v="117"/>
    <n v="113"/>
    <x v="1"/>
    <x v="0"/>
    <x v="0"/>
    <x v="62"/>
    <x v="1"/>
    <x v="3"/>
    <x v="5"/>
    <x v="178"/>
    <x v="206"/>
    <x v="16"/>
    <n v="110"/>
    <n v="110"/>
    <n v="270"/>
    <n v="59"/>
    <x v="206"/>
    <x v="178"/>
    <x v="191"/>
    <x v="362"/>
    <n v="1.0272727272727273"/>
    <n v="-4"/>
    <x v="0"/>
    <n v="109.03636363636363"/>
    <x v="424"/>
    <n v="29468"/>
    <n v="2124"/>
    <n v="1.0591526778577139E-2"/>
    <s v="Nov-12"/>
    <x v="17"/>
    <n v="2.4601769911504423"/>
  </r>
  <r>
    <x v="0"/>
    <n v="75"/>
    <x v="1"/>
    <x v="0"/>
    <x v="0"/>
    <x v="23"/>
    <x v="1"/>
    <x v="2"/>
    <x v="4"/>
    <x v="85"/>
    <x v="90"/>
    <x v="0"/>
    <n v="90"/>
    <n v="100"/>
    <n v="240"/>
    <n v="56"/>
    <x v="90"/>
    <x v="85"/>
    <x v="108"/>
    <x v="363"/>
    <n v="0.83333333333333337"/>
    <n v="-42"/>
    <x v="0"/>
    <n v="99.42"/>
    <x v="425"/>
    <n v="10962"/>
    <n v="1344"/>
    <n v="1.2786596119929453E-2"/>
    <s v="Nov-12"/>
    <x v="14"/>
    <n v="2.52"/>
  </r>
  <r>
    <x v="24"/>
    <n v="211"/>
    <x v="1"/>
    <x v="0"/>
    <x v="0"/>
    <x v="53"/>
    <x v="1"/>
    <x v="2"/>
    <x v="4"/>
    <x v="113"/>
    <x v="207"/>
    <x v="16"/>
    <n v="270"/>
    <n v="200"/>
    <n v="540"/>
    <n v="83"/>
    <x v="207"/>
    <x v="113"/>
    <x v="157"/>
    <x v="364"/>
    <n v="0.78148148148148144"/>
    <n v="-71"/>
    <x v="0"/>
    <n v="199.35499999999999"/>
    <x v="426"/>
    <n v="54567"/>
    <n v="4897"/>
    <n v="5.1688904916456302E-3"/>
    <s v="Nov-12"/>
    <x v="37"/>
    <n v="2.0047393364928912"/>
  </r>
  <r>
    <x v="1"/>
    <n v="118"/>
    <x v="1"/>
    <x v="0"/>
    <x v="0"/>
    <x v="40"/>
    <x v="1"/>
    <x v="3"/>
    <x v="6"/>
    <x v="179"/>
    <x v="129"/>
    <x v="0"/>
    <n v="110"/>
    <n v="130"/>
    <n v="280"/>
    <n v="44"/>
    <x v="129"/>
    <x v="179"/>
    <x v="192"/>
    <x v="365"/>
    <n v="1.0727272727272728"/>
    <n v="-2"/>
    <x v="0"/>
    <n v="129.01538461538462"/>
    <x v="427"/>
    <n v="37120"/>
    <n v="1452"/>
    <n v="1.3375130616509927E-2"/>
    <s v="Nov-12"/>
    <x v="16"/>
    <n v="2.4576271186440679"/>
  </r>
  <r>
    <x v="117"/>
    <n v="173"/>
    <x v="1"/>
    <x v="0"/>
    <x v="0"/>
    <x v="63"/>
    <x v="1"/>
    <x v="3"/>
    <x v="7"/>
    <x v="180"/>
    <x v="208"/>
    <x v="16"/>
    <n v="170"/>
    <n v="140"/>
    <n v="400"/>
    <n v="100"/>
    <x v="208"/>
    <x v="180"/>
    <x v="193"/>
    <x v="366"/>
    <n v="1.0176470588235293"/>
    <n v="-1"/>
    <x v="0"/>
    <n v="139.00714285714287"/>
    <x v="428"/>
    <n v="57268"/>
    <n v="5700"/>
    <n v="5.9189235223982284E-3"/>
    <s v="Nov-12"/>
    <x v="38"/>
    <n v="2.3815028901734103"/>
  </r>
  <r>
    <x v="0"/>
    <n v="50"/>
    <x v="1"/>
    <x v="0"/>
    <x v="0"/>
    <x v="10"/>
    <x v="1"/>
    <x v="2"/>
    <x v="8"/>
    <x v="21"/>
    <x v="1"/>
    <x v="0"/>
    <n v="60"/>
    <n v="70"/>
    <n v="150"/>
    <n v="25"/>
    <x v="1"/>
    <x v="21"/>
    <x v="21"/>
    <x v="23"/>
    <n v="0.83333333333333337"/>
    <n v="-22"/>
    <x v="0"/>
    <n v="69.314285714285717"/>
    <x v="23"/>
    <n v="5904"/>
    <n v="350"/>
    <n v="2.7874564459930314E-2"/>
    <s v="Nov-12"/>
    <x v="6"/>
    <n v="2.46"/>
  </r>
  <r>
    <x v="136"/>
    <n v="228"/>
    <x v="1"/>
    <x v="0"/>
    <x v="0"/>
    <x v="64"/>
    <x v="1"/>
    <x v="2"/>
    <x v="8"/>
    <x v="181"/>
    <x v="209"/>
    <x v="16"/>
    <n v="290"/>
    <n v="290"/>
    <n v="680"/>
    <n v="108"/>
    <x v="209"/>
    <x v="181"/>
    <x v="194"/>
    <x v="367"/>
    <n v="0.78620689655172415"/>
    <n v="-94"/>
    <x v="0"/>
    <n v="289.3241379310345"/>
    <x v="429"/>
    <n v="104272"/>
    <n v="8100"/>
    <n v="4.9122807017543861E-3"/>
    <s v="Nov-12"/>
    <x v="39"/>
    <n v="2.3333333333333335"/>
  </r>
  <r>
    <x v="93"/>
    <n v="181"/>
    <x v="1"/>
    <x v="0"/>
    <x v="0"/>
    <x v="52"/>
    <x v="1"/>
    <x v="2"/>
    <x v="8"/>
    <x v="120"/>
    <x v="169"/>
    <x v="18"/>
    <n v="230"/>
    <n v="170"/>
    <n v="460"/>
    <n v="75"/>
    <x v="169"/>
    <x v="120"/>
    <x v="195"/>
    <x v="368"/>
    <n v="0.78695652173913044"/>
    <n v="-63"/>
    <x v="0"/>
    <n v="169.37058823529412"/>
    <x v="430"/>
    <n v="38841"/>
    <n v="3750"/>
    <n v="5.8953168044077135E-3"/>
    <s v="Nov-12"/>
    <x v="40"/>
    <n v="2.0055248618784529"/>
  </r>
  <r>
    <x v="1"/>
    <n v="181"/>
    <x v="1"/>
    <x v="0"/>
    <x v="0"/>
    <x v="52"/>
    <x v="0"/>
    <x v="0"/>
    <x v="10"/>
    <x v="120"/>
    <x v="169"/>
    <x v="0"/>
    <n v="170"/>
    <n v="100"/>
    <n v="330"/>
    <n v="75"/>
    <x v="169"/>
    <x v="120"/>
    <x v="195"/>
    <x v="368"/>
    <n v="1.0647058823529412"/>
    <n v="7"/>
    <x v="0"/>
    <n v="98.93"/>
    <x v="430"/>
    <n v="38841"/>
    <n v="3750"/>
    <n v="5.8953168044077135E-3"/>
    <s v="Nov-12"/>
    <x v="28"/>
    <n v="2.0055248618784529"/>
  </r>
  <r>
    <x v="82"/>
    <n v="118"/>
    <x v="1"/>
    <x v="0"/>
    <x v="0"/>
    <x v="40"/>
    <x v="0"/>
    <x v="0"/>
    <x v="10"/>
    <x v="102"/>
    <x v="129"/>
    <x v="16"/>
    <n v="110"/>
    <n v="110"/>
    <n v="260"/>
    <n v="45"/>
    <x v="129"/>
    <x v="102"/>
    <x v="130"/>
    <x v="255"/>
    <n v="1.0727272727272728"/>
    <n v="17"/>
    <x v="0"/>
    <n v="108.84545454545454"/>
    <x v="307"/>
    <n v="36830"/>
    <n v="1485"/>
    <n v="1.3270637408568443E-2"/>
    <s v="Nov-12"/>
    <x v="16"/>
    <n v="2.4576271186440679"/>
  </r>
  <r>
    <x v="89"/>
    <n v="81"/>
    <x v="1"/>
    <x v="0"/>
    <x v="0"/>
    <x v="34"/>
    <x v="0"/>
    <x v="0"/>
    <x v="1"/>
    <x v="144"/>
    <x v="172"/>
    <x v="16"/>
    <n v="70"/>
    <n v="80"/>
    <n v="180"/>
    <n v="33"/>
    <x v="172"/>
    <x v="144"/>
    <x v="35"/>
    <x v="279"/>
    <n v="1.1571428571428573"/>
    <n v="4"/>
    <x v="0"/>
    <n v="78.95"/>
    <x v="369"/>
    <n v="16632"/>
    <n v="726"/>
    <n v="1.928374655647383E-2"/>
    <s v="Nov-12"/>
    <x v="10"/>
    <n v="2.4444444444444446"/>
  </r>
  <r>
    <x v="87"/>
    <n v="78"/>
    <x v="1"/>
    <x v="0"/>
    <x v="0"/>
    <x v="26"/>
    <x v="0"/>
    <x v="1"/>
    <x v="2"/>
    <x v="103"/>
    <x v="130"/>
    <x v="18"/>
    <n v="60"/>
    <n v="60"/>
    <n v="160"/>
    <n v="57"/>
    <x v="130"/>
    <x v="103"/>
    <x v="106"/>
    <x v="256"/>
    <n v="1.3"/>
    <n v="2"/>
    <x v="0"/>
    <n v="58.966666666666669"/>
    <x v="308"/>
    <n v="12214"/>
    <n v="1425"/>
    <n v="1.2588832487309645E-2"/>
    <s v="Nov-12"/>
    <x v="10"/>
    <n v="2.5256410256410255"/>
  </r>
  <r>
    <x v="89"/>
    <n v="75"/>
    <x v="1"/>
    <x v="0"/>
    <x v="0"/>
    <x v="23"/>
    <x v="0"/>
    <x v="1"/>
    <x v="11"/>
    <x v="93"/>
    <x v="90"/>
    <x v="16"/>
    <n v="60"/>
    <n v="50"/>
    <n v="150"/>
    <n v="55"/>
    <x v="90"/>
    <x v="93"/>
    <x v="83"/>
    <x v="234"/>
    <n v="1.25"/>
    <n v="9"/>
    <x v="0"/>
    <n v="48.82"/>
    <x v="285"/>
    <n v="11151"/>
    <n v="1320"/>
    <n v="1.3007054673721341E-2"/>
    <s v="Nov-12"/>
    <x v="10"/>
    <n v="2.52"/>
  </r>
  <r>
    <x v="83"/>
    <n v="102"/>
    <x v="1"/>
    <x v="0"/>
    <x v="0"/>
    <x v="33"/>
    <x v="0"/>
    <x v="1"/>
    <x v="11"/>
    <x v="104"/>
    <x v="132"/>
    <x v="18"/>
    <n v="80"/>
    <n v="70"/>
    <n v="200"/>
    <n v="54"/>
    <x v="132"/>
    <x v="104"/>
    <x v="71"/>
    <x v="258"/>
    <n v="1.2749999999999999"/>
    <n v="19"/>
    <x v="0"/>
    <n v="68.728571428571428"/>
    <x v="310"/>
    <n v="21805"/>
    <n v="1674"/>
    <n v="1.1718235681369323E-2"/>
    <s v="Nov-12"/>
    <x v="13"/>
    <n v="2.4019607843137254"/>
  </r>
  <r>
    <x v="23"/>
    <n v="88"/>
    <x v="1"/>
    <x v="0"/>
    <x v="0"/>
    <x v="39"/>
    <x v="0"/>
    <x v="1"/>
    <x v="3"/>
    <x v="50"/>
    <x v="131"/>
    <x v="0"/>
    <n v="70"/>
    <n v="60"/>
    <n v="160"/>
    <n v="42"/>
    <x v="131"/>
    <x v="50"/>
    <x v="83"/>
    <x v="369"/>
    <n v="1.2571428571428571"/>
    <n v="10"/>
    <x v="0"/>
    <n v="58.833333333333336"/>
    <x v="431"/>
    <n v="14000"/>
    <n v="1218"/>
    <n v="1.2068965517241379E-2"/>
    <s v="Nov-12"/>
    <x v="10"/>
    <n v="2.2727272727272729"/>
  </r>
  <r>
    <x v="77"/>
    <n v="10"/>
    <x v="1"/>
    <x v="1"/>
    <x v="0"/>
    <x v="61"/>
    <x v="1"/>
    <x v="3"/>
    <x v="5"/>
    <x v="37"/>
    <x v="204"/>
    <x v="4"/>
    <n v="0"/>
    <n v="10"/>
    <n v="20"/>
    <n v="16"/>
    <x v="204"/>
    <x v="37"/>
    <x v="196"/>
    <x v="160"/>
    <e v="#DIV/0!"/>
    <n v="-13"/>
    <x v="0"/>
    <n v="10.3"/>
    <x v="432"/>
    <n v="-69"/>
    <n v="48"/>
    <n v="-4.3478260869565216E-2"/>
    <s v="Nov-12"/>
    <x v="12"/>
    <n v="2.2999999999999998"/>
  </r>
  <r>
    <x v="14"/>
    <n v="77"/>
    <x v="1"/>
    <x v="1"/>
    <x v="0"/>
    <x v="26"/>
    <x v="1"/>
    <x v="3"/>
    <x v="5"/>
    <x v="94"/>
    <x v="166"/>
    <x v="13"/>
    <n v="70"/>
    <n v="60"/>
    <n v="170"/>
    <n v="52"/>
    <x v="166"/>
    <x v="94"/>
    <x v="111"/>
    <x v="302"/>
    <n v="1.1000000000000001"/>
    <n v="-9"/>
    <x v="0"/>
    <n v="59.15"/>
    <x v="360"/>
    <n v="9180"/>
    <n v="1300"/>
    <n v="1.1333333333333334E-2"/>
    <s v="Nov-12"/>
    <x v="8"/>
    <n v="2.3376623376623376"/>
  </r>
  <r>
    <x v="46"/>
    <n v="15"/>
    <x v="1"/>
    <x v="1"/>
    <x v="0"/>
    <x v="36"/>
    <x v="1"/>
    <x v="3"/>
    <x v="6"/>
    <x v="72"/>
    <x v="115"/>
    <x v="4"/>
    <n v="10"/>
    <n v="10"/>
    <n v="30"/>
    <n v="16"/>
    <x v="115"/>
    <x v="72"/>
    <x v="116"/>
    <x v="22"/>
    <n v="1.5"/>
    <n v="-2"/>
    <x v="0"/>
    <n v="9.1999999999999993"/>
    <x v="264"/>
    <n v="312"/>
    <n v="64"/>
    <n v="5.128205128205128E-2"/>
    <s v="Nov-12"/>
    <x v="5"/>
    <n v="2.6"/>
  </r>
  <r>
    <x v="13"/>
    <n v="82"/>
    <x v="1"/>
    <x v="1"/>
    <x v="0"/>
    <x v="33"/>
    <x v="1"/>
    <x v="3"/>
    <x v="7"/>
    <x v="68"/>
    <x v="106"/>
    <x v="12"/>
    <n v="80"/>
    <n v="40"/>
    <n v="180"/>
    <n v="64"/>
    <x v="106"/>
    <x v="68"/>
    <x v="38"/>
    <x v="197"/>
    <n v="1.0249999999999999"/>
    <n v="-2"/>
    <x v="0"/>
    <n v="39.049999999999997"/>
    <x v="225"/>
    <n v="6992"/>
    <n v="1984"/>
    <n v="6.6619915848527347E-3"/>
    <s v="Nov-12"/>
    <x v="14"/>
    <n v="2.2439024390243905"/>
  </r>
  <r>
    <x v="14"/>
    <n v="94"/>
    <x v="1"/>
    <x v="1"/>
    <x v="0"/>
    <x v="43"/>
    <x v="1"/>
    <x v="3"/>
    <x v="7"/>
    <x v="38"/>
    <x v="134"/>
    <x v="13"/>
    <n v="90"/>
    <n v="30"/>
    <n v="220"/>
    <n v="114"/>
    <x v="134"/>
    <x v="38"/>
    <x v="197"/>
    <x v="370"/>
    <n v="1.0444444444444445"/>
    <n v="-14"/>
    <x v="0"/>
    <n v="29.466666666666665"/>
    <x v="433"/>
    <n v="3584"/>
    <n v="9690"/>
    <n v="8.4033613445378145E-4"/>
    <s v="Nov-12"/>
    <x v="26"/>
    <n v="2.3829787234042552"/>
  </r>
  <r>
    <x v="26"/>
    <n v="54"/>
    <x v="1"/>
    <x v="1"/>
    <x v="0"/>
    <x v="6"/>
    <x v="1"/>
    <x v="2"/>
    <x v="8"/>
    <x v="94"/>
    <x v="57"/>
    <x v="12"/>
    <n v="60"/>
    <n v="80"/>
    <n v="160"/>
    <n v="27"/>
    <x v="57"/>
    <x v="94"/>
    <x v="40"/>
    <x v="236"/>
    <n v="0.9"/>
    <n v="-29"/>
    <x v="0"/>
    <n v="79.362499999999997"/>
    <x v="287"/>
    <n v="6732"/>
    <n v="405"/>
    <n v="2.5757575757575757E-2"/>
    <s v="Nov-12"/>
    <x v="6"/>
    <n v="2.4444444444444446"/>
  </r>
  <r>
    <x v="41"/>
    <n v="75"/>
    <x v="1"/>
    <x v="1"/>
    <x v="0"/>
    <x v="4"/>
    <x v="1"/>
    <x v="2"/>
    <x v="8"/>
    <x v="16"/>
    <x v="20"/>
    <x v="13"/>
    <n v="90"/>
    <n v="70"/>
    <n v="200"/>
    <n v="44"/>
    <x v="20"/>
    <x v="16"/>
    <x v="63"/>
    <x v="235"/>
    <n v="0.83333333333333337"/>
    <n v="-25"/>
    <x v="0"/>
    <n v="69.357142857142861"/>
    <x v="26"/>
    <n v="7380"/>
    <n v="1012"/>
    <n v="1.193001060445387E-2"/>
    <s v="Nov-12"/>
    <x v="13"/>
    <n v="2.1866666666666665"/>
  </r>
  <r>
    <x v="5"/>
    <n v="228"/>
    <x v="1"/>
    <x v="1"/>
    <x v="0"/>
    <x v="64"/>
    <x v="0"/>
    <x v="0"/>
    <x v="10"/>
    <x v="181"/>
    <x v="209"/>
    <x v="4"/>
    <n v="210"/>
    <n v="180"/>
    <n v="490"/>
    <n v="108"/>
    <x v="209"/>
    <x v="181"/>
    <x v="194"/>
    <x v="367"/>
    <n v="1.0857142857142856"/>
    <n v="16"/>
    <x v="0"/>
    <n v="178.9111111111111"/>
    <x v="429"/>
    <n v="104272"/>
    <n v="8100"/>
    <n v="4.9122807017543861E-3"/>
    <s v="Nov-12"/>
    <x v="22"/>
    <n v="2.3333333333333335"/>
  </r>
  <r>
    <x v="5"/>
    <n v="113"/>
    <x v="1"/>
    <x v="1"/>
    <x v="0"/>
    <x v="62"/>
    <x v="0"/>
    <x v="0"/>
    <x v="0"/>
    <x v="120"/>
    <x v="206"/>
    <x v="4"/>
    <n v="100"/>
    <n v="100"/>
    <n v="250"/>
    <n v="58"/>
    <x v="206"/>
    <x v="120"/>
    <x v="198"/>
    <x v="371"/>
    <n v="1.1299999999999999"/>
    <n v="7"/>
    <x v="0"/>
    <n v="98.93"/>
    <x v="434"/>
    <n v="29746"/>
    <n v="2088"/>
    <n v="1.069144684252598E-2"/>
    <s v="Nov-12"/>
    <x v="16"/>
    <n v="2.4601769911504423"/>
  </r>
  <r>
    <x v="5"/>
    <n v="211"/>
    <x v="1"/>
    <x v="1"/>
    <x v="0"/>
    <x v="53"/>
    <x v="0"/>
    <x v="1"/>
    <x v="2"/>
    <x v="113"/>
    <x v="207"/>
    <x v="4"/>
    <n v="170"/>
    <n v="110"/>
    <n v="350"/>
    <n v="83"/>
    <x v="207"/>
    <x v="113"/>
    <x v="157"/>
    <x v="364"/>
    <n v="1.2411764705882353"/>
    <n v="19"/>
    <x v="0"/>
    <n v="108.82727272727273"/>
    <x v="426"/>
    <n v="54567"/>
    <n v="4897"/>
    <n v="5.1688904916456302E-3"/>
    <s v="Nov-12"/>
    <x v="27"/>
    <n v="2.0047393364928912"/>
  </r>
  <r>
    <x v="66"/>
    <n v="245"/>
    <x v="1"/>
    <x v="1"/>
    <x v="0"/>
    <x v="54"/>
    <x v="0"/>
    <x v="1"/>
    <x v="11"/>
    <x v="182"/>
    <x v="210"/>
    <x v="4"/>
    <n v="200"/>
    <n v="130"/>
    <n v="450"/>
    <n v="127"/>
    <x v="210"/>
    <x v="182"/>
    <x v="158"/>
    <x v="372"/>
    <n v="1.2250000000000001"/>
    <n v="43"/>
    <x v="0"/>
    <n v="128.66923076923078"/>
    <x v="435"/>
    <n v="94285"/>
    <n v="11811"/>
    <n v="3.4132386307586071E-3"/>
    <s v="Nov-12"/>
    <x v="33"/>
    <n v="2.2244897959183674"/>
  </r>
  <r>
    <x v="43"/>
    <n v="86"/>
    <x v="2"/>
    <x v="0"/>
    <x v="0"/>
    <x v="23"/>
    <x v="1"/>
    <x v="3"/>
    <x v="5"/>
    <x v="97"/>
    <x v="145"/>
    <x v="0"/>
    <n v="80"/>
    <n v="90"/>
    <n v="200"/>
    <n v="36"/>
    <x v="145"/>
    <x v="97"/>
    <x v="43"/>
    <x v="243"/>
    <n v="1.075"/>
    <n v="-2"/>
    <x v="0"/>
    <n v="89.022222222222226"/>
    <x v="436"/>
    <n v="18480"/>
    <n v="864"/>
    <n v="1.7460317460317461E-2"/>
    <s v="Dec-12"/>
    <x v="8"/>
    <n v="2.441860465116279"/>
  </r>
  <r>
    <x v="89"/>
    <n v="127"/>
    <x v="2"/>
    <x v="0"/>
    <x v="0"/>
    <x v="19"/>
    <x v="1"/>
    <x v="3"/>
    <x v="5"/>
    <x v="126"/>
    <x v="211"/>
    <x v="16"/>
    <n v="120"/>
    <n v="130"/>
    <n v="300"/>
    <n v="63"/>
    <x v="211"/>
    <x v="126"/>
    <x v="199"/>
    <x v="373"/>
    <n v="1.0583333333333333"/>
    <n v="-8"/>
    <x v="0"/>
    <n v="129.06153846153848"/>
    <x v="437"/>
    <n v="38064"/>
    <n v="2520"/>
    <n v="9.7756410256410256E-3"/>
    <s v="Dec-12"/>
    <x v="30"/>
    <n v="2.4566929133858268"/>
  </r>
  <r>
    <x v="1"/>
    <n v="67"/>
    <x v="2"/>
    <x v="0"/>
    <x v="0"/>
    <x v="34"/>
    <x v="1"/>
    <x v="2"/>
    <x v="4"/>
    <x v="17"/>
    <x v="107"/>
    <x v="0"/>
    <n v="80"/>
    <n v="80"/>
    <n v="210"/>
    <n v="54"/>
    <x v="107"/>
    <x v="17"/>
    <x v="72"/>
    <x v="199"/>
    <n v="0.83750000000000002"/>
    <n v="-33"/>
    <x v="0"/>
    <n v="79.412499999999994"/>
    <x v="227"/>
    <n v="7896"/>
    <n v="1188"/>
    <n v="1.2716450216450216E-2"/>
    <s v="Dec-12"/>
    <x v="13"/>
    <n v="2.5074626865671643"/>
  </r>
  <r>
    <x v="89"/>
    <n v="250"/>
    <x v="2"/>
    <x v="0"/>
    <x v="0"/>
    <x v="57"/>
    <x v="1"/>
    <x v="2"/>
    <x v="4"/>
    <x v="183"/>
    <x v="212"/>
    <x v="16"/>
    <n v="320"/>
    <n v="240"/>
    <n v="640"/>
    <n v="94"/>
    <x v="212"/>
    <x v="183"/>
    <x v="200"/>
    <x v="374"/>
    <n v="0.78125"/>
    <n v="-83"/>
    <x v="0"/>
    <n v="239.34583333333333"/>
    <x v="438"/>
    <n v="78657"/>
    <n v="6580"/>
    <n v="4.476760764185914E-3"/>
    <s v="Dec-12"/>
    <x v="41"/>
    <n v="2.004"/>
  </r>
  <r>
    <x v="23"/>
    <n v="123"/>
    <x v="2"/>
    <x v="0"/>
    <x v="0"/>
    <x v="38"/>
    <x v="1"/>
    <x v="3"/>
    <x v="6"/>
    <x v="136"/>
    <x v="125"/>
    <x v="0"/>
    <n v="120"/>
    <n v="130"/>
    <n v="290"/>
    <n v="45"/>
    <x v="125"/>
    <x v="136"/>
    <x v="153"/>
    <x v="301"/>
    <n v="1.0249999999999999"/>
    <n v="4"/>
    <x v="0"/>
    <n v="128.96923076923076"/>
    <x v="359"/>
    <n v="40468"/>
    <n v="1530"/>
    <n v="1.3050253213868329E-2"/>
    <s v="Dec-12"/>
    <x v="17"/>
    <n v="2.4552845528455283"/>
  </r>
  <r>
    <x v="24"/>
    <n v="224"/>
    <x v="2"/>
    <x v="0"/>
    <x v="0"/>
    <x v="65"/>
    <x v="1"/>
    <x v="3"/>
    <x v="7"/>
    <x v="184"/>
    <x v="213"/>
    <x v="16"/>
    <n v="220"/>
    <n v="190"/>
    <n v="520"/>
    <n v="116"/>
    <x v="213"/>
    <x v="184"/>
    <x v="201"/>
    <x v="375"/>
    <n v="1.0181818181818181"/>
    <n v="4"/>
    <x v="0"/>
    <n v="188.97894736842105"/>
    <x v="439"/>
    <n v="103596"/>
    <n v="8468"/>
    <n v="4.9766558924631884E-3"/>
    <s v="Dec-12"/>
    <x v="25"/>
    <n v="2.3839285714285716"/>
  </r>
  <r>
    <x v="1"/>
    <n v="54"/>
    <x v="2"/>
    <x v="0"/>
    <x v="0"/>
    <x v="6"/>
    <x v="1"/>
    <x v="2"/>
    <x v="8"/>
    <x v="36"/>
    <x v="33"/>
    <x v="0"/>
    <n v="60"/>
    <n v="90"/>
    <n v="170"/>
    <n v="26"/>
    <x v="33"/>
    <x v="36"/>
    <x v="46"/>
    <x v="47"/>
    <n v="0.9"/>
    <n v="-37"/>
    <x v="0"/>
    <n v="89.411111111111111"/>
    <x v="52"/>
    <n v="7049"/>
    <n v="390"/>
    <n v="2.6566416040100248E-2"/>
    <s v="Dec-12"/>
    <x v="6"/>
    <n v="2.4629629629629628"/>
  </r>
  <r>
    <x v="117"/>
    <n v="247"/>
    <x v="2"/>
    <x v="0"/>
    <x v="0"/>
    <x v="66"/>
    <x v="1"/>
    <x v="2"/>
    <x v="8"/>
    <x v="185"/>
    <x v="171"/>
    <x v="16"/>
    <n v="310"/>
    <n v="320"/>
    <n v="730"/>
    <n v="113"/>
    <x v="171"/>
    <x v="185"/>
    <x v="202"/>
    <x v="126"/>
    <n v="0.79677419354838708"/>
    <n v="-104"/>
    <x v="0"/>
    <n v="319.32499999999999"/>
    <x v="440"/>
    <n v="124416"/>
    <n v="9153"/>
    <n v="4.6296296296296294E-3"/>
    <s v="Dec-12"/>
    <x v="35"/>
    <n v="2.331983805668016"/>
  </r>
  <r>
    <x v="113"/>
    <n v="153"/>
    <x v="2"/>
    <x v="0"/>
    <x v="0"/>
    <x v="22"/>
    <x v="1"/>
    <x v="2"/>
    <x v="8"/>
    <x v="100"/>
    <x v="176"/>
    <x v="18"/>
    <n v="190"/>
    <n v="140"/>
    <n v="390"/>
    <n v="66"/>
    <x v="176"/>
    <x v="100"/>
    <x v="163"/>
    <x v="130"/>
    <n v="0.80526315789473679"/>
    <n v="-53"/>
    <x v="0"/>
    <n v="139.37857142857143"/>
    <x v="377"/>
    <n v="26622"/>
    <n v="2771.9999999999995"/>
    <n v="6.7693744164332402E-3"/>
    <s v="Dec-12"/>
    <x v="34"/>
    <n v="2"/>
  </r>
  <r>
    <x v="0"/>
    <n v="153"/>
    <x v="2"/>
    <x v="0"/>
    <x v="0"/>
    <x v="22"/>
    <x v="0"/>
    <x v="0"/>
    <x v="10"/>
    <x v="100"/>
    <x v="176"/>
    <x v="0"/>
    <n v="140"/>
    <n v="80"/>
    <n v="280"/>
    <n v="66"/>
    <x v="176"/>
    <x v="100"/>
    <x v="163"/>
    <x v="130"/>
    <n v="1.0928571428571427"/>
    <n v="7"/>
    <x v="0"/>
    <n v="78.912499999999994"/>
    <x v="377"/>
    <n v="26622"/>
    <n v="2771.9999999999995"/>
    <n v="6.7693744164332402E-3"/>
    <s v="Dec-12"/>
    <x v="21"/>
    <n v="2"/>
  </r>
  <r>
    <x v="103"/>
    <n v="123"/>
    <x v="2"/>
    <x v="0"/>
    <x v="0"/>
    <x v="38"/>
    <x v="0"/>
    <x v="0"/>
    <x v="10"/>
    <x v="99"/>
    <x v="125"/>
    <x v="16"/>
    <n v="110"/>
    <n v="130"/>
    <n v="280"/>
    <n v="46"/>
    <x v="125"/>
    <x v="99"/>
    <x v="126"/>
    <x v="250"/>
    <n v="1.1181818181818182"/>
    <n v="3"/>
    <x v="0"/>
    <n v="128.97692307692307"/>
    <x v="302"/>
    <n v="40166"/>
    <n v="1564"/>
    <n v="1.2952863264511102E-2"/>
    <s v="Dec-12"/>
    <x v="16"/>
    <n v="2.4552845528455283"/>
  </r>
  <r>
    <x v="89"/>
    <n v="86"/>
    <x v="2"/>
    <x v="0"/>
    <x v="0"/>
    <x v="23"/>
    <x v="0"/>
    <x v="0"/>
    <x v="1"/>
    <x v="97"/>
    <x v="145"/>
    <x v="16"/>
    <n v="80"/>
    <n v="80"/>
    <n v="190"/>
    <n v="36"/>
    <x v="145"/>
    <x v="97"/>
    <x v="43"/>
    <x v="243"/>
    <n v="1.075"/>
    <n v="8"/>
    <x v="0"/>
    <n v="78.900000000000006"/>
    <x v="436"/>
    <n v="18480"/>
    <n v="864"/>
    <n v="1.7460317460317461E-2"/>
    <s v="Dec-12"/>
    <x v="8"/>
    <n v="2.441860465116279"/>
  </r>
  <r>
    <x v="101"/>
    <n v="88"/>
    <x v="2"/>
    <x v="0"/>
    <x v="0"/>
    <x v="39"/>
    <x v="0"/>
    <x v="1"/>
    <x v="2"/>
    <x v="106"/>
    <x v="136"/>
    <x v="18"/>
    <n v="70"/>
    <n v="70"/>
    <n v="180"/>
    <n v="61"/>
    <x v="136"/>
    <x v="106"/>
    <x v="127"/>
    <x v="262"/>
    <n v="1.2571428571428571"/>
    <n v="2"/>
    <x v="0"/>
    <n v="68.971428571428575"/>
    <x v="315"/>
    <n v="15912"/>
    <n v="1769"/>
    <n v="1.1234201903573101E-2"/>
    <s v="Dec-12"/>
    <x v="8"/>
    <n v="2.5113636363636362"/>
  </r>
  <r>
    <x v="113"/>
    <n v="134"/>
    <x v="2"/>
    <x v="0"/>
    <x v="0"/>
    <x v="11"/>
    <x v="0"/>
    <x v="1"/>
    <x v="11"/>
    <x v="109"/>
    <x v="137"/>
    <x v="18"/>
    <n v="110"/>
    <n v="90"/>
    <n v="260"/>
    <n v="65"/>
    <x v="137"/>
    <x v="109"/>
    <x v="133"/>
    <x v="266"/>
    <n v="1.2181818181818183"/>
    <n v="31"/>
    <x v="0"/>
    <n v="88.655555555555551"/>
    <x v="319"/>
    <n v="38720"/>
    <n v="2665"/>
    <n v="9.2225609756097556E-3"/>
    <s v="Dec-12"/>
    <x v="30"/>
    <n v="2.3880597014925371"/>
  </r>
  <r>
    <x v="23"/>
    <n v="81"/>
    <x v="2"/>
    <x v="0"/>
    <x v="0"/>
    <x v="32"/>
    <x v="0"/>
    <x v="1"/>
    <x v="3"/>
    <x v="107"/>
    <x v="86"/>
    <x v="0"/>
    <n v="60"/>
    <n v="60"/>
    <n v="150"/>
    <n v="38"/>
    <x v="86"/>
    <x v="107"/>
    <x v="63"/>
    <x v="264"/>
    <n v="1.35"/>
    <n v="6"/>
    <x v="0"/>
    <n v="58.9"/>
    <x v="317"/>
    <n v="12210"/>
    <n v="988"/>
    <n v="1.372141372141372E-2"/>
    <s v="Dec-12"/>
    <x v="9"/>
    <n v="2.2839506172839505"/>
  </r>
  <r>
    <x v="66"/>
    <n v="10"/>
    <x v="2"/>
    <x v="1"/>
    <x v="0"/>
    <x v="61"/>
    <x v="1"/>
    <x v="3"/>
    <x v="5"/>
    <x v="186"/>
    <x v="214"/>
    <x v="4"/>
    <n v="0"/>
    <n v="10"/>
    <n v="20"/>
    <n v="15"/>
    <x v="214"/>
    <x v="186"/>
    <x v="189"/>
    <x v="128"/>
    <e v="#DIV/0!"/>
    <n v="-11"/>
    <x v="0"/>
    <n v="10.1"/>
    <x v="441"/>
    <n v="-24"/>
    <n v="45"/>
    <n v="-1.3888888888888888E-2"/>
    <s v="Dec-12"/>
    <x v="12"/>
    <n v="2.4"/>
  </r>
  <r>
    <x v="65"/>
    <n v="83"/>
    <x v="2"/>
    <x v="1"/>
    <x v="0"/>
    <x v="15"/>
    <x v="1"/>
    <x v="3"/>
    <x v="5"/>
    <x v="67"/>
    <x v="173"/>
    <x v="13"/>
    <n v="80"/>
    <n v="70"/>
    <n v="190"/>
    <n v="55"/>
    <x v="173"/>
    <x v="67"/>
    <x v="203"/>
    <x v="376"/>
    <n v="1.0375000000000001"/>
    <n v="-13"/>
    <x v="0"/>
    <n v="69.185714285714283"/>
    <x v="442"/>
    <n v="11115"/>
    <n v="1485"/>
    <n v="1.0826210826210826E-2"/>
    <s v="Dec-12"/>
    <x v="11"/>
    <n v="2.3493975903614457"/>
  </r>
  <r>
    <x v="13"/>
    <n v="68"/>
    <x v="2"/>
    <x v="1"/>
    <x v="0"/>
    <x v="26"/>
    <x v="1"/>
    <x v="3"/>
    <x v="7"/>
    <x v="1"/>
    <x v="43"/>
    <x v="12"/>
    <n v="60"/>
    <n v="40"/>
    <n v="150"/>
    <n v="59"/>
    <x v="43"/>
    <x v="1"/>
    <x v="0"/>
    <x v="238"/>
    <n v="1.1333333333333333"/>
    <n v="-14"/>
    <x v="0"/>
    <n v="39.35"/>
    <x v="290"/>
    <n v="3978"/>
    <n v="1475"/>
    <n v="6.7973856209150333E-3"/>
    <s v="Dec-12"/>
    <x v="8"/>
    <n v="2.25"/>
  </r>
  <r>
    <x v="65"/>
    <n v="105"/>
    <x v="2"/>
    <x v="1"/>
    <x v="0"/>
    <x v="44"/>
    <x v="1"/>
    <x v="3"/>
    <x v="7"/>
    <x v="30"/>
    <x v="139"/>
    <x v="13"/>
    <n v="100"/>
    <n v="30"/>
    <n v="240"/>
    <n v="125"/>
    <x v="139"/>
    <x v="30"/>
    <x v="134"/>
    <x v="268"/>
    <n v="1.05"/>
    <n v="-10"/>
    <x v="0"/>
    <n v="29.333333333333332"/>
    <x v="322"/>
    <n v="5000"/>
    <n v="11875"/>
    <n v="8.4210526315789467E-4"/>
    <s v="Dec-12"/>
    <x v="32"/>
    <n v="2.3809523809523809"/>
  </r>
  <r>
    <x v="26"/>
    <n v="50"/>
    <x v="2"/>
    <x v="1"/>
    <x v="0"/>
    <x v="10"/>
    <x v="1"/>
    <x v="2"/>
    <x v="8"/>
    <x v="21"/>
    <x v="1"/>
    <x v="12"/>
    <n v="60"/>
    <n v="70"/>
    <n v="150"/>
    <n v="25"/>
    <x v="1"/>
    <x v="21"/>
    <x v="21"/>
    <x v="23"/>
    <n v="0.83333333333333337"/>
    <n v="-22"/>
    <x v="0"/>
    <n v="69.314285714285717"/>
    <x v="23"/>
    <n v="5904"/>
    <n v="350"/>
    <n v="2.7874564459930314E-2"/>
    <s v="Dec-12"/>
    <x v="6"/>
    <n v="2.46"/>
  </r>
  <r>
    <x v="65"/>
    <n v="80"/>
    <x v="2"/>
    <x v="1"/>
    <x v="0"/>
    <x v="23"/>
    <x v="1"/>
    <x v="2"/>
    <x v="8"/>
    <x v="35"/>
    <x v="37"/>
    <x v="13"/>
    <n v="100"/>
    <n v="80"/>
    <n v="220"/>
    <n v="46"/>
    <x v="37"/>
    <x v="35"/>
    <x v="4"/>
    <x v="44"/>
    <n v="0.8"/>
    <n v="-30"/>
    <x v="0"/>
    <n v="79.375"/>
    <x v="49"/>
    <n v="8800"/>
    <n v="1104"/>
    <n v="1.1837121212121214E-2"/>
    <s v="Dec-12"/>
    <x v="14"/>
    <n v="2.2000000000000002"/>
  </r>
  <r>
    <x v="77"/>
    <n v="247"/>
    <x v="2"/>
    <x v="1"/>
    <x v="0"/>
    <x v="66"/>
    <x v="0"/>
    <x v="0"/>
    <x v="10"/>
    <x v="185"/>
    <x v="171"/>
    <x v="4"/>
    <n v="230"/>
    <n v="200"/>
    <n v="530"/>
    <n v="113"/>
    <x v="171"/>
    <x v="185"/>
    <x v="202"/>
    <x v="126"/>
    <n v="1.0739130434782609"/>
    <n v="16"/>
    <x v="0"/>
    <n v="198.92"/>
    <x v="440"/>
    <n v="124416"/>
    <n v="9153"/>
    <n v="4.6296296296296294E-3"/>
    <s v="Dec-12"/>
    <x v="25"/>
    <n v="2.331983805668016"/>
  </r>
  <r>
    <x v="66"/>
    <n v="127"/>
    <x v="2"/>
    <x v="1"/>
    <x v="0"/>
    <x v="19"/>
    <x v="0"/>
    <x v="0"/>
    <x v="0"/>
    <x v="187"/>
    <x v="211"/>
    <x v="4"/>
    <n v="120"/>
    <n v="120"/>
    <n v="290"/>
    <n v="62"/>
    <x v="211"/>
    <x v="187"/>
    <x v="204"/>
    <x v="377"/>
    <n v="1.0583333333333333"/>
    <n v="3"/>
    <x v="0"/>
    <n v="118.97499999999999"/>
    <x v="443"/>
    <n v="38376"/>
    <n v="2480"/>
    <n v="9.8557692307692322E-3"/>
    <s v="Dec-12"/>
    <x v="30"/>
    <n v="2.4566929133858268"/>
  </r>
  <r>
    <x v="77"/>
    <n v="250"/>
    <x v="2"/>
    <x v="1"/>
    <x v="0"/>
    <x v="57"/>
    <x v="0"/>
    <x v="1"/>
    <x v="2"/>
    <x v="129"/>
    <x v="212"/>
    <x v="4"/>
    <n v="210"/>
    <n v="120"/>
    <n v="410"/>
    <n v="95"/>
    <x v="212"/>
    <x v="129"/>
    <x v="164"/>
    <x v="378"/>
    <n v="1.1904761904761905"/>
    <n v="36"/>
    <x v="0"/>
    <n v="118.7"/>
    <x v="444"/>
    <n v="78156"/>
    <n v="6650"/>
    <n v="4.4482463644140297E-3"/>
    <s v="Dec-12"/>
    <x v="40"/>
    <n v="2.004"/>
  </r>
  <r>
    <x v="77"/>
    <n v="294"/>
    <x v="2"/>
    <x v="1"/>
    <x v="0"/>
    <x v="58"/>
    <x v="0"/>
    <x v="1"/>
    <x v="11"/>
    <x v="185"/>
    <x v="215"/>
    <x v="4"/>
    <n v="240"/>
    <n v="170"/>
    <n v="540"/>
    <n v="144"/>
    <x v="215"/>
    <x v="185"/>
    <x v="165"/>
    <x v="379"/>
    <n v="1.2250000000000001"/>
    <n v="46"/>
    <x v="0"/>
    <n v="168.72941176470587"/>
    <x v="445"/>
    <n v="141264"/>
    <n v="15984"/>
    <n v="2.9754525167369206E-3"/>
    <s v="Dec-12"/>
    <x v="31"/>
    <n v="2.2244897959183674"/>
  </r>
  <r>
    <x v="13"/>
    <n v="20"/>
    <x v="2"/>
    <x v="1"/>
    <x v="0"/>
    <x v="7"/>
    <x v="0"/>
    <x v="1"/>
    <x v="11"/>
    <x v="86"/>
    <x v="117"/>
    <x v="12"/>
    <n v="10"/>
    <n v="-10"/>
    <n v="30"/>
    <n v="41"/>
    <x v="117"/>
    <x v="86"/>
    <x v="8"/>
    <x v="223"/>
    <n v="2"/>
    <n v="-6"/>
    <x v="0"/>
    <n v="-11.6"/>
    <x v="266"/>
    <n v="-720"/>
    <n v="287"/>
    <n v="-5.0793650793650794E-2"/>
    <s v="Dec-12"/>
    <x v="1"/>
    <n v="2.25"/>
  </r>
  <r>
    <x v="23"/>
    <n v="108"/>
    <x v="3"/>
    <x v="0"/>
    <x v="0"/>
    <x v="30"/>
    <x v="1"/>
    <x v="3"/>
    <x v="5"/>
    <x v="188"/>
    <x v="185"/>
    <x v="0"/>
    <n v="100"/>
    <n v="150"/>
    <n v="260"/>
    <n v="41"/>
    <x v="185"/>
    <x v="188"/>
    <x v="60"/>
    <x v="380"/>
    <n v="1.08"/>
    <n v="22"/>
    <x v="0"/>
    <n v="148.85333333333332"/>
    <x v="446"/>
    <n v="48504"/>
    <n v="1230"/>
    <n v="2.0330969267139481E-2"/>
    <s v="Oct-13"/>
    <x v="8"/>
    <n v="2.6111111111111112"/>
  </r>
  <r>
    <x v="117"/>
    <n v="122"/>
    <x v="3"/>
    <x v="0"/>
    <x v="0"/>
    <x v="59"/>
    <x v="1"/>
    <x v="3"/>
    <x v="5"/>
    <x v="127"/>
    <x v="216"/>
    <x v="16"/>
    <n v="110"/>
    <n v="160"/>
    <n v="300"/>
    <n v="61"/>
    <x v="216"/>
    <x v="127"/>
    <x v="77"/>
    <x v="381"/>
    <n v="1.1090909090909091"/>
    <n v="11"/>
    <x v="0"/>
    <n v="158.93125000000001"/>
    <x v="447"/>
    <n v="54378"/>
    <n v="2379"/>
    <n v="1.3788098693759073E-2"/>
    <s v="Oct-13"/>
    <x v="14"/>
    <n v="2.6065573770491803"/>
  </r>
  <r>
    <x v="1"/>
    <n v="72"/>
    <x v="3"/>
    <x v="0"/>
    <x v="0"/>
    <x v="4"/>
    <x v="1"/>
    <x v="2"/>
    <x v="4"/>
    <x v="42"/>
    <x v="47"/>
    <x v="0"/>
    <n v="100"/>
    <n v="130"/>
    <n v="260"/>
    <n v="54"/>
    <x v="47"/>
    <x v="42"/>
    <x v="54"/>
    <x v="64"/>
    <n v="0.72"/>
    <n v="-47"/>
    <x v="0"/>
    <n v="129.36153846153846"/>
    <x v="68"/>
    <n v="16102"/>
    <n v="1242"/>
    <n v="1.8601523980277902E-2"/>
    <s v="Oct-13"/>
    <x v="13"/>
    <n v="2.6944444444444446"/>
  </r>
  <r>
    <x v="68"/>
    <n v="239"/>
    <x v="3"/>
    <x v="0"/>
    <x v="0"/>
    <x v="49"/>
    <x v="1"/>
    <x v="2"/>
    <x v="4"/>
    <x v="189"/>
    <x v="217"/>
    <x v="16"/>
    <n v="340"/>
    <n v="300"/>
    <n v="710"/>
    <n v="90"/>
    <x v="217"/>
    <x v="189"/>
    <x v="205"/>
    <x v="382"/>
    <n v="0.70294117647058818"/>
    <n v="-79"/>
    <x v="0"/>
    <n v="299.26333333333332"/>
    <x v="448"/>
    <n v="112489"/>
    <n v="5940"/>
    <n v="6.578555694469251E-3"/>
    <s v="Oct-13"/>
    <x v="35"/>
    <n v="2.1297071129707112"/>
  </r>
  <r>
    <x v="83"/>
    <n v="54"/>
    <x v="3"/>
    <x v="0"/>
    <x v="0"/>
    <x v="14"/>
    <x v="1"/>
    <x v="2"/>
    <x v="4"/>
    <x v="47"/>
    <x v="51"/>
    <x v="18"/>
    <n v="70"/>
    <n v="70"/>
    <n v="170"/>
    <n v="54"/>
    <x v="51"/>
    <x v="47"/>
    <x v="60"/>
    <x v="73"/>
    <n v="0.77142857142857146"/>
    <n v="-52"/>
    <x v="0"/>
    <n v="69.742857142857147"/>
    <x v="78"/>
    <n v="2304"/>
    <n v="1080"/>
    <n v="7.0312500000000002E-3"/>
    <s v="Oct-13"/>
    <x v="10"/>
    <n v="2.3703703703703702"/>
  </r>
  <r>
    <x v="23"/>
    <n v="123"/>
    <x v="3"/>
    <x v="0"/>
    <x v="0"/>
    <x v="38"/>
    <x v="1"/>
    <x v="3"/>
    <x v="6"/>
    <x v="111"/>
    <x v="141"/>
    <x v="0"/>
    <n v="120"/>
    <n v="160"/>
    <n v="300"/>
    <n v="46"/>
    <x v="141"/>
    <x v="111"/>
    <x v="61"/>
    <x v="270"/>
    <n v="1.0249999999999999"/>
    <n v="37"/>
    <x v="0"/>
    <n v="158.76875000000001"/>
    <x v="324"/>
    <n v="63434"/>
    <n v="1564"/>
    <n v="1.7994154183412495E-2"/>
    <s v="Oct-13"/>
    <x v="14"/>
    <n v="2.6178861788617884"/>
  </r>
  <r>
    <x v="117"/>
    <n v="154"/>
    <x v="3"/>
    <x v="0"/>
    <x v="0"/>
    <x v="52"/>
    <x v="1"/>
    <x v="3"/>
    <x v="7"/>
    <x v="190"/>
    <x v="218"/>
    <x v="16"/>
    <n v="150"/>
    <n v="160"/>
    <n v="370"/>
    <n v="93"/>
    <x v="218"/>
    <x v="190"/>
    <x v="128"/>
    <x v="383"/>
    <n v="1.0266666666666666"/>
    <n v="18"/>
    <x v="0"/>
    <n v="158.88749999999999"/>
    <x v="449"/>
    <n v="69598"/>
    <n v="4650"/>
    <n v="9.1048593350383632E-3"/>
    <s v="Oct-13"/>
    <x v="32"/>
    <n v="2.5389610389610389"/>
  </r>
  <r>
    <x v="1"/>
    <n v="76"/>
    <x v="3"/>
    <x v="0"/>
    <x v="0"/>
    <x v="28"/>
    <x v="1"/>
    <x v="2"/>
    <x v="8"/>
    <x v="73"/>
    <x v="87"/>
    <x v="0"/>
    <n v="100"/>
    <n v="170"/>
    <n v="280"/>
    <n v="32"/>
    <x v="87"/>
    <x v="73"/>
    <x v="90"/>
    <x v="141"/>
    <n v="0.76"/>
    <n v="-53"/>
    <x v="0"/>
    <n v="169.31176470588235"/>
    <x v="158"/>
    <n v="23283"/>
    <n v="672"/>
    <n v="2.7997128499641061E-2"/>
    <s v="Oct-13"/>
    <x v="8"/>
    <n v="2.6184210526315788"/>
  </r>
  <r>
    <x v="82"/>
    <n v="257"/>
    <x v="3"/>
    <x v="0"/>
    <x v="0"/>
    <x v="60"/>
    <x v="1"/>
    <x v="2"/>
    <x v="8"/>
    <x v="191"/>
    <x v="219"/>
    <x v="16"/>
    <n v="370"/>
    <n v="420"/>
    <n v="890"/>
    <n v="117"/>
    <x v="219"/>
    <x v="191"/>
    <x v="206"/>
    <x v="384"/>
    <n v="0.69459459459459461"/>
    <n v="-88"/>
    <x v="0"/>
    <n v="419.20952380952383"/>
    <x v="450"/>
    <n v="211484"/>
    <n v="9828"/>
    <n v="6.2046796740674297E-3"/>
    <s v="Oct-13"/>
    <x v="36"/>
    <n v="2.4785992217898833"/>
  </r>
  <r>
    <x v="101"/>
    <n v="161"/>
    <x v="3"/>
    <x v="0"/>
    <x v="0"/>
    <x v="48"/>
    <x v="1"/>
    <x v="2"/>
    <x v="8"/>
    <x v="154"/>
    <x v="182"/>
    <x v="18"/>
    <n v="230"/>
    <n v="190"/>
    <n v="470"/>
    <n v="69"/>
    <x v="182"/>
    <x v="154"/>
    <x v="170"/>
    <x v="327"/>
    <n v="0.7"/>
    <n v="-53"/>
    <x v="0"/>
    <n v="189.27894736842106"/>
    <x v="386"/>
    <n v="46991"/>
    <n v="3105"/>
    <n v="8.875931324910916E-3"/>
    <s v="Oct-13"/>
    <x v="29"/>
    <n v="2.1304347826086958"/>
  </r>
  <r>
    <x v="43"/>
    <n v="161"/>
    <x v="3"/>
    <x v="0"/>
    <x v="0"/>
    <x v="48"/>
    <x v="0"/>
    <x v="0"/>
    <x v="10"/>
    <x v="154"/>
    <x v="182"/>
    <x v="0"/>
    <n v="120"/>
    <n v="110"/>
    <n v="260"/>
    <n v="69"/>
    <x v="182"/>
    <x v="154"/>
    <x v="170"/>
    <x v="327"/>
    <n v="1.3416666666666666"/>
    <n v="27"/>
    <x v="0"/>
    <n v="108.75454545454545"/>
    <x v="386"/>
    <n v="46991"/>
    <n v="3105"/>
    <n v="8.875931324910916E-3"/>
    <s v="Oct-13"/>
    <x v="16"/>
    <n v="2.1304347826086958"/>
  </r>
  <r>
    <x v="52"/>
    <n v="123"/>
    <x v="3"/>
    <x v="0"/>
    <x v="0"/>
    <x v="38"/>
    <x v="0"/>
    <x v="0"/>
    <x v="10"/>
    <x v="111"/>
    <x v="141"/>
    <x v="16"/>
    <n v="90"/>
    <n v="140"/>
    <n v="240"/>
    <n v="46"/>
    <x v="141"/>
    <x v="111"/>
    <x v="61"/>
    <x v="270"/>
    <n v="1.3666666666666667"/>
    <n v="57"/>
    <x v="0"/>
    <n v="138.59285714285716"/>
    <x v="324"/>
    <n v="63434"/>
    <n v="1564"/>
    <n v="1.7994154183412495E-2"/>
    <s v="Oct-13"/>
    <x v="10"/>
    <n v="2.6178861788617884"/>
  </r>
  <r>
    <x v="117"/>
    <n v="108"/>
    <x v="3"/>
    <x v="0"/>
    <x v="0"/>
    <x v="30"/>
    <x v="0"/>
    <x v="0"/>
    <x v="1"/>
    <x v="188"/>
    <x v="185"/>
    <x v="16"/>
    <n v="80"/>
    <n v="120"/>
    <n v="210"/>
    <n v="41"/>
    <x v="185"/>
    <x v="188"/>
    <x v="60"/>
    <x v="380"/>
    <n v="1.35"/>
    <n v="52"/>
    <x v="0"/>
    <n v="118.56666666666666"/>
    <x v="446"/>
    <n v="48504"/>
    <n v="1230"/>
    <n v="2.0330969267139481E-2"/>
    <s v="Oct-13"/>
    <x v="9"/>
    <n v="2.6111111111111112"/>
  </r>
  <r>
    <x v="83"/>
    <n v="82"/>
    <x v="3"/>
    <x v="0"/>
    <x v="0"/>
    <x v="15"/>
    <x v="0"/>
    <x v="1"/>
    <x v="2"/>
    <x v="96"/>
    <x v="18"/>
    <x v="18"/>
    <n v="50"/>
    <n v="60"/>
    <n v="140"/>
    <n v="58"/>
    <x v="18"/>
    <x v="96"/>
    <x v="43"/>
    <x v="240"/>
    <n v="1.64"/>
    <n v="36"/>
    <x v="0"/>
    <n v="58.4"/>
    <x v="292"/>
    <n v="20928"/>
    <n v="1566"/>
    <n v="1.6309887869520895E-2"/>
    <s v="Oct-13"/>
    <x v="6"/>
    <n v="2.6585365853658538"/>
  </r>
  <r>
    <x v="83"/>
    <n v="91"/>
    <x v="3"/>
    <x v="0"/>
    <x v="0"/>
    <x v="16"/>
    <x v="0"/>
    <x v="1"/>
    <x v="11"/>
    <x v="52"/>
    <x v="54"/>
    <x v="18"/>
    <n v="50"/>
    <n v="80"/>
    <n v="150"/>
    <n v="51"/>
    <x v="54"/>
    <x v="52"/>
    <x v="63"/>
    <x v="79"/>
    <n v="1.82"/>
    <n v="33"/>
    <x v="0"/>
    <n v="78.587500000000006"/>
    <x v="84"/>
    <n v="26216"/>
    <n v="1428"/>
    <n v="1.7395320197044335E-2"/>
    <s v="Oct-13"/>
    <x v="7"/>
    <n v="2.5494505494505493"/>
  </r>
  <r>
    <x v="1"/>
    <n v="90"/>
    <x v="3"/>
    <x v="0"/>
    <x v="0"/>
    <x v="39"/>
    <x v="0"/>
    <x v="1"/>
    <x v="3"/>
    <x v="112"/>
    <x v="18"/>
    <x v="0"/>
    <n v="50"/>
    <n v="80"/>
    <n v="140"/>
    <n v="41"/>
    <x v="18"/>
    <x v="112"/>
    <x v="13"/>
    <x v="271"/>
    <n v="1.8"/>
    <n v="30"/>
    <x v="0"/>
    <n v="78.625"/>
    <x v="234"/>
    <n v="23980"/>
    <n v="1189"/>
    <n v="1.7399557102182852E-2"/>
    <s v="Oct-13"/>
    <x v="0"/>
    <n v="2.4222222222222221"/>
  </r>
  <r>
    <x v="77"/>
    <n v="10"/>
    <x v="3"/>
    <x v="1"/>
    <x v="0"/>
    <x v="61"/>
    <x v="1"/>
    <x v="3"/>
    <x v="5"/>
    <x v="37"/>
    <x v="220"/>
    <x v="4"/>
    <n v="0"/>
    <n v="10"/>
    <n v="10"/>
    <n v="15"/>
    <x v="220"/>
    <x v="37"/>
    <x v="207"/>
    <x v="160"/>
    <e v="#DIV/0!"/>
    <n v="-13"/>
    <x v="0"/>
    <n v="10.3"/>
    <x v="451"/>
    <n v="-75"/>
    <n v="45"/>
    <n v="-0.04"/>
    <s v="Oct-13"/>
    <x v="4"/>
    <n v="2.5"/>
  </r>
  <r>
    <x v="41"/>
    <n v="86"/>
    <x v="3"/>
    <x v="1"/>
    <x v="0"/>
    <x v="16"/>
    <x v="1"/>
    <x v="3"/>
    <x v="5"/>
    <x v="192"/>
    <x v="179"/>
    <x v="13"/>
    <n v="80"/>
    <n v="100"/>
    <n v="200"/>
    <n v="55"/>
    <x v="179"/>
    <x v="192"/>
    <x v="124"/>
    <x v="170"/>
    <n v="1.075"/>
    <n v="-9"/>
    <x v="0"/>
    <n v="99.09"/>
    <x v="452"/>
    <n v="19565"/>
    <n v="1540"/>
    <n v="1.5116279069767442E-2"/>
    <s v="Oct-13"/>
    <x v="10"/>
    <n v="2.5"/>
  </r>
  <r>
    <x v="13"/>
    <n v="79"/>
    <x v="3"/>
    <x v="1"/>
    <x v="0"/>
    <x v="30"/>
    <x v="1"/>
    <x v="3"/>
    <x v="7"/>
    <x v="33"/>
    <x v="90"/>
    <x v="12"/>
    <n v="70"/>
    <n v="70"/>
    <n v="170"/>
    <n v="63"/>
    <x v="90"/>
    <x v="33"/>
    <x v="52"/>
    <x v="385"/>
    <n v="1.1285714285714286"/>
    <n v="-18"/>
    <x v="0"/>
    <n v="69.257142857142853"/>
    <x v="453"/>
    <n v="9828"/>
    <n v="1890"/>
    <n v="9.1710758377425046E-3"/>
    <s v="Oct-13"/>
    <x v="10"/>
    <n v="2.3924050632911391"/>
  </r>
  <r>
    <x v="112"/>
    <n v="96"/>
    <x v="3"/>
    <x v="1"/>
    <x v="0"/>
    <x v="41"/>
    <x v="1"/>
    <x v="3"/>
    <x v="7"/>
    <x v="22"/>
    <x v="132"/>
    <x v="13"/>
    <n v="90"/>
    <n v="60"/>
    <n v="230"/>
    <n v="116"/>
    <x v="132"/>
    <x v="22"/>
    <x v="168"/>
    <x v="325"/>
    <n v="1.0666666666666667"/>
    <n v="-33"/>
    <x v="0"/>
    <n v="59.55"/>
    <x v="371"/>
    <n v="6615"/>
    <n v="10092"/>
    <n v="1.2667135819845179E-3"/>
    <s v="Oct-13"/>
    <x v="30"/>
    <n v="2.5520833333333335"/>
  </r>
  <r>
    <x v="13"/>
    <n v="40"/>
    <x v="3"/>
    <x v="1"/>
    <x v="0"/>
    <x v="9"/>
    <x v="1"/>
    <x v="2"/>
    <x v="8"/>
    <x v="36"/>
    <x v="28"/>
    <x v="12"/>
    <n v="50"/>
    <n v="90"/>
    <n v="140"/>
    <n v="23"/>
    <x v="28"/>
    <x v="36"/>
    <x v="62"/>
    <x v="77"/>
    <n v="0.8"/>
    <n v="-37"/>
    <x v="0"/>
    <n v="89.411111111111111"/>
    <x v="82"/>
    <n v="5618"/>
    <n v="253"/>
    <n v="4.5454545454545456E-2"/>
    <s v="Oct-13"/>
    <x v="2"/>
    <n v="2.65"/>
  </r>
  <r>
    <x v="14"/>
    <n v="80"/>
    <x v="3"/>
    <x v="1"/>
    <x v="0"/>
    <x v="23"/>
    <x v="1"/>
    <x v="2"/>
    <x v="8"/>
    <x v="53"/>
    <x v="86"/>
    <x v="13"/>
    <n v="110"/>
    <n v="120"/>
    <n v="250"/>
    <n v="46"/>
    <x v="86"/>
    <x v="53"/>
    <x v="35"/>
    <x v="139"/>
    <n v="0.72727272727272729"/>
    <n v="-49"/>
    <x v="0"/>
    <n v="119.40833333333333"/>
    <x v="154"/>
    <n v="13135"/>
    <n v="1104"/>
    <n v="1.5990990990990991E-2"/>
    <s v="Oct-13"/>
    <x v="13"/>
    <n v="2.3125"/>
  </r>
  <r>
    <x v="66"/>
    <n v="257"/>
    <x v="3"/>
    <x v="1"/>
    <x v="0"/>
    <x v="60"/>
    <x v="0"/>
    <x v="0"/>
    <x v="10"/>
    <x v="191"/>
    <x v="219"/>
    <x v="4"/>
    <n v="200"/>
    <n v="210"/>
    <n v="480"/>
    <n v="117"/>
    <x v="219"/>
    <x v="191"/>
    <x v="206"/>
    <x v="384"/>
    <n v="1.2849999999999999"/>
    <n v="122"/>
    <x v="0"/>
    <n v="208.41904761904763"/>
    <x v="450"/>
    <n v="211484"/>
    <n v="9828"/>
    <n v="6.2046796740674297E-3"/>
    <s v="Oct-13"/>
    <x v="24"/>
    <n v="2.4785992217898833"/>
  </r>
  <r>
    <x v="74"/>
    <n v="122"/>
    <x v="3"/>
    <x v="1"/>
    <x v="0"/>
    <x v="59"/>
    <x v="0"/>
    <x v="0"/>
    <x v="0"/>
    <x v="193"/>
    <x v="216"/>
    <x v="4"/>
    <n v="90"/>
    <n v="130"/>
    <n v="240"/>
    <n v="62"/>
    <x v="216"/>
    <x v="193"/>
    <x v="127"/>
    <x v="386"/>
    <n v="1.3555555555555556"/>
    <n v="39"/>
    <x v="0"/>
    <n v="128.69999999999999"/>
    <x v="454"/>
    <n v="53742"/>
    <n v="2418"/>
    <n v="1.3626834381551363E-2"/>
    <s v="Oct-13"/>
    <x v="8"/>
    <n v="2.6065573770491803"/>
  </r>
  <r>
    <x v="40"/>
    <n v="86"/>
    <x v="3"/>
    <x v="1"/>
    <x v="0"/>
    <x v="32"/>
    <x v="0"/>
    <x v="0"/>
    <x v="0"/>
    <x v="81"/>
    <x v="52"/>
    <x v="12"/>
    <n v="60"/>
    <n v="10"/>
    <n v="80"/>
    <n v="49"/>
    <x v="52"/>
    <x v="81"/>
    <x v="109"/>
    <x v="175"/>
    <n v="1.4333333333333333"/>
    <n v="-49"/>
    <x v="0"/>
    <n v="13.9"/>
    <x v="202"/>
    <n v="-4524"/>
    <n v="1274"/>
    <n v="-1.2931034482758621E-2"/>
    <s v="Oct-13"/>
    <x v="7"/>
    <n v="1.3488372093023255"/>
  </r>
  <r>
    <x v="74"/>
    <n v="239"/>
    <x v="3"/>
    <x v="1"/>
    <x v="0"/>
    <x v="49"/>
    <x v="0"/>
    <x v="1"/>
    <x v="2"/>
    <x v="189"/>
    <x v="217"/>
    <x v="4"/>
    <n v="170"/>
    <n v="110"/>
    <n v="340"/>
    <n v="90"/>
    <x v="217"/>
    <x v="189"/>
    <x v="205"/>
    <x v="382"/>
    <n v="1.4058823529411764"/>
    <n v="111"/>
    <x v="0"/>
    <n v="107.99090909090908"/>
    <x v="448"/>
    <n v="112489"/>
    <n v="5940"/>
    <n v="6.578555694469251E-3"/>
    <s v="Oct-13"/>
    <x v="28"/>
    <n v="2.1297071129707112"/>
  </r>
  <r>
    <x v="74"/>
    <n v="255"/>
    <x v="3"/>
    <x v="1"/>
    <x v="0"/>
    <x v="50"/>
    <x v="0"/>
    <x v="1"/>
    <x v="11"/>
    <x v="194"/>
    <x v="221"/>
    <x v="4"/>
    <n v="170"/>
    <n v="130"/>
    <n v="400"/>
    <n v="129"/>
    <x v="221"/>
    <x v="194"/>
    <x v="208"/>
    <x v="136"/>
    <n v="1.5"/>
    <n v="142"/>
    <x v="0"/>
    <n v="127.9076923076923"/>
    <x v="455"/>
    <n v="164288"/>
    <n v="12384"/>
    <n v="4.690949227373069E-3"/>
    <s v="Oct-13"/>
    <x v="24"/>
    <n v="2.3686274509803922"/>
  </r>
  <r>
    <x v="13"/>
    <n v="25"/>
    <x v="3"/>
    <x v="1"/>
    <x v="0"/>
    <x v="8"/>
    <x v="0"/>
    <x v="1"/>
    <x v="11"/>
    <x v="86"/>
    <x v="94"/>
    <x v="12"/>
    <n v="10"/>
    <n v="0"/>
    <n v="30"/>
    <n v="42"/>
    <x v="94"/>
    <x v="86"/>
    <x v="82"/>
    <x v="387"/>
    <n v="2.5"/>
    <n v="-16"/>
    <x v="0"/>
    <e v="#DIV/0!"/>
    <x v="456"/>
    <n v="-960"/>
    <n v="378"/>
    <n v="-2.9629629629629627E-2"/>
    <s v="Oct-13"/>
    <x v="3"/>
    <n v="2.4"/>
  </r>
  <r>
    <x v="43"/>
    <n v="81"/>
    <x v="4"/>
    <x v="0"/>
    <x v="0"/>
    <x v="34"/>
    <x v="1"/>
    <x v="3"/>
    <x v="5"/>
    <x v="166"/>
    <x v="192"/>
    <x v="0"/>
    <n v="80"/>
    <n v="80"/>
    <n v="190"/>
    <n v="33"/>
    <x v="192"/>
    <x v="166"/>
    <x v="32"/>
    <x v="341"/>
    <n v="1.0125"/>
    <n v="45"/>
    <x v="0"/>
    <n v="78.4375"/>
    <x v="401"/>
    <n v="26375"/>
    <n v="726"/>
    <n v="2.6928048255062471E-2"/>
    <s v="Nov-13"/>
    <x v="8"/>
    <n v="2.6049382716049383"/>
  </r>
  <r>
    <x v="24"/>
    <n v="113"/>
    <x v="4"/>
    <x v="0"/>
    <x v="0"/>
    <x v="62"/>
    <x v="1"/>
    <x v="3"/>
    <x v="5"/>
    <x v="183"/>
    <x v="222"/>
    <x v="16"/>
    <n v="110"/>
    <n v="110"/>
    <n v="270"/>
    <n v="59"/>
    <x v="222"/>
    <x v="183"/>
    <x v="92"/>
    <x v="388"/>
    <n v="1.0272727272727273"/>
    <n v="47"/>
    <x v="0"/>
    <n v="108.57272727272728"/>
    <x v="457"/>
    <n v="46472"/>
    <n v="2124"/>
    <n v="1.4733483483483483E-2"/>
    <s v="Nov-13"/>
    <x v="17"/>
    <n v="2.6194690265486726"/>
  </r>
  <r>
    <x v="1"/>
    <n v="75"/>
    <x v="4"/>
    <x v="0"/>
    <x v="0"/>
    <x v="23"/>
    <x v="1"/>
    <x v="2"/>
    <x v="4"/>
    <x v="89"/>
    <x v="123"/>
    <x v="0"/>
    <n v="90"/>
    <n v="100"/>
    <n v="240"/>
    <n v="56"/>
    <x v="123"/>
    <x v="89"/>
    <x v="14"/>
    <x v="389"/>
    <n v="0.83333333333333337"/>
    <n v="-14"/>
    <x v="0"/>
    <n v="99.14"/>
    <x v="458"/>
    <n v="17286"/>
    <n v="1344"/>
    <n v="1.7827529021558874E-2"/>
    <s v="Nov-13"/>
    <x v="14"/>
    <n v="2.68"/>
  </r>
  <r>
    <x v="24"/>
    <n v="211"/>
    <x v="4"/>
    <x v="0"/>
    <x v="0"/>
    <x v="53"/>
    <x v="1"/>
    <x v="2"/>
    <x v="4"/>
    <x v="156"/>
    <x v="223"/>
    <x v="16"/>
    <n v="270"/>
    <n v="200"/>
    <n v="540"/>
    <n v="83"/>
    <x v="223"/>
    <x v="156"/>
    <x v="209"/>
    <x v="390"/>
    <n v="0.78148148148148144"/>
    <n v="-9"/>
    <x v="0"/>
    <n v="199.04499999999999"/>
    <x v="459"/>
    <n v="86141"/>
    <n v="4897"/>
    <n v="7.1780224735991573E-3"/>
    <s v="Nov-13"/>
    <x v="37"/>
    <n v="2.1374407582938391"/>
  </r>
  <r>
    <x v="23"/>
    <n v="118"/>
    <x v="4"/>
    <x v="0"/>
    <x v="0"/>
    <x v="40"/>
    <x v="1"/>
    <x v="3"/>
    <x v="6"/>
    <x v="195"/>
    <x v="144"/>
    <x v="0"/>
    <n v="110"/>
    <n v="130"/>
    <n v="280"/>
    <n v="44"/>
    <x v="144"/>
    <x v="195"/>
    <x v="63"/>
    <x v="391"/>
    <n v="1.0727272727272728"/>
    <n v="60"/>
    <x v="0"/>
    <n v="128.53846153846155"/>
    <x v="460"/>
    <n v="58710"/>
    <n v="1452"/>
    <n v="1.8632931254290479E-2"/>
    <s v="Nov-13"/>
    <x v="16"/>
    <n v="2.6186440677966103"/>
  </r>
  <r>
    <x v="117"/>
    <n v="173"/>
    <x v="4"/>
    <x v="0"/>
    <x v="0"/>
    <x v="63"/>
    <x v="1"/>
    <x v="3"/>
    <x v="7"/>
    <x v="196"/>
    <x v="224"/>
    <x v="16"/>
    <n v="170"/>
    <n v="140"/>
    <n v="400"/>
    <n v="100"/>
    <x v="224"/>
    <x v="196"/>
    <x v="210"/>
    <x v="392"/>
    <n v="1.0176470588235293"/>
    <n v="66"/>
    <x v="0"/>
    <n v="138.52857142857144"/>
    <x v="461"/>
    <n v="90434"/>
    <n v="5700"/>
    <n v="8.2324261679255096E-3"/>
    <s v="Nov-13"/>
    <x v="38"/>
    <n v="2.5375722543352599"/>
  </r>
  <r>
    <x v="0"/>
    <n v="50"/>
    <x v="4"/>
    <x v="0"/>
    <x v="0"/>
    <x v="10"/>
    <x v="1"/>
    <x v="2"/>
    <x v="8"/>
    <x v="53"/>
    <x v="41"/>
    <x v="0"/>
    <n v="60"/>
    <n v="70"/>
    <n v="150"/>
    <n v="25"/>
    <x v="41"/>
    <x v="53"/>
    <x v="64"/>
    <x v="80"/>
    <n v="0.83333333333333337"/>
    <n v="1"/>
    <x v="0"/>
    <n v="68.98571428571428"/>
    <x v="86"/>
    <n v="9301"/>
    <n v="350"/>
    <n v="3.8713195201744821E-2"/>
    <s v="Nov-13"/>
    <x v="6"/>
    <n v="2.62"/>
  </r>
  <r>
    <x v="89"/>
    <n v="228"/>
    <x v="4"/>
    <x v="0"/>
    <x v="0"/>
    <x v="64"/>
    <x v="1"/>
    <x v="2"/>
    <x v="8"/>
    <x v="197"/>
    <x v="205"/>
    <x v="16"/>
    <n v="290"/>
    <n v="290"/>
    <n v="680"/>
    <n v="108"/>
    <x v="205"/>
    <x v="197"/>
    <x v="211"/>
    <x v="393"/>
    <n v="0.78620689655172415"/>
    <n v="1"/>
    <x v="0"/>
    <n v="288.99655172413793"/>
    <x v="462"/>
    <n v="164997"/>
    <n v="8100"/>
    <n v="6.8430335097001763E-3"/>
    <s v="Nov-13"/>
    <x v="39"/>
    <n v="2.486842105263158"/>
  </r>
  <r>
    <x v="104"/>
    <n v="181"/>
    <x v="4"/>
    <x v="0"/>
    <x v="0"/>
    <x v="52"/>
    <x v="1"/>
    <x v="2"/>
    <x v="8"/>
    <x v="198"/>
    <x v="189"/>
    <x v="18"/>
    <n v="230"/>
    <n v="170"/>
    <n v="460"/>
    <n v="75"/>
    <x v="189"/>
    <x v="198"/>
    <x v="212"/>
    <x v="394"/>
    <n v="0.78695652173913044"/>
    <n v="-11"/>
    <x v="0"/>
    <n v="169.06470588235294"/>
    <x v="463"/>
    <n v="61533"/>
    <n v="3750"/>
    <n v="8.2170542635658927E-3"/>
    <s v="Nov-13"/>
    <x v="40"/>
    <n v="2.1381215469613259"/>
  </r>
  <r>
    <x v="1"/>
    <n v="181"/>
    <x v="4"/>
    <x v="0"/>
    <x v="0"/>
    <x v="52"/>
    <x v="0"/>
    <x v="0"/>
    <x v="10"/>
    <x v="198"/>
    <x v="189"/>
    <x v="0"/>
    <n v="170"/>
    <n v="100"/>
    <n v="330"/>
    <n v="75"/>
    <x v="189"/>
    <x v="198"/>
    <x v="212"/>
    <x v="394"/>
    <n v="1.0647058823529412"/>
    <n v="59"/>
    <x v="0"/>
    <n v="98.41"/>
    <x v="463"/>
    <n v="61533"/>
    <n v="3750"/>
    <n v="8.2170542635658927E-3"/>
    <s v="Nov-13"/>
    <x v="28"/>
    <n v="2.1381215469613259"/>
  </r>
  <r>
    <x v="52"/>
    <n v="118"/>
    <x v="4"/>
    <x v="0"/>
    <x v="0"/>
    <x v="40"/>
    <x v="0"/>
    <x v="0"/>
    <x v="10"/>
    <x v="105"/>
    <x v="144"/>
    <x v="16"/>
    <n v="110"/>
    <n v="110"/>
    <n v="260"/>
    <n v="45"/>
    <x v="144"/>
    <x v="105"/>
    <x v="72"/>
    <x v="275"/>
    <n v="1.0727272727272728"/>
    <n v="78"/>
    <x v="0"/>
    <n v="108.2909090909091"/>
    <x v="327"/>
    <n v="58092"/>
    <n v="1485"/>
    <n v="1.8436795135824264E-2"/>
    <s v="Nov-13"/>
    <x v="16"/>
    <n v="2.6186440677966103"/>
  </r>
  <r>
    <x v="52"/>
    <n v="81"/>
    <x v="4"/>
    <x v="0"/>
    <x v="0"/>
    <x v="34"/>
    <x v="0"/>
    <x v="0"/>
    <x v="1"/>
    <x v="166"/>
    <x v="192"/>
    <x v="16"/>
    <n v="70"/>
    <n v="80"/>
    <n v="180"/>
    <n v="33"/>
    <x v="192"/>
    <x v="166"/>
    <x v="32"/>
    <x v="341"/>
    <n v="1.1571428571428573"/>
    <n v="45"/>
    <x v="0"/>
    <n v="78.4375"/>
    <x v="401"/>
    <n v="26375"/>
    <n v="726"/>
    <n v="2.6928048255062471E-2"/>
    <s v="Nov-13"/>
    <x v="10"/>
    <n v="2.6049382716049383"/>
  </r>
  <r>
    <x v="69"/>
    <n v="78"/>
    <x v="4"/>
    <x v="0"/>
    <x v="0"/>
    <x v="26"/>
    <x v="0"/>
    <x v="1"/>
    <x v="2"/>
    <x v="115"/>
    <x v="145"/>
    <x v="18"/>
    <n v="60"/>
    <n v="60"/>
    <n v="160"/>
    <n v="57"/>
    <x v="145"/>
    <x v="115"/>
    <x v="41"/>
    <x v="276"/>
    <n v="1.3"/>
    <n v="32"/>
    <x v="0"/>
    <n v="58.466666666666669"/>
    <x v="328"/>
    <n v="19320"/>
    <n v="1425"/>
    <n v="1.7523809523809525E-2"/>
    <s v="Nov-13"/>
    <x v="10"/>
    <n v="2.6923076923076925"/>
  </r>
  <r>
    <x v="103"/>
    <n v="75"/>
    <x v="4"/>
    <x v="0"/>
    <x v="0"/>
    <x v="23"/>
    <x v="0"/>
    <x v="1"/>
    <x v="11"/>
    <x v="97"/>
    <x v="123"/>
    <x v="16"/>
    <n v="60"/>
    <n v="50"/>
    <n v="150"/>
    <n v="55"/>
    <x v="123"/>
    <x v="97"/>
    <x v="84"/>
    <x v="243"/>
    <n v="1.25"/>
    <n v="38"/>
    <x v="0"/>
    <n v="48.24"/>
    <x v="294"/>
    <n v="17688"/>
    <n v="1320"/>
    <n v="1.824212271973466E-2"/>
    <s v="Nov-13"/>
    <x v="10"/>
    <n v="2.68"/>
  </r>
  <r>
    <x v="113"/>
    <n v="102"/>
    <x v="4"/>
    <x v="0"/>
    <x v="0"/>
    <x v="33"/>
    <x v="0"/>
    <x v="1"/>
    <x v="11"/>
    <x v="117"/>
    <x v="147"/>
    <x v="18"/>
    <n v="80"/>
    <n v="70"/>
    <n v="200"/>
    <n v="54"/>
    <x v="147"/>
    <x v="117"/>
    <x v="111"/>
    <x v="278"/>
    <n v="1.2749999999999999"/>
    <n v="62"/>
    <x v="0"/>
    <n v="68.114285714285714"/>
    <x v="330"/>
    <n v="34452"/>
    <n v="1674"/>
    <n v="1.6314423433444566E-2"/>
    <s v="Nov-13"/>
    <x v="13"/>
    <n v="2.5588235294117645"/>
  </r>
  <r>
    <x v="1"/>
    <n v="88"/>
    <x v="4"/>
    <x v="0"/>
    <x v="0"/>
    <x v="39"/>
    <x v="0"/>
    <x v="1"/>
    <x v="3"/>
    <x v="199"/>
    <x v="146"/>
    <x v="0"/>
    <n v="70"/>
    <n v="60"/>
    <n v="160"/>
    <n v="42"/>
    <x v="146"/>
    <x v="199"/>
    <x v="26"/>
    <x v="395"/>
    <n v="1.2571428571428571"/>
    <n v="44"/>
    <x v="0"/>
    <n v="58.266666666666666"/>
    <x v="464"/>
    <n v="22152"/>
    <n v="1218"/>
    <n v="1.6836652096486968E-2"/>
    <s v="Nov-13"/>
    <x v="10"/>
    <n v="2.4204545454545454"/>
  </r>
  <r>
    <x v="66"/>
    <n v="10"/>
    <x v="4"/>
    <x v="1"/>
    <x v="0"/>
    <x v="61"/>
    <x v="1"/>
    <x v="3"/>
    <x v="5"/>
    <x v="64"/>
    <x v="220"/>
    <x v="4"/>
    <n v="0"/>
    <n v="10"/>
    <n v="20"/>
    <n v="16"/>
    <x v="220"/>
    <x v="64"/>
    <x v="122"/>
    <x v="222"/>
    <e v="#DIV/0!"/>
    <n v="-14"/>
    <x v="0"/>
    <n v="10.4"/>
    <x v="465"/>
    <n v="-100"/>
    <n v="48"/>
    <n v="-5.333333333333333E-2"/>
    <s v="Nov-13"/>
    <x v="12"/>
    <n v="2.5"/>
  </r>
  <r>
    <x v="41"/>
    <n v="77"/>
    <x v="4"/>
    <x v="1"/>
    <x v="0"/>
    <x v="26"/>
    <x v="1"/>
    <x v="3"/>
    <x v="5"/>
    <x v="20"/>
    <x v="186"/>
    <x v="13"/>
    <n v="70"/>
    <n v="60"/>
    <n v="170"/>
    <n v="52"/>
    <x v="186"/>
    <x v="20"/>
    <x v="11"/>
    <x v="333"/>
    <n v="1.1000000000000001"/>
    <n v="16"/>
    <x v="0"/>
    <n v="58.733333333333334"/>
    <x v="392"/>
    <n v="14592"/>
    <n v="1300"/>
    <n v="1.5833333333333335E-2"/>
    <s v="Nov-13"/>
    <x v="8"/>
    <n v="2.4935064935064934"/>
  </r>
  <r>
    <x v="5"/>
    <n v="15"/>
    <x v="4"/>
    <x v="1"/>
    <x v="0"/>
    <x v="36"/>
    <x v="1"/>
    <x v="3"/>
    <x v="6"/>
    <x v="14"/>
    <x v="120"/>
    <x v="4"/>
    <n v="10"/>
    <n v="10"/>
    <n v="30"/>
    <n v="16"/>
    <x v="120"/>
    <x v="14"/>
    <x v="121"/>
    <x v="7"/>
    <n v="1.5"/>
    <n v="2"/>
    <x v="0"/>
    <n v="8.8000000000000007"/>
    <x v="276"/>
    <n v="504"/>
    <n v="64"/>
    <n v="7.1428571428571425E-2"/>
    <s v="Nov-13"/>
    <x v="5"/>
    <n v="2.8"/>
  </r>
  <r>
    <x v="13"/>
    <n v="82"/>
    <x v="4"/>
    <x v="1"/>
    <x v="0"/>
    <x v="33"/>
    <x v="1"/>
    <x v="3"/>
    <x v="7"/>
    <x v="4"/>
    <x v="109"/>
    <x v="12"/>
    <n v="80"/>
    <n v="40"/>
    <n v="180"/>
    <n v="64"/>
    <x v="109"/>
    <x v="4"/>
    <x v="65"/>
    <x v="213"/>
    <n v="1.0249999999999999"/>
    <n v="16"/>
    <x v="0"/>
    <n v="38.6"/>
    <x v="245"/>
    <n v="10976"/>
    <n v="1984"/>
    <n v="9.2165898617511521E-3"/>
    <s v="Nov-13"/>
    <x v="14"/>
    <n v="2.3902439024390243"/>
  </r>
  <r>
    <x v="94"/>
    <n v="94"/>
    <x v="4"/>
    <x v="1"/>
    <x v="0"/>
    <x v="43"/>
    <x v="1"/>
    <x v="3"/>
    <x v="7"/>
    <x v="10"/>
    <x v="149"/>
    <x v="13"/>
    <n v="90"/>
    <n v="30"/>
    <n v="220"/>
    <n v="114"/>
    <x v="149"/>
    <x v="10"/>
    <x v="213"/>
    <x v="396"/>
    <n v="1.0444444444444445"/>
    <n v="-6"/>
    <x v="0"/>
    <n v="29.2"/>
    <x v="466"/>
    <n v="5736"/>
    <n v="9690"/>
    <n v="1.1813930593157764E-3"/>
    <s v="Nov-13"/>
    <x v="26"/>
    <n v="2.5425531914893615"/>
  </r>
  <r>
    <x v="13"/>
    <n v="54"/>
    <x v="4"/>
    <x v="1"/>
    <x v="0"/>
    <x v="6"/>
    <x v="1"/>
    <x v="2"/>
    <x v="8"/>
    <x v="20"/>
    <x v="29"/>
    <x v="12"/>
    <n v="60"/>
    <n v="80"/>
    <n v="160"/>
    <n v="27"/>
    <x v="29"/>
    <x v="20"/>
    <x v="22"/>
    <x v="246"/>
    <n v="0.9"/>
    <n v="-4"/>
    <x v="0"/>
    <n v="79.05"/>
    <x v="297"/>
    <n v="10716"/>
    <n v="405"/>
    <n v="3.59338061465721E-2"/>
    <s v="Nov-13"/>
    <x v="6"/>
    <n v="2.6111111111111112"/>
  </r>
  <r>
    <x v="65"/>
    <n v="75"/>
    <x v="4"/>
    <x v="1"/>
    <x v="0"/>
    <x v="4"/>
    <x v="1"/>
    <x v="2"/>
    <x v="8"/>
    <x v="49"/>
    <x v="56"/>
    <x v="13"/>
    <n v="90"/>
    <n v="70"/>
    <n v="200"/>
    <n v="44"/>
    <x v="56"/>
    <x v="49"/>
    <x v="13"/>
    <x v="244"/>
    <n v="0.83333333333333337"/>
    <n v="-3"/>
    <x v="0"/>
    <n v="69.042857142857144"/>
    <x v="295"/>
    <n v="11725"/>
    <n v="1012"/>
    <n v="1.6645962732919253E-2"/>
    <s v="Nov-13"/>
    <x v="13"/>
    <n v="2.3333333333333335"/>
  </r>
  <r>
    <x v="77"/>
    <n v="228"/>
    <x v="4"/>
    <x v="1"/>
    <x v="0"/>
    <x v="64"/>
    <x v="0"/>
    <x v="0"/>
    <x v="10"/>
    <x v="197"/>
    <x v="205"/>
    <x v="4"/>
    <n v="210"/>
    <n v="180"/>
    <n v="490"/>
    <n v="108"/>
    <x v="205"/>
    <x v="197"/>
    <x v="211"/>
    <x v="393"/>
    <n v="1.0857142857142856"/>
    <n v="111"/>
    <x v="0"/>
    <n v="178.38333333333333"/>
    <x v="462"/>
    <n v="164997"/>
    <n v="8100"/>
    <n v="6.8430335097001763E-3"/>
    <s v="Nov-13"/>
    <x v="22"/>
    <n v="2.486842105263158"/>
  </r>
  <r>
    <x v="77"/>
    <n v="113"/>
    <x v="4"/>
    <x v="1"/>
    <x v="0"/>
    <x v="62"/>
    <x v="0"/>
    <x v="0"/>
    <x v="0"/>
    <x v="198"/>
    <x v="222"/>
    <x v="4"/>
    <n v="100"/>
    <n v="100"/>
    <n v="250"/>
    <n v="58"/>
    <x v="222"/>
    <x v="198"/>
    <x v="52"/>
    <x v="397"/>
    <n v="1.1299999999999999"/>
    <n v="59"/>
    <x v="0"/>
    <n v="98.41"/>
    <x v="467"/>
    <n v="47064"/>
    <n v="2088"/>
    <n v="1.4921171171171171E-2"/>
    <s v="Nov-13"/>
    <x v="16"/>
    <n v="2.6194690265486726"/>
  </r>
  <r>
    <x v="46"/>
    <n v="211"/>
    <x v="4"/>
    <x v="1"/>
    <x v="0"/>
    <x v="53"/>
    <x v="0"/>
    <x v="1"/>
    <x v="2"/>
    <x v="156"/>
    <x v="223"/>
    <x v="4"/>
    <n v="170"/>
    <n v="110"/>
    <n v="350"/>
    <n v="83"/>
    <x v="223"/>
    <x v="156"/>
    <x v="209"/>
    <x v="390"/>
    <n v="1.2411764705882353"/>
    <n v="81"/>
    <x v="0"/>
    <n v="108.26363636363637"/>
    <x v="459"/>
    <n v="86141"/>
    <n v="4897"/>
    <n v="7.1780224735991573E-3"/>
    <s v="Nov-13"/>
    <x v="27"/>
    <n v="2.1374407582938391"/>
  </r>
  <r>
    <x v="77"/>
    <n v="245"/>
    <x v="4"/>
    <x v="1"/>
    <x v="0"/>
    <x v="54"/>
    <x v="0"/>
    <x v="1"/>
    <x v="11"/>
    <x v="200"/>
    <x v="225"/>
    <x v="4"/>
    <n v="200"/>
    <n v="130"/>
    <n v="450"/>
    <n v="127"/>
    <x v="225"/>
    <x v="200"/>
    <x v="214"/>
    <x v="398"/>
    <n v="1.2250000000000001"/>
    <n v="127"/>
    <x v="0"/>
    <n v="128.02307692307693"/>
    <x v="468"/>
    <n v="149317"/>
    <n v="11811"/>
    <n v="4.7563525993374427E-3"/>
    <s v="Nov-13"/>
    <x v="33"/>
    <n v="2.3714285714285714"/>
  </r>
  <r>
    <x v="43"/>
    <n v="86"/>
    <x v="5"/>
    <x v="0"/>
    <x v="0"/>
    <x v="23"/>
    <x v="1"/>
    <x v="3"/>
    <x v="5"/>
    <x v="201"/>
    <x v="134"/>
    <x v="0"/>
    <n v="80"/>
    <n v="90"/>
    <n v="200"/>
    <n v="36"/>
    <x v="134"/>
    <x v="201"/>
    <x v="73"/>
    <x v="399"/>
    <n v="1.075"/>
    <n v="41"/>
    <x v="0"/>
    <n v="88.544444444444451"/>
    <x v="469"/>
    <n v="29344"/>
    <n v="864"/>
    <n v="2.4367559523809524E-2"/>
    <s v="Dec-13"/>
    <x v="8"/>
    <n v="2.6046511627906979"/>
  </r>
  <r>
    <x v="82"/>
    <n v="127"/>
    <x v="5"/>
    <x v="0"/>
    <x v="0"/>
    <x v="19"/>
    <x v="1"/>
    <x v="3"/>
    <x v="5"/>
    <x v="128"/>
    <x v="226"/>
    <x v="16"/>
    <n v="120"/>
    <n v="130"/>
    <n v="300"/>
    <n v="63"/>
    <x v="226"/>
    <x v="128"/>
    <x v="215"/>
    <x v="400"/>
    <n v="1.0583333333333333"/>
    <n v="51"/>
    <x v="0"/>
    <n v="128.6076923076923"/>
    <x v="470"/>
    <n v="60092"/>
    <n v="2520"/>
    <n v="1.3629518072289157E-2"/>
    <s v="Dec-13"/>
    <x v="30"/>
    <n v="2.6141732283464565"/>
  </r>
  <r>
    <x v="43"/>
    <n v="67"/>
    <x v="5"/>
    <x v="0"/>
    <x v="0"/>
    <x v="34"/>
    <x v="1"/>
    <x v="2"/>
    <x v="4"/>
    <x v="50"/>
    <x v="110"/>
    <x v="0"/>
    <n v="80"/>
    <n v="80"/>
    <n v="210"/>
    <n v="54"/>
    <x v="110"/>
    <x v="50"/>
    <x v="26"/>
    <x v="215"/>
    <n v="0.83750000000000002"/>
    <n v="-10"/>
    <x v="0"/>
    <n v="79.125"/>
    <x v="247"/>
    <n v="12530"/>
    <n v="1188"/>
    <n v="1.7775520568816656E-2"/>
    <s v="Dec-13"/>
    <x v="13"/>
    <n v="2.6716417910447761"/>
  </r>
  <r>
    <x v="68"/>
    <n v="250"/>
    <x v="5"/>
    <x v="0"/>
    <x v="0"/>
    <x v="57"/>
    <x v="1"/>
    <x v="2"/>
    <x v="4"/>
    <x v="202"/>
    <x v="213"/>
    <x v="16"/>
    <n v="320"/>
    <n v="240"/>
    <n v="640"/>
    <n v="94"/>
    <x v="213"/>
    <x v="202"/>
    <x v="216"/>
    <x v="401"/>
    <n v="0.78125"/>
    <n v="-7"/>
    <x v="0"/>
    <n v="239.02916666666667"/>
    <x v="471"/>
    <n v="124422"/>
    <n v="6580"/>
    <n v="6.2332798287854469E-3"/>
    <s v="Dec-13"/>
    <x v="41"/>
    <n v="2.1360000000000001"/>
  </r>
  <r>
    <x v="0"/>
    <n v="123"/>
    <x v="5"/>
    <x v="0"/>
    <x v="0"/>
    <x v="38"/>
    <x v="1"/>
    <x v="3"/>
    <x v="6"/>
    <x v="158"/>
    <x v="141"/>
    <x v="0"/>
    <n v="120"/>
    <n v="130"/>
    <n v="290"/>
    <n v="45"/>
    <x v="141"/>
    <x v="158"/>
    <x v="49"/>
    <x v="332"/>
    <n v="1.0249999999999999"/>
    <n v="69"/>
    <x v="0"/>
    <n v="128.46923076923076"/>
    <x v="391"/>
    <n v="64078"/>
    <n v="1530"/>
    <n v="1.8176835951772011E-2"/>
    <s v="Dec-13"/>
    <x v="17"/>
    <n v="2.6178861788617884"/>
  </r>
  <r>
    <x v="82"/>
    <n v="224"/>
    <x v="5"/>
    <x v="0"/>
    <x v="0"/>
    <x v="65"/>
    <x v="1"/>
    <x v="3"/>
    <x v="7"/>
    <x v="203"/>
    <x v="227"/>
    <x v="16"/>
    <n v="220"/>
    <n v="190"/>
    <n v="520"/>
    <n v="116"/>
    <x v="227"/>
    <x v="203"/>
    <x v="217"/>
    <x v="402"/>
    <n v="1.0181818181818181"/>
    <n v="98"/>
    <x v="0"/>
    <n v="188.48421052631579"/>
    <x v="472"/>
    <n v="163872"/>
    <n v="8468"/>
    <n v="6.9335772925343663E-3"/>
    <s v="Dec-13"/>
    <x v="25"/>
    <n v="2.5401785714285716"/>
  </r>
  <r>
    <x v="1"/>
    <n v="54"/>
    <x v="5"/>
    <x v="0"/>
    <x v="0"/>
    <x v="6"/>
    <x v="1"/>
    <x v="2"/>
    <x v="8"/>
    <x v="63"/>
    <x v="64"/>
    <x v="0"/>
    <n v="60"/>
    <n v="90"/>
    <n v="170"/>
    <n v="26"/>
    <x v="64"/>
    <x v="63"/>
    <x v="17"/>
    <x v="104"/>
    <n v="0.9"/>
    <n v="-11"/>
    <x v="0"/>
    <n v="89.12222222222222"/>
    <x v="113"/>
    <n v="11218"/>
    <n v="390"/>
    <n v="3.7089201877934269E-2"/>
    <s v="Dec-13"/>
    <x v="6"/>
    <n v="2.6296296296296298"/>
  </r>
  <r>
    <x v="52"/>
    <n v="247"/>
    <x v="5"/>
    <x v="0"/>
    <x v="0"/>
    <x v="66"/>
    <x v="1"/>
    <x v="2"/>
    <x v="8"/>
    <x v="204"/>
    <x v="191"/>
    <x v="16"/>
    <n v="310"/>
    <n v="320"/>
    <n v="730"/>
    <n v="113"/>
    <x v="191"/>
    <x v="204"/>
    <x v="218"/>
    <x v="403"/>
    <n v="0.79677419354838708"/>
    <n v="1"/>
    <x v="0"/>
    <n v="318.99687499999999"/>
    <x v="473"/>
    <n v="197094"/>
    <n v="9153"/>
    <n v="6.4543370732295813E-3"/>
    <s v="Dec-13"/>
    <x v="35"/>
    <n v="2.4858299595141702"/>
  </r>
  <r>
    <x v="90"/>
    <n v="153"/>
    <x v="5"/>
    <x v="0"/>
    <x v="0"/>
    <x v="22"/>
    <x v="1"/>
    <x v="2"/>
    <x v="8"/>
    <x v="113"/>
    <x v="196"/>
    <x v="18"/>
    <n v="190"/>
    <n v="140"/>
    <n v="390"/>
    <n v="66"/>
    <x v="196"/>
    <x v="113"/>
    <x v="184"/>
    <x v="150"/>
    <n v="0.80526315789473679"/>
    <n v="-11"/>
    <x v="0"/>
    <n v="139.07857142857142"/>
    <x v="409"/>
    <n v="42054"/>
    <n v="2772"/>
    <n v="9.4215600350569684E-3"/>
    <s v="Dec-13"/>
    <x v="34"/>
    <n v="2.130718954248366"/>
  </r>
  <r>
    <x v="1"/>
    <n v="153"/>
    <x v="5"/>
    <x v="0"/>
    <x v="0"/>
    <x v="22"/>
    <x v="0"/>
    <x v="0"/>
    <x v="10"/>
    <x v="113"/>
    <x v="196"/>
    <x v="0"/>
    <n v="140"/>
    <n v="80"/>
    <n v="280"/>
    <n v="66"/>
    <x v="196"/>
    <x v="113"/>
    <x v="184"/>
    <x v="150"/>
    <n v="1.0928571428571427"/>
    <n v="49"/>
    <x v="0"/>
    <n v="78.387500000000003"/>
    <x v="409"/>
    <n v="42054"/>
    <n v="2772"/>
    <n v="9.4215600350569684E-3"/>
    <s v="Dec-13"/>
    <x v="21"/>
    <n v="2.130718954248366"/>
  </r>
  <r>
    <x v="137"/>
    <n v="123"/>
    <x v="5"/>
    <x v="0"/>
    <x v="0"/>
    <x v="38"/>
    <x v="0"/>
    <x v="0"/>
    <x v="10"/>
    <x v="111"/>
    <x v="141"/>
    <x v="16"/>
    <n v="110"/>
    <n v="130"/>
    <n v="280"/>
    <n v="46"/>
    <x v="141"/>
    <x v="111"/>
    <x v="61"/>
    <x v="270"/>
    <n v="1.1181818181818182"/>
    <n v="67"/>
    <x v="0"/>
    <n v="128.48461538461538"/>
    <x v="324"/>
    <n v="63434"/>
    <n v="1564"/>
    <n v="1.7994154183412495E-2"/>
    <s v="Dec-13"/>
    <x v="16"/>
    <n v="2.6178861788617884"/>
  </r>
  <r>
    <x v="82"/>
    <n v="86"/>
    <x v="5"/>
    <x v="0"/>
    <x v="0"/>
    <x v="23"/>
    <x v="0"/>
    <x v="0"/>
    <x v="1"/>
    <x v="201"/>
    <x v="134"/>
    <x v="16"/>
    <n v="80"/>
    <n v="80"/>
    <n v="190"/>
    <n v="36"/>
    <x v="134"/>
    <x v="201"/>
    <x v="73"/>
    <x v="399"/>
    <n v="1.075"/>
    <n v="51"/>
    <x v="0"/>
    <n v="78.362499999999997"/>
    <x v="469"/>
    <n v="29344"/>
    <n v="864"/>
    <n v="2.4367559523809524E-2"/>
    <s v="Dec-13"/>
    <x v="8"/>
    <n v="2.6046511627906979"/>
  </r>
  <r>
    <x v="101"/>
    <n v="88"/>
    <x v="5"/>
    <x v="0"/>
    <x v="0"/>
    <x v="39"/>
    <x v="0"/>
    <x v="1"/>
    <x v="2"/>
    <x v="120"/>
    <x v="126"/>
    <x v="18"/>
    <n v="70"/>
    <n v="70"/>
    <n v="180"/>
    <n v="61"/>
    <x v="126"/>
    <x v="120"/>
    <x v="111"/>
    <x v="282"/>
    <n v="1.2571428571428571"/>
    <n v="37"/>
    <x v="0"/>
    <n v="68.471428571428575"/>
    <x v="335"/>
    <n v="25252"/>
    <n v="1769"/>
    <n v="1.5634132086499122E-2"/>
    <s v="Dec-13"/>
    <x v="8"/>
    <n v="2.6818181818181817"/>
  </r>
  <r>
    <x v="101"/>
    <n v="134"/>
    <x v="5"/>
    <x v="0"/>
    <x v="0"/>
    <x v="11"/>
    <x v="0"/>
    <x v="1"/>
    <x v="11"/>
    <x v="123"/>
    <x v="151"/>
    <x v="18"/>
    <n v="110"/>
    <n v="90"/>
    <n v="260"/>
    <n v="65"/>
    <x v="151"/>
    <x v="123"/>
    <x v="140"/>
    <x v="285"/>
    <n v="1.2181818181818183"/>
    <n v="90"/>
    <x v="0"/>
    <n v="88"/>
    <x v="339"/>
    <n v="61380"/>
    <n v="2665"/>
    <n v="1.287461554967456E-2"/>
    <s v="Dec-13"/>
    <x v="30"/>
    <n v="2.544776119402985"/>
  </r>
  <r>
    <x v="23"/>
    <n v="81"/>
    <x v="5"/>
    <x v="0"/>
    <x v="0"/>
    <x v="32"/>
    <x v="0"/>
    <x v="1"/>
    <x v="3"/>
    <x v="121"/>
    <x v="130"/>
    <x v="0"/>
    <n v="60"/>
    <n v="60"/>
    <n v="150"/>
    <n v="38"/>
    <x v="130"/>
    <x v="121"/>
    <x v="44"/>
    <x v="283"/>
    <n v="1.35"/>
    <n v="38"/>
    <x v="0"/>
    <n v="58.366666666666667"/>
    <x v="337"/>
    <n v="19306"/>
    <n v="988"/>
    <n v="1.9133151112846546E-2"/>
    <s v="Dec-13"/>
    <x v="9"/>
    <n v="2.4320987654320989"/>
  </r>
  <r>
    <x v="5"/>
    <n v="10"/>
    <x v="5"/>
    <x v="1"/>
    <x v="0"/>
    <x v="61"/>
    <x v="1"/>
    <x v="3"/>
    <x v="5"/>
    <x v="186"/>
    <x v="228"/>
    <x v="4"/>
    <n v="0"/>
    <n v="10"/>
    <n v="20"/>
    <n v="15"/>
    <x v="228"/>
    <x v="186"/>
    <x v="219"/>
    <x v="128"/>
    <e v="#DIV/0!"/>
    <n v="-11"/>
    <x v="0"/>
    <n v="10.1"/>
    <x v="441"/>
    <n v="-26"/>
    <n v="45"/>
    <n v="-1.282051282051282E-2"/>
    <s v="Dec-13"/>
    <x v="12"/>
    <n v="2.6"/>
  </r>
  <r>
    <x v="112"/>
    <n v="83"/>
    <x v="5"/>
    <x v="1"/>
    <x v="0"/>
    <x v="15"/>
    <x v="1"/>
    <x v="3"/>
    <x v="5"/>
    <x v="74"/>
    <x v="193"/>
    <x v="13"/>
    <n v="80"/>
    <n v="70"/>
    <n v="190"/>
    <n v="55"/>
    <x v="193"/>
    <x v="74"/>
    <x v="49"/>
    <x v="404"/>
    <n v="1.0375000000000001"/>
    <n v="15"/>
    <x v="0"/>
    <n v="68.785714285714292"/>
    <x v="474"/>
    <n v="17680"/>
    <n v="1485"/>
    <n v="1.5135327635327636E-2"/>
    <s v="Dec-13"/>
    <x v="11"/>
    <n v="2.5060240963855422"/>
  </r>
  <r>
    <x v="13"/>
    <n v="68"/>
    <x v="5"/>
    <x v="1"/>
    <x v="0"/>
    <x v="26"/>
    <x v="1"/>
    <x v="3"/>
    <x v="7"/>
    <x v="40"/>
    <x v="73"/>
    <x v="12"/>
    <n v="60"/>
    <n v="40"/>
    <n v="150"/>
    <n v="59"/>
    <x v="73"/>
    <x v="40"/>
    <x v="124"/>
    <x v="249"/>
    <n v="1.1333333333333333"/>
    <n v="-1"/>
    <x v="0"/>
    <n v="39.024999999999999"/>
    <x v="300"/>
    <n v="6357"/>
    <n v="1475"/>
    <n v="9.5705521472392637E-3"/>
    <s v="Dec-13"/>
    <x v="8"/>
    <n v="2.3970588235294117"/>
  </r>
  <r>
    <x v="14"/>
    <n v="105"/>
    <x v="5"/>
    <x v="1"/>
    <x v="0"/>
    <x v="44"/>
    <x v="1"/>
    <x v="3"/>
    <x v="7"/>
    <x v="27"/>
    <x v="153"/>
    <x v="13"/>
    <n v="100"/>
    <n v="30"/>
    <n v="240"/>
    <n v="125"/>
    <x v="153"/>
    <x v="27"/>
    <x v="141"/>
    <x v="287"/>
    <n v="1.05"/>
    <n v="0"/>
    <x v="0"/>
    <n v="29"/>
    <x v="342"/>
    <n v="7980"/>
    <n v="11875"/>
    <n v="1.1871784724970321E-3"/>
    <s v="Dec-13"/>
    <x v="32"/>
    <n v="2.5333333333333332"/>
  </r>
  <r>
    <x v="13"/>
    <n v="50"/>
    <x v="5"/>
    <x v="1"/>
    <x v="0"/>
    <x v="10"/>
    <x v="1"/>
    <x v="2"/>
    <x v="8"/>
    <x v="53"/>
    <x v="41"/>
    <x v="12"/>
    <n v="60"/>
    <n v="70"/>
    <n v="150"/>
    <n v="25"/>
    <x v="41"/>
    <x v="53"/>
    <x v="64"/>
    <x v="80"/>
    <n v="0.83333333333333337"/>
    <n v="1"/>
    <x v="0"/>
    <n v="68.98571428571428"/>
    <x v="86"/>
    <n v="9301"/>
    <n v="350"/>
    <n v="3.8713195201744821E-2"/>
    <s v="Dec-13"/>
    <x v="6"/>
    <n v="2.62"/>
  </r>
  <r>
    <x v="14"/>
    <n v="80"/>
    <x v="5"/>
    <x v="1"/>
    <x v="0"/>
    <x v="23"/>
    <x v="1"/>
    <x v="2"/>
    <x v="8"/>
    <x v="62"/>
    <x v="67"/>
    <x v="13"/>
    <n v="100"/>
    <n v="80"/>
    <n v="220"/>
    <n v="46"/>
    <x v="67"/>
    <x v="62"/>
    <x v="35"/>
    <x v="101"/>
    <n v="0.8"/>
    <n v="-6"/>
    <x v="0"/>
    <n v="79.075000000000003"/>
    <x v="110"/>
    <n v="13912"/>
    <n v="1104"/>
    <n v="1.6400709219858155E-2"/>
    <s v="Dec-13"/>
    <x v="14"/>
    <n v="2.35"/>
  </r>
  <r>
    <x v="74"/>
    <n v="247"/>
    <x v="5"/>
    <x v="1"/>
    <x v="0"/>
    <x v="66"/>
    <x v="0"/>
    <x v="0"/>
    <x v="10"/>
    <x v="204"/>
    <x v="191"/>
    <x v="4"/>
    <n v="230"/>
    <n v="200"/>
    <n v="530"/>
    <n v="113"/>
    <x v="191"/>
    <x v="204"/>
    <x v="218"/>
    <x v="403"/>
    <n v="1.0739130434782609"/>
    <n v="121"/>
    <x v="0"/>
    <n v="198.39500000000001"/>
    <x v="473"/>
    <n v="197094"/>
    <n v="9153"/>
    <n v="6.4543370732295813E-3"/>
    <s v="Dec-13"/>
    <x v="25"/>
    <n v="2.4858299595141702"/>
  </r>
  <r>
    <x v="74"/>
    <n v="127"/>
    <x v="5"/>
    <x v="1"/>
    <x v="0"/>
    <x v="19"/>
    <x v="0"/>
    <x v="0"/>
    <x v="0"/>
    <x v="177"/>
    <x v="226"/>
    <x v="4"/>
    <n v="120"/>
    <n v="120"/>
    <n v="290"/>
    <n v="62"/>
    <x v="226"/>
    <x v="177"/>
    <x v="127"/>
    <x v="405"/>
    <n v="1.0583333333333333"/>
    <n v="63"/>
    <x v="0"/>
    <n v="118.47499999999999"/>
    <x v="475"/>
    <n v="60756"/>
    <n v="2480"/>
    <n v="1.3780120481927711E-2"/>
    <s v="Dec-13"/>
    <x v="30"/>
    <n v="2.6141732283464565"/>
  </r>
  <r>
    <x v="77"/>
    <n v="250"/>
    <x v="5"/>
    <x v="1"/>
    <x v="0"/>
    <x v="57"/>
    <x v="0"/>
    <x v="1"/>
    <x v="2"/>
    <x v="205"/>
    <x v="213"/>
    <x v="4"/>
    <n v="210"/>
    <n v="120"/>
    <n v="410"/>
    <n v="95"/>
    <x v="213"/>
    <x v="205"/>
    <x v="220"/>
    <x v="406"/>
    <n v="1.1904761904761905"/>
    <n v="112"/>
    <x v="0"/>
    <n v="118.06666666666666"/>
    <x v="476"/>
    <n v="123888"/>
    <n v="6650"/>
    <n v="6.2065275548421617E-3"/>
    <s v="Dec-13"/>
    <x v="40"/>
    <n v="2.1360000000000001"/>
  </r>
  <r>
    <x v="46"/>
    <n v="294"/>
    <x v="5"/>
    <x v="1"/>
    <x v="0"/>
    <x v="58"/>
    <x v="0"/>
    <x v="1"/>
    <x v="11"/>
    <x v="204"/>
    <x v="229"/>
    <x v="4"/>
    <n v="240"/>
    <n v="170"/>
    <n v="540"/>
    <n v="144"/>
    <x v="229"/>
    <x v="204"/>
    <x v="221"/>
    <x v="407"/>
    <n v="1.2250000000000001"/>
    <n v="151"/>
    <x v="0"/>
    <n v="168.11176470588236"/>
    <x v="477"/>
    <n v="223737"/>
    <n v="15983.999999999998"/>
    <n v="4.1490557989840634E-3"/>
    <s v="Dec-13"/>
    <x v="31"/>
    <n v="2.370748299319728"/>
  </r>
  <r>
    <x v="62"/>
    <n v="20"/>
    <x v="5"/>
    <x v="1"/>
    <x v="0"/>
    <x v="7"/>
    <x v="0"/>
    <x v="1"/>
    <x v="11"/>
    <x v="91"/>
    <x v="122"/>
    <x v="12"/>
    <n v="10"/>
    <n v="-10"/>
    <n v="30"/>
    <n v="41"/>
    <x v="122"/>
    <x v="91"/>
    <x v="16"/>
    <x v="229"/>
    <n v="2"/>
    <n v="-14"/>
    <x v="0"/>
    <n v="-12.4"/>
    <x v="278"/>
    <n v="-1152"/>
    <n v="287"/>
    <n v="-7.1428571428571425E-2"/>
    <s v="Dec-13"/>
    <x v="1"/>
    <n v="2.4"/>
  </r>
  <r>
    <x v="138"/>
    <n v="154"/>
    <x v="0"/>
    <x v="0"/>
    <x v="3"/>
    <x v="52"/>
    <x v="1"/>
    <x v="3"/>
    <x v="5"/>
    <x v="206"/>
    <x v="45"/>
    <x v="3"/>
    <n v="220"/>
    <n v="-100"/>
    <n v="190"/>
    <n v="93"/>
    <x v="45"/>
    <x v="206"/>
    <x v="188"/>
    <x v="408"/>
    <n v="0.7"/>
    <n v="-17"/>
    <x v="0"/>
    <n v="-101.17"/>
    <x v="478"/>
    <n v="-15210"/>
    <n v="4650"/>
    <n v="-1.7999999999999999E-2"/>
    <s v="Oct-12"/>
    <x v="40"/>
    <n v="0.8441558441558441"/>
  </r>
  <r>
    <x v="139"/>
    <n v="257"/>
    <x v="0"/>
    <x v="0"/>
    <x v="3"/>
    <x v="60"/>
    <x v="1"/>
    <x v="2"/>
    <x v="4"/>
    <x v="207"/>
    <x v="203"/>
    <x v="3"/>
    <n v="230"/>
    <n v="240"/>
    <n v="550"/>
    <n v="116"/>
    <x v="203"/>
    <x v="207"/>
    <x v="222"/>
    <x v="409"/>
    <n v="1.1173913043478261"/>
    <n v="-15"/>
    <x v="0"/>
    <n v="239.0625"/>
    <x v="479"/>
    <n v="134550"/>
    <n v="9744"/>
    <n v="4.479216435738175E-3"/>
    <s v="Oct-12"/>
    <x v="22"/>
    <n v="2.3268482490272375"/>
  </r>
  <r>
    <x v="140"/>
    <n v="122"/>
    <x v="0"/>
    <x v="0"/>
    <x v="3"/>
    <x v="59"/>
    <x v="1"/>
    <x v="3"/>
    <x v="6"/>
    <x v="208"/>
    <x v="12"/>
    <x v="3"/>
    <n v="170"/>
    <n v="-60"/>
    <n v="150"/>
    <n v="61"/>
    <x v="12"/>
    <x v="208"/>
    <x v="186"/>
    <x v="410"/>
    <n v="0.71764705882352942"/>
    <n v="-14"/>
    <x v="0"/>
    <n v="-61.233333333333334"/>
    <x v="480"/>
    <n v="-8066"/>
    <n v="2379"/>
    <n v="-1.7407668783815573E-2"/>
    <s v="Oct-12"/>
    <x v="32"/>
    <n v="0.89344262295081966"/>
  </r>
  <r>
    <x v="81"/>
    <n v="260"/>
    <x v="0"/>
    <x v="0"/>
    <x v="3"/>
    <x v="46"/>
    <x v="1"/>
    <x v="3"/>
    <x v="7"/>
    <x v="132"/>
    <x v="162"/>
    <x v="3"/>
    <n v="380"/>
    <n v="470"/>
    <n v="960"/>
    <n v="143"/>
    <x v="162"/>
    <x v="132"/>
    <x v="146"/>
    <x v="21"/>
    <n v="0.68421052631578949"/>
    <n v="-223"/>
    <x v="0"/>
    <n v="469.47446808510637"/>
    <x v="351"/>
    <n v="160550"/>
    <n v="13013"/>
    <n v="4.1758241758241763E-3"/>
    <s v="Oct-12"/>
    <x v="42"/>
    <n v="2.5"/>
  </r>
  <r>
    <x v="4"/>
    <n v="239"/>
    <x v="0"/>
    <x v="0"/>
    <x v="3"/>
    <x v="49"/>
    <x v="1"/>
    <x v="2"/>
    <x v="9"/>
    <x v="173"/>
    <x v="201"/>
    <x v="3"/>
    <n v="210"/>
    <n v="160"/>
    <n v="430"/>
    <n v="90"/>
    <x v="201"/>
    <x v="173"/>
    <x v="187"/>
    <x v="355"/>
    <n v="1.138095238095238"/>
    <n v="-11"/>
    <x v="0"/>
    <n v="159.06874999999999"/>
    <x v="416"/>
    <n v="71222"/>
    <n v="5939.9999999999991"/>
    <n v="4.7229618359325475E-3"/>
    <s v="Oct-12"/>
    <x v="24"/>
    <n v="2"/>
  </r>
  <r>
    <x v="4"/>
    <n v="125"/>
    <x v="0"/>
    <x v="0"/>
    <x v="3"/>
    <x v="47"/>
    <x v="1"/>
    <x v="2"/>
    <x v="8"/>
    <x v="22"/>
    <x v="200"/>
    <x v="3"/>
    <n v="110"/>
    <n v="50"/>
    <n v="270"/>
    <n v="146"/>
    <x v="200"/>
    <x v="22"/>
    <x v="148"/>
    <x v="411"/>
    <n v="1.1363636363636365"/>
    <n v="-23"/>
    <x v="0"/>
    <n v="49.46"/>
    <x v="481"/>
    <n v="8046"/>
    <n v="16498"/>
    <n v="8.018055473065273E-4"/>
    <s v="Oct-12"/>
    <x v="23"/>
    <n v="2.3839999999999999"/>
  </r>
  <r>
    <x v="141"/>
    <n v="108"/>
    <x v="0"/>
    <x v="0"/>
    <x v="3"/>
    <x v="30"/>
    <x v="0"/>
    <x v="0"/>
    <x v="10"/>
    <x v="125"/>
    <x v="165"/>
    <x v="3"/>
    <n v="80"/>
    <n v="120"/>
    <n v="210"/>
    <n v="42"/>
    <x v="165"/>
    <x v="125"/>
    <x v="152"/>
    <x v="157"/>
    <n v="1.35"/>
    <n v="-5"/>
    <x v="0"/>
    <n v="119.04166666666667"/>
    <x v="358"/>
    <n v="30475"/>
    <n v="1260"/>
    <n v="1.4465408805031447E-2"/>
    <s v="Oct-12"/>
    <x v="9"/>
    <n v="2.4537037037037037"/>
  </r>
  <r>
    <x v="4"/>
    <n v="239"/>
    <x v="0"/>
    <x v="0"/>
    <x v="3"/>
    <x v="37"/>
    <x v="0"/>
    <x v="0"/>
    <x v="0"/>
    <x v="209"/>
    <x v="124"/>
    <x v="3"/>
    <n v="190"/>
    <n v="170"/>
    <n v="410"/>
    <n v="95"/>
    <x v="124"/>
    <x v="209"/>
    <x v="151"/>
    <x v="412"/>
    <n v="1.2578947368421052"/>
    <n v="16"/>
    <x v="0"/>
    <n v="168.90588235294118"/>
    <x v="482"/>
    <n v="96720"/>
    <n v="7030"/>
    <n v="4.8336798336798339E-3"/>
    <s v="Oct-12"/>
    <x v="27"/>
    <n v="2.1757322175732217"/>
  </r>
  <r>
    <x v="4"/>
    <n v="123"/>
    <x v="0"/>
    <x v="0"/>
    <x v="3"/>
    <x v="38"/>
    <x v="0"/>
    <x v="1"/>
    <x v="2"/>
    <x v="136"/>
    <x v="125"/>
    <x v="3"/>
    <n v="50"/>
    <n v="80"/>
    <n v="140"/>
    <n v="45"/>
    <x v="125"/>
    <x v="136"/>
    <x v="153"/>
    <x v="301"/>
    <n v="2.46"/>
    <n v="54"/>
    <x v="0"/>
    <n v="78.325000000000003"/>
    <x v="359"/>
    <n v="40468"/>
    <n v="1530"/>
    <n v="1.3050253213868329E-2"/>
    <s v="Oct-12"/>
    <x v="0"/>
    <n v="2.4552845528455283"/>
  </r>
  <r>
    <x v="17"/>
    <n v="43"/>
    <x v="0"/>
    <x v="1"/>
    <x v="3"/>
    <x v="2"/>
    <x v="1"/>
    <x v="3"/>
    <x v="5"/>
    <x v="26"/>
    <x v="2"/>
    <x v="11"/>
    <n v="50"/>
    <n v="80"/>
    <n v="150"/>
    <n v="35"/>
    <x v="2"/>
    <x v="26"/>
    <x v="69"/>
    <x v="413"/>
    <n v="0.86"/>
    <n v="-51"/>
    <x v="0"/>
    <n v="79.637500000000003"/>
    <x v="483"/>
    <n v="3103"/>
    <n v="455"/>
    <n v="2.0848310567936738E-2"/>
    <s v="Oct-12"/>
    <x v="7"/>
    <n v="2.4883720930232558"/>
  </r>
  <r>
    <x v="9"/>
    <n v="79"/>
    <x v="0"/>
    <x v="1"/>
    <x v="3"/>
    <x v="30"/>
    <x v="1"/>
    <x v="3"/>
    <x v="5"/>
    <x v="28"/>
    <x v="79"/>
    <x v="8"/>
    <n v="100"/>
    <n v="120"/>
    <n v="260"/>
    <n v="64"/>
    <x v="79"/>
    <x v="28"/>
    <x v="12"/>
    <x v="119"/>
    <n v="0.79"/>
    <n v="-86"/>
    <x v="0"/>
    <n v="119.71666666666667"/>
    <x v="130"/>
    <n v="6018"/>
    <n v="1920"/>
    <n v="6.4030131826741995E-3"/>
    <s v="Oct-12"/>
    <x v="14"/>
    <n v="2.240506329113924"/>
  </r>
  <r>
    <x v="16"/>
    <n v="96"/>
    <x v="0"/>
    <x v="1"/>
    <x v="3"/>
    <x v="41"/>
    <x v="1"/>
    <x v="3"/>
    <x v="5"/>
    <x v="39"/>
    <x v="127"/>
    <x v="14"/>
    <n v="140"/>
    <n v="100"/>
    <n v="330"/>
    <n v="117"/>
    <x v="127"/>
    <x v="39"/>
    <x v="128"/>
    <x v="253"/>
    <n v="0.68571428571428572"/>
    <n v="-83"/>
    <x v="0"/>
    <n v="99.83"/>
    <x v="305"/>
    <n v="3910"/>
    <n v="10179"/>
    <n v="8.4957521239380316E-4"/>
    <s v="Oct-12"/>
    <x v="28"/>
    <n v="2.3958333333333335"/>
  </r>
  <r>
    <x v="12"/>
    <n v="161"/>
    <x v="0"/>
    <x v="1"/>
    <x v="3"/>
    <x v="48"/>
    <x v="1"/>
    <x v="2"/>
    <x v="4"/>
    <x v="192"/>
    <x v="141"/>
    <x v="11"/>
    <n v="140"/>
    <n v="110"/>
    <n v="290"/>
    <n v="70"/>
    <x v="141"/>
    <x v="192"/>
    <x v="223"/>
    <x v="414"/>
    <n v="1.1499999999999999"/>
    <n v="-19"/>
    <x v="0"/>
    <n v="109.17272727272727"/>
    <x v="484"/>
    <n v="29302"/>
    <n v="3150"/>
    <n v="6.2801932367149756E-3"/>
    <s v="Oct-12"/>
    <x v="19"/>
    <n v="2"/>
  </r>
  <r>
    <x v="56"/>
    <n v="80"/>
    <x v="0"/>
    <x v="1"/>
    <x v="3"/>
    <x v="23"/>
    <x v="1"/>
    <x v="2"/>
    <x v="4"/>
    <x v="21"/>
    <x v="75"/>
    <x v="14"/>
    <n v="60"/>
    <n v="80"/>
    <n v="150"/>
    <n v="46"/>
    <x v="75"/>
    <x v="21"/>
    <x v="4"/>
    <x v="22"/>
    <n v="1.3333333333333333"/>
    <n v="-32"/>
    <x v="0"/>
    <n v="79.400000000000006"/>
    <x v="123"/>
    <n v="8352"/>
    <n v="1104"/>
    <n v="1.1494252873563218E-2"/>
    <s v="Oct-12"/>
    <x v="7"/>
    <n v="2.1749999999999998"/>
  </r>
  <r>
    <x v="17"/>
    <n v="51"/>
    <x v="0"/>
    <x v="1"/>
    <x v="3"/>
    <x v="0"/>
    <x v="1"/>
    <x v="3"/>
    <x v="6"/>
    <x v="0"/>
    <x v="0"/>
    <x v="11"/>
    <n v="70"/>
    <n v="50"/>
    <n v="170"/>
    <n v="76"/>
    <x v="0"/>
    <x v="0"/>
    <x v="0"/>
    <x v="0"/>
    <n v="0.72857142857142854"/>
    <n v="-55"/>
    <x v="0"/>
    <n v="50.1"/>
    <x v="0"/>
    <n v="-610"/>
    <n v="3496"/>
    <n v="-8.9094796863863144E-4"/>
    <s v="Oct-12"/>
    <x v="11"/>
    <n v="2.392156862745098"/>
  </r>
  <r>
    <x v="9"/>
    <n v="65"/>
    <x v="0"/>
    <x v="1"/>
    <x v="3"/>
    <x v="14"/>
    <x v="1"/>
    <x v="3"/>
    <x v="6"/>
    <x v="18"/>
    <x v="64"/>
    <x v="8"/>
    <n v="90"/>
    <n v="90"/>
    <n v="200"/>
    <n v="41"/>
    <x v="64"/>
    <x v="18"/>
    <x v="112"/>
    <x v="263"/>
    <n v="0.72222222222222221"/>
    <n v="-54"/>
    <x v="0"/>
    <n v="89.6"/>
    <x v="485"/>
    <n v="5112"/>
    <n v="820"/>
    <n v="1.2676056338028169E-2"/>
    <s v="Oct-12"/>
    <x v="8"/>
    <n v="2.1846153846153844"/>
  </r>
  <r>
    <x v="17"/>
    <n v="60"/>
    <x v="0"/>
    <x v="1"/>
    <x v="3"/>
    <x v="27"/>
    <x v="1"/>
    <x v="3"/>
    <x v="7"/>
    <x v="6"/>
    <x v="13"/>
    <x v="11"/>
    <n v="80"/>
    <n v="90"/>
    <n v="210"/>
    <n v="63"/>
    <x v="13"/>
    <x v="6"/>
    <x v="49"/>
    <x v="415"/>
    <n v="0.75"/>
    <n v="-69"/>
    <x v="0"/>
    <n v="89.766666666666666"/>
    <x v="486"/>
    <n v="3024"/>
    <n v="1196.9999999999998"/>
    <n v="7.6754385964912285E-3"/>
    <s v="Oct-12"/>
    <x v="11"/>
    <n v="2.4"/>
  </r>
  <r>
    <x v="9"/>
    <n v="47"/>
    <x v="0"/>
    <x v="1"/>
    <x v="3"/>
    <x v="6"/>
    <x v="1"/>
    <x v="3"/>
    <x v="7"/>
    <x v="57"/>
    <x v="6"/>
    <x v="8"/>
    <n v="50"/>
    <n v="80"/>
    <n v="150"/>
    <n v="42"/>
    <x v="6"/>
    <x v="57"/>
    <x v="34"/>
    <x v="416"/>
    <n v="0.94"/>
    <n v="-58"/>
    <x v="0"/>
    <n v="79.724999999999994"/>
    <x v="228"/>
    <n v="2442"/>
    <n v="630"/>
    <n v="1.3213213213213212E-2"/>
    <s v="Oct-12"/>
    <x v="7"/>
    <n v="2.3617021276595747"/>
  </r>
  <r>
    <x v="32"/>
    <n v="68"/>
    <x v="0"/>
    <x v="1"/>
    <x v="3"/>
    <x v="28"/>
    <x v="1"/>
    <x v="3"/>
    <x v="7"/>
    <x v="4"/>
    <x v="230"/>
    <x v="14"/>
    <n v="90"/>
    <n v="110"/>
    <n v="230"/>
    <n v="43"/>
    <x v="230"/>
    <x v="4"/>
    <x v="54"/>
    <x v="126"/>
    <n v="0.75555555555555554"/>
    <n v="-54"/>
    <x v="0"/>
    <n v="109.49090909090908"/>
    <x v="172"/>
    <n v="9352"/>
    <n v="903"/>
    <n v="1.5968063872255488E-2"/>
    <s v="Oct-12"/>
    <x v="11"/>
    <n v="2.4558823529411766"/>
  </r>
  <r>
    <x v="32"/>
    <n v="22"/>
    <x v="0"/>
    <x v="1"/>
    <x v="3"/>
    <x v="7"/>
    <x v="1"/>
    <x v="2"/>
    <x v="9"/>
    <x v="44"/>
    <x v="77"/>
    <x v="14"/>
    <n v="10"/>
    <n v="20"/>
    <n v="30"/>
    <n v="19"/>
    <x v="77"/>
    <x v="44"/>
    <x v="67"/>
    <x v="34"/>
    <n v="2.2000000000000002"/>
    <n v="-10"/>
    <x v="0"/>
    <n v="19.5"/>
    <x v="128"/>
    <n v="510"/>
    <n v="133"/>
    <n v="2.8011204481792718E-2"/>
    <s v="Oct-12"/>
    <x v="12"/>
    <n v="2.3181818181818183"/>
  </r>
  <r>
    <x v="48"/>
    <n v="21"/>
    <x v="0"/>
    <x v="1"/>
    <x v="3"/>
    <x v="35"/>
    <x v="1"/>
    <x v="2"/>
    <x v="8"/>
    <x v="29"/>
    <x v="97"/>
    <x v="7"/>
    <n v="10"/>
    <n v="20"/>
    <n v="30"/>
    <n v="17"/>
    <x v="97"/>
    <x v="29"/>
    <x v="115"/>
    <x v="107"/>
    <n v="2.1"/>
    <n v="-6"/>
    <x v="0"/>
    <n v="19.3"/>
    <x v="259"/>
    <n v="728"/>
    <n v="85"/>
    <n v="5.3846153846153842E-2"/>
    <s v="Oct-12"/>
    <x v="12"/>
    <n v="2.4761904761904763"/>
  </r>
  <r>
    <x v="15"/>
    <n v="103"/>
    <x v="0"/>
    <x v="1"/>
    <x v="3"/>
    <x v="40"/>
    <x v="1"/>
    <x v="2"/>
    <x v="8"/>
    <x v="100"/>
    <x v="126"/>
    <x v="8"/>
    <n v="80"/>
    <n v="110"/>
    <n v="210"/>
    <n v="46"/>
    <x v="126"/>
    <x v="100"/>
    <x v="127"/>
    <x v="252"/>
    <n v="1.2875000000000001"/>
    <n v="-23"/>
    <x v="0"/>
    <n v="109.2090909090909"/>
    <x v="304"/>
    <n v="20532"/>
    <n v="1518"/>
    <n v="1.1171032357473035E-2"/>
    <s v="Oct-12"/>
    <x v="10"/>
    <n v="2.29126213592233"/>
  </r>
  <r>
    <x v="8"/>
    <n v="125"/>
    <x v="0"/>
    <x v="1"/>
    <x v="3"/>
    <x v="47"/>
    <x v="0"/>
    <x v="0"/>
    <x v="10"/>
    <x v="1"/>
    <x v="200"/>
    <x v="7"/>
    <n v="90"/>
    <n v="60"/>
    <n v="240"/>
    <n v="147"/>
    <x v="200"/>
    <x v="1"/>
    <x v="224"/>
    <x v="417"/>
    <n v="1.3888888888888888"/>
    <n v="-34"/>
    <x v="0"/>
    <n v="59.56666666666667"/>
    <x v="487"/>
    <n v="7748"/>
    <n v="16611"/>
    <n v="7.721090455544337E-4"/>
    <s v="Oct-12"/>
    <x v="19"/>
    <n v="2.3839999999999999"/>
  </r>
  <r>
    <x v="32"/>
    <n v="125"/>
    <x v="0"/>
    <x v="1"/>
    <x v="3"/>
    <x v="11"/>
    <x v="0"/>
    <x v="0"/>
    <x v="10"/>
    <x v="125"/>
    <x v="154"/>
    <x v="14"/>
    <n v="90"/>
    <n v="130"/>
    <n v="250"/>
    <n v="73"/>
    <x v="154"/>
    <x v="125"/>
    <x v="142"/>
    <x v="288"/>
    <n v="1.3888888888888888"/>
    <n v="-15"/>
    <x v="0"/>
    <n v="129.11538461538461"/>
    <x v="343"/>
    <n v="35995"/>
    <n v="2993"/>
    <n v="8.9612717213434102E-3"/>
    <s v="Oct-12"/>
    <x v="11"/>
    <n v="2.504"/>
  </r>
  <r>
    <x v="48"/>
    <n v="154"/>
    <x v="0"/>
    <x v="1"/>
    <x v="3"/>
    <x v="52"/>
    <x v="0"/>
    <x v="0"/>
    <x v="0"/>
    <x v="174"/>
    <x v="202"/>
    <x v="7"/>
    <n v="120"/>
    <n v="120"/>
    <n v="290"/>
    <n v="93"/>
    <x v="202"/>
    <x v="174"/>
    <x v="188"/>
    <x v="356"/>
    <n v="1.2833333333333334"/>
    <n v="0"/>
    <x v="0"/>
    <n v="119"/>
    <x v="417"/>
    <n v="44040"/>
    <n v="4650"/>
    <n v="6.5395095367847406E-3"/>
    <s v="Oct-12"/>
    <x v="30"/>
    <n v="2.383116883116883"/>
  </r>
  <r>
    <x v="17"/>
    <n v="90"/>
    <x v="0"/>
    <x v="1"/>
    <x v="3"/>
    <x v="39"/>
    <x v="0"/>
    <x v="0"/>
    <x v="0"/>
    <x v="59"/>
    <x v="17"/>
    <x v="11"/>
    <n v="60"/>
    <n v="90"/>
    <n v="160"/>
    <n v="42"/>
    <x v="17"/>
    <x v="59"/>
    <x v="104"/>
    <x v="313"/>
    <n v="1.5"/>
    <n v="-17"/>
    <x v="0"/>
    <n v="89.188888888888883"/>
    <x v="488"/>
    <n v="14965"/>
    <n v="1218"/>
    <n v="1.2279226240538267E-2"/>
    <s v="Oct-12"/>
    <x v="7"/>
    <n v="2.2777777777777777"/>
  </r>
  <r>
    <x v="48"/>
    <n v="122"/>
    <x v="0"/>
    <x v="1"/>
    <x v="3"/>
    <x v="59"/>
    <x v="0"/>
    <x v="0"/>
    <x v="1"/>
    <x v="124"/>
    <x v="200"/>
    <x v="7"/>
    <n v="90"/>
    <n v="130"/>
    <n v="240"/>
    <n v="62"/>
    <x v="200"/>
    <x v="124"/>
    <x v="144"/>
    <x v="359"/>
    <n v="1.3555555555555556"/>
    <n v="-16"/>
    <x v="0"/>
    <n v="129.12307692307692"/>
    <x v="422"/>
    <n v="33972"/>
    <n v="2418"/>
    <n v="9.8089829633453782E-3"/>
    <s v="Oct-12"/>
    <x v="8"/>
    <n v="2.442622950819672"/>
  </r>
  <r>
    <x v="9"/>
    <n v="86"/>
    <x v="0"/>
    <x v="1"/>
    <x v="3"/>
    <x v="32"/>
    <x v="0"/>
    <x v="0"/>
    <x v="1"/>
    <x v="210"/>
    <x v="12"/>
    <x v="8"/>
    <n v="60"/>
    <n v="0"/>
    <n v="80"/>
    <n v="50"/>
    <x v="12"/>
    <x v="210"/>
    <x v="98"/>
    <x v="418"/>
    <n v="1.4333333333333333"/>
    <n v="-27"/>
    <x v="0"/>
    <e v="#DIV/0!"/>
    <x v="489"/>
    <n v="-2943"/>
    <n v="1300"/>
    <n v="-9.5271700776287938E-3"/>
    <s v="Oct-12"/>
    <x v="6"/>
    <n v="1.2674418604651163"/>
  </r>
  <r>
    <x v="48"/>
    <n v="257"/>
    <x v="0"/>
    <x v="1"/>
    <x v="3"/>
    <x v="60"/>
    <x v="0"/>
    <x v="1"/>
    <x v="2"/>
    <x v="175"/>
    <x v="203"/>
    <x v="7"/>
    <n v="110"/>
    <n v="130"/>
    <n v="290"/>
    <n v="117"/>
    <x v="203"/>
    <x v="175"/>
    <x v="169"/>
    <x v="126"/>
    <n v="2.3363636363636364"/>
    <n v="94"/>
    <x v="0"/>
    <n v="128.27692307692308"/>
    <x v="418"/>
    <n v="133952"/>
    <n v="9828"/>
    <n v="4.459308807134894E-3"/>
    <s v="Oct-12"/>
    <x v="17"/>
    <n v="2.3268482490272375"/>
  </r>
  <r>
    <x v="49"/>
    <n v="21"/>
    <x v="0"/>
    <x v="1"/>
    <x v="3"/>
    <x v="35"/>
    <x v="0"/>
    <x v="1"/>
    <x v="2"/>
    <x v="38"/>
    <x v="112"/>
    <x v="11"/>
    <n v="0"/>
    <n v="20"/>
    <n v="20"/>
    <n v="16"/>
    <x v="112"/>
    <x v="38"/>
    <x v="102"/>
    <x v="220"/>
    <e v="#DIV/0!"/>
    <n v="-4"/>
    <x v="0"/>
    <n v="19.2"/>
    <x v="254"/>
    <n v="848"/>
    <n v="80"/>
    <n v="6.0377358490566038E-2"/>
    <s v="Oct-12"/>
    <x v="4"/>
    <n v="2.5238095238095237"/>
  </r>
  <r>
    <x v="8"/>
    <n v="239"/>
    <x v="0"/>
    <x v="1"/>
    <x v="3"/>
    <x v="49"/>
    <x v="0"/>
    <x v="1"/>
    <x v="11"/>
    <x v="173"/>
    <x v="201"/>
    <x v="7"/>
    <n v="110"/>
    <n v="80"/>
    <n v="230"/>
    <n v="90"/>
    <x v="201"/>
    <x v="173"/>
    <x v="187"/>
    <x v="355"/>
    <n v="2.1727272727272728"/>
    <n v="69"/>
    <x v="0"/>
    <n v="78.137500000000003"/>
    <x v="416"/>
    <n v="71222"/>
    <n v="5939.9999999999991"/>
    <n v="4.7229618359325475E-3"/>
    <s v="Oct-12"/>
    <x v="16"/>
    <n v="2"/>
  </r>
  <r>
    <x v="48"/>
    <n v="255"/>
    <x v="0"/>
    <x v="1"/>
    <x v="3"/>
    <x v="50"/>
    <x v="0"/>
    <x v="1"/>
    <x v="3"/>
    <x v="211"/>
    <x v="231"/>
    <x v="7"/>
    <n v="110"/>
    <n v="-170"/>
    <n v="0"/>
    <n v="129"/>
    <x v="231"/>
    <x v="211"/>
    <x v="150"/>
    <x v="419"/>
    <n v="2.3181818181818183"/>
    <n v="-193"/>
    <x v="0"/>
    <n v="-172.13529411764705"/>
    <x v="490"/>
    <n v="-7623"/>
    <n v="12384"/>
    <n v="-0.18005952380952381"/>
    <s v="Oct-12"/>
    <x v="30"/>
    <n v="8.2352941176470587E-2"/>
  </r>
  <r>
    <x v="9"/>
    <n v="25"/>
    <x v="0"/>
    <x v="1"/>
    <x v="3"/>
    <x v="8"/>
    <x v="0"/>
    <x v="1"/>
    <x v="3"/>
    <x v="55"/>
    <x v="82"/>
    <x v="8"/>
    <n v="0"/>
    <n v="10"/>
    <n v="20"/>
    <n v="43"/>
    <x v="82"/>
    <x v="55"/>
    <x v="103"/>
    <x v="222"/>
    <e v="#DIV/0!"/>
    <n v="-22"/>
    <x v="0"/>
    <n v="11.2"/>
    <x v="257"/>
    <n v="-672"/>
    <n v="387"/>
    <n v="-2.3809523809523808E-2"/>
    <s v="Oct-12"/>
    <x v="12"/>
    <n v="2.2400000000000002"/>
  </r>
  <r>
    <x v="142"/>
    <n v="173"/>
    <x v="1"/>
    <x v="0"/>
    <x v="3"/>
    <x v="63"/>
    <x v="1"/>
    <x v="3"/>
    <x v="5"/>
    <x v="212"/>
    <x v="232"/>
    <x v="3"/>
    <n v="200"/>
    <n v="-130"/>
    <n v="170"/>
    <n v="100"/>
    <x v="232"/>
    <x v="212"/>
    <x v="193"/>
    <x v="420"/>
    <n v="0.86499999999999999"/>
    <n v="3"/>
    <x v="0"/>
    <n v="-130.97692307692307"/>
    <x v="491"/>
    <n v="-18542"/>
    <n v="5700.0000000000009"/>
    <n v="-1.5260754626291756E-2"/>
    <s v="Nov-12"/>
    <x v="43"/>
    <n v="0.84393063583815031"/>
  </r>
  <r>
    <x v="71"/>
    <n v="228"/>
    <x v="1"/>
    <x v="0"/>
    <x v="3"/>
    <x v="64"/>
    <x v="1"/>
    <x v="2"/>
    <x v="4"/>
    <x v="111"/>
    <x v="209"/>
    <x v="3"/>
    <n v="220"/>
    <n v="190"/>
    <n v="510"/>
    <n v="107"/>
    <x v="209"/>
    <x v="111"/>
    <x v="125"/>
    <x v="421"/>
    <n v="1.0363636363636364"/>
    <n v="7"/>
    <x v="0"/>
    <n v="188.96315789473684"/>
    <x v="492"/>
    <n v="104804"/>
    <n v="8025.0000000000009"/>
    <n v="4.9373433583959894E-3"/>
    <s v="Nov-12"/>
    <x v="33"/>
    <n v="2.3333333333333335"/>
  </r>
  <r>
    <x v="37"/>
    <n v="113"/>
    <x v="1"/>
    <x v="0"/>
    <x v="3"/>
    <x v="62"/>
    <x v="1"/>
    <x v="3"/>
    <x v="6"/>
    <x v="213"/>
    <x v="52"/>
    <x v="3"/>
    <n v="130"/>
    <n v="-50"/>
    <n v="130"/>
    <n v="59"/>
    <x v="52"/>
    <x v="213"/>
    <x v="191"/>
    <x v="422"/>
    <n v="0.86923076923076925"/>
    <n v="-6"/>
    <x v="0"/>
    <n v="-51.12"/>
    <x v="493"/>
    <n v="-6496"/>
    <n v="2124"/>
    <n v="-1.3409961685823755E-2"/>
    <s v="Nov-12"/>
    <x v="19"/>
    <n v="1.0265486725663717"/>
  </r>
  <r>
    <x v="138"/>
    <n v="249"/>
    <x v="1"/>
    <x v="0"/>
    <x v="3"/>
    <x v="41"/>
    <x v="1"/>
    <x v="3"/>
    <x v="7"/>
    <x v="214"/>
    <x v="168"/>
    <x v="3"/>
    <n v="290"/>
    <n v="310"/>
    <n v="740"/>
    <n v="139"/>
    <x v="168"/>
    <x v="214"/>
    <x v="225"/>
    <x v="423"/>
    <n v="0.85862068965517246"/>
    <n v="-75"/>
    <x v="0"/>
    <n v="309.24193548387098"/>
    <x v="494"/>
    <n v="146405"/>
    <n v="12093"/>
    <n v="4.3357133632220806E-3"/>
    <s v="Nov-12"/>
    <x v="15"/>
    <n v="2.5020080321285141"/>
  </r>
  <r>
    <x v="143"/>
    <n v="211"/>
    <x v="1"/>
    <x v="0"/>
    <x v="3"/>
    <x v="53"/>
    <x v="1"/>
    <x v="2"/>
    <x v="9"/>
    <x v="113"/>
    <x v="207"/>
    <x v="3"/>
    <n v="200"/>
    <n v="140"/>
    <n v="410"/>
    <n v="83"/>
    <x v="207"/>
    <x v="113"/>
    <x v="157"/>
    <x v="364"/>
    <n v="1.0549999999999999"/>
    <n v="-11"/>
    <x v="0"/>
    <n v="139.07857142857142"/>
    <x v="426"/>
    <n v="54567"/>
    <n v="4897"/>
    <n v="5.1688904916456302E-3"/>
    <s v="Nov-12"/>
    <x v="24"/>
    <n v="2.0047393364928912"/>
  </r>
  <r>
    <x v="140"/>
    <n v="121"/>
    <x v="1"/>
    <x v="0"/>
    <x v="3"/>
    <x v="51"/>
    <x v="1"/>
    <x v="2"/>
    <x v="8"/>
    <x v="1"/>
    <x v="156"/>
    <x v="3"/>
    <n v="110"/>
    <n v="40"/>
    <n v="280"/>
    <n v="142"/>
    <x v="156"/>
    <x v="1"/>
    <x v="155"/>
    <x v="424"/>
    <n v="1.1000000000000001"/>
    <n v="-14"/>
    <x v="0"/>
    <n v="39.35"/>
    <x v="495"/>
    <n v="7514"/>
    <n v="15478"/>
    <n v="8.2537062315482057E-4"/>
    <s v="Nov-12"/>
    <x v="27"/>
    <n v="2.3884297520661155"/>
  </r>
  <r>
    <x v="115"/>
    <n v="81"/>
    <x v="1"/>
    <x v="0"/>
    <x v="3"/>
    <x v="34"/>
    <x v="0"/>
    <x v="0"/>
    <x v="10"/>
    <x v="144"/>
    <x v="172"/>
    <x v="3"/>
    <n v="70"/>
    <n v="80"/>
    <n v="180"/>
    <n v="33"/>
    <x v="172"/>
    <x v="144"/>
    <x v="35"/>
    <x v="279"/>
    <n v="1.1571428571428573"/>
    <n v="4"/>
    <x v="0"/>
    <n v="78.95"/>
    <x v="369"/>
    <n v="16632"/>
    <n v="726"/>
    <n v="1.928374655647383E-2"/>
    <s v="Nov-12"/>
    <x v="10"/>
    <n v="2.4444444444444446"/>
  </r>
  <r>
    <x v="115"/>
    <n v="225"/>
    <x v="1"/>
    <x v="0"/>
    <x v="3"/>
    <x v="42"/>
    <x v="0"/>
    <x v="0"/>
    <x v="0"/>
    <x v="101"/>
    <x v="128"/>
    <x v="3"/>
    <n v="210"/>
    <n v="160"/>
    <n v="450"/>
    <n v="91"/>
    <x v="128"/>
    <x v="101"/>
    <x v="129"/>
    <x v="254"/>
    <n v="1.0714285714285714"/>
    <n v="14"/>
    <x v="0"/>
    <n v="158.91249999999999"/>
    <x v="306"/>
    <n v="85260"/>
    <n v="6279"/>
    <n v="5.1464063886424135E-3"/>
    <s v="Nov-12"/>
    <x v="40"/>
    <n v="2.1777777777777776"/>
  </r>
  <r>
    <x v="115"/>
    <n v="118"/>
    <x v="1"/>
    <x v="0"/>
    <x v="3"/>
    <x v="40"/>
    <x v="0"/>
    <x v="1"/>
    <x v="2"/>
    <x v="179"/>
    <x v="129"/>
    <x v="3"/>
    <n v="80"/>
    <n v="110"/>
    <n v="210"/>
    <n v="44"/>
    <x v="129"/>
    <x v="179"/>
    <x v="192"/>
    <x v="365"/>
    <n v="1.4750000000000001"/>
    <n v="18"/>
    <x v="0"/>
    <n v="108.83636363636364"/>
    <x v="427"/>
    <n v="37120"/>
    <n v="1452"/>
    <n v="1.3375130616509927E-2"/>
    <s v="Nov-12"/>
    <x v="10"/>
    <n v="2.4576271186440679"/>
  </r>
  <r>
    <x v="15"/>
    <n v="82"/>
    <x v="1"/>
    <x v="1"/>
    <x v="3"/>
    <x v="33"/>
    <x v="1"/>
    <x v="3"/>
    <x v="5"/>
    <x v="68"/>
    <x v="106"/>
    <x v="8"/>
    <n v="90"/>
    <n v="60"/>
    <n v="210"/>
    <n v="64"/>
    <x v="106"/>
    <x v="68"/>
    <x v="38"/>
    <x v="197"/>
    <n v="0.91111111111111109"/>
    <n v="-22"/>
    <x v="0"/>
    <n v="59.366666666666667"/>
    <x v="225"/>
    <n v="6992"/>
    <n v="1984"/>
    <n v="6.6619915848527347E-3"/>
    <s v="Nov-12"/>
    <x v="16"/>
    <n v="2.2439024390243905"/>
  </r>
  <r>
    <x v="56"/>
    <n v="94"/>
    <x v="1"/>
    <x v="1"/>
    <x v="3"/>
    <x v="43"/>
    <x v="1"/>
    <x v="3"/>
    <x v="5"/>
    <x v="38"/>
    <x v="134"/>
    <x v="14"/>
    <n v="110"/>
    <n v="40"/>
    <n v="260"/>
    <n v="114"/>
    <x v="134"/>
    <x v="38"/>
    <x v="197"/>
    <x v="370"/>
    <n v="0.8545454545454545"/>
    <n v="-24"/>
    <x v="0"/>
    <n v="39.6"/>
    <x v="433"/>
    <n v="3584"/>
    <n v="9690"/>
    <n v="8.4033613445378145E-4"/>
    <s v="Nov-12"/>
    <x v="23"/>
    <n v="2.3829787234042552"/>
  </r>
  <r>
    <x v="12"/>
    <n v="181"/>
    <x v="1"/>
    <x v="1"/>
    <x v="3"/>
    <x v="52"/>
    <x v="1"/>
    <x v="2"/>
    <x v="4"/>
    <x v="140"/>
    <x v="169"/>
    <x v="11"/>
    <n v="170"/>
    <n v="120"/>
    <n v="350"/>
    <n v="74"/>
    <x v="169"/>
    <x v="140"/>
    <x v="156"/>
    <x v="307"/>
    <n v="1.0647058823529412"/>
    <n v="-12"/>
    <x v="0"/>
    <n v="119.1"/>
    <x v="365"/>
    <n v="39204"/>
    <n v="3699.9999999999995"/>
    <n v="5.9504132231404964E-3"/>
    <s v="Nov-12"/>
    <x v="28"/>
    <n v="2.0055248618784529"/>
  </r>
  <r>
    <x v="15"/>
    <n v="69"/>
    <x v="1"/>
    <x v="1"/>
    <x v="3"/>
    <x v="28"/>
    <x v="1"/>
    <x v="3"/>
    <x v="6"/>
    <x v="40"/>
    <x v="61"/>
    <x v="8"/>
    <n v="80"/>
    <n v="50"/>
    <n v="170"/>
    <n v="42"/>
    <x v="61"/>
    <x v="40"/>
    <x v="54"/>
    <x v="171"/>
    <n v="0.86250000000000004"/>
    <n v="-11"/>
    <x v="0"/>
    <n v="49.22"/>
    <x v="496"/>
    <n v="5850"/>
    <n v="882"/>
    <n v="1.2380952380952381E-2"/>
    <s v="Nov-12"/>
    <x v="11"/>
    <n v="2.1739130434782608"/>
  </r>
  <r>
    <x v="17"/>
    <n v="53"/>
    <x v="1"/>
    <x v="1"/>
    <x v="3"/>
    <x v="1"/>
    <x v="1"/>
    <x v="3"/>
    <x v="7"/>
    <x v="29"/>
    <x v="51"/>
    <x v="11"/>
    <n v="60"/>
    <n v="40"/>
    <n v="150"/>
    <n v="61"/>
    <x v="51"/>
    <x v="29"/>
    <x v="35"/>
    <x v="425"/>
    <n v="0.8833333333333333"/>
    <n v="-26"/>
    <x v="0"/>
    <n v="39.65"/>
    <x v="497"/>
    <n v="1792"/>
    <n v="1037"/>
    <n v="6.4338235294117644E-3"/>
    <s v="Nov-12"/>
    <x v="8"/>
    <n v="2.4150943396226414"/>
  </r>
  <r>
    <x v="16"/>
    <n v="63"/>
    <x v="1"/>
    <x v="1"/>
    <x v="3"/>
    <x v="14"/>
    <x v="1"/>
    <x v="3"/>
    <x v="7"/>
    <x v="35"/>
    <x v="233"/>
    <x v="14"/>
    <n v="70"/>
    <n v="70"/>
    <n v="180"/>
    <n v="43"/>
    <x v="233"/>
    <x v="35"/>
    <x v="112"/>
    <x v="55"/>
    <n v="0.9"/>
    <n v="-20"/>
    <x v="0"/>
    <n v="69.285714285714292"/>
    <x v="498"/>
    <n v="7800"/>
    <n v="860"/>
    <n v="1.6025641025641024E-2"/>
    <s v="Nov-12"/>
    <x v="8"/>
    <n v="2.4761904761904763"/>
  </r>
  <r>
    <x v="8"/>
    <n v="15"/>
    <x v="1"/>
    <x v="1"/>
    <x v="3"/>
    <x v="36"/>
    <x v="1"/>
    <x v="2"/>
    <x v="8"/>
    <x v="76"/>
    <x v="115"/>
    <x v="7"/>
    <n v="10"/>
    <n v="10"/>
    <n v="30"/>
    <n v="15"/>
    <x v="115"/>
    <x v="76"/>
    <x v="121"/>
    <x v="115"/>
    <n v="1.5"/>
    <n v="-1"/>
    <x v="0"/>
    <n v="9.1"/>
    <x v="312"/>
    <n v="351"/>
    <n v="60"/>
    <n v="5.7692307692307696E-2"/>
    <s v="Nov-12"/>
    <x v="5"/>
    <n v="2.6"/>
  </r>
  <r>
    <x v="9"/>
    <n v="101"/>
    <x v="1"/>
    <x v="1"/>
    <x v="3"/>
    <x v="40"/>
    <x v="1"/>
    <x v="2"/>
    <x v="8"/>
    <x v="74"/>
    <x v="133"/>
    <x v="8"/>
    <n v="90"/>
    <n v="90"/>
    <n v="220"/>
    <n v="45"/>
    <x v="133"/>
    <x v="74"/>
    <x v="38"/>
    <x v="259"/>
    <n v="1.1222222222222222"/>
    <n v="-5"/>
    <x v="0"/>
    <n v="89.055555555555557"/>
    <x v="311"/>
    <n v="19635"/>
    <n v="1485"/>
    <n v="1.1150465695920242E-2"/>
    <s v="Nov-12"/>
    <x v="13"/>
    <n v="2.2871287128712869"/>
  </r>
  <r>
    <x v="8"/>
    <n v="121"/>
    <x v="1"/>
    <x v="1"/>
    <x v="3"/>
    <x v="51"/>
    <x v="0"/>
    <x v="0"/>
    <x v="10"/>
    <x v="1"/>
    <x v="156"/>
    <x v="7"/>
    <n v="110"/>
    <n v="20"/>
    <n v="260"/>
    <n v="142"/>
    <x v="156"/>
    <x v="1"/>
    <x v="155"/>
    <x v="424"/>
    <n v="1.1000000000000001"/>
    <n v="6"/>
    <x v="0"/>
    <n v="18.7"/>
    <x v="495"/>
    <n v="7514"/>
    <n v="15478"/>
    <n v="8.2537062315482057E-4"/>
    <s v="Nov-12"/>
    <x v="27"/>
    <n v="2.3884297520661155"/>
  </r>
  <r>
    <x v="32"/>
    <n v="130"/>
    <x v="1"/>
    <x v="1"/>
    <x v="3"/>
    <x v="22"/>
    <x v="0"/>
    <x v="0"/>
    <x v="10"/>
    <x v="126"/>
    <x v="155"/>
    <x v="14"/>
    <n v="120"/>
    <n v="120"/>
    <n v="300"/>
    <n v="73"/>
    <x v="155"/>
    <x v="126"/>
    <x v="143"/>
    <x v="289"/>
    <n v="1.0833333333333333"/>
    <n v="2"/>
    <x v="0"/>
    <n v="118.98333333333333"/>
    <x v="344"/>
    <n v="39650"/>
    <n v="3066"/>
    <n v="8.9377289377289369E-3"/>
    <s v="Nov-12"/>
    <x v="19"/>
    <n v="2.5"/>
  </r>
  <r>
    <x v="48"/>
    <n v="173"/>
    <x v="1"/>
    <x v="1"/>
    <x v="3"/>
    <x v="63"/>
    <x v="0"/>
    <x v="0"/>
    <x v="0"/>
    <x v="215"/>
    <x v="208"/>
    <x v="7"/>
    <n v="160"/>
    <n v="130"/>
    <n v="380"/>
    <n v="101"/>
    <x v="208"/>
    <x v="215"/>
    <x v="226"/>
    <x v="426"/>
    <n v="1.08125"/>
    <n v="8"/>
    <x v="0"/>
    <n v="128.93846153846152"/>
    <x v="499"/>
    <n v="56856"/>
    <n v="5757"/>
    <n v="5.8763413387838527E-3"/>
    <s v="Nov-12"/>
    <x v="34"/>
    <n v="2.3815028901734103"/>
  </r>
  <r>
    <x v="17"/>
    <n v="88"/>
    <x v="1"/>
    <x v="1"/>
    <x v="3"/>
    <x v="39"/>
    <x v="0"/>
    <x v="0"/>
    <x v="0"/>
    <x v="50"/>
    <x v="131"/>
    <x v="11"/>
    <n v="80"/>
    <n v="70"/>
    <n v="180"/>
    <n v="42"/>
    <x v="131"/>
    <x v="50"/>
    <x v="83"/>
    <x v="369"/>
    <n v="1.1000000000000001"/>
    <n v="0"/>
    <x v="0"/>
    <n v="69"/>
    <x v="431"/>
    <n v="14000"/>
    <n v="1218"/>
    <n v="1.2068965517241379E-2"/>
    <s v="Nov-12"/>
    <x v="8"/>
    <n v="2.2727272727272729"/>
  </r>
  <r>
    <x v="48"/>
    <n v="113"/>
    <x v="1"/>
    <x v="1"/>
    <x v="3"/>
    <x v="62"/>
    <x v="0"/>
    <x v="0"/>
    <x v="1"/>
    <x v="120"/>
    <x v="206"/>
    <x v="7"/>
    <n v="100"/>
    <n v="100"/>
    <n v="250"/>
    <n v="58"/>
    <x v="206"/>
    <x v="120"/>
    <x v="198"/>
    <x v="371"/>
    <n v="1.1299999999999999"/>
    <n v="7"/>
    <x v="0"/>
    <n v="98.93"/>
    <x v="434"/>
    <n v="29746"/>
    <n v="2088"/>
    <n v="1.069144684252598E-2"/>
    <s v="Nov-12"/>
    <x v="16"/>
    <n v="2.4601769911504423"/>
  </r>
  <r>
    <x v="48"/>
    <n v="228"/>
    <x v="1"/>
    <x v="1"/>
    <x v="3"/>
    <x v="64"/>
    <x v="0"/>
    <x v="1"/>
    <x v="2"/>
    <x v="181"/>
    <x v="209"/>
    <x v="7"/>
    <n v="160"/>
    <n v="140"/>
    <n v="380"/>
    <n v="108"/>
    <x v="209"/>
    <x v="181"/>
    <x v="194"/>
    <x v="367"/>
    <n v="1.425"/>
    <n v="56"/>
    <x v="0"/>
    <n v="138.6"/>
    <x v="429"/>
    <n v="104272"/>
    <n v="8100"/>
    <n v="4.9122807017543861E-3"/>
    <s v="Nov-12"/>
    <x v="27"/>
    <n v="2.3333333333333335"/>
  </r>
  <r>
    <x v="48"/>
    <n v="211"/>
    <x v="1"/>
    <x v="1"/>
    <x v="3"/>
    <x v="53"/>
    <x v="0"/>
    <x v="1"/>
    <x v="11"/>
    <x v="179"/>
    <x v="207"/>
    <x v="7"/>
    <n v="150"/>
    <n v="80"/>
    <n v="300"/>
    <n v="84"/>
    <x v="207"/>
    <x v="179"/>
    <x v="227"/>
    <x v="427"/>
    <n v="1.4066666666666667"/>
    <n v="48"/>
    <x v="0"/>
    <n v="78.400000000000006"/>
    <x v="500"/>
    <n v="54144"/>
    <n v="4956"/>
    <n v="5.1288215731057421E-3"/>
    <s v="Nov-12"/>
    <x v="23"/>
    <n v="2.0047393364928912"/>
  </r>
  <r>
    <x v="17"/>
    <n v="78"/>
    <x v="1"/>
    <x v="1"/>
    <x v="3"/>
    <x v="26"/>
    <x v="0"/>
    <x v="1"/>
    <x v="11"/>
    <x v="103"/>
    <x v="130"/>
    <x v="11"/>
    <n v="50"/>
    <n v="50"/>
    <n v="140"/>
    <n v="57"/>
    <x v="130"/>
    <x v="103"/>
    <x v="106"/>
    <x v="256"/>
    <n v="1.56"/>
    <n v="12"/>
    <x v="0"/>
    <n v="48.76"/>
    <x v="308"/>
    <n v="12214"/>
    <n v="1425"/>
    <n v="1.2588832487309645E-2"/>
    <s v="Nov-12"/>
    <x v="9"/>
    <n v="2.5256410256410255"/>
  </r>
  <r>
    <x v="48"/>
    <n v="245"/>
    <x v="1"/>
    <x v="1"/>
    <x v="3"/>
    <x v="54"/>
    <x v="0"/>
    <x v="1"/>
    <x v="3"/>
    <x v="216"/>
    <x v="234"/>
    <x v="7"/>
    <n v="180"/>
    <n v="-280"/>
    <n v="0"/>
    <n v="127"/>
    <x v="234"/>
    <x v="216"/>
    <x v="158"/>
    <x v="428"/>
    <n v="1.3611111111111112"/>
    <n v="-60"/>
    <x v="0"/>
    <n v="-281.21428571428572"/>
    <x v="501"/>
    <n v="-10880"/>
    <n v="11811"/>
    <n v="-0.11424731182795698"/>
    <s v="Nov-12"/>
    <x v="29"/>
    <n v="0.1306122448979592"/>
  </r>
  <r>
    <x v="17"/>
    <n v="102"/>
    <x v="1"/>
    <x v="1"/>
    <x v="3"/>
    <x v="33"/>
    <x v="0"/>
    <x v="1"/>
    <x v="3"/>
    <x v="104"/>
    <x v="132"/>
    <x v="11"/>
    <n v="70"/>
    <n v="70"/>
    <n v="170"/>
    <n v="54"/>
    <x v="132"/>
    <x v="104"/>
    <x v="71"/>
    <x v="258"/>
    <n v="1.4571428571428571"/>
    <n v="19"/>
    <x v="0"/>
    <n v="68.728571428571428"/>
    <x v="310"/>
    <n v="21805"/>
    <n v="1674"/>
    <n v="1.1718235681369323E-2"/>
    <s v="Nov-12"/>
    <x v="10"/>
    <n v="2.4019607843137254"/>
  </r>
  <r>
    <x v="139"/>
    <n v="224"/>
    <x v="2"/>
    <x v="0"/>
    <x v="3"/>
    <x v="65"/>
    <x v="1"/>
    <x v="3"/>
    <x v="5"/>
    <x v="217"/>
    <x v="186"/>
    <x v="3"/>
    <n v="260"/>
    <n v="-150"/>
    <n v="220"/>
    <n v="117"/>
    <x v="186"/>
    <x v="217"/>
    <x v="228"/>
    <x v="429"/>
    <n v="0.86153846153846159"/>
    <n v="1"/>
    <x v="0"/>
    <n v="-150.99333333333334"/>
    <x v="502"/>
    <n v="-28608"/>
    <n v="8541"/>
    <n v="-1.0630707762557078E-2"/>
    <s v="Dec-12"/>
    <x v="31"/>
    <n v="0.8571428571428571"/>
  </r>
  <r>
    <x v="64"/>
    <n v="247"/>
    <x v="2"/>
    <x v="0"/>
    <x v="3"/>
    <x v="66"/>
    <x v="1"/>
    <x v="2"/>
    <x v="4"/>
    <x v="185"/>
    <x v="171"/>
    <x v="3"/>
    <n v="240"/>
    <n v="210"/>
    <n v="550"/>
    <n v="113"/>
    <x v="171"/>
    <x v="185"/>
    <x v="202"/>
    <x v="126"/>
    <n v="1.0291666666666666"/>
    <n v="6"/>
    <x v="0"/>
    <n v="208.97142857142856"/>
    <x v="440"/>
    <n v="124416"/>
    <n v="9153"/>
    <n v="4.6296296296296294E-3"/>
    <s v="Dec-12"/>
    <x v="37"/>
    <n v="2.331983805668016"/>
  </r>
  <r>
    <x v="138"/>
    <n v="127"/>
    <x v="2"/>
    <x v="0"/>
    <x v="3"/>
    <x v="19"/>
    <x v="1"/>
    <x v="3"/>
    <x v="6"/>
    <x v="218"/>
    <x v="235"/>
    <x v="3"/>
    <n v="150"/>
    <n v="-90"/>
    <n v="120"/>
    <n v="63"/>
    <x v="235"/>
    <x v="218"/>
    <x v="199"/>
    <x v="430"/>
    <n v="0.84666666666666668"/>
    <n v="2"/>
    <x v="0"/>
    <n v="-90.977777777777774"/>
    <x v="503"/>
    <n v="-8976"/>
    <n v="2520"/>
    <n v="-2.1568627450980395E-2"/>
    <s v="Dec-12"/>
    <x v="32"/>
    <n v="0.80314960629921262"/>
  </r>
  <r>
    <x v="71"/>
    <n v="279"/>
    <x v="2"/>
    <x v="0"/>
    <x v="3"/>
    <x v="55"/>
    <x v="1"/>
    <x v="3"/>
    <x v="7"/>
    <x v="146"/>
    <x v="175"/>
    <x v="3"/>
    <n v="330"/>
    <n v="350"/>
    <n v="830"/>
    <n v="149"/>
    <x v="175"/>
    <x v="146"/>
    <x v="160"/>
    <x v="315"/>
    <n v="0.84545454545454546"/>
    <n v="-79"/>
    <x v="0"/>
    <n v="349.22571428571428"/>
    <x v="374"/>
    <n v="189429"/>
    <n v="14453"/>
    <n v="3.9968732946919754E-3"/>
    <s v="Dec-12"/>
    <x v="44"/>
    <n v="2.5053763440860215"/>
  </r>
  <r>
    <x v="144"/>
    <n v="250"/>
    <x v="2"/>
    <x v="0"/>
    <x v="3"/>
    <x v="57"/>
    <x v="1"/>
    <x v="2"/>
    <x v="9"/>
    <x v="183"/>
    <x v="212"/>
    <x v="3"/>
    <n v="240"/>
    <n v="160"/>
    <n v="480"/>
    <n v="94"/>
    <x v="212"/>
    <x v="183"/>
    <x v="200"/>
    <x v="374"/>
    <n v="1.0416666666666667"/>
    <n v="-3"/>
    <x v="0"/>
    <n v="159.01875000000001"/>
    <x v="438"/>
    <n v="78657"/>
    <n v="6580"/>
    <n v="4.476760764185914E-3"/>
    <s v="Dec-12"/>
    <x v="33"/>
    <n v="2.004"/>
  </r>
  <r>
    <x v="92"/>
    <n v="135"/>
    <x v="2"/>
    <x v="0"/>
    <x v="3"/>
    <x v="56"/>
    <x v="1"/>
    <x v="2"/>
    <x v="8"/>
    <x v="5"/>
    <x v="141"/>
    <x v="3"/>
    <n v="130"/>
    <n v="40"/>
    <n v="310"/>
    <n v="156"/>
    <x v="141"/>
    <x v="5"/>
    <x v="229"/>
    <x v="431"/>
    <n v="1.0384615384615385"/>
    <n v="-9"/>
    <x v="0"/>
    <n v="39.225000000000001"/>
    <x v="504"/>
    <n v="9982"/>
    <n v="19032"/>
    <n v="7.8912534365135933E-4"/>
    <s v="Dec-12"/>
    <x v="24"/>
    <n v="2.3851851851851853"/>
  </r>
  <r>
    <x v="81"/>
    <n v="86"/>
    <x v="2"/>
    <x v="0"/>
    <x v="3"/>
    <x v="23"/>
    <x v="0"/>
    <x v="0"/>
    <x v="10"/>
    <x v="104"/>
    <x v="145"/>
    <x v="3"/>
    <n v="80"/>
    <n v="80"/>
    <n v="190"/>
    <n v="35"/>
    <x v="145"/>
    <x v="104"/>
    <x v="72"/>
    <x v="321"/>
    <n v="1.075"/>
    <n v="9"/>
    <x v="0"/>
    <n v="78.887500000000003"/>
    <x v="381"/>
    <n v="18690"/>
    <n v="840"/>
    <n v="1.7658730158730158E-2"/>
    <s v="Dec-12"/>
    <x v="8"/>
    <n v="2.441860465116279"/>
  </r>
  <r>
    <x v="145"/>
    <n v="241"/>
    <x v="2"/>
    <x v="0"/>
    <x v="3"/>
    <x v="37"/>
    <x v="0"/>
    <x v="0"/>
    <x v="0"/>
    <x v="105"/>
    <x v="135"/>
    <x v="3"/>
    <n v="220"/>
    <n v="170"/>
    <n v="480"/>
    <n v="96"/>
    <x v="135"/>
    <x v="105"/>
    <x v="132"/>
    <x v="261"/>
    <n v="1.0954545454545455"/>
    <n v="18"/>
    <x v="0"/>
    <n v="168.89411764705883"/>
    <x v="314"/>
    <n v="98700"/>
    <n v="7104.0000000000009"/>
    <n v="4.8391248391248384E-3"/>
    <s v="Dec-12"/>
    <x v="22"/>
    <n v="2.1784232365145226"/>
  </r>
  <r>
    <x v="144"/>
    <n v="123"/>
    <x v="2"/>
    <x v="0"/>
    <x v="3"/>
    <x v="38"/>
    <x v="0"/>
    <x v="1"/>
    <x v="2"/>
    <x v="136"/>
    <x v="125"/>
    <x v="3"/>
    <n v="90"/>
    <n v="110"/>
    <n v="220"/>
    <n v="45"/>
    <x v="125"/>
    <x v="136"/>
    <x v="153"/>
    <x v="301"/>
    <n v="1.3666666666666667"/>
    <n v="24"/>
    <x v="0"/>
    <n v="108.78181818181818"/>
    <x v="359"/>
    <n v="40468"/>
    <n v="1530"/>
    <n v="1.3050253213868329E-2"/>
    <s v="Dec-12"/>
    <x v="8"/>
    <n v="2.4552845528455283"/>
  </r>
  <r>
    <x v="9"/>
    <n v="68"/>
    <x v="2"/>
    <x v="1"/>
    <x v="3"/>
    <x v="26"/>
    <x v="1"/>
    <x v="3"/>
    <x v="5"/>
    <x v="1"/>
    <x v="43"/>
    <x v="8"/>
    <n v="80"/>
    <n v="50"/>
    <n v="180"/>
    <n v="59"/>
    <x v="43"/>
    <x v="1"/>
    <x v="0"/>
    <x v="238"/>
    <n v="0.85"/>
    <n v="-24"/>
    <x v="0"/>
    <n v="49.48"/>
    <x v="290"/>
    <n v="3978"/>
    <n v="1475"/>
    <n v="6.7973856209150333E-3"/>
    <s v="Dec-12"/>
    <x v="13"/>
    <n v="2.25"/>
  </r>
  <r>
    <x v="30"/>
    <n v="105"/>
    <x v="2"/>
    <x v="1"/>
    <x v="3"/>
    <x v="44"/>
    <x v="1"/>
    <x v="3"/>
    <x v="5"/>
    <x v="30"/>
    <x v="139"/>
    <x v="14"/>
    <n v="120"/>
    <n v="50"/>
    <n v="290"/>
    <n v="125"/>
    <x v="139"/>
    <x v="30"/>
    <x v="134"/>
    <x v="268"/>
    <n v="0.875"/>
    <n v="-30"/>
    <x v="0"/>
    <n v="49.6"/>
    <x v="322"/>
    <n v="5000"/>
    <n v="11875"/>
    <n v="8.4210526315789467E-4"/>
    <s v="Dec-12"/>
    <x v="27"/>
    <n v="2.3809523809523809"/>
  </r>
  <r>
    <x v="17"/>
    <n v="153"/>
    <x v="2"/>
    <x v="1"/>
    <x v="3"/>
    <x v="22"/>
    <x v="1"/>
    <x v="2"/>
    <x v="4"/>
    <x v="100"/>
    <x v="176"/>
    <x v="11"/>
    <n v="150"/>
    <n v="80"/>
    <n v="290"/>
    <n v="66"/>
    <x v="176"/>
    <x v="100"/>
    <x v="163"/>
    <x v="130"/>
    <n v="1.02"/>
    <n v="7"/>
    <x v="0"/>
    <n v="78.912499999999994"/>
    <x v="377"/>
    <n v="26622"/>
    <n v="2771.9999999999995"/>
    <n v="6.7693744164332402E-3"/>
    <s v="Dec-12"/>
    <x v="32"/>
    <n v="2"/>
  </r>
  <r>
    <x v="56"/>
    <n v="80"/>
    <x v="2"/>
    <x v="1"/>
    <x v="3"/>
    <x v="23"/>
    <x v="1"/>
    <x v="2"/>
    <x v="4"/>
    <x v="94"/>
    <x v="37"/>
    <x v="14"/>
    <n v="70"/>
    <n v="60"/>
    <n v="170"/>
    <n v="45"/>
    <x v="37"/>
    <x v="94"/>
    <x v="61"/>
    <x v="432"/>
    <n v="1.1428571428571428"/>
    <n v="-9"/>
    <x v="0"/>
    <n v="59.15"/>
    <x v="505"/>
    <n v="8976"/>
    <n v="1080"/>
    <n v="1.2073863636363636E-2"/>
    <s v="Dec-12"/>
    <x v="8"/>
    <n v="2.2000000000000002"/>
  </r>
  <r>
    <x v="9"/>
    <n v="63"/>
    <x v="2"/>
    <x v="1"/>
    <x v="3"/>
    <x v="27"/>
    <x v="1"/>
    <x v="3"/>
    <x v="6"/>
    <x v="18"/>
    <x v="44"/>
    <x v="8"/>
    <n v="70"/>
    <n v="50"/>
    <n v="160"/>
    <n v="40"/>
    <x v="44"/>
    <x v="18"/>
    <x v="51"/>
    <x v="58"/>
    <n v="0.9"/>
    <n v="-14"/>
    <x v="0"/>
    <n v="49.28"/>
    <x v="62"/>
    <n v="5004"/>
    <n v="760"/>
    <n v="1.3631200302915562E-2"/>
    <s v="Dec-12"/>
    <x v="8"/>
    <n v="2.2063492063492065"/>
  </r>
  <r>
    <x v="56"/>
    <n v="72"/>
    <x v="2"/>
    <x v="1"/>
    <x v="3"/>
    <x v="4"/>
    <x v="1"/>
    <x v="3"/>
    <x v="7"/>
    <x v="85"/>
    <x v="37"/>
    <x v="14"/>
    <n v="80"/>
    <n v="80"/>
    <n v="200"/>
    <n v="46"/>
    <x v="37"/>
    <x v="85"/>
    <x v="41"/>
    <x v="254"/>
    <n v="0.9"/>
    <n v="-22"/>
    <x v="0"/>
    <n v="79.275000000000006"/>
    <x v="506"/>
    <n v="10208"/>
    <n v="1058"/>
    <n v="1.432806324110672E-2"/>
    <s v="Dec-12"/>
    <x v="11"/>
    <n v="2.4444444444444446"/>
  </r>
  <r>
    <x v="8"/>
    <n v="16"/>
    <x v="2"/>
    <x v="1"/>
    <x v="3"/>
    <x v="36"/>
    <x v="1"/>
    <x v="2"/>
    <x v="8"/>
    <x v="44"/>
    <x v="116"/>
    <x v="7"/>
    <n v="10"/>
    <n v="10"/>
    <n v="30"/>
    <n v="15"/>
    <x v="116"/>
    <x v="44"/>
    <x v="116"/>
    <x v="55"/>
    <n v="1.6"/>
    <n v="0"/>
    <x v="0"/>
    <n v="9"/>
    <x v="190"/>
    <n v="410"/>
    <n v="60"/>
    <n v="6.097560975609756E-2"/>
    <s v="Dec-12"/>
    <x v="5"/>
    <n v="2.5625"/>
  </r>
  <r>
    <x v="9"/>
    <n v="94"/>
    <x v="2"/>
    <x v="1"/>
    <x v="3"/>
    <x v="33"/>
    <x v="1"/>
    <x v="2"/>
    <x v="8"/>
    <x v="61"/>
    <x v="138"/>
    <x v="8"/>
    <n v="90"/>
    <n v="70"/>
    <n v="200"/>
    <n v="43"/>
    <x v="138"/>
    <x v="61"/>
    <x v="52"/>
    <x v="267"/>
    <n v="1.0444444444444445"/>
    <n v="7"/>
    <x v="0"/>
    <n v="68.900000000000006"/>
    <x v="320"/>
    <n v="16478"/>
    <n v="1333"/>
    <n v="1.1606873681037081E-2"/>
    <s v="Dec-12"/>
    <x v="13"/>
    <n v="2.2765957446808511"/>
  </r>
  <r>
    <x v="48"/>
    <n v="135"/>
    <x v="2"/>
    <x v="1"/>
    <x v="3"/>
    <x v="56"/>
    <x v="0"/>
    <x v="0"/>
    <x v="10"/>
    <x v="71"/>
    <x v="141"/>
    <x v="7"/>
    <n v="120"/>
    <n v="30"/>
    <n v="290"/>
    <n v="155"/>
    <x v="141"/>
    <x v="71"/>
    <x v="162"/>
    <x v="433"/>
    <n v="1.125"/>
    <n v="2"/>
    <x v="0"/>
    <n v="28.933333333333334"/>
    <x v="507"/>
    <n v="10304"/>
    <n v="18910"/>
    <n v="8.1458099989817746E-4"/>
    <s v="Dec-12"/>
    <x v="38"/>
    <n v="2.3851851851851853"/>
  </r>
  <r>
    <x v="30"/>
    <n v="115"/>
    <x v="2"/>
    <x v="1"/>
    <x v="3"/>
    <x v="45"/>
    <x v="0"/>
    <x v="0"/>
    <x v="10"/>
    <x v="116"/>
    <x v="156"/>
    <x v="14"/>
    <n v="100"/>
    <n v="110"/>
    <n v="260"/>
    <n v="69"/>
    <x v="156"/>
    <x v="116"/>
    <x v="144"/>
    <x v="290"/>
    <n v="1.1499999999999999"/>
    <n v="-5"/>
    <x v="0"/>
    <n v="109.04545454545455"/>
    <x v="345"/>
    <n v="30345"/>
    <n v="2553"/>
    <n v="9.819508089404282E-3"/>
    <s v="Dec-12"/>
    <x v="16"/>
    <n v="2.5130434782608697"/>
  </r>
  <r>
    <x v="8"/>
    <n v="224"/>
    <x v="2"/>
    <x v="1"/>
    <x v="3"/>
    <x v="65"/>
    <x v="0"/>
    <x v="0"/>
    <x v="0"/>
    <x v="184"/>
    <x v="213"/>
    <x v="7"/>
    <n v="210"/>
    <n v="170"/>
    <n v="490"/>
    <n v="116"/>
    <x v="213"/>
    <x v="184"/>
    <x v="201"/>
    <x v="375"/>
    <n v="1.0666666666666667"/>
    <n v="24"/>
    <x v="0"/>
    <n v="168.85882352941175"/>
    <x v="439"/>
    <n v="103596"/>
    <n v="8468"/>
    <n v="4.9766558924631884E-3"/>
    <s v="Dec-12"/>
    <x v="33"/>
    <n v="2.3839285714285716"/>
  </r>
  <r>
    <x v="49"/>
    <n v="81"/>
    <x v="2"/>
    <x v="1"/>
    <x v="3"/>
    <x v="32"/>
    <x v="0"/>
    <x v="0"/>
    <x v="0"/>
    <x v="107"/>
    <x v="86"/>
    <x v="11"/>
    <n v="70"/>
    <n v="70"/>
    <n v="170"/>
    <n v="38"/>
    <x v="86"/>
    <x v="107"/>
    <x v="63"/>
    <x v="264"/>
    <n v="1.1571428571428573"/>
    <n v="-4"/>
    <x v="0"/>
    <n v="69.057142857142864"/>
    <x v="317"/>
    <n v="12210"/>
    <n v="988"/>
    <n v="1.372141372141372E-2"/>
    <s v="Dec-12"/>
    <x v="10"/>
    <n v="2.2839506172839505"/>
  </r>
  <r>
    <x v="8"/>
    <n v="127"/>
    <x v="2"/>
    <x v="1"/>
    <x v="3"/>
    <x v="19"/>
    <x v="0"/>
    <x v="0"/>
    <x v="1"/>
    <x v="126"/>
    <x v="211"/>
    <x v="7"/>
    <n v="120"/>
    <n v="120"/>
    <n v="290"/>
    <n v="63"/>
    <x v="211"/>
    <x v="126"/>
    <x v="199"/>
    <x v="373"/>
    <n v="1.0583333333333333"/>
    <n v="2"/>
    <x v="0"/>
    <n v="118.98333333333333"/>
    <x v="437"/>
    <n v="38064"/>
    <n v="2520"/>
    <n v="9.7756410256410256E-3"/>
    <s v="Dec-12"/>
    <x v="30"/>
    <n v="2.4566929133858268"/>
  </r>
  <r>
    <x v="48"/>
    <n v="247"/>
    <x v="2"/>
    <x v="1"/>
    <x v="3"/>
    <x v="66"/>
    <x v="0"/>
    <x v="1"/>
    <x v="2"/>
    <x v="219"/>
    <x v="171"/>
    <x v="7"/>
    <n v="180"/>
    <n v="150"/>
    <n v="420"/>
    <n v="114"/>
    <x v="171"/>
    <x v="219"/>
    <x v="230"/>
    <x v="434"/>
    <n v="1.3722222222222222"/>
    <n v="65"/>
    <x v="0"/>
    <n v="148.56666666666666"/>
    <x v="508"/>
    <n v="123840"/>
    <n v="9234"/>
    <n v="4.6081961591220846E-3"/>
    <s v="Dec-12"/>
    <x v="24"/>
    <n v="2.331983805668016"/>
  </r>
  <r>
    <x v="48"/>
    <n v="250"/>
    <x v="2"/>
    <x v="1"/>
    <x v="3"/>
    <x v="57"/>
    <x v="0"/>
    <x v="1"/>
    <x v="11"/>
    <x v="183"/>
    <x v="212"/>
    <x v="7"/>
    <n v="180"/>
    <n v="100"/>
    <n v="360"/>
    <n v="94"/>
    <x v="212"/>
    <x v="183"/>
    <x v="200"/>
    <x v="374"/>
    <n v="1.3888888888888888"/>
    <n v="57"/>
    <x v="0"/>
    <n v="98.43"/>
    <x v="438"/>
    <n v="78657"/>
    <n v="6580"/>
    <n v="4.476760764185914E-3"/>
    <s v="Dec-12"/>
    <x v="38"/>
    <n v="2.004"/>
  </r>
  <r>
    <x v="17"/>
    <n v="88"/>
    <x v="2"/>
    <x v="1"/>
    <x v="3"/>
    <x v="39"/>
    <x v="0"/>
    <x v="1"/>
    <x v="11"/>
    <x v="59"/>
    <x v="136"/>
    <x v="11"/>
    <n v="60"/>
    <n v="60"/>
    <n v="160"/>
    <n v="60"/>
    <x v="136"/>
    <x v="59"/>
    <x v="159"/>
    <x v="313"/>
    <n v="1.4666666666666666"/>
    <n v="13"/>
    <x v="0"/>
    <n v="58.783333333333331"/>
    <x v="372"/>
    <n v="16133"/>
    <n v="1740"/>
    <n v="1.1390232485567172E-2"/>
    <s v="Dec-12"/>
    <x v="10"/>
    <n v="2.5113636363636362"/>
  </r>
  <r>
    <x v="8"/>
    <n v="294"/>
    <x v="2"/>
    <x v="1"/>
    <x v="3"/>
    <x v="58"/>
    <x v="0"/>
    <x v="1"/>
    <x v="3"/>
    <x v="220"/>
    <x v="236"/>
    <x v="7"/>
    <n v="210"/>
    <n v="-320"/>
    <n v="0"/>
    <n v="145"/>
    <x v="236"/>
    <x v="220"/>
    <x v="231"/>
    <x v="435"/>
    <n v="1.4"/>
    <n v="-88"/>
    <x v="0"/>
    <n v="-321.27499999999998"/>
    <x v="509"/>
    <n v="-12648"/>
    <n v="16095"/>
    <n v="-0.11857018308631212"/>
    <s v="Dec-12"/>
    <x v="33"/>
    <n v="0.10544217687074831"/>
  </r>
  <r>
    <x v="12"/>
    <n v="134"/>
    <x v="2"/>
    <x v="1"/>
    <x v="3"/>
    <x v="11"/>
    <x v="0"/>
    <x v="1"/>
    <x v="3"/>
    <x v="109"/>
    <x v="137"/>
    <x v="11"/>
    <n v="90"/>
    <n v="100"/>
    <n v="230"/>
    <n v="65"/>
    <x v="137"/>
    <x v="109"/>
    <x v="133"/>
    <x v="266"/>
    <n v="1.4888888888888889"/>
    <n v="21"/>
    <x v="0"/>
    <n v="98.79"/>
    <x v="319"/>
    <n v="38720"/>
    <n v="2665"/>
    <n v="9.2225609756097556E-3"/>
    <s v="Dec-12"/>
    <x v="13"/>
    <n v="2.3880597014925371"/>
  </r>
  <r>
    <x v="9"/>
    <n v="20"/>
    <x v="2"/>
    <x v="1"/>
    <x v="3"/>
    <x v="7"/>
    <x v="0"/>
    <x v="1"/>
    <x v="3"/>
    <x v="108"/>
    <x v="117"/>
    <x v="8"/>
    <n v="10"/>
    <n v="0"/>
    <n v="30"/>
    <n v="40"/>
    <x v="117"/>
    <x v="108"/>
    <x v="64"/>
    <x v="265"/>
    <n v="2"/>
    <n v="-15"/>
    <x v="0"/>
    <e v="#DIV/0!"/>
    <x v="318"/>
    <n v="-675"/>
    <n v="280"/>
    <n v="-4.7619047619047616E-2"/>
    <s v="Dec-12"/>
    <x v="3"/>
    <n v="2.25"/>
  </r>
  <r>
    <x v="73"/>
    <n v="154"/>
    <x v="3"/>
    <x v="0"/>
    <x v="3"/>
    <x v="52"/>
    <x v="1"/>
    <x v="3"/>
    <x v="5"/>
    <x v="221"/>
    <x v="44"/>
    <x v="3"/>
    <n v="220"/>
    <n v="-100"/>
    <n v="190"/>
    <n v="93"/>
    <x v="44"/>
    <x v="221"/>
    <x v="232"/>
    <x v="436"/>
    <n v="0.7"/>
    <n v="-74"/>
    <x v="0"/>
    <n v="-101.74"/>
    <x v="510"/>
    <n v="-24186"/>
    <n v="4650"/>
    <n v="-2.5035971223021581E-2"/>
    <s v="Oct-13"/>
    <x v="40"/>
    <n v="0.90259740259740262"/>
  </r>
  <r>
    <x v="145"/>
    <n v="257"/>
    <x v="3"/>
    <x v="0"/>
    <x v="3"/>
    <x v="60"/>
    <x v="1"/>
    <x v="2"/>
    <x v="4"/>
    <x v="222"/>
    <x v="219"/>
    <x v="3"/>
    <n v="230"/>
    <n v="240"/>
    <n v="550"/>
    <n v="116"/>
    <x v="219"/>
    <x v="222"/>
    <x v="233"/>
    <x v="437"/>
    <n v="1.1173913043478261"/>
    <n v="94"/>
    <x v="0"/>
    <n v="238.60833333333332"/>
    <x v="511"/>
    <n v="212758"/>
    <n v="9744"/>
    <n v="6.2420572624654258E-3"/>
    <s v="Oct-13"/>
    <x v="22"/>
    <n v="2.4785992217898833"/>
  </r>
  <r>
    <x v="142"/>
    <n v="122"/>
    <x v="3"/>
    <x v="0"/>
    <x v="3"/>
    <x v="59"/>
    <x v="1"/>
    <x v="3"/>
    <x v="6"/>
    <x v="223"/>
    <x v="52"/>
    <x v="3"/>
    <n v="170"/>
    <n v="-60"/>
    <n v="150"/>
    <n v="61"/>
    <x v="52"/>
    <x v="223"/>
    <x v="234"/>
    <x v="438"/>
    <n v="0.71764705882352942"/>
    <n v="-50"/>
    <x v="0"/>
    <n v="-61.833333333333336"/>
    <x v="512"/>
    <n v="-12760"/>
    <n v="2379"/>
    <n v="-2.4314765694076042E-2"/>
    <s v="Oct-13"/>
    <x v="32"/>
    <n v="0.95081967213114749"/>
  </r>
  <r>
    <x v="140"/>
    <n v="260"/>
    <x v="3"/>
    <x v="0"/>
    <x v="3"/>
    <x v="46"/>
    <x v="1"/>
    <x v="3"/>
    <x v="7"/>
    <x v="152"/>
    <x v="181"/>
    <x v="3"/>
    <n v="380"/>
    <n v="470"/>
    <n v="960"/>
    <n v="143"/>
    <x v="181"/>
    <x v="152"/>
    <x v="167"/>
    <x v="324"/>
    <n v="0.68421052631578949"/>
    <n v="-103"/>
    <x v="1"/>
    <n v="469.2191489361702"/>
    <x v="384"/>
    <n v="254331"/>
    <n v="13013"/>
    <n v="5.8195772481486763E-3"/>
    <s v="Oct-13"/>
    <x v="42"/>
    <n v="2.6653846153846152"/>
  </r>
  <r>
    <x v="139"/>
    <n v="239"/>
    <x v="3"/>
    <x v="0"/>
    <x v="3"/>
    <x v="49"/>
    <x v="1"/>
    <x v="2"/>
    <x v="9"/>
    <x v="189"/>
    <x v="217"/>
    <x v="3"/>
    <n v="210"/>
    <n v="160"/>
    <n v="430"/>
    <n v="90"/>
    <x v="217"/>
    <x v="189"/>
    <x v="205"/>
    <x v="382"/>
    <n v="1.138095238095238"/>
    <n v="61"/>
    <x v="0"/>
    <n v="158.61875000000001"/>
    <x v="448"/>
    <n v="112489"/>
    <n v="5940"/>
    <n v="6.578555694469251E-3"/>
    <s v="Oct-13"/>
    <x v="24"/>
    <n v="2.1297071129707112"/>
  </r>
  <r>
    <x v="75"/>
    <n v="125"/>
    <x v="3"/>
    <x v="0"/>
    <x v="3"/>
    <x v="47"/>
    <x v="1"/>
    <x v="2"/>
    <x v="8"/>
    <x v="54"/>
    <x v="216"/>
    <x v="3"/>
    <n v="110"/>
    <n v="50"/>
    <n v="270"/>
    <n v="146"/>
    <x v="216"/>
    <x v="54"/>
    <x v="235"/>
    <x v="439"/>
    <n v="1.1363636363636365"/>
    <n v="-10"/>
    <x v="0"/>
    <n v="49.2"/>
    <x v="513"/>
    <n v="12720"/>
    <n v="16498"/>
    <n v="1.1131518895753326E-3"/>
    <s v="Oct-13"/>
    <x v="23"/>
    <n v="2.544"/>
  </r>
  <r>
    <x v="146"/>
    <n v="108"/>
    <x v="3"/>
    <x v="0"/>
    <x v="3"/>
    <x v="30"/>
    <x v="0"/>
    <x v="0"/>
    <x v="10"/>
    <x v="127"/>
    <x v="185"/>
    <x v="3"/>
    <n v="80"/>
    <n v="120"/>
    <n v="210"/>
    <n v="42"/>
    <x v="185"/>
    <x v="127"/>
    <x v="54"/>
    <x v="331"/>
    <n v="1.35"/>
    <n v="51"/>
    <x v="0"/>
    <n v="118.575"/>
    <x v="390"/>
    <n v="48222"/>
    <n v="1260"/>
    <n v="2.021276595744681E-2"/>
    <s v="Oct-13"/>
    <x v="9"/>
    <n v="2.6111111111111112"/>
  </r>
  <r>
    <x v="138"/>
    <n v="239"/>
    <x v="3"/>
    <x v="0"/>
    <x v="3"/>
    <x v="37"/>
    <x v="0"/>
    <x v="0"/>
    <x v="0"/>
    <x v="224"/>
    <x v="140"/>
    <x v="3"/>
    <n v="190"/>
    <n v="170"/>
    <n v="410"/>
    <n v="95"/>
    <x v="140"/>
    <x v="224"/>
    <x v="235"/>
    <x v="440"/>
    <n v="1.2578947368421052"/>
    <n v="106"/>
    <x v="0"/>
    <n v="168.37647058823529"/>
    <x v="514"/>
    <n v="152904"/>
    <n v="7030"/>
    <n v="6.7323641330861552E-3"/>
    <s v="Oct-13"/>
    <x v="27"/>
    <n v="2.3179916317991633"/>
  </r>
  <r>
    <x v="147"/>
    <n v="123"/>
    <x v="3"/>
    <x v="0"/>
    <x v="3"/>
    <x v="38"/>
    <x v="0"/>
    <x v="1"/>
    <x v="2"/>
    <x v="158"/>
    <x v="141"/>
    <x v="3"/>
    <n v="50"/>
    <n v="80"/>
    <n v="140"/>
    <n v="45"/>
    <x v="141"/>
    <x v="158"/>
    <x v="49"/>
    <x v="332"/>
    <n v="2.46"/>
    <n v="119"/>
    <x v="0"/>
    <n v="77.512500000000003"/>
    <x v="391"/>
    <n v="64078"/>
    <n v="1530"/>
    <n v="1.8176835951772011E-2"/>
    <s v="Oct-13"/>
    <x v="0"/>
    <n v="2.6178861788617884"/>
  </r>
  <r>
    <x v="17"/>
    <n v="43"/>
    <x v="3"/>
    <x v="1"/>
    <x v="3"/>
    <x v="2"/>
    <x v="1"/>
    <x v="3"/>
    <x v="5"/>
    <x v="58"/>
    <x v="11"/>
    <x v="11"/>
    <n v="50"/>
    <n v="80"/>
    <n v="150"/>
    <n v="35"/>
    <x v="11"/>
    <x v="58"/>
    <x v="37"/>
    <x v="441"/>
    <n v="0.86"/>
    <n v="-37"/>
    <x v="0"/>
    <n v="79.462500000000006"/>
    <x v="515"/>
    <n v="4902"/>
    <n v="455"/>
    <n v="2.9014844804318488E-2"/>
    <s v="Oct-13"/>
    <x v="7"/>
    <n v="2.6511627906976742"/>
  </r>
  <r>
    <x v="9"/>
    <n v="79"/>
    <x v="3"/>
    <x v="1"/>
    <x v="3"/>
    <x v="30"/>
    <x v="1"/>
    <x v="3"/>
    <x v="5"/>
    <x v="35"/>
    <x v="90"/>
    <x v="8"/>
    <n v="100"/>
    <n v="120"/>
    <n v="260"/>
    <n v="64"/>
    <x v="90"/>
    <x v="35"/>
    <x v="92"/>
    <x v="142"/>
    <n v="0.79"/>
    <n v="-70"/>
    <x v="0"/>
    <n v="119.58333333333333"/>
    <x v="161"/>
    <n v="9450"/>
    <n v="1920"/>
    <n v="8.8183421516754863E-3"/>
    <s v="Oct-13"/>
    <x v="14"/>
    <n v="2.3924050632911391"/>
  </r>
  <r>
    <x v="32"/>
    <n v="96"/>
    <x v="3"/>
    <x v="1"/>
    <x v="3"/>
    <x v="41"/>
    <x v="1"/>
    <x v="3"/>
    <x v="5"/>
    <x v="65"/>
    <x v="132"/>
    <x v="14"/>
    <n v="140"/>
    <n v="100"/>
    <n v="330"/>
    <n v="117"/>
    <x v="132"/>
    <x v="65"/>
    <x v="136"/>
    <x v="273"/>
    <n v="0.68571428571428572"/>
    <n v="-75"/>
    <x v="0"/>
    <n v="99.75"/>
    <x v="89"/>
    <n v="6125"/>
    <n v="10179"/>
    <n v="1.1728829462819611E-3"/>
    <s v="Oct-13"/>
    <x v="28"/>
    <n v="2.5520833333333335"/>
  </r>
  <r>
    <x v="12"/>
    <n v="161"/>
    <x v="3"/>
    <x v="1"/>
    <x v="3"/>
    <x v="48"/>
    <x v="1"/>
    <x v="2"/>
    <x v="4"/>
    <x v="225"/>
    <x v="182"/>
    <x v="11"/>
    <n v="140"/>
    <n v="110"/>
    <n v="290"/>
    <n v="70"/>
    <x v="182"/>
    <x v="225"/>
    <x v="197"/>
    <x v="7"/>
    <n v="1.1499999999999999"/>
    <n v="25"/>
    <x v="0"/>
    <n v="108.77272727272727"/>
    <x v="516"/>
    <n v="46305"/>
    <n v="3150"/>
    <n v="8.7463556851311956E-3"/>
    <s v="Oct-13"/>
    <x v="19"/>
    <n v="2.1304347826086958"/>
  </r>
  <r>
    <x v="78"/>
    <n v="80"/>
    <x v="3"/>
    <x v="1"/>
    <x v="3"/>
    <x v="23"/>
    <x v="1"/>
    <x v="2"/>
    <x v="4"/>
    <x v="53"/>
    <x v="86"/>
    <x v="14"/>
    <n v="60"/>
    <n v="80"/>
    <n v="150"/>
    <n v="46"/>
    <x v="86"/>
    <x v="53"/>
    <x v="35"/>
    <x v="139"/>
    <n v="1.3333333333333333"/>
    <n v="-9"/>
    <x v="0"/>
    <n v="79.112499999999997"/>
    <x v="154"/>
    <n v="13135"/>
    <n v="1104"/>
    <n v="1.5990990990990991E-2"/>
    <s v="Oct-13"/>
    <x v="7"/>
    <n v="2.3125"/>
  </r>
  <r>
    <x v="12"/>
    <n v="51"/>
    <x v="3"/>
    <x v="1"/>
    <x v="3"/>
    <x v="0"/>
    <x v="1"/>
    <x v="3"/>
    <x v="6"/>
    <x v="11"/>
    <x v="45"/>
    <x v="11"/>
    <n v="70"/>
    <n v="50"/>
    <n v="170"/>
    <n v="76"/>
    <x v="45"/>
    <x v="11"/>
    <x v="52"/>
    <x v="60"/>
    <n v="0.72857142857142854"/>
    <n v="-57"/>
    <x v="0"/>
    <n v="50.14"/>
    <x v="64"/>
    <n v="-910"/>
    <n v="3496"/>
    <n v="-1.1705685618729098E-3"/>
    <s v="Oct-13"/>
    <x v="11"/>
    <n v="2.5490196078431371"/>
  </r>
  <r>
    <x v="9"/>
    <n v="65"/>
    <x v="3"/>
    <x v="1"/>
    <x v="3"/>
    <x v="14"/>
    <x v="1"/>
    <x v="3"/>
    <x v="6"/>
    <x v="36"/>
    <x v="91"/>
    <x v="8"/>
    <n v="90"/>
    <n v="90"/>
    <n v="200"/>
    <n v="41"/>
    <x v="91"/>
    <x v="36"/>
    <x v="42"/>
    <x v="442"/>
    <n v="0.72222222222222221"/>
    <n v="-37"/>
    <x v="0"/>
    <n v="89.411111111111111"/>
    <x v="517"/>
    <n v="8003"/>
    <n v="820"/>
    <n v="1.7549668874172183E-2"/>
    <s v="Oct-13"/>
    <x v="8"/>
    <n v="2.3230769230769233"/>
  </r>
  <r>
    <x v="12"/>
    <n v="60"/>
    <x v="3"/>
    <x v="1"/>
    <x v="3"/>
    <x v="27"/>
    <x v="1"/>
    <x v="3"/>
    <x v="7"/>
    <x v="5"/>
    <x v="43"/>
    <x v="11"/>
    <n v="80"/>
    <n v="90"/>
    <n v="210"/>
    <n v="63"/>
    <x v="43"/>
    <x v="5"/>
    <x v="43"/>
    <x v="443"/>
    <n v="0.75"/>
    <n v="-59"/>
    <x v="0"/>
    <n v="89.655555555555551"/>
    <x v="518"/>
    <n v="4743"/>
    <n v="1197"/>
    <n v="1.066391468868249E-2"/>
    <s v="Oct-13"/>
    <x v="11"/>
    <n v="2.5499999999999998"/>
  </r>
  <r>
    <x v="9"/>
    <n v="47"/>
    <x v="3"/>
    <x v="1"/>
    <x v="3"/>
    <x v="6"/>
    <x v="1"/>
    <x v="3"/>
    <x v="7"/>
    <x v="9"/>
    <x v="15"/>
    <x v="8"/>
    <n v="50"/>
    <n v="80"/>
    <n v="150"/>
    <n v="42"/>
    <x v="15"/>
    <x v="9"/>
    <x v="58"/>
    <x v="10"/>
    <n v="0.94"/>
    <n v="-47"/>
    <x v="0"/>
    <n v="79.587500000000006"/>
    <x v="519"/>
    <n v="3894"/>
    <n v="630"/>
    <n v="1.864406779661017E-2"/>
    <s v="Oct-13"/>
    <x v="7"/>
    <n v="2.5106382978723403"/>
  </r>
  <r>
    <x v="78"/>
    <n v="68"/>
    <x v="3"/>
    <x v="1"/>
    <x v="3"/>
    <x v="28"/>
    <x v="1"/>
    <x v="3"/>
    <x v="7"/>
    <x v="42"/>
    <x v="237"/>
    <x v="14"/>
    <n v="90"/>
    <n v="110"/>
    <n v="230"/>
    <n v="43"/>
    <x v="237"/>
    <x v="42"/>
    <x v="78"/>
    <x v="384"/>
    <n v="0.75555555555555554"/>
    <n v="-27"/>
    <x v="0"/>
    <n v="109.24545454545455"/>
    <x v="520"/>
    <n v="14774"/>
    <n v="903"/>
    <n v="2.2204387372926699E-2"/>
    <s v="Oct-13"/>
    <x v="11"/>
    <n v="2.6176470588235294"/>
  </r>
  <r>
    <x v="32"/>
    <n v="22"/>
    <x v="3"/>
    <x v="1"/>
    <x v="3"/>
    <x v="7"/>
    <x v="1"/>
    <x v="2"/>
    <x v="9"/>
    <x v="25"/>
    <x v="88"/>
    <x v="14"/>
    <n v="10"/>
    <n v="20"/>
    <n v="30"/>
    <n v="19"/>
    <x v="88"/>
    <x v="25"/>
    <x v="56"/>
    <x v="33"/>
    <n v="2.2000000000000002"/>
    <n v="-5"/>
    <x v="0"/>
    <n v="19.25"/>
    <x v="159"/>
    <n v="810"/>
    <n v="133"/>
    <n v="3.968253968253968E-2"/>
    <s v="Oct-13"/>
    <x v="12"/>
    <n v="2.4545454545454546"/>
  </r>
  <r>
    <x v="8"/>
    <n v="21"/>
    <x v="3"/>
    <x v="1"/>
    <x v="3"/>
    <x v="35"/>
    <x v="1"/>
    <x v="2"/>
    <x v="8"/>
    <x v="6"/>
    <x v="103"/>
    <x v="7"/>
    <n v="10"/>
    <n v="20"/>
    <n v="30"/>
    <n v="17"/>
    <x v="103"/>
    <x v="6"/>
    <x v="119"/>
    <x v="227"/>
    <n v="2.1"/>
    <n v="1"/>
    <x v="0"/>
    <n v="18.95"/>
    <x v="272"/>
    <n v="1155"/>
    <n v="85"/>
    <n v="7.636363636363637E-2"/>
    <s v="Oct-13"/>
    <x v="12"/>
    <n v="2.6190476190476191"/>
  </r>
  <r>
    <x v="9"/>
    <n v="103"/>
    <x v="3"/>
    <x v="1"/>
    <x v="3"/>
    <x v="40"/>
    <x v="1"/>
    <x v="2"/>
    <x v="8"/>
    <x v="113"/>
    <x v="142"/>
    <x v="8"/>
    <n v="80"/>
    <n v="110"/>
    <n v="210"/>
    <n v="46"/>
    <x v="142"/>
    <x v="113"/>
    <x v="43"/>
    <x v="272"/>
    <n v="1.2875000000000001"/>
    <n v="19"/>
    <x v="0"/>
    <n v="108.82727272727273"/>
    <x v="325"/>
    <n v="32379"/>
    <n v="1518"/>
    <n v="1.5574067366896052E-2"/>
    <s v="Oct-13"/>
    <x v="10"/>
    <n v="2.436893203883495"/>
  </r>
  <r>
    <x v="48"/>
    <n v="125"/>
    <x v="3"/>
    <x v="1"/>
    <x v="3"/>
    <x v="47"/>
    <x v="0"/>
    <x v="0"/>
    <x v="10"/>
    <x v="40"/>
    <x v="216"/>
    <x v="7"/>
    <n v="90"/>
    <n v="60"/>
    <n v="240"/>
    <n v="147"/>
    <x v="216"/>
    <x v="40"/>
    <x v="135"/>
    <x v="444"/>
    <n v="1.3888888888888888"/>
    <n v="-21"/>
    <x v="0"/>
    <n v="59.35"/>
    <x v="521"/>
    <n v="12402"/>
    <n v="16611"/>
    <n v="1.0853230923359492E-3"/>
    <s v="Oct-13"/>
    <x v="19"/>
    <n v="2.544"/>
  </r>
  <r>
    <x v="78"/>
    <n v="125"/>
    <x v="3"/>
    <x v="1"/>
    <x v="3"/>
    <x v="11"/>
    <x v="0"/>
    <x v="0"/>
    <x v="10"/>
    <x v="127"/>
    <x v="157"/>
    <x v="14"/>
    <n v="90"/>
    <n v="130"/>
    <n v="250"/>
    <n v="73"/>
    <x v="157"/>
    <x v="127"/>
    <x v="130"/>
    <x v="291"/>
    <n v="1.3888888888888888"/>
    <n v="41"/>
    <x v="0"/>
    <n v="128.6846153846154"/>
    <x v="346"/>
    <n v="57114"/>
    <n v="2993"/>
    <n v="1.2487220680590039E-2"/>
    <s v="Oct-13"/>
    <x v="11"/>
    <n v="2.6720000000000002"/>
  </r>
  <r>
    <x v="8"/>
    <n v="154"/>
    <x v="3"/>
    <x v="1"/>
    <x v="3"/>
    <x v="52"/>
    <x v="0"/>
    <x v="0"/>
    <x v="0"/>
    <x v="190"/>
    <x v="218"/>
    <x v="7"/>
    <n v="120"/>
    <n v="120"/>
    <n v="290"/>
    <n v="93"/>
    <x v="218"/>
    <x v="190"/>
    <x v="128"/>
    <x v="383"/>
    <n v="1.2833333333333334"/>
    <n v="58"/>
    <x v="0"/>
    <n v="118.51666666666667"/>
    <x v="449"/>
    <n v="69598"/>
    <n v="4650"/>
    <n v="9.1048593350383632E-3"/>
    <s v="Oct-13"/>
    <x v="30"/>
    <n v="2.5389610389610389"/>
  </r>
  <r>
    <x v="49"/>
    <n v="90"/>
    <x v="3"/>
    <x v="1"/>
    <x v="3"/>
    <x v="39"/>
    <x v="0"/>
    <x v="0"/>
    <x v="0"/>
    <x v="140"/>
    <x v="18"/>
    <x v="11"/>
    <n v="60"/>
    <n v="90"/>
    <n v="160"/>
    <n v="42"/>
    <x v="18"/>
    <x v="140"/>
    <x v="60"/>
    <x v="344"/>
    <n v="1.5"/>
    <n v="18"/>
    <x v="0"/>
    <n v="88.8"/>
    <x v="522"/>
    <n v="23544"/>
    <n v="1218"/>
    <n v="1.7083201518506803E-2"/>
    <s v="Oct-13"/>
    <x v="7"/>
    <n v="2.4222222222222221"/>
  </r>
  <r>
    <x v="8"/>
    <n v="122"/>
    <x v="3"/>
    <x v="1"/>
    <x v="3"/>
    <x v="59"/>
    <x v="0"/>
    <x v="0"/>
    <x v="1"/>
    <x v="193"/>
    <x v="216"/>
    <x v="7"/>
    <n v="90"/>
    <n v="130"/>
    <n v="240"/>
    <n v="62"/>
    <x v="216"/>
    <x v="193"/>
    <x v="127"/>
    <x v="386"/>
    <n v="1.3555555555555556"/>
    <n v="39"/>
    <x v="0"/>
    <n v="128.69999999999999"/>
    <x v="454"/>
    <n v="53742"/>
    <n v="2418"/>
    <n v="1.3626834381551363E-2"/>
    <s v="Oct-13"/>
    <x v="8"/>
    <n v="2.6065573770491803"/>
  </r>
  <r>
    <x v="9"/>
    <n v="86"/>
    <x v="3"/>
    <x v="1"/>
    <x v="3"/>
    <x v="32"/>
    <x v="0"/>
    <x v="0"/>
    <x v="1"/>
    <x v="226"/>
    <x v="52"/>
    <x v="8"/>
    <n v="60"/>
    <n v="0"/>
    <n v="80"/>
    <n v="50"/>
    <x v="52"/>
    <x v="226"/>
    <x v="71"/>
    <x v="445"/>
    <n v="1.4333333333333333"/>
    <n v="-40"/>
    <x v="0"/>
    <e v="#DIV/0!"/>
    <x v="523"/>
    <n v="-4640"/>
    <n v="1300"/>
    <n v="-1.3262599469496022E-2"/>
    <s v="Oct-13"/>
    <x v="6"/>
    <n v="1.3488372093023255"/>
  </r>
  <r>
    <x v="8"/>
    <n v="257"/>
    <x v="3"/>
    <x v="1"/>
    <x v="3"/>
    <x v="60"/>
    <x v="0"/>
    <x v="1"/>
    <x v="2"/>
    <x v="191"/>
    <x v="219"/>
    <x v="7"/>
    <n v="110"/>
    <n v="130"/>
    <n v="290"/>
    <n v="117"/>
    <x v="219"/>
    <x v="191"/>
    <x v="206"/>
    <x v="384"/>
    <n v="2.3363636363636364"/>
    <n v="202"/>
    <x v="0"/>
    <n v="127.44615384615385"/>
    <x v="450"/>
    <n v="211484"/>
    <n v="9828"/>
    <n v="6.2046796740674297E-3"/>
    <s v="Oct-13"/>
    <x v="17"/>
    <n v="2.4785992217898833"/>
  </r>
  <r>
    <x v="17"/>
    <n v="21"/>
    <x v="3"/>
    <x v="1"/>
    <x v="3"/>
    <x v="35"/>
    <x v="0"/>
    <x v="1"/>
    <x v="2"/>
    <x v="10"/>
    <x v="82"/>
    <x v="11"/>
    <n v="0"/>
    <n v="20"/>
    <n v="20"/>
    <n v="16"/>
    <x v="82"/>
    <x v="10"/>
    <x v="118"/>
    <x v="224"/>
    <e v="#DIV/0!"/>
    <n v="4"/>
    <x v="0"/>
    <n v="18.8"/>
    <x v="268"/>
    <n v="1344"/>
    <n v="80"/>
    <n v="8.5714285714285715E-2"/>
    <s v="Oct-13"/>
    <x v="4"/>
    <n v="2.6666666666666665"/>
  </r>
  <r>
    <x v="8"/>
    <n v="239"/>
    <x v="3"/>
    <x v="1"/>
    <x v="3"/>
    <x v="49"/>
    <x v="0"/>
    <x v="1"/>
    <x v="11"/>
    <x v="189"/>
    <x v="217"/>
    <x v="7"/>
    <n v="110"/>
    <n v="80"/>
    <n v="230"/>
    <n v="90"/>
    <x v="217"/>
    <x v="189"/>
    <x v="205"/>
    <x v="382"/>
    <n v="2.1727272727272728"/>
    <n v="141"/>
    <x v="0"/>
    <n v="77.237499999999997"/>
    <x v="448"/>
    <n v="112489"/>
    <n v="5940"/>
    <n v="6.578555694469251E-3"/>
    <s v="Oct-13"/>
    <x v="16"/>
    <n v="2.1297071129707112"/>
  </r>
  <r>
    <x v="48"/>
    <n v="255"/>
    <x v="3"/>
    <x v="1"/>
    <x v="3"/>
    <x v="50"/>
    <x v="0"/>
    <x v="1"/>
    <x v="3"/>
    <x v="227"/>
    <x v="238"/>
    <x v="7"/>
    <n v="110"/>
    <n v="-170"/>
    <n v="0"/>
    <n v="129"/>
    <x v="238"/>
    <x v="227"/>
    <x v="236"/>
    <x v="446"/>
    <n v="2.3181818181818183"/>
    <n v="-369"/>
    <x v="0"/>
    <n v="-173.1705882352941"/>
    <x v="524"/>
    <n v="-11858"/>
    <n v="12384"/>
    <n v="-0.25520833333333331"/>
    <s v="Oct-13"/>
    <x v="30"/>
    <n v="8.6274509803921567E-2"/>
  </r>
  <r>
    <x v="9"/>
    <n v="25"/>
    <x v="3"/>
    <x v="1"/>
    <x v="3"/>
    <x v="8"/>
    <x v="0"/>
    <x v="1"/>
    <x v="3"/>
    <x v="90"/>
    <x v="94"/>
    <x v="8"/>
    <n v="0"/>
    <n v="10"/>
    <n v="20"/>
    <n v="43"/>
    <x v="94"/>
    <x v="90"/>
    <x v="69"/>
    <x v="226"/>
    <e v="#DIV/0!"/>
    <n v="-28"/>
    <x v="0"/>
    <n v="11.8"/>
    <x v="271"/>
    <n v="-1080"/>
    <n v="387"/>
    <n v="-3.3333333333333333E-2"/>
    <s v="Oct-13"/>
    <x v="12"/>
    <n v="2.4"/>
  </r>
  <r>
    <x v="81"/>
    <n v="173"/>
    <x v="4"/>
    <x v="0"/>
    <x v="3"/>
    <x v="63"/>
    <x v="1"/>
    <x v="3"/>
    <x v="5"/>
    <x v="228"/>
    <x v="233"/>
    <x v="3"/>
    <n v="200"/>
    <n v="-130"/>
    <n v="170"/>
    <n v="100"/>
    <x v="233"/>
    <x v="228"/>
    <x v="200"/>
    <x v="447"/>
    <n v="0.86499999999999999"/>
    <n v="-58"/>
    <x v="0"/>
    <n v="-131.44615384615383"/>
    <x v="525"/>
    <n v="-29328"/>
    <n v="5700"/>
    <n v="-2.1142600089968513E-2"/>
    <s v="Nov-13"/>
    <x v="43"/>
    <n v="0.90173410404624277"/>
  </r>
  <r>
    <x v="115"/>
    <n v="228"/>
    <x v="4"/>
    <x v="0"/>
    <x v="3"/>
    <x v="64"/>
    <x v="1"/>
    <x v="2"/>
    <x v="4"/>
    <x v="229"/>
    <x v="205"/>
    <x v="3"/>
    <n v="220"/>
    <n v="190"/>
    <n v="510"/>
    <n v="107"/>
    <x v="205"/>
    <x v="229"/>
    <x v="237"/>
    <x v="448"/>
    <n v="1.0363636363636364"/>
    <n v="102"/>
    <x v="0"/>
    <n v="188.46315789473684"/>
    <x v="526"/>
    <n v="165564"/>
    <n v="8025"/>
    <n v="6.8665490887713111E-3"/>
    <s v="Nov-13"/>
    <x v="33"/>
    <n v="2.486842105263158"/>
  </r>
  <r>
    <x v="144"/>
    <n v="113"/>
    <x v="4"/>
    <x v="0"/>
    <x v="3"/>
    <x v="62"/>
    <x v="1"/>
    <x v="3"/>
    <x v="6"/>
    <x v="230"/>
    <x v="21"/>
    <x v="3"/>
    <n v="130"/>
    <n v="-50"/>
    <n v="130"/>
    <n v="59"/>
    <x v="21"/>
    <x v="230"/>
    <x v="238"/>
    <x v="449"/>
    <n v="0.86923076923076925"/>
    <n v="-33"/>
    <x v="0"/>
    <n v="-51.66"/>
    <x v="527"/>
    <n v="-10292"/>
    <n v="2124"/>
    <n v="-1.8593189964157705E-2"/>
    <s v="Nov-13"/>
    <x v="19"/>
    <n v="1.0973451327433628"/>
  </r>
  <r>
    <x v="115"/>
    <n v="249"/>
    <x v="4"/>
    <x v="0"/>
    <x v="3"/>
    <x v="41"/>
    <x v="1"/>
    <x v="3"/>
    <x v="7"/>
    <x v="231"/>
    <x v="188"/>
    <x v="3"/>
    <n v="290"/>
    <n v="310"/>
    <n v="740"/>
    <n v="139"/>
    <x v="188"/>
    <x v="231"/>
    <x v="239"/>
    <x v="450"/>
    <n v="0.85862068965517246"/>
    <n v="39"/>
    <x v="0"/>
    <n v="308.8741935483871"/>
    <x v="528"/>
    <n v="231736"/>
    <n v="12093.000000000002"/>
    <n v="6.041407007339703E-3"/>
    <s v="Nov-13"/>
    <x v="15"/>
    <n v="2.6666666666666665"/>
  </r>
  <r>
    <x v="138"/>
    <n v="211"/>
    <x v="4"/>
    <x v="0"/>
    <x v="3"/>
    <x v="53"/>
    <x v="1"/>
    <x v="2"/>
    <x v="9"/>
    <x v="156"/>
    <x v="223"/>
    <x v="3"/>
    <n v="200"/>
    <n v="140"/>
    <n v="410"/>
    <n v="83"/>
    <x v="223"/>
    <x v="156"/>
    <x v="209"/>
    <x v="390"/>
    <n v="1.0549999999999999"/>
    <n v="51"/>
    <x v="0"/>
    <n v="138.63571428571427"/>
    <x v="459"/>
    <n v="86141"/>
    <n v="4897"/>
    <n v="7.1780224735991573E-3"/>
    <s v="Nov-13"/>
    <x v="24"/>
    <n v="2.1374407582938391"/>
  </r>
  <r>
    <x v="144"/>
    <n v="121"/>
    <x v="4"/>
    <x v="0"/>
    <x v="3"/>
    <x v="51"/>
    <x v="1"/>
    <x v="2"/>
    <x v="8"/>
    <x v="40"/>
    <x v="159"/>
    <x v="3"/>
    <n v="110"/>
    <n v="40"/>
    <n v="280"/>
    <n v="142"/>
    <x v="159"/>
    <x v="40"/>
    <x v="240"/>
    <x v="451"/>
    <n v="1.1000000000000001"/>
    <n v="-1"/>
    <x v="0"/>
    <n v="39.024999999999999"/>
    <x v="529"/>
    <n v="12012"/>
    <n v="15478"/>
    <n v="1.1616823543429049E-3"/>
    <s v="Nov-13"/>
    <x v="27"/>
    <n v="2.5454545454545454"/>
  </r>
  <r>
    <x v="86"/>
    <n v="81"/>
    <x v="4"/>
    <x v="0"/>
    <x v="3"/>
    <x v="34"/>
    <x v="0"/>
    <x v="0"/>
    <x v="10"/>
    <x v="166"/>
    <x v="192"/>
    <x v="3"/>
    <n v="70"/>
    <n v="80"/>
    <n v="180"/>
    <n v="33"/>
    <x v="192"/>
    <x v="166"/>
    <x v="32"/>
    <x v="341"/>
    <n v="1.1571428571428573"/>
    <n v="45"/>
    <x v="0"/>
    <n v="78.4375"/>
    <x v="401"/>
    <n v="26375"/>
    <n v="726"/>
    <n v="2.6928048255062471E-2"/>
    <s v="Nov-13"/>
    <x v="10"/>
    <n v="2.6049382716049383"/>
  </r>
  <r>
    <x v="45"/>
    <n v="225"/>
    <x v="4"/>
    <x v="0"/>
    <x v="3"/>
    <x v="42"/>
    <x v="0"/>
    <x v="0"/>
    <x v="0"/>
    <x v="114"/>
    <x v="143"/>
    <x v="3"/>
    <n v="210"/>
    <n v="160"/>
    <n v="450"/>
    <n v="91"/>
    <x v="143"/>
    <x v="114"/>
    <x v="137"/>
    <x v="274"/>
    <n v="1.0714285714285714"/>
    <n v="98"/>
    <x v="0"/>
    <n v="158.38749999999999"/>
    <x v="326"/>
    <n v="134676"/>
    <n v="6279"/>
    <n v="7.1630851241046151E-3"/>
    <s v="Nov-13"/>
    <x v="40"/>
    <n v="2.3199999999999998"/>
  </r>
  <r>
    <x v="75"/>
    <n v="118"/>
    <x v="4"/>
    <x v="0"/>
    <x v="3"/>
    <x v="40"/>
    <x v="0"/>
    <x v="1"/>
    <x v="2"/>
    <x v="195"/>
    <x v="144"/>
    <x v="3"/>
    <n v="80"/>
    <n v="110"/>
    <n v="210"/>
    <n v="44"/>
    <x v="144"/>
    <x v="195"/>
    <x v="63"/>
    <x v="391"/>
    <n v="1.4750000000000001"/>
    <n v="80"/>
    <x v="0"/>
    <n v="108.27272727272727"/>
    <x v="460"/>
    <n v="58710"/>
    <n v="1452"/>
    <n v="1.8632931254290479E-2"/>
    <s v="Nov-13"/>
    <x v="10"/>
    <n v="2.6186440677966103"/>
  </r>
  <r>
    <x v="9"/>
    <n v="82"/>
    <x v="4"/>
    <x v="1"/>
    <x v="3"/>
    <x v="33"/>
    <x v="1"/>
    <x v="3"/>
    <x v="5"/>
    <x v="4"/>
    <x v="109"/>
    <x v="8"/>
    <n v="90"/>
    <n v="60"/>
    <n v="210"/>
    <n v="64"/>
    <x v="109"/>
    <x v="4"/>
    <x v="65"/>
    <x v="213"/>
    <n v="0.91111111111111109"/>
    <n v="-4"/>
    <x v="0"/>
    <n v="59.06666666666667"/>
    <x v="245"/>
    <n v="10976"/>
    <n v="1984"/>
    <n v="9.2165898617511521E-3"/>
    <s v="Nov-13"/>
    <x v="16"/>
    <n v="2.3902439024390243"/>
  </r>
  <r>
    <x v="30"/>
    <n v="94"/>
    <x v="4"/>
    <x v="1"/>
    <x v="3"/>
    <x v="43"/>
    <x v="1"/>
    <x v="3"/>
    <x v="5"/>
    <x v="10"/>
    <x v="149"/>
    <x v="14"/>
    <n v="110"/>
    <n v="40"/>
    <n v="260"/>
    <n v="114"/>
    <x v="149"/>
    <x v="10"/>
    <x v="213"/>
    <x v="396"/>
    <n v="0.8545454545454545"/>
    <n v="-16"/>
    <x v="0"/>
    <n v="39.4"/>
    <x v="466"/>
    <n v="5736"/>
    <n v="9690"/>
    <n v="1.1813930593157764E-3"/>
    <s v="Nov-13"/>
    <x v="23"/>
    <n v="2.5425531914893615"/>
  </r>
  <r>
    <x v="17"/>
    <n v="181"/>
    <x v="4"/>
    <x v="1"/>
    <x v="3"/>
    <x v="52"/>
    <x v="1"/>
    <x v="2"/>
    <x v="4"/>
    <x v="162"/>
    <x v="189"/>
    <x v="11"/>
    <n v="170"/>
    <n v="120"/>
    <n v="350"/>
    <n v="74"/>
    <x v="189"/>
    <x v="162"/>
    <x v="177"/>
    <x v="220"/>
    <n v="1.0647058823529412"/>
    <n v="40"/>
    <x v="0"/>
    <n v="118.66666666666667"/>
    <x v="397"/>
    <n v="61920"/>
    <n v="3700"/>
    <n v="8.2687338501292E-3"/>
    <s v="Nov-13"/>
    <x v="28"/>
    <n v="2.1381215469613259"/>
  </r>
  <r>
    <x v="9"/>
    <n v="69"/>
    <x v="4"/>
    <x v="1"/>
    <x v="3"/>
    <x v="28"/>
    <x v="1"/>
    <x v="3"/>
    <x v="6"/>
    <x v="85"/>
    <x v="42"/>
    <x v="8"/>
    <n v="80"/>
    <n v="50"/>
    <n v="170"/>
    <n v="42"/>
    <x v="42"/>
    <x v="85"/>
    <x v="81"/>
    <x v="452"/>
    <n v="0.86250000000000004"/>
    <n v="8"/>
    <x v="0"/>
    <n v="48.84"/>
    <x v="530"/>
    <n v="9280"/>
    <n v="882"/>
    <n v="1.7261904761904763E-2"/>
    <s v="Nov-13"/>
    <x v="11"/>
    <n v="2.318840579710145"/>
  </r>
  <r>
    <x v="49"/>
    <n v="53"/>
    <x v="4"/>
    <x v="1"/>
    <x v="3"/>
    <x v="1"/>
    <x v="1"/>
    <x v="3"/>
    <x v="7"/>
    <x v="6"/>
    <x v="239"/>
    <x v="11"/>
    <n v="60"/>
    <n v="40"/>
    <n v="150"/>
    <n v="61"/>
    <x v="239"/>
    <x v="6"/>
    <x v="14"/>
    <x v="453"/>
    <n v="0.8833333333333333"/>
    <n v="-19"/>
    <x v="0"/>
    <n v="39.475000000000001"/>
    <x v="531"/>
    <n v="2856"/>
    <n v="1037"/>
    <n v="9.0830449826989623E-3"/>
    <s v="Nov-13"/>
    <x v="8"/>
    <n v="2.5660377358490565"/>
  </r>
  <r>
    <x v="56"/>
    <n v="63"/>
    <x v="4"/>
    <x v="1"/>
    <x v="3"/>
    <x v="14"/>
    <x v="1"/>
    <x v="3"/>
    <x v="7"/>
    <x v="62"/>
    <x v="240"/>
    <x v="14"/>
    <n v="70"/>
    <n v="70"/>
    <n v="180"/>
    <n v="43"/>
    <x v="240"/>
    <x v="62"/>
    <x v="36"/>
    <x v="454"/>
    <n v="0.9"/>
    <n v="4"/>
    <x v="0"/>
    <n v="68.942857142857136"/>
    <x v="532"/>
    <n v="12284"/>
    <n v="860"/>
    <n v="2.2289156626506025E-2"/>
    <s v="Nov-13"/>
    <x v="8"/>
    <n v="2.6349206349206349"/>
  </r>
  <r>
    <x v="8"/>
    <n v="15"/>
    <x v="4"/>
    <x v="1"/>
    <x v="3"/>
    <x v="36"/>
    <x v="1"/>
    <x v="2"/>
    <x v="8"/>
    <x v="32"/>
    <x v="120"/>
    <x v="7"/>
    <n v="10"/>
    <n v="10"/>
    <n v="30"/>
    <n v="15"/>
    <x v="120"/>
    <x v="32"/>
    <x v="122"/>
    <x v="170"/>
    <n v="1.5"/>
    <n v="3"/>
    <x v="0"/>
    <n v="8.6999999999999993"/>
    <x v="332"/>
    <n v="546"/>
    <n v="60"/>
    <n v="7.7380952380952384E-2"/>
    <s v="Nov-13"/>
    <x v="5"/>
    <n v="2.8"/>
  </r>
  <r>
    <x v="15"/>
    <n v="101"/>
    <x v="4"/>
    <x v="1"/>
    <x v="3"/>
    <x v="40"/>
    <x v="1"/>
    <x v="2"/>
    <x v="8"/>
    <x v="118"/>
    <x v="148"/>
    <x v="8"/>
    <n v="90"/>
    <n v="90"/>
    <n v="220"/>
    <n v="45"/>
    <x v="148"/>
    <x v="118"/>
    <x v="24"/>
    <x v="279"/>
    <n v="1.1222222222222222"/>
    <n v="36"/>
    <x v="0"/>
    <n v="88.6"/>
    <x v="331"/>
    <n v="30996"/>
    <n v="1485"/>
    <n v="1.5521064301552107E-2"/>
    <s v="Nov-13"/>
    <x v="13"/>
    <n v="2.4356435643564356"/>
  </r>
  <r>
    <x v="48"/>
    <n v="121"/>
    <x v="4"/>
    <x v="1"/>
    <x v="3"/>
    <x v="51"/>
    <x v="0"/>
    <x v="0"/>
    <x v="10"/>
    <x v="40"/>
    <x v="159"/>
    <x v="7"/>
    <n v="110"/>
    <n v="20"/>
    <n v="260"/>
    <n v="142"/>
    <x v="159"/>
    <x v="40"/>
    <x v="240"/>
    <x v="451"/>
    <n v="1.1000000000000001"/>
    <n v="19"/>
    <x v="0"/>
    <n v="18.05"/>
    <x v="529"/>
    <n v="12012"/>
    <n v="15478"/>
    <n v="1.1616823543429049E-3"/>
    <s v="Nov-13"/>
    <x v="27"/>
    <n v="2.5454545454545454"/>
  </r>
  <r>
    <x v="32"/>
    <n v="130"/>
    <x v="4"/>
    <x v="1"/>
    <x v="3"/>
    <x v="22"/>
    <x v="0"/>
    <x v="0"/>
    <x v="10"/>
    <x v="128"/>
    <x v="158"/>
    <x v="14"/>
    <n v="120"/>
    <n v="120"/>
    <n v="300"/>
    <n v="73"/>
    <x v="158"/>
    <x v="128"/>
    <x v="145"/>
    <x v="292"/>
    <n v="1.0833333333333333"/>
    <n v="61"/>
    <x v="0"/>
    <n v="118.49166666666666"/>
    <x v="347"/>
    <n v="62626"/>
    <n v="3066"/>
    <n v="1.2455271125791357E-2"/>
    <s v="Nov-13"/>
    <x v="19"/>
    <n v="2.6615384615384614"/>
  </r>
  <r>
    <x v="48"/>
    <n v="173"/>
    <x v="4"/>
    <x v="1"/>
    <x v="3"/>
    <x v="63"/>
    <x v="0"/>
    <x v="0"/>
    <x v="0"/>
    <x v="232"/>
    <x v="224"/>
    <x v="7"/>
    <n v="160"/>
    <n v="130"/>
    <n v="380"/>
    <n v="101"/>
    <x v="224"/>
    <x v="232"/>
    <x v="241"/>
    <x v="455"/>
    <n v="1.08125"/>
    <n v="75"/>
    <x v="0"/>
    <n v="128.42307692307693"/>
    <x v="533"/>
    <n v="89995"/>
    <n v="5757"/>
    <n v="8.1924629341006278E-3"/>
    <s v="Nov-13"/>
    <x v="34"/>
    <n v="2.5375722543352599"/>
  </r>
  <r>
    <x v="49"/>
    <n v="88"/>
    <x v="4"/>
    <x v="1"/>
    <x v="3"/>
    <x v="39"/>
    <x v="0"/>
    <x v="0"/>
    <x v="0"/>
    <x v="199"/>
    <x v="146"/>
    <x v="11"/>
    <n v="80"/>
    <n v="70"/>
    <n v="180"/>
    <n v="42"/>
    <x v="146"/>
    <x v="199"/>
    <x v="26"/>
    <x v="395"/>
    <n v="1.1000000000000001"/>
    <n v="34"/>
    <x v="0"/>
    <n v="68.51428571428572"/>
    <x v="464"/>
    <n v="22152"/>
    <n v="1218"/>
    <n v="1.6836652096486968E-2"/>
    <s v="Nov-13"/>
    <x v="8"/>
    <n v="2.4204545454545454"/>
  </r>
  <r>
    <x v="8"/>
    <n v="113"/>
    <x v="4"/>
    <x v="1"/>
    <x v="3"/>
    <x v="62"/>
    <x v="0"/>
    <x v="0"/>
    <x v="1"/>
    <x v="198"/>
    <x v="222"/>
    <x v="7"/>
    <n v="100"/>
    <n v="100"/>
    <n v="250"/>
    <n v="58"/>
    <x v="222"/>
    <x v="198"/>
    <x v="52"/>
    <x v="397"/>
    <n v="1.1299999999999999"/>
    <n v="59"/>
    <x v="0"/>
    <n v="98.41"/>
    <x v="467"/>
    <n v="47064"/>
    <n v="2088"/>
    <n v="1.4921171171171171E-2"/>
    <s v="Nov-13"/>
    <x v="16"/>
    <n v="2.6194690265486726"/>
  </r>
  <r>
    <x v="8"/>
    <n v="228"/>
    <x v="4"/>
    <x v="1"/>
    <x v="3"/>
    <x v="64"/>
    <x v="0"/>
    <x v="1"/>
    <x v="2"/>
    <x v="197"/>
    <x v="205"/>
    <x v="7"/>
    <n v="160"/>
    <n v="140"/>
    <n v="380"/>
    <n v="108"/>
    <x v="205"/>
    <x v="197"/>
    <x v="211"/>
    <x v="393"/>
    <n v="1.425"/>
    <n v="151"/>
    <x v="0"/>
    <n v="137.92142857142858"/>
    <x v="462"/>
    <n v="164997"/>
    <n v="8100"/>
    <n v="6.8430335097001763E-3"/>
    <s v="Nov-13"/>
    <x v="27"/>
    <n v="2.486842105263158"/>
  </r>
  <r>
    <x v="48"/>
    <n v="211"/>
    <x v="4"/>
    <x v="1"/>
    <x v="3"/>
    <x v="53"/>
    <x v="0"/>
    <x v="1"/>
    <x v="11"/>
    <x v="195"/>
    <x v="223"/>
    <x v="7"/>
    <n v="150"/>
    <n v="80"/>
    <n v="300"/>
    <n v="84"/>
    <x v="223"/>
    <x v="195"/>
    <x v="242"/>
    <x v="456"/>
    <n v="1.4066666666666667"/>
    <n v="110"/>
    <x v="0"/>
    <n v="77.625"/>
    <x v="534"/>
    <n v="85690"/>
    <n v="4956"/>
    <n v="7.1404412041038744E-3"/>
    <s v="Nov-13"/>
    <x v="23"/>
    <n v="2.1374407582938391"/>
  </r>
  <r>
    <x v="12"/>
    <n v="78"/>
    <x v="4"/>
    <x v="1"/>
    <x v="3"/>
    <x v="26"/>
    <x v="0"/>
    <x v="1"/>
    <x v="11"/>
    <x v="115"/>
    <x v="145"/>
    <x v="11"/>
    <n v="50"/>
    <n v="50"/>
    <n v="140"/>
    <n v="57"/>
    <x v="145"/>
    <x v="115"/>
    <x v="41"/>
    <x v="276"/>
    <n v="1.56"/>
    <n v="42"/>
    <x v="0"/>
    <n v="48.16"/>
    <x v="328"/>
    <n v="19320"/>
    <n v="1425"/>
    <n v="1.7523809523809525E-2"/>
    <s v="Nov-13"/>
    <x v="9"/>
    <n v="2.6923076923076925"/>
  </r>
  <r>
    <x v="8"/>
    <n v="245"/>
    <x v="4"/>
    <x v="1"/>
    <x v="3"/>
    <x v="54"/>
    <x v="0"/>
    <x v="1"/>
    <x v="3"/>
    <x v="233"/>
    <x v="241"/>
    <x v="7"/>
    <n v="180"/>
    <n v="-280"/>
    <n v="0"/>
    <n v="127"/>
    <x v="241"/>
    <x v="233"/>
    <x v="243"/>
    <x v="457"/>
    <n v="1.3611111111111112"/>
    <n v="-225"/>
    <x v="0"/>
    <n v="-281.80357142857144"/>
    <x v="535"/>
    <n v="-17170"/>
    <n v="11811"/>
    <n v="-0.15970904490828589"/>
    <s v="Nov-13"/>
    <x v="29"/>
    <n v="0.13877551020408163"/>
  </r>
  <r>
    <x v="17"/>
    <n v="102"/>
    <x v="4"/>
    <x v="1"/>
    <x v="3"/>
    <x v="33"/>
    <x v="0"/>
    <x v="1"/>
    <x v="3"/>
    <x v="117"/>
    <x v="147"/>
    <x v="11"/>
    <n v="70"/>
    <n v="70"/>
    <n v="170"/>
    <n v="54"/>
    <x v="147"/>
    <x v="117"/>
    <x v="111"/>
    <x v="278"/>
    <n v="1.4571428571428571"/>
    <n v="62"/>
    <x v="0"/>
    <n v="68.114285714285714"/>
    <x v="330"/>
    <n v="34452"/>
    <n v="1674"/>
    <n v="1.6314423433444566E-2"/>
    <s v="Nov-13"/>
    <x v="10"/>
    <n v="2.5588235294117645"/>
  </r>
  <r>
    <x v="138"/>
    <n v="224"/>
    <x v="5"/>
    <x v="0"/>
    <x v="3"/>
    <x v="65"/>
    <x v="1"/>
    <x v="3"/>
    <x v="5"/>
    <x v="234"/>
    <x v="17"/>
    <x v="3"/>
    <n v="260"/>
    <n v="-150"/>
    <n v="220"/>
    <n v="117"/>
    <x v="17"/>
    <x v="234"/>
    <x v="244"/>
    <x v="458"/>
    <n v="0.86153846153846159"/>
    <n v="-71"/>
    <x v="0"/>
    <n v="-151.47333333333333"/>
    <x v="536"/>
    <n v="-45305"/>
    <n v="8541"/>
    <n v="-1.4767791513531574E-2"/>
    <s v="Dec-13"/>
    <x v="31"/>
    <n v="0.9151785714285714"/>
  </r>
  <r>
    <x v="64"/>
    <n v="247"/>
    <x v="5"/>
    <x v="0"/>
    <x v="3"/>
    <x v="66"/>
    <x v="1"/>
    <x v="2"/>
    <x v="4"/>
    <x v="204"/>
    <x v="191"/>
    <x v="3"/>
    <n v="240"/>
    <n v="210"/>
    <n v="550"/>
    <n v="113"/>
    <x v="191"/>
    <x v="204"/>
    <x v="218"/>
    <x v="403"/>
    <n v="1.0291666666666666"/>
    <n v="111"/>
    <x v="0"/>
    <n v="208.47142857142856"/>
    <x v="473"/>
    <n v="197094"/>
    <n v="9153"/>
    <n v="6.4543370732295813E-3"/>
    <s v="Dec-13"/>
    <x v="37"/>
    <n v="2.4858299595141702"/>
  </r>
  <r>
    <x v="64"/>
    <n v="127"/>
    <x v="5"/>
    <x v="0"/>
    <x v="3"/>
    <x v="19"/>
    <x v="1"/>
    <x v="3"/>
    <x v="6"/>
    <x v="235"/>
    <x v="12"/>
    <x v="3"/>
    <n v="150"/>
    <n v="-90"/>
    <n v="120"/>
    <n v="63"/>
    <x v="12"/>
    <x v="235"/>
    <x v="245"/>
    <x v="459"/>
    <n v="0.84666666666666668"/>
    <n v="-41"/>
    <x v="0"/>
    <n v="-91.455555555555549"/>
    <x v="537"/>
    <n v="-14279"/>
    <n v="2520"/>
    <n v="-3.0045871559633026E-2"/>
    <s v="Dec-13"/>
    <x v="32"/>
    <n v="0.8582677165354331"/>
  </r>
  <r>
    <x v="92"/>
    <n v="279"/>
    <x v="5"/>
    <x v="0"/>
    <x v="3"/>
    <x v="55"/>
    <x v="1"/>
    <x v="3"/>
    <x v="7"/>
    <x v="168"/>
    <x v="195"/>
    <x v="3"/>
    <n v="330"/>
    <n v="350"/>
    <n v="830"/>
    <n v="149"/>
    <x v="195"/>
    <x v="168"/>
    <x v="181"/>
    <x v="346"/>
    <n v="0.84545454545454546"/>
    <n v="52"/>
    <x v="1"/>
    <n v="348.85142857142858"/>
    <x v="406"/>
    <n v="299490"/>
    <n v="14452.999999999998"/>
    <n v="5.5628589220231102E-3"/>
    <s v="Dec-13"/>
    <x v="44"/>
    <n v="2.6702508960573477"/>
  </r>
  <r>
    <x v="148"/>
    <n v="250"/>
    <x v="5"/>
    <x v="0"/>
    <x v="3"/>
    <x v="57"/>
    <x v="1"/>
    <x v="2"/>
    <x v="9"/>
    <x v="202"/>
    <x v="213"/>
    <x v="3"/>
    <n v="240"/>
    <n v="160"/>
    <n v="480"/>
    <n v="94"/>
    <x v="213"/>
    <x v="202"/>
    <x v="216"/>
    <x v="401"/>
    <n v="1.0416666666666667"/>
    <n v="73"/>
    <x v="0"/>
    <n v="158.54374999999999"/>
    <x v="471"/>
    <n v="124422"/>
    <n v="6580"/>
    <n v="6.2332798287854469E-3"/>
    <s v="Dec-13"/>
    <x v="33"/>
    <n v="2.1360000000000001"/>
  </r>
  <r>
    <x v="92"/>
    <n v="135"/>
    <x v="5"/>
    <x v="0"/>
    <x v="3"/>
    <x v="56"/>
    <x v="1"/>
    <x v="2"/>
    <x v="8"/>
    <x v="43"/>
    <x v="182"/>
    <x v="3"/>
    <n v="130"/>
    <n v="40"/>
    <n v="310"/>
    <n v="156"/>
    <x v="182"/>
    <x v="43"/>
    <x v="246"/>
    <x v="460"/>
    <n v="1.0384615384615385"/>
    <n v="6"/>
    <x v="0"/>
    <n v="38.85"/>
    <x v="538"/>
    <n v="15778"/>
    <n v="19032"/>
    <n v="1.0992687473115709E-3"/>
    <s v="Dec-13"/>
    <x v="24"/>
    <n v="2.5407407407407407"/>
  </r>
  <r>
    <x v="144"/>
    <n v="86"/>
    <x v="5"/>
    <x v="0"/>
    <x v="3"/>
    <x v="23"/>
    <x v="0"/>
    <x v="0"/>
    <x v="10"/>
    <x v="117"/>
    <x v="134"/>
    <x v="3"/>
    <n v="80"/>
    <n v="80"/>
    <n v="190"/>
    <n v="35"/>
    <x v="134"/>
    <x v="117"/>
    <x v="36"/>
    <x v="352"/>
    <n v="1.075"/>
    <n v="52"/>
    <x v="0"/>
    <n v="78.349999999999994"/>
    <x v="413"/>
    <n v="29568"/>
    <n v="840"/>
    <n v="2.4553571428571428E-2"/>
    <s v="Dec-13"/>
    <x v="8"/>
    <n v="2.6046511627906979"/>
  </r>
  <r>
    <x v="141"/>
    <n v="241"/>
    <x v="5"/>
    <x v="0"/>
    <x v="3"/>
    <x v="37"/>
    <x v="0"/>
    <x v="0"/>
    <x v="0"/>
    <x v="119"/>
    <x v="150"/>
    <x v="3"/>
    <n v="220"/>
    <n v="170"/>
    <n v="480"/>
    <n v="96"/>
    <x v="150"/>
    <x v="119"/>
    <x v="139"/>
    <x v="281"/>
    <n v="1.0954545454545455"/>
    <n v="109"/>
    <x v="0"/>
    <n v="168.35882352941175"/>
    <x v="334"/>
    <n v="155961"/>
    <n v="7104"/>
    <n v="6.7446695353672098E-3"/>
    <s v="Dec-13"/>
    <x v="22"/>
    <n v="2.3195020746887969"/>
  </r>
  <r>
    <x v="85"/>
    <n v="123"/>
    <x v="5"/>
    <x v="0"/>
    <x v="3"/>
    <x v="38"/>
    <x v="0"/>
    <x v="1"/>
    <x v="2"/>
    <x v="158"/>
    <x v="141"/>
    <x v="3"/>
    <n v="90"/>
    <n v="110"/>
    <n v="220"/>
    <n v="45"/>
    <x v="141"/>
    <x v="158"/>
    <x v="49"/>
    <x v="332"/>
    <n v="1.3666666666666667"/>
    <n v="89"/>
    <x v="0"/>
    <n v="108.19090909090909"/>
    <x v="391"/>
    <n v="64078"/>
    <n v="1530"/>
    <n v="1.8176835951772011E-2"/>
    <s v="Dec-13"/>
    <x v="8"/>
    <n v="2.6178861788617884"/>
  </r>
  <r>
    <x v="15"/>
    <n v="68"/>
    <x v="5"/>
    <x v="1"/>
    <x v="3"/>
    <x v="26"/>
    <x v="1"/>
    <x v="3"/>
    <x v="5"/>
    <x v="40"/>
    <x v="73"/>
    <x v="8"/>
    <n v="80"/>
    <n v="50"/>
    <n v="180"/>
    <n v="59"/>
    <x v="73"/>
    <x v="40"/>
    <x v="124"/>
    <x v="249"/>
    <n v="0.85"/>
    <n v="-11"/>
    <x v="0"/>
    <n v="49.22"/>
    <x v="300"/>
    <n v="6357"/>
    <n v="1475"/>
    <n v="9.5705521472392637E-3"/>
    <s v="Dec-13"/>
    <x v="13"/>
    <n v="2.3970588235294117"/>
  </r>
  <r>
    <x v="32"/>
    <n v="105"/>
    <x v="5"/>
    <x v="1"/>
    <x v="3"/>
    <x v="44"/>
    <x v="1"/>
    <x v="3"/>
    <x v="5"/>
    <x v="27"/>
    <x v="153"/>
    <x v="14"/>
    <n v="120"/>
    <n v="50"/>
    <n v="290"/>
    <n v="125"/>
    <x v="153"/>
    <x v="27"/>
    <x v="141"/>
    <x v="287"/>
    <n v="0.875"/>
    <n v="-20"/>
    <x v="0"/>
    <n v="49.4"/>
    <x v="342"/>
    <n v="7980"/>
    <n v="11875"/>
    <n v="1.1871784724970321E-3"/>
    <s v="Dec-13"/>
    <x v="27"/>
    <n v="2.5333333333333332"/>
  </r>
  <r>
    <x v="17"/>
    <n v="153"/>
    <x v="5"/>
    <x v="1"/>
    <x v="3"/>
    <x v="22"/>
    <x v="1"/>
    <x v="2"/>
    <x v="4"/>
    <x v="113"/>
    <x v="196"/>
    <x v="11"/>
    <n v="150"/>
    <n v="80"/>
    <n v="290"/>
    <n v="66"/>
    <x v="196"/>
    <x v="113"/>
    <x v="184"/>
    <x v="150"/>
    <n v="1.02"/>
    <n v="49"/>
    <x v="0"/>
    <n v="78.387500000000003"/>
    <x v="409"/>
    <n v="42054"/>
    <n v="2772"/>
    <n v="9.4215600350569684E-3"/>
    <s v="Dec-13"/>
    <x v="32"/>
    <n v="2.130718954248366"/>
  </r>
  <r>
    <x v="78"/>
    <n v="80"/>
    <x v="5"/>
    <x v="1"/>
    <x v="3"/>
    <x v="23"/>
    <x v="1"/>
    <x v="2"/>
    <x v="4"/>
    <x v="20"/>
    <x v="67"/>
    <x v="14"/>
    <n v="70"/>
    <n v="60"/>
    <n v="170"/>
    <n v="45"/>
    <x v="67"/>
    <x v="20"/>
    <x v="85"/>
    <x v="122"/>
    <n v="1.1428571428571428"/>
    <n v="16"/>
    <x v="0"/>
    <n v="58.733333333333334"/>
    <x v="539"/>
    <n v="14288"/>
    <n v="1080"/>
    <n v="1.6843971631205674E-2"/>
    <s v="Dec-13"/>
    <x v="8"/>
    <n v="2.35"/>
  </r>
  <r>
    <x v="9"/>
    <n v="63"/>
    <x v="5"/>
    <x v="1"/>
    <x v="3"/>
    <x v="27"/>
    <x v="1"/>
    <x v="3"/>
    <x v="6"/>
    <x v="36"/>
    <x v="74"/>
    <x v="8"/>
    <n v="70"/>
    <n v="50"/>
    <n v="160"/>
    <n v="40"/>
    <x v="74"/>
    <x v="36"/>
    <x v="78"/>
    <x v="113"/>
    <n v="0.9"/>
    <n v="3"/>
    <x v="0"/>
    <n v="48.94"/>
    <x v="121"/>
    <n v="7844"/>
    <n v="760.00000000000011"/>
    <n v="1.8847795163584636E-2"/>
    <s v="Dec-13"/>
    <x v="8"/>
    <n v="2.3492063492063493"/>
  </r>
  <r>
    <x v="78"/>
    <n v="72"/>
    <x v="5"/>
    <x v="1"/>
    <x v="3"/>
    <x v="4"/>
    <x v="1"/>
    <x v="3"/>
    <x v="7"/>
    <x v="89"/>
    <x v="67"/>
    <x v="14"/>
    <n v="80"/>
    <n v="80"/>
    <n v="200"/>
    <n v="46"/>
    <x v="67"/>
    <x v="89"/>
    <x v="81"/>
    <x v="274"/>
    <n v="0.9"/>
    <n v="6"/>
    <x v="0"/>
    <n v="78.924999999999997"/>
    <x v="540"/>
    <n v="16168"/>
    <n v="1058"/>
    <n v="1.9888991674375578E-2"/>
    <s v="Dec-13"/>
    <x v="11"/>
    <n v="2.6111111111111112"/>
  </r>
  <r>
    <x v="8"/>
    <n v="16"/>
    <x v="5"/>
    <x v="1"/>
    <x v="3"/>
    <x v="36"/>
    <x v="1"/>
    <x v="2"/>
    <x v="8"/>
    <x v="25"/>
    <x v="121"/>
    <x v="7"/>
    <n v="10"/>
    <n v="10"/>
    <n v="30"/>
    <n v="15"/>
    <x v="121"/>
    <x v="25"/>
    <x v="122"/>
    <x v="110"/>
    <n v="1.6"/>
    <n v="5"/>
    <x v="0"/>
    <n v="8.5"/>
    <x v="277"/>
    <n v="660"/>
    <n v="60"/>
    <n v="8.5227272727272721E-2"/>
    <s v="Dec-13"/>
    <x v="5"/>
    <n v="2.75"/>
  </r>
  <r>
    <x v="9"/>
    <n v="94"/>
    <x v="5"/>
    <x v="1"/>
    <x v="3"/>
    <x v="33"/>
    <x v="1"/>
    <x v="2"/>
    <x v="8"/>
    <x v="124"/>
    <x v="152"/>
    <x v="8"/>
    <n v="90"/>
    <n v="70"/>
    <n v="200"/>
    <n v="43"/>
    <x v="152"/>
    <x v="124"/>
    <x v="35"/>
    <x v="286"/>
    <n v="1.0444444444444445"/>
    <n v="44"/>
    <x v="0"/>
    <n v="68.371428571428567"/>
    <x v="340"/>
    <n v="25992"/>
    <n v="1333"/>
    <n v="1.6129032258064516E-2"/>
    <s v="Dec-13"/>
    <x v="13"/>
    <n v="2.4255319148936172"/>
  </r>
  <r>
    <x v="48"/>
    <n v="135"/>
    <x v="5"/>
    <x v="1"/>
    <x v="3"/>
    <x v="56"/>
    <x v="0"/>
    <x v="0"/>
    <x v="10"/>
    <x v="17"/>
    <x v="182"/>
    <x v="7"/>
    <n v="120"/>
    <n v="30"/>
    <n v="290"/>
    <n v="155"/>
    <x v="182"/>
    <x v="17"/>
    <x v="247"/>
    <x v="461"/>
    <n v="1.125"/>
    <n v="17"/>
    <x v="0"/>
    <n v="28.433333333333334"/>
    <x v="541"/>
    <n v="16121"/>
    <n v="18910"/>
    <n v="1.1231658939922574E-3"/>
    <s v="Dec-13"/>
    <x v="38"/>
    <n v="2.5407407407407407"/>
  </r>
  <r>
    <x v="56"/>
    <n v="115"/>
    <x v="5"/>
    <x v="1"/>
    <x v="3"/>
    <x v="45"/>
    <x v="0"/>
    <x v="0"/>
    <x v="10"/>
    <x v="129"/>
    <x v="159"/>
    <x v="14"/>
    <n v="100"/>
    <n v="110"/>
    <n v="260"/>
    <n v="69"/>
    <x v="159"/>
    <x v="129"/>
    <x v="59"/>
    <x v="293"/>
    <n v="1.1499999999999999"/>
    <n v="46"/>
    <x v="0"/>
    <n v="108.58181818181818"/>
    <x v="348"/>
    <n v="48048"/>
    <n v="2553.0000000000005"/>
    <n v="1.3689013689013688E-2"/>
    <s v="Dec-13"/>
    <x v="16"/>
    <n v="2.6782608695652175"/>
  </r>
  <r>
    <x v="48"/>
    <n v="224"/>
    <x v="5"/>
    <x v="1"/>
    <x v="3"/>
    <x v="65"/>
    <x v="0"/>
    <x v="0"/>
    <x v="0"/>
    <x v="203"/>
    <x v="227"/>
    <x v="7"/>
    <n v="210"/>
    <n v="170"/>
    <n v="490"/>
    <n v="116"/>
    <x v="227"/>
    <x v="203"/>
    <x v="217"/>
    <x v="402"/>
    <n v="1.0666666666666667"/>
    <n v="118"/>
    <x v="0"/>
    <n v="168.30588235294118"/>
    <x v="472"/>
    <n v="163872"/>
    <n v="8468"/>
    <n v="6.9335772925343663E-3"/>
    <s v="Dec-13"/>
    <x v="33"/>
    <n v="2.5401785714285716"/>
  </r>
  <r>
    <x v="12"/>
    <n v="81"/>
    <x v="5"/>
    <x v="1"/>
    <x v="3"/>
    <x v="32"/>
    <x v="0"/>
    <x v="0"/>
    <x v="0"/>
    <x v="121"/>
    <x v="130"/>
    <x v="11"/>
    <n v="70"/>
    <n v="70"/>
    <n v="170"/>
    <n v="38"/>
    <x v="130"/>
    <x v="121"/>
    <x v="44"/>
    <x v="283"/>
    <n v="1.1571428571428573"/>
    <n v="28"/>
    <x v="0"/>
    <n v="68.599999999999994"/>
    <x v="337"/>
    <n v="19306"/>
    <n v="988"/>
    <n v="1.9133151112846546E-2"/>
    <s v="Dec-13"/>
    <x v="10"/>
    <n v="2.4320987654320989"/>
  </r>
  <r>
    <x v="8"/>
    <n v="127"/>
    <x v="5"/>
    <x v="1"/>
    <x v="3"/>
    <x v="19"/>
    <x v="0"/>
    <x v="0"/>
    <x v="1"/>
    <x v="128"/>
    <x v="226"/>
    <x v="7"/>
    <n v="120"/>
    <n v="120"/>
    <n v="290"/>
    <n v="63"/>
    <x v="226"/>
    <x v="128"/>
    <x v="215"/>
    <x v="400"/>
    <n v="1.0583333333333333"/>
    <n v="61"/>
    <x v="0"/>
    <n v="118.49166666666666"/>
    <x v="470"/>
    <n v="60092"/>
    <n v="2520"/>
    <n v="1.3629518072289157E-2"/>
    <s v="Dec-13"/>
    <x v="30"/>
    <n v="2.6141732283464565"/>
  </r>
  <r>
    <x v="8"/>
    <n v="247"/>
    <x v="5"/>
    <x v="1"/>
    <x v="3"/>
    <x v="66"/>
    <x v="0"/>
    <x v="1"/>
    <x v="2"/>
    <x v="236"/>
    <x v="191"/>
    <x v="7"/>
    <n v="180"/>
    <n v="150"/>
    <n v="420"/>
    <n v="114"/>
    <x v="191"/>
    <x v="236"/>
    <x v="227"/>
    <x v="462"/>
    <n v="1.3722222222222222"/>
    <n v="169"/>
    <x v="0"/>
    <n v="147.87333333333333"/>
    <x v="542"/>
    <n v="195866"/>
    <n v="9234"/>
    <n v="6.4141231350786183E-3"/>
    <s v="Dec-13"/>
    <x v="24"/>
    <n v="2.4858299595141702"/>
  </r>
  <r>
    <x v="8"/>
    <n v="250"/>
    <x v="5"/>
    <x v="1"/>
    <x v="3"/>
    <x v="57"/>
    <x v="0"/>
    <x v="1"/>
    <x v="11"/>
    <x v="202"/>
    <x v="213"/>
    <x v="7"/>
    <n v="180"/>
    <n v="100"/>
    <n v="360"/>
    <n v="94"/>
    <x v="213"/>
    <x v="202"/>
    <x v="216"/>
    <x v="401"/>
    <n v="1.3888888888888888"/>
    <n v="133"/>
    <x v="0"/>
    <n v="97.67"/>
    <x v="471"/>
    <n v="124422"/>
    <n v="6580"/>
    <n v="6.2332798287854469E-3"/>
    <s v="Dec-13"/>
    <x v="38"/>
    <n v="2.1360000000000001"/>
  </r>
  <r>
    <x v="17"/>
    <n v="88"/>
    <x v="5"/>
    <x v="1"/>
    <x v="3"/>
    <x v="39"/>
    <x v="0"/>
    <x v="1"/>
    <x v="11"/>
    <x v="140"/>
    <x v="126"/>
    <x v="11"/>
    <n v="60"/>
    <n v="60"/>
    <n v="160"/>
    <n v="60"/>
    <x v="126"/>
    <x v="140"/>
    <x v="23"/>
    <x v="344"/>
    <n v="1.4666666666666666"/>
    <n v="48"/>
    <x v="0"/>
    <n v="58.2"/>
    <x v="404"/>
    <n v="25488"/>
    <n v="1740"/>
    <n v="1.5780245470485097E-2"/>
    <s v="Dec-13"/>
    <x v="10"/>
    <n v="2.6818181818181817"/>
  </r>
  <r>
    <x v="8"/>
    <n v="294"/>
    <x v="5"/>
    <x v="1"/>
    <x v="3"/>
    <x v="58"/>
    <x v="0"/>
    <x v="1"/>
    <x v="3"/>
    <x v="237"/>
    <x v="242"/>
    <x v="7"/>
    <n v="210"/>
    <n v="-320"/>
    <n v="0"/>
    <n v="145"/>
    <x v="242"/>
    <x v="237"/>
    <x v="248"/>
    <x v="463"/>
    <n v="1.4"/>
    <n v="-285"/>
    <x v="0"/>
    <n v="-321.890625"/>
    <x v="543"/>
    <n v="-19965"/>
    <n v="16095"/>
    <n v="-0.16516516516516516"/>
    <s v="Dec-13"/>
    <x v="33"/>
    <n v="0.11224489795918367"/>
  </r>
  <r>
    <x v="12"/>
    <n v="134"/>
    <x v="5"/>
    <x v="1"/>
    <x v="3"/>
    <x v="11"/>
    <x v="0"/>
    <x v="1"/>
    <x v="3"/>
    <x v="123"/>
    <x v="151"/>
    <x v="11"/>
    <n v="90"/>
    <n v="100"/>
    <n v="230"/>
    <n v="65"/>
    <x v="151"/>
    <x v="123"/>
    <x v="140"/>
    <x v="285"/>
    <n v="1.4888888888888889"/>
    <n v="80"/>
    <x v="0"/>
    <n v="98.2"/>
    <x v="339"/>
    <n v="61380"/>
    <n v="2665"/>
    <n v="1.287461554967456E-2"/>
    <s v="Dec-13"/>
    <x v="13"/>
    <n v="2.544776119402985"/>
  </r>
  <r>
    <x v="9"/>
    <n v="20"/>
    <x v="5"/>
    <x v="1"/>
    <x v="3"/>
    <x v="7"/>
    <x v="0"/>
    <x v="1"/>
    <x v="3"/>
    <x v="122"/>
    <x v="122"/>
    <x v="8"/>
    <n v="10"/>
    <n v="0"/>
    <n v="30"/>
    <n v="40"/>
    <x v="122"/>
    <x v="122"/>
    <x v="86"/>
    <x v="284"/>
    <n v="2"/>
    <n v="-22"/>
    <x v="0"/>
    <e v="#DIV/0!"/>
    <x v="338"/>
    <n v="-1056"/>
    <n v="280"/>
    <n v="-6.5476190476190479E-2"/>
    <s v="Dec-13"/>
    <x v="3"/>
    <n v="2.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x v="0"/>
    <n v="51"/>
    <x v="0"/>
    <x v="0"/>
    <x v="0"/>
    <x v="0"/>
    <x v="0"/>
    <x v="0"/>
    <x v="0"/>
    <x v="0"/>
    <x v="0"/>
    <x v="0"/>
    <n v="30"/>
    <n v="30"/>
    <n v="90"/>
    <n v="76"/>
    <x v="0"/>
    <x v="0"/>
    <x v="0"/>
    <x v="0"/>
    <n v="1.7"/>
    <n v="-35"/>
    <x v="0"/>
    <n v="30.166666666666668"/>
    <x v="0"/>
    <n v="-610"/>
    <n v="3496"/>
    <n v="-8.9094796863863144E-4"/>
    <s v="Oct-12"/>
    <x v="0"/>
    <n v="2.392156862745098"/>
  </r>
  <r>
    <x v="1"/>
    <n v="52"/>
    <x v="0"/>
    <x v="0"/>
    <x v="0"/>
    <x v="1"/>
    <x v="0"/>
    <x v="0"/>
    <x v="1"/>
    <x v="1"/>
    <x v="1"/>
    <x v="0"/>
    <n v="30"/>
    <n v="50"/>
    <n v="90"/>
    <n v="45"/>
    <x v="1"/>
    <x v="1"/>
    <x v="1"/>
    <x v="1"/>
    <n v="1.7333333333333334"/>
    <n v="-24"/>
    <x v="0"/>
    <n v="49.48"/>
    <x v="1"/>
    <n v="3198"/>
    <n v="765"/>
    <n v="1.2434241989478718E-2"/>
    <s v="Oct-12"/>
    <x v="1"/>
    <n v="2.3653846153846154"/>
  </r>
  <r>
    <x v="2"/>
    <n v="43"/>
    <x v="0"/>
    <x v="0"/>
    <x v="1"/>
    <x v="2"/>
    <x v="0"/>
    <x v="0"/>
    <x v="0"/>
    <x v="2"/>
    <x v="2"/>
    <x v="1"/>
    <n v="30"/>
    <n v="50"/>
    <n v="90"/>
    <n v="36"/>
    <x v="2"/>
    <x v="2"/>
    <x v="2"/>
    <x v="2"/>
    <n v="1.4333333333333333"/>
    <n v="-22"/>
    <x v="0"/>
    <n v="49.44"/>
    <x v="2"/>
    <n v="2996"/>
    <n v="468"/>
    <n v="2.0129403306973399E-2"/>
    <s v="Oct-12"/>
    <x v="1"/>
    <n v="2.4883720930232558"/>
  </r>
  <r>
    <x v="3"/>
    <n v="38"/>
    <x v="0"/>
    <x v="0"/>
    <x v="2"/>
    <x v="3"/>
    <x v="0"/>
    <x v="1"/>
    <x v="2"/>
    <x v="3"/>
    <x v="3"/>
    <x v="2"/>
    <n v="40"/>
    <n v="50"/>
    <n v="100"/>
    <n v="21"/>
    <x v="3"/>
    <x v="3"/>
    <x v="3"/>
    <x v="3"/>
    <n v="0.95"/>
    <n v="-15"/>
    <x v="0"/>
    <n v="49.3"/>
    <x v="3"/>
    <n v="3290"/>
    <n v="210"/>
    <n v="3.7234042553191488E-2"/>
    <s v="Oct-12"/>
    <x v="2"/>
    <n v="2.4736842105263159"/>
  </r>
  <r>
    <x v="4"/>
    <n v="72"/>
    <x v="0"/>
    <x v="0"/>
    <x v="3"/>
    <x v="4"/>
    <x v="0"/>
    <x v="1"/>
    <x v="3"/>
    <x v="4"/>
    <x v="4"/>
    <x v="3"/>
    <n v="20"/>
    <n v="50"/>
    <n v="80"/>
    <n v="54"/>
    <x v="4"/>
    <x v="4"/>
    <x v="4"/>
    <x v="4"/>
    <n v="3.6"/>
    <n v="6"/>
    <x v="0"/>
    <n v="48.88"/>
    <x v="4"/>
    <n v="10192"/>
    <n v="1242"/>
    <n v="1.3377926421404684E-2"/>
    <s v="Oct-12"/>
    <x v="3"/>
    <n v="2.5277777777777777"/>
  </r>
  <r>
    <x v="5"/>
    <n v="0"/>
    <x v="0"/>
    <x v="1"/>
    <x v="0"/>
    <x v="5"/>
    <x v="1"/>
    <x v="2"/>
    <x v="4"/>
    <x v="5"/>
    <x v="5"/>
    <x v="4"/>
    <n v="0"/>
    <n v="60"/>
    <n v="60"/>
    <n v="12"/>
    <x v="5"/>
    <x v="5"/>
    <x v="5"/>
    <x v="5"/>
    <e v="#DIV/0!"/>
    <n v="-29"/>
    <x v="0"/>
    <n v="59.483333333333334"/>
    <x v="5"/>
    <n v="1333"/>
    <e v="#DIV/0!"/>
    <e v="#DIV/0!"/>
    <s v="Oct-12"/>
    <x v="4"/>
    <e v="#DIV/0!"/>
  </r>
  <r>
    <x v="6"/>
    <n v="47"/>
    <x v="0"/>
    <x v="1"/>
    <x v="2"/>
    <x v="6"/>
    <x v="1"/>
    <x v="2"/>
    <x v="4"/>
    <x v="6"/>
    <x v="6"/>
    <x v="5"/>
    <n v="30"/>
    <n v="50"/>
    <n v="90"/>
    <n v="43"/>
    <x v="6"/>
    <x v="6"/>
    <x v="6"/>
    <x v="6"/>
    <n v="1.5666666666666667"/>
    <n v="-29"/>
    <x v="0"/>
    <n v="49.58"/>
    <x v="6"/>
    <n v="2331"/>
    <n v="645"/>
    <n v="1.2612612612612612E-2"/>
    <s v="Oct-12"/>
    <x v="1"/>
    <n v="2.3617021276595747"/>
  </r>
  <r>
    <x v="7"/>
    <n v="27"/>
    <x v="0"/>
    <x v="1"/>
    <x v="1"/>
    <x v="7"/>
    <x v="1"/>
    <x v="3"/>
    <x v="5"/>
    <x v="6"/>
    <x v="7"/>
    <x v="6"/>
    <n v="30"/>
    <n v="60"/>
    <n v="90"/>
    <n v="18"/>
    <x v="7"/>
    <x v="6"/>
    <x v="7"/>
    <x v="7"/>
    <n v="0.9"/>
    <n v="-39"/>
    <x v="0"/>
    <n v="59.65"/>
    <x v="7"/>
    <n v="1386"/>
    <n v="126"/>
    <n v="4.5454545454545456E-2"/>
    <s v="Oct-12"/>
    <x v="3"/>
    <n v="2.4444444444444446"/>
  </r>
  <r>
    <x v="8"/>
    <n v="31"/>
    <x v="0"/>
    <x v="1"/>
    <x v="3"/>
    <x v="8"/>
    <x v="1"/>
    <x v="3"/>
    <x v="5"/>
    <x v="7"/>
    <x v="8"/>
    <x v="7"/>
    <n v="30"/>
    <n v="50"/>
    <n v="90"/>
    <n v="30"/>
    <x v="8"/>
    <x v="7"/>
    <x v="8"/>
    <x v="8"/>
    <n v="1.0333333333333334"/>
    <n v="-43"/>
    <x v="0"/>
    <n v="49.86"/>
    <x v="8"/>
    <n v="476"/>
    <n v="270"/>
    <n v="1.1437908496732027E-2"/>
    <s v="Oct-12"/>
    <x v="1"/>
    <n v="2.193548387096774"/>
  </r>
  <r>
    <x v="9"/>
    <n v="40"/>
    <x v="0"/>
    <x v="1"/>
    <x v="3"/>
    <x v="9"/>
    <x v="1"/>
    <x v="2"/>
    <x v="4"/>
    <x v="8"/>
    <x v="9"/>
    <x v="8"/>
    <n v="20"/>
    <n v="60"/>
    <n v="80"/>
    <n v="22"/>
    <x v="9"/>
    <x v="8"/>
    <x v="9"/>
    <x v="9"/>
    <n v="2"/>
    <n v="-23"/>
    <x v="0"/>
    <n v="59.383333333333333"/>
    <x v="9"/>
    <n v="3663"/>
    <n v="242"/>
    <n v="3.3976124885215793E-2"/>
    <s v="Oct-12"/>
    <x v="5"/>
    <n v="2.4750000000000001"/>
  </r>
  <r>
    <x v="10"/>
    <n v="49"/>
    <x v="0"/>
    <x v="1"/>
    <x v="2"/>
    <x v="6"/>
    <x v="1"/>
    <x v="3"/>
    <x v="6"/>
    <x v="9"/>
    <x v="10"/>
    <x v="9"/>
    <n v="30"/>
    <n v="60"/>
    <n v="90"/>
    <n v="38"/>
    <x v="10"/>
    <x v="9"/>
    <x v="10"/>
    <x v="10"/>
    <n v="1.6333333333333333"/>
    <n v="-27"/>
    <x v="0"/>
    <n v="59.45"/>
    <x v="10"/>
    <n v="3960"/>
    <n v="570"/>
    <n v="1.8333333333333333E-2"/>
    <s v="Oct-12"/>
    <x v="3"/>
    <n v="2.4489795918367347"/>
  </r>
  <r>
    <x v="10"/>
    <n v="45"/>
    <x v="0"/>
    <x v="1"/>
    <x v="2"/>
    <x v="10"/>
    <x v="1"/>
    <x v="3"/>
    <x v="7"/>
    <x v="10"/>
    <x v="11"/>
    <x v="9"/>
    <n v="30"/>
    <n v="50"/>
    <n v="90"/>
    <n v="45"/>
    <x v="11"/>
    <x v="10"/>
    <x v="6"/>
    <x v="11"/>
    <n v="1.5"/>
    <n v="-26"/>
    <x v="0"/>
    <n v="49.52"/>
    <x v="11"/>
    <n v="2736"/>
    <n v="630"/>
    <n v="1.5037593984962405E-2"/>
    <s v="Oct-12"/>
    <x v="1"/>
    <n v="2.5333333333333332"/>
  </r>
  <r>
    <x v="10"/>
    <n v="45"/>
    <x v="0"/>
    <x v="1"/>
    <x v="2"/>
    <x v="11"/>
    <x v="1"/>
    <x v="2"/>
    <x v="8"/>
    <x v="11"/>
    <x v="12"/>
    <x v="9"/>
    <n v="30"/>
    <n v="30"/>
    <n v="90"/>
    <n v="71"/>
    <x v="12"/>
    <x v="11"/>
    <x v="11"/>
    <x v="12"/>
    <n v="1.5"/>
    <n v="-37"/>
    <x v="0"/>
    <n v="30.233333333333334"/>
    <x v="12"/>
    <n v="-763"/>
    <n v="2911"/>
    <n v="-1.5663459386887448E-3"/>
    <s v="Oct-12"/>
    <x v="0"/>
    <n v="2.4222222222222221"/>
  </r>
  <r>
    <x v="11"/>
    <n v="60"/>
    <x v="0"/>
    <x v="1"/>
    <x v="1"/>
    <x v="12"/>
    <x v="1"/>
    <x v="2"/>
    <x v="9"/>
    <x v="12"/>
    <x v="13"/>
    <x v="10"/>
    <n v="30"/>
    <n v="10"/>
    <n v="90"/>
    <n v="83"/>
    <x v="13"/>
    <x v="12"/>
    <x v="12"/>
    <x v="13"/>
    <n v="2"/>
    <n v="-9"/>
    <x v="0"/>
    <n v="9.9"/>
    <x v="13"/>
    <n v="144"/>
    <n v="4482"/>
    <n v="1.2860082304526747E-4"/>
    <s v="Oct-12"/>
    <x v="6"/>
    <n v="2.4"/>
  </r>
  <r>
    <x v="8"/>
    <n v="34"/>
    <x v="0"/>
    <x v="1"/>
    <x v="3"/>
    <x v="13"/>
    <x v="1"/>
    <x v="3"/>
    <x v="7"/>
    <x v="13"/>
    <x v="14"/>
    <x v="7"/>
    <n v="40"/>
    <n v="30"/>
    <n v="100"/>
    <n v="45"/>
    <x v="14"/>
    <x v="13"/>
    <x v="2"/>
    <x v="14"/>
    <n v="0.85"/>
    <n v="-32"/>
    <x v="0"/>
    <n v="30.066666666666666"/>
    <x v="14"/>
    <n v="-154"/>
    <n v="540"/>
    <n v="-2.1645021645021645E-3"/>
    <s v="Oct-12"/>
    <x v="7"/>
    <n v="2.2647058823529411"/>
  </r>
  <r>
    <x v="12"/>
    <n v="54"/>
    <x v="0"/>
    <x v="1"/>
    <x v="3"/>
    <x v="14"/>
    <x v="1"/>
    <x v="2"/>
    <x v="9"/>
    <x v="14"/>
    <x v="10"/>
    <x v="11"/>
    <n v="40"/>
    <n v="40"/>
    <n v="100"/>
    <n v="54"/>
    <x v="10"/>
    <x v="14"/>
    <x v="13"/>
    <x v="15"/>
    <n v="1.35"/>
    <n v="-28"/>
    <x v="0"/>
    <n v="39.700000000000003"/>
    <x v="15"/>
    <n v="1440"/>
    <n v="1080"/>
    <n v="5.0000000000000001E-3"/>
    <s v="Oct-12"/>
    <x v="0"/>
    <n v="2.2222222222222223"/>
  </r>
  <r>
    <x v="13"/>
    <n v="45"/>
    <x v="0"/>
    <x v="1"/>
    <x v="0"/>
    <x v="11"/>
    <x v="0"/>
    <x v="0"/>
    <x v="10"/>
    <x v="15"/>
    <x v="12"/>
    <x v="12"/>
    <n v="20"/>
    <n v="30"/>
    <n v="80"/>
    <n v="70"/>
    <x v="12"/>
    <x v="15"/>
    <x v="14"/>
    <x v="16"/>
    <n v="2.25"/>
    <n v="-36"/>
    <x v="0"/>
    <n v="30.2"/>
    <x v="16"/>
    <n v="-654"/>
    <n v="2870"/>
    <n v="-1.342582233161781E-3"/>
    <s v="Oct-12"/>
    <x v="2"/>
    <n v="2.4222222222222221"/>
  </r>
  <r>
    <x v="14"/>
    <n v="48"/>
    <x v="0"/>
    <x v="1"/>
    <x v="0"/>
    <x v="2"/>
    <x v="0"/>
    <x v="0"/>
    <x v="0"/>
    <x v="16"/>
    <x v="15"/>
    <x v="13"/>
    <n v="30"/>
    <n v="60"/>
    <n v="90"/>
    <n v="25"/>
    <x v="15"/>
    <x v="16"/>
    <x v="15"/>
    <x v="17"/>
    <n v="1.6"/>
    <n v="-15"/>
    <x v="0"/>
    <n v="59.25"/>
    <x v="17"/>
    <n v="5310"/>
    <n v="325"/>
    <n v="2.9335071707953065E-2"/>
    <s v="Oct-12"/>
    <x v="3"/>
    <n v="2.4583333333333335"/>
  </r>
  <r>
    <x v="15"/>
    <n v="49"/>
    <x v="0"/>
    <x v="1"/>
    <x v="3"/>
    <x v="6"/>
    <x v="0"/>
    <x v="0"/>
    <x v="10"/>
    <x v="9"/>
    <x v="10"/>
    <x v="8"/>
    <n v="30"/>
    <n v="60"/>
    <n v="90"/>
    <n v="38"/>
    <x v="10"/>
    <x v="9"/>
    <x v="10"/>
    <x v="10"/>
    <n v="1.6333333333333333"/>
    <n v="-27"/>
    <x v="0"/>
    <n v="59.45"/>
    <x v="10"/>
    <n v="3960"/>
    <n v="570"/>
    <n v="1.8333333333333333E-2"/>
    <s v="Oct-12"/>
    <x v="3"/>
    <n v="2.4489795918367347"/>
  </r>
  <r>
    <x v="16"/>
    <n v="48"/>
    <x v="0"/>
    <x v="1"/>
    <x v="3"/>
    <x v="2"/>
    <x v="0"/>
    <x v="0"/>
    <x v="0"/>
    <x v="17"/>
    <x v="16"/>
    <x v="14"/>
    <n v="30"/>
    <n v="60"/>
    <n v="90"/>
    <n v="24"/>
    <x v="16"/>
    <x v="17"/>
    <x v="16"/>
    <x v="18"/>
    <n v="1.6"/>
    <n v="-13"/>
    <x v="0"/>
    <n v="59.216666666666669"/>
    <x v="18"/>
    <n v="5593"/>
    <n v="312"/>
    <n v="3.0381383322559793E-2"/>
    <s v="Oct-12"/>
    <x v="3"/>
    <n v="2.4791666666666665"/>
  </r>
  <r>
    <x v="6"/>
    <n v="40"/>
    <x v="0"/>
    <x v="1"/>
    <x v="2"/>
    <x v="9"/>
    <x v="0"/>
    <x v="1"/>
    <x v="2"/>
    <x v="18"/>
    <x v="9"/>
    <x v="5"/>
    <n v="40"/>
    <n v="50"/>
    <n v="100"/>
    <n v="23"/>
    <x v="9"/>
    <x v="18"/>
    <x v="17"/>
    <x v="19"/>
    <n v="1"/>
    <n v="-14"/>
    <x v="0"/>
    <n v="49.28"/>
    <x v="19"/>
    <n v="3564"/>
    <n v="252.99999999999997"/>
    <n v="3.3057851239669422E-2"/>
    <s v="Oct-12"/>
    <x v="2"/>
    <n v="2.4750000000000001"/>
  </r>
  <r>
    <x v="17"/>
    <n v="82"/>
    <x v="0"/>
    <x v="1"/>
    <x v="3"/>
    <x v="15"/>
    <x v="0"/>
    <x v="1"/>
    <x v="11"/>
    <x v="19"/>
    <x v="17"/>
    <x v="11"/>
    <n v="30"/>
    <n v="50"/>
    <n v="90"/>
    <n v="59"/>
    <x v="17"/>
    <x v="19"/>
    <x v="18"/>
    <x v="20"/>
    <n v="2.7333333333333334"/>
    <n v="14"/>
    <x v="0"/>
    <n v="48.72"/>
    <x v="20"/>
    <n v="13120"/>
    <n v="1593"/>
    <n v="1.156278229448961E-2"/>
    <s v="Oct-12"/>
    <x v="1"/>
    <n v="2.5"/>
  </r>
  <r>
    <x v="17"/>
    <n v="91"/>
    <x v="0"/>
    <x v="1"/>
    <x v="3"/>
    <x v="16"/>
    <x v="0"/>
    <x v="1"/>
    <x v="3"/>
    <x v="20"/>
    <x v="18"/>
    <x v="11"/>
    <n v="40"/>
    <n v="50"/>
    <n v="100"/>
    <n v="51"/>
    <x v="18"/>
    <x v="20"/>
    <x v="19"/>
    <x v="21"/>
    <n v="2.2749999999999999"/>
    <n v="26"/>
    <x v="0"/>
    <n v="48.48"/>
    <x v="21"/>
    <n v="16568"/>
    <n v="1428"/>
    <n v="1.2450851900393186E-2"/>
    <s v="Oct-12"/>
    <x v="2"/>
    <n v="2.3956043956043955"/>
  </r>
  <r>
    <x v="18"/>
    <n v="40"/>
    <x v="1"/>
    <x v="0"/>
    <x v="1"/>
    <x v="2"/>
    <x v="1"/>
    <x v="3"/>
    <x v="5"/>
    <x v="1"/>
    <x v="19"/>
    <x v="1"/>
    <n v="40"/>
    <n v="40"/>
    <n v="100"/>
    <n v="26"/>
    <x v="19"/>
    <x v="1"/>
    <x v="20"/>
    <x v="22"/>
    <n v="1"/>
    <n v="-14"/>
    <x v="0"/>
    <n v="39.35"/>
    <x v="22"/>
    <n v="2392"/>
    <n v="338"/>
    <n v="2.1739130434782608E-2"/>
    <s v="Nov-12"/>
    <x v="0"/>
    <n v="2.2999999999999998"/>
  </r>
  <r>
    <x v="19"/>
    <n v="50"/>
    <x v="1"/>
    <x v="0"/>
    <x v="1"/>
    <x v="10"/>
    <x v="1"/>
    <x v="2"/>
    <x v="4"/>
    <x v="21"/>
    <x v="1"/>
    <x v="1"/>
    <n v="30"/>
    <n v="40"/>
    <n v="90"/>
    <n v="25"/>
    <x v="1"/>
    <x v="21"/>
    <x v="21"/>
    <x v="23"/>
    <n v="1.6666666666666667"/>
    <n v="8"/>
    <x v="0"/>
    <n v="38.799999999999997"/>
    <x v="23"/>
    <n v="5904"/>
    <n v="350"/>
    <n v="2.7874564459930314E-2"/>
    <s v="Nov-12"/>
    <x v="2"/>
    <n v="2.46"/>
  </r>
  <r>
    <x v="1"/>
    <n v="40"/>
    <x v="1"/>
    <x v="0"/>
    <x v="0"/>
    <x v="2"/>
    <x v="1"/>
    <x v="3"/>
    <x v="7"/>
    <x v="22"/>
    <x v="19"/>
    <x v="0"/>
    <n v="30"/>
    <n v="40"/>
    <n v="90"/>
    <n v="25"/>
    <x v="19"/>
    <x v="22"/>
    <x v="22"/>
    <x v="24"/>
    <n v="1.3333333333333333"/>
    <n v="-13"/>
    <x v="0"/>
    <n v="39.325000000000003"/>
    <x v="24"/>
    <n v="2484"/>
    <n v="325"/>
    <n v="2.2575250836120404E-2"/>
    <s v="Nov-12"/>
    <x v="2"/>
    <n v="2.2999999999999998"/>
  </r>
  <r>
    <x v="20"/>
    <n v="52"/>
    <x v="1"/>
    <x v="0"/>
    <x v="2"/>
    <x v="17"/>
    <x v="1"/>
    <x v="2"/>
    <x v="8"/>
    <x v="23"/>
    <x v="10"/>
    <x v="15"/>
    <n v="50"/>
    <n v="0"/>
    <n v="110"/>
    <n v="76"/>
    <x v="10"/>
    <x v="23"/>
    <x v="23"/>
    <x v="25"/>
    <n v="1.04"/>
    <n v="-8"/>
    <x v="0"/>
    <e v="#DIV/0!"/>
    <x v="25"/>
    <n v="-960"/>
    <n v="3572"/>
    <n v="-1.4184397163120566E-3"/>
    <s v="Nov-12"/>
    <x v="8"/>
    <n v="2.3076923076923075"/>
  </r>
  <r>
    <x v="21"/>
    <n v="75"/>
    <x v="1"/>
    <x v="0"/>
    <x v="2"/>
    <x v="4"/>
    <x v="0"/>
    <x v="0"/>
    <x v="1"/>
    <x v="24"/>
    <x v="20"/>
    <x v="2"/>
    <n v="50"/>
    <n v="30"/>
    <n v="110"/>
    <n v="45"/>
    <x v="20"/>
    <x v="24"/>
    <x v="24"/>
    <x v="26"/>
    <n v="1.5"/>
    <n v="14"/>
    <x v="0"/>
    <n v="28.533333333333335"/>
    <x v="26"/>
    <n v="7216"/>
    <n v="1035"/>
    <n v="1.166489925768823E-2"/>
    <s v="Nov-12"/>
    <x v="6"/>
    <n v="2.1866666666666665"/>
  </r>
  <r>
    <x v="22"/>
    <n v="46"/>
    <x v="1"/>
    <x v="0"/>
    <x v="1"/>
    <x v="10"/>
    <x v="0"/>
    <x v="0"/>
    <x v="0"/>
    <x v="5"/>
    <x v="11"/>
    <x v="1"/>
    <n v="40"/>
    <n v="30"/>
    <n v="100"/>
    <n v="37"/>
    <x v="11"/>
    <x v="5"/>
    <x v="25"/>
    <x v="27"/>
    <n v="1.1499999999999999"/>
    <n v="1"/>
    <x v="0"/>
    <n v="28.966666666666665"/>
    <x v="27"/>
    <n v="3534"/>
    <n v="518"/>
    <n v="1.942355889724311E-2"/>
    <s v="Nov-12"/>
    <x v="7"/>
    <n v="2.4782608695652173"/>
  </r>
  <r>
    <x v="23"/>
    <n v="55"/>
    <x v="1"/>
    <x v="0"/>
    <x v="0"/>
    <x v="14"/>
    <x v="0"/>
    <x v="1"/>
    <x v="2"/>
    <x v="25"/>
    <x v="21"/>
    <x v="0"/>
    <n v="40"/>
    <n v="20"/>
    <n v="100"/>
    <n v="54"/>
    <x v="21"/>
    <x v="25"/>
    <x v="26"/>
    <x v="28"/>
    <n v="1.375"/>
    <n v="-5"/>
    <x v="0"/>
    <n v="19.25"/>
    <x v="28"/>
    <n v="1860"/>
    <n v="1080"/>
    <n v="6.0483870967741934E-3"/>
    <s v="Nov-12"/>
    <x v="6"/>
    <n v="2.2545454545454544"/>
  </r>
  <r>
    <x v="24"/>
    <n v="50"/>
    <x v="1"/>
    <x v="0"/>
    <x v="0"/>
    <x v="10"/>
    <x v="0"/>
    <x v="1"/>
    <x v="2"/>
    <x v="21"/>
    <x v="1"/>
    <x v="16"/>
    <n v="40"/>
    <n v="40"/>
    <n v="100"/>
    <n v="25"/>
    <x v="1"/>
    <x v="21"/>
    <x v="21"/>
    <x v="23"/>
    <n v="1.25"/>
    <n v="8"/>
    <x v="0"/>
    <n v="38.799999999999997"/>
    <x v="23"/>
    <n v="5904"/>
    <n v="350"/>
    <n v="2.7874564459930314E-2"/>
    <s v="Nov-12"/>
    <x v="0"/>
    <n v="2.46"/>
  </r>
  <r>
    <x v="23"/>
    <n v="57"/>
    <x v="1"/>
    <x v="0"/>
    <x v="0"/>
    <x v="1"/>
    <x v="0"/>
    <x v="1"/>
    <x v="11"/>
    <x v="26"/>
    <x v="22"/>
    <x v="0"/>
    <n v="40"/>
    <n v="30"/>
    <n v="100"/>
    <n v="39"/>
    <x v="22"/>
    <x v="26"/>
    <x v="27"/>
    <x v="29"/>
    <n v="1.425"/>
    <n v="-1"/>
    <x v="0"/>
    <n v="29.033333333333335"/>
    <x v="29"/>
    <n v="3625"/>
    <n v="663"/>
    <n v="1.3647058823529411E-2"/>
    <s v="Nov-12"/>
    <x v="7"/>
    <n v="2.192982456140351"/>
  </r>
  <r>
    <x v="25"/>
    <n v="36"/>
    <x v="1"/>
    <x v="0"/>
    <x v="2"/>
    <x v="3"/>
    <x v="0"/>
    <x v="1"/>
    <x v="2"/>
    <x v="5"/>
    <x v="23"/>
    <x v="15"/>
    <n v="30"/>
    <n v="40"/>
    <n v="90"/>
    <n v="21"/>
    <x v="23"/>
    <x v="5"/>
    <x v="28"/>
    <x v="30"/>
    <n v="1.2"/>
    <n v="-9"/>
    <x v="0"/>
    <n v="39.225000000000001"/>
    <x v="30"/>
    <n v="2728"/>
    <n v="210"/>
    <n v="3.5227272727272725E-2"/>
    <s v="Nov-12"/>
    <x v="2"/>
    <n v="2.4444444444444446"/>
  </r>
  <r>
    <x v="26"/>
    <n v="33"/>
    <x v="1"/>
    <x v="1"/>
    <x v="0"/>
    <x v="8"/>
    <x v="1"/>
    <x v="2"/>
    <x v="4"/>
    <x v="22"/>
    <x v="24"/>
    <x v="12"/>
    <n v="40"/>
    <n v="50"/>
    <n v="100"/>
    <n v="21"/>
    <x v="24"/>
    <x v="22"/>
    <x v="29"/>
    <x v="7"/>
    <n v="0.82499999999999996"/>
    <n v="-23"/>
    <x v="0"/>
    <n v="49.46"/>
    <x v="31"/>
    <n v="2187"/>
    <n v="189"/>
    <n v="3.7037037037037035E-2"/>
    <s v="Nov-12"/>
    <x v="2"/>
    <n v="2.4545454545454546"/>
  </r>
  <r>
    <x v="27"/>
    <n v="31"/>
    <x v="1"/>
    <x v="1"/>
    <x v="1"/>
    <x v="18"/>
    <x v="1"/>
    <x v="3"/>
    <x v="5"/>
    <x v="2"/>
    <x v="25"/>
    <x v="10"/>
    <n v="30"/>
    <n v="50"/>
    <n v="90"/>
    <n v="19"/>
    <x v="25"/>
    <x v="2"/>
    <x v="30"/>
    <x v="3"/>
    <n v="1.0333333333333334"/>
    <n v="-22"/>
    <x v="0"/>
    <n v="49.44"/>
    <x v="32"/>
    <n v="2184"/>
    <n v="152"/>
    <n v="4.4871794871794872E-2"/>
    <s v="Nov-12"/>
    <x v="1"/>
    <n v="2.5161290322580645"/>
  </r>
  <r>
    <x v="28"/>
    <n v="36"/>
    <x v="1"/>
    <x v="1"/>
    <x v="1"/>
    <x v="3"/>
    <x v="1"/>
    <x v="3"/>
    <x v="5"/>
    <x v="27"/>
    <x v="23"/>
    <x v="6"/>
    <n v="40"/>
    <n v="40"/>
    <n v="100"/>
    <n v="22"/>
    <x v="23"/>
    <x v="27"/>
    <x v="31"/>
    <x v="7"/>
    <n v="0.9"/>
    <n v="-10"/>
    <x v="0"/>
    <n v="39.25"/>
    <x v="33"/>
    <n v="2640"/>
    <n v="220"/>
    <n v="3.4090909090909088E-2"/>
    <s v="Nov-12"/>
    <x v="0"/>
    <n v="2.4444444444444446"/>
  </r>
  <r>
    <x v="29"/>
    <n v="49"/>
    <x v="1"/>
    <x v="1"/>
    <x v="1"/>
    <x v="6"/>
    <x v="1"/>
    <x v="2"/>
    <x v="4"/>
    <x v="28"/>
    <x v="10"/>
    <x v="10"/>
    <n v="30"/>
    <n v="30"/>
    <n v="90"/>
    <n v="37"/>
    <x v="10"/>
    <x v="28"/>
    <x v="32"/>
    <x v="31"/>
    <n v="1.6333333333333333"/>
    <n v="4"/>
    <x v="0"/>
    <n v="28.866666666666667"/>
    <x v="34"/>
    <n v="4080"/>
    <n v="555"/>
    <n v="1.8888888888888889E-2"/>
    <s v="Nov-12"/>
    <x v="0"/>
    <n v="2.4489795918367347"/>
  </r>
  <r>
    <x v="14"/>
    <n v="54"/>
    <x v="1"/>
    <x v="1"/>
    <x v="0"/>
    <x v="14"/>
    <x v="1"/>
    <x v="3"/>
    <x v="6"/>
    <x v="29"/>
    <x v="26"/>
    <x v="13"/>
    <n v="50"/>
    <n v="20"/>
    <n v="110"/>
    <n v="53"/>
    <x v="26"/>
    <x v="29"/>
    <x v="33"/>
    <x v="32"/>
    <n v="1.08"/>
    <n v="-6"/>
    <x v="0"/>
    <n v="19.3"/>
    <x v="35"/>
    <n v="1694"/>
    <n v="1060"/>
    <n v="5.7851239669421484E-3"/>
    <s v="Nov-12"/>
    <x v="9"/>
    <n v="2.2407407407407409"/>
  </r>
  <r>
    <x v="10"/>
    <n v="46"/>
    <x v="1"/>
    <x v="1"/>
    <x v="2"/>
    <x v="10"/>
    <x v="1"/>
    <x v="3"/>
    <x v="6"/>
    <x v="27"/>
    <x v="27"/>
    <x v="9"/>
    <n v="40"/>
    <n v="40"/>
    <n v="100"/>
    <n v="37"/>
    <x v="27"/>
    <x v="27"/>
    <x v="25"/>
    <x v="33"/>
    <n v="1.1499999999999999"/>
    <n v="-10"/>
    <x v="0"/>
    <n v="39.25"/>
    <x v="36"/>
    <n v="3390"/>
    <n v="518"/>
    <n v="1.8963337547408345E-2"/>
    <s v="Nov-12"/>
    <x v="0"/>
    <n v="2.4565217391304346"/>
  </r>
  <r>
    <x v="10"/>
    <n v="43"/>
    <x v="1"/>
    <x v="1"/>
    <x v="2"/>
    <x v="10"/>
    <x v="1"/>
    <x v="3"/>
    <x v="7"/>
    <x v="30"/>
    <x v="12"/>
    <x v="9"/>
    <n v="30"/>
    <n v="30"/>
    <n v="90"/>
    <n v="46"/>
    <x v="12"/>
    <x v="30"/>
    <x v="34"/>
    <x v="34"/>
    <n v="1.4333333333333333"/>
    <n v="-10"/>
    <x v="0"/>
    <n v="29.333333333333332"/>
    <x v="37"/>
    <n v="2180"/>
    <n v="644"/>
    <n v="1.3106159895150722E-2"/>
    <s v="Nov-12"/>
    <x v="0"/>
    <n v="2.5348837209302326"/>
  </r>
  <r>
    <x v="10"/>
    <n v="44"/>
    <x v="1"/>
    <x v="1"/>
    <x v="2"/>
    <x v="19"/>
    <x v="1"/>
    <x v="2"/>
    <x v="8"/>
    <x v="23"/>
    <x v="28"/>
    <x v="9"/>
    <n v="40"/>
    <n v="10"/>
    <n v="100"/>
    <n v="70"/>
    <x v="28"/>
    <x v="23"/>
    <x v="35"/>
    <x v="35"/>
    <n v="1.1000000000000001"/>
    <n v="-18"/>
    <x v="0"/>
    <n v="10.8"/>
    <x v="38"/>
    <n v="-848"/>
    <n v="2800"/>
    <n v="-1.8867924528301887E-3"/>
    <s v="Nov-12"/>
    <x v="9"/>
    <n v="2.4090909090909092"/>
  </r>
  <r>
    <x v="29"/>
    <n v="53"/>
    <x v="1"/>
    <x v="1"/>
    <x v="1"/>
    <x v="20"/>
    <x v="1"/>
    <x v="2"/>
    <x v="8"/>
    <x v="31"/>
    <x v="29"/>
    <x v="10"/>
    <n v="40"/>
    <n v="30"/>
    <n v="100"/>
    <n v="39"/>
    <x v="29"/>
    <x v="31"/>
    <x v="36"/>
    <x v="36"/>
    <n v="1.325"/>
    <n v="19"/>
    <x v="0"/>
    <n v="28.366666666666667"/>
    <x v="39"/>
    <n v="6909"/>
    <n v="624"/>
    <n v="2.1719858156028369E-2"/>
    <s v="Nov-12"/>
    <x v="7"/>
    <n v="2.6603773584905661"/>
  </r>
  <r>
    <x v="16"/>
    <n v="54"/>
    <x v="1"/>
    <x v="1"/>
    <x v="3"/>
    <x v="14"/>
    <x v="1"/>
    <x v="2"/>
    <x v="8"/>
    <x v="32"/>
    <x v="26"/>
    <x v="14"/>
    <n v="50"/>
    <n v="20"/>
    <n v="110"/>
    <n v="54"/>
    <x v="26"/>
    <x v="32"/>
    <x v="13"/>
    <x v="37"/>
    <n v="1.08"/>
    <n v="-7"/>
    <x v="0"/>
    <n v="19.350000000000001"/>
    <x v="40"/>
    <n v="1573"/>
    <n v="1080"/>
    <n v="5.371900826446281E-3"/>
    <s v="Nov-12"/>
    <x v="9"/>
    <n v="2.2407407407407409"/>
  </r>
  <r>
    <x v="7"/>
    <n v="54"/>
    <x v="1"/>
    <x v="1"/>
    <x v="1"/>
    <x v="14"/>
    <x v="0"/>
    <x v="0"/>
    <x v="10"/>
    <x v="32"/>
    <x v="26"/>
    <x v="6"/>
    <n v="50"/>
    <n v="20"/>
    <n v="110"/>
    <n v="54"/>
    <x v="26"/>
    <x v="32"/>
    <x v="13"/>
    <x v="37"/>
    <n v="1.08"/>
    <n v="-7"/>
    <x v="0"/>
    <n v="19.350000000000001"/>
    <x v="40"/>
    <n v="1573"/>
    <n v="1080"/>
    <n v="5.371900826446281E-3"/>
    <s v="Nov-12"/>
    <x v="9"/>
    <n v="2.2407407407407409"/>
  </r>
  <r>
    <x v="15"/>
    <n v="46"/>
    <x v="1"/>
    <x v="1"/>
    <x v="3"/>
    <x v="10"/>
    <x v="0"/>
    <x v="0"/>
    <x v="10"/>
    <x v="27"/>
    <x v="27"/>
    <x v="8"/>
    <n v="40"/>
    <n v="30"/>
    <n v="100"/>
    <n v="37"/>
    <x v="27"/>
    <x v="27"/>
    <x v="25"/>
    <x v="33"/>
    <n v="1.1499999999999999"/>
    <n v="0"/>
    <x v="0"/>
    <n v="29"/>
    <x v="36"/>
    <n v="3390"/>
    <n v="518"/>
    <n v="1.8963337547408345E-2"/>
    <s v="Nov-12"/>
    <x v="7"/>
    <n v="2.4565217391304346"/>
  </r>
  <r>
    <x v="9"/>
    <n v="43"/>
    <x v="1"/>
    <x v="1"/>
    <x v="3"/>
    <x v="10"/>
    <x v="0"/>
    <x v="0"/>
    <x v="0"/>
    <x v="30"/>
    <x v="12"/>
    <x v="8"/>
    <n v="40"/>
    <n v="30"/>
    <n v="100"/>
    <n v="46"/>
    <x v="12"/>
    <x v="30"/>
    <x v="34"/>
    <x v="34"/>
    <n v="1.075"/>
    <n v="-10"/>
    <x v="0"/>
    <n v="29.333333333333332"/>
    <x v="37"/>
    <n v="2180"/>
    <n v="644"/>
    <n v="1.3106159895150722E-2"/>
    <s v="Nov-12"/>
    <x v="7"/>
    <n v="2.5348837209302326"/>
  </r>
  <r>
    <x v="30"/>
    <n v="47"/>
    <x v="1"/>
    <x v="1"/>
    <x v="3"/>
    <x v="2"/>
    <x v="0"/>
    <x v="0"/>
    <x v="0"/>
    <x v="24"/>
    <x v="30"/>
    <x v="14"/>
    <n v="40"/>
    <n v="40"/>
    <n v="100"/>
    <n v="24"/>
    <x v="30"/>
    <x v="24"/>
    <x v="37"/>
    <x v="38"/>
    <n v="1.175"/>
    <n v="4"/>
    <x v="0"/>
    <n v="38.9"/>
    <x v="41"/>
    <n v="5060"/>
    <n v="312"/>
    <n v="2.9431438127090301E-2"/>
    <s v="Nov-12"/>
    <x v="0"/>
    <n v="2.4468085106382977"/>
  </r>
  <r>
    <x v="31"/>
    <n v="36"/>
    <x v="1"/>
    <x v="1"/>
    <x v="2"/>
    <x v="3"/>
    <x v="0"/>
    <x v="1"/>
    <x v="3"/>
    <x v="9"/>
    <x v="31"/>
    <x v="5"/>
    <n v="30"/>
    <n v="40"/>
    <n v="90"/>
    <n v="21"/>
    <x v="31"/>
    <x v="9"/>
    <x v="28"/>
    <x v="39"/>
    <n v="1.2"/>
    <n v="-7"/>
    <x v="0"/>
    <n v="39.174999999999997"/>
    <x v="42"/>
    <n v="2970"/>
    <n v="210"/>
    <n v="3.6666666666666667E-2"/>
    <s v="Nov-12"/>
    <x v="2"/>
    <n v="2.5"/>
  </r>
  <r>
    <x v="32"/>
    <n v="61"/>
    <x v="1"/>
    <x v="1"/>
    <x v="3"/>
    <x v="21"/>
    <x v="0"/>
    <x v="1"/>
    <x v="3"/>
    <x v="12"/>
    <x v="32"/>
    <x v="14"/>
    <n v="40"/>
    <n v="0"/>
    <n v="100"/>
    <n v="85"/>
    <x v="32"/>
    <x v="12"/>
    <x v="38"/>
    <x v="40"/>
    <n v="1.5249999999999999"/>
    <n v="1"/>
    <x v="0"/>
    <e v="#DIV/0!"/>
    <x v="43"/>
    <n v="147"/>
    <n v="4675"/>
    <n v="1.2368583797155226E-4"/>
    <s v="Nov-12"/>
    <x v="10"/>
    <n v="2.4098360655737703"/>
  </r>
  <r>
    <x v="33"/>
    <n v="43"/>
    <x v="2"/>
    <x v="0"/>
    <x v="1"/>
    <x v="10"/>
    <x v="1"/>
    <x v="3"/>
    <x v="5"/>
    <x v="27"/>
    <x v="9"/>
    <x v="1"/>
    <n v="50"/>
    <n v="40"/>
    <n v="110"/>
    <n v="26"/>
    <x v="9"/>
    <x v="27"/>
    <x v="39"/>
    <x v="33"/>
    <n v="0.86"/>
    <n v="-10"/>
    <x v="0"/>
    <n v="39.25"/>
    <x v="44"/>
    <n v="2970"/>
    <n v="364"/>
    <n v="2.1645021645021644E-2"/>
    <s v="Dec-12"/>
    <x v="7"/>
    <n v="2.3023255813953489"/>
  </r>
  <r>
    <x v="34"/>
    <n v="54"/>
    <x v="2"/>
    <x v="0"/>
    <x v="1"/>
    <x v="6"/>
    <x v="1"/>
    <x v="2"/>
    <x v="4"/>
    <x v="33"/>
    <x v="33"/>
    <x v="1"/>
    <n v="40"/>
    <n v="40"/>
    <n v="100"/>
    <n v="27"/>
    <x v="33"/>
    <x v="33"/>
    <x v="40"/>
    <x v="41"/>
    <n v="1.35"/>
    <n v="12"/>
    <x v="0"/>
    <n v="38.700000000000003"/>
    <x v="45"/>
    <n v="6916"/>
    <n v="405"/>
    <n v="2.606516290726817E-2"/>
    <s v="Dec-12"/>
    <x v="0"/>
    <n v="2.4629629629629628"/>
  </r>
  <r>
    <x v="1"/>
    <n v="47"/>
    <x v="2"/>
    <x v="0"/>
    <x v="0"/>
    <x v="22"/>
    <x v="0"/>
    <x v="0"/>
    <x v="0"/>
    <x v="15"/>
    <x v="34"/>
    <x v="0"/>
    <n v="40"/>
    <n v="0"/>
    <n v="100"/>
    <n v="71"/>
    <x v="34"/>
    <x v="15"/>
    <x v="41"/>
    <x v="42"/>
    <n v="1.175"/>
    <n v="-6"/>
    <x v="0"/>
    <e v="#DIV/0!"/>
    <x v="46"/>
    <n v="-672"/>
    <n v="2982"/>
    <n v="-1.2755102040816326E-3"/>
    <s v="Dec-12"/>
    <x v="10"/>
    <n v="2.3829787234042552"/>
  </r>
  <r>
    <x v="0"/>
    <n v="54"/>
    <x v="2"/>
    <x v="0"/>
    <x v="0"/>
    <x v="1"/>
    <x v="0"/>
    <x v="0"/>
    <x v="1"/>
    <x v="26"/>
    <x v="35"/>
    <x v="0"/>
    <n v="50"/>
    <n v="30"/>
    <n v="110"/>
    <n v="44"/>
    <x v="35"/>
    <x v="26"/>
    <x v="42"/>
    <x v="29"/>
    <n v="1.08"/>
    <n v="-1"/>
    <x v="0"/>
    <n v="29.033333333333335"/>
    <x v="47"/>
    <n v="3683"/>
    <n v="748"/>
    <n v="1.3432144511347846E-2"/>
    <s v="Dec-12"/>
    <x v="6"/>
    <n v="2.3518518518518516"/>
  </r>
  <r>
    <x v="21"/>
    <n v="65"/>
    <x v="2"/>
    <x v="0"/>
    <x v="2"/>
    <x v="23"/>
    <x v="0"/>
    <x v="0"/>
    <x v="0"/>
    <x v="34"/>
    <x v="36"/>
    <x v="2"/>
    <n v="40"/>
    <n v="20"/>
    <n v="100"/>
    <n v="57"/>
    <x v="36"/>
    <x v="34"/>
    <x v="43"/>
    <x v="43"/>
    <n v="1.625"/>
    <n v="3"/>
    <x v="0"/>
    <n v="18.850000000000001"/>
    <x v="48"/>
    <n v="3335"/>
    <n v="1368"/>
    <n v="6.6091954022988505E-3"/>
    <s v="Dec-12"/>
    <x v="6"/>
    <n v="2.2307692307692308"/>
  </r>
  <r>
    <x v="35"/>
    <n v="80"/>
    <x v="2"/>
    <x v="0"/>
    <x v="2"/>
    <x v="23"/>
    <x v="0"/>
    <x v="0"/>
    <x v="1"/>
    <x v="35"/>
    <x v="37"/>
    <x v="2"/>
    <n v="60"/>
    <n v="30"/>
    <n v="120"/>
    <n v="46"/>
    <x v="37"/>
    <x v="35"/>
    <x v="4"/>
    <x v="44"/>
    <n v="1.3333333333333333"/>
    <n v="20"/>
    <x v="0"/>
    <n v="28.333333333333332"/>
    <x v="49"/>
    <n v="8800"/>
    <n v="1104"/>
    <n v="1.1837121212121214E-2"/>
    <s v="Dec-12"/>
    <x v="9"/>
    <n v="2.2000000000000002"/>
  </r>
  <r>
    <x v="36"/>
    <n v="54"/>
    <x v="2"/>
    <x v="0"/>
    <x v="1"/>
    <x v="1"/>
    <x v="0"/>
    <x v="0"/>
    <x v="10"/>
    <x v="2"/>
    <x v="35"/>
    <x v="1"/>
    <n v="50"/>
    <n v="30"/>
    <n v="110"/>
    <n v="45"/>
    <x v="35"/>
    <x v="2"/>
    <x v="44"/>
    <x v="45"/>
    <n v="1.08"/>
    <n v="-2"/>
    <x v="0"/>
    <n v="29.066666666666666"/>
    <x v="50"/>
    <n v="3556"/>
    <n v="765"/>
    <n v="1.2968967114404817E-2"/>
    <s v="Dec-12"/>
    <x v="6"/>
    <n v="2.3518518518518516"/>
  </r>
  <r>
    <x v="34"/>
    <n v="41"/>
    <x v="2"/>
    <x v="0"/>
    <x v="1"/>
    <x v="2"/>
    <x v="0"/>
    <x v="0"/>
    <x v="0"/>
    <x v="10"/>
    <x v="38"/>
    <x v="1"/>
    <n v="30"/>
    <n v="30"/>
    <n v="90"/>
    <n v="36"/>
    <x v="38"/>
    <x v="10"/>
    <x v="45"/>
    <x v="46"/>
    <n v="1.3666666666666667"/>
    <n v="-6"/>
    <x v="0"/>
    <n v="29.2"/>
    <x v="51"/>
    <n v="2424"/>
    <n v="468"/>
    <n v="1.827875095201828E-2"/>
    <s v="Dec-12"/>
    <x v="0"/>
    <n v="2.4634146341463414"/>
  </r>
  <r>
    <x v="37"/>
    <n v="54"/>
    <x v="2"/>
    <x v="0"/>
    <x v="3"/>
    <x v="6"/>
    <x v="0"/>
    <x v="1"/>
    <x v="11"/>
    <x v="36"/>
    <x v="33"/>
    <x v="3"/>
    <n v="30"/>
    <n v="50"/>
    <n v="90"/>
    <n v="26"/>
    <x v="33"/>
    <x v="36"/>
    <x v="46"/>
    <x v="47"/>
    <n v="1.8"/>
    <n v="3"/>
    <x v="0"/>
    <n v="48.94"/>
    <x v="52"/>
    <n v="7049"/>
    <n v="390"/>
    <n v="2.6566416040100248E-2"/>
    <s v="Dec-12"/>
    <x v="1"/>
    <n v="2.4629629629629628"/>
  </r>
  <r>
    <x v="26"/>
    <n v="31"/>
    <x v="2"/>
    <x v="1"/>
    <x v="0"/>
    <x v="18"/>
    <x v="1"/>
    <x v="2"/>
    <x v="4"/>
    <x v="22"/>
    <x v="14"/>
    <x v="12"/>
    <n v="30"/>
    <n v="50"/>
    <n v="90"/>
    <n v="19"/>
    <x v="14"/>
    <x v="22"/>
    <x v="30"/>
    <x v="48"/>
    <n v="1.0333333333333334"/>
    <n v="-23"/>
    <x v="0"/>
    <n v="49.46"/>
    <x v="53"/>
    <n v="2079"/>
    <n v="152"/>
    <n v="4.3831168831168832E-2"/>
    <s v="Dec-12"/>
    <x v="1"/>
    <n v="2.4838709677419355"/>
  </r>
  <r>
    <x v="29"/>
    <n v="34"/>
    <x v="2"/>
    <x v="1"/>
    <x v="1"/>
    <x v="8"/>
    <x v="1"/>
    <x v="3"/>
    <x v="5"/>
    <x v="5"/>
    <x v="39"/>
    <x v="10"/>
    <n v="40"/>
    <n v="50"/>
    <n v="100"/>
    <n v="20"/>
    <x v="39"/>
    <x v="5"/>
    <x v="29"/>
    <x v="49"/>
    <n v="0.85"/>
    <n v="-19"/>
    <x v="0"/>
    <n v="49.38"/>
    <x v="54"/>
    <n v="2635"/>
    <n v="180"/>
    <n v="4.0522875816993466E-2"/>
    <s v="Dec-12"/>
    <x v="2"/>
    <n v="2.5"/>
  </r>
  <r>
    <x v="28"/>
    <n v="33"/>
    <x v="2"/>
    <x v="1"/>
    <x v="1"/>
    <x v="8"/>
    <x v="1"/>
    <x v="3"/>
    <x v="5"/>
    <x v="2"/>
    <x v="40"/>
    <x v="6"/>
    <n v="30"/>
    <n v="50"/>
    <n v="90"/>
    <n v="21"/>
    <x v="40"/>
    <x v="2"/>
    <x v="29"/>
    <x v="50"/>
    <n v="1.1000000000000001"/>
    <n v="-22"/>
    <x v="0"/>
    <n v="49.44"/>
    <x v="55"/>
    <n v="2296"/>
    <n v="189"/>
    <n v="3.7940379403794036E-2"/>
    <s v="Dec-12"/>
    <x v="1"/>
    <n v="2.4848484848484849"/>
  </r>
  <r>
    <x v="10"/>
    <n v="48"/>
    <x v="2"/>
    <x v="1"/>
    <x v="2"/>
    <x v="6"/>
    <x v="1"/>
    <x v="3"/>
    <x v="7"/>
    <x v="2"/>
    <x v="0"/>
    <x v="9"/>
    <n v="40"/>
    <n v="30"/>
    <n v="100"/>
    <n v="46"/>
    <x v="0"/>
    <x v="2"/>
    <x v="47"/>
    <x v="51"/>
    <n v="1.2"/>
    <n v="-2"/>
    <x v="0"/>
    <n v="29.066666666666666"/>
    <x v="56"/>
    <n v="3416"/>
    <n v="690"/>
    <n v="1.5300546448087432E-2"/>
    <s v="Dec-12"/>
    <x v="7"/>
    <n v="2.5416666666666665"/>
  </r>
  <r>
    <x v="38"/>
    <n v="55"/>
    <x v="2"/>
    <x v="1"/>
    <x v="1"/>
    <x v="24"/>
    <x v="1"/>
    <x v="2"/>
    <x v="9"/>
    <x v="37"/>
    <x v="41"/>
    <x v="10"/>
    <n v="40"/>
    <n v="0"/>
    <n v="100"/>
    <n v="79"/>
    <x v="41"/>
    <x v="37"/>
    <x v="48"/>
    <x v="52"/>
    <n v="1.375"/>
    <n v="-3"/>
    <x v="0"/>
    <e v="#DIV/0!"/>
    <x v="57"/>
    <n v="-393"/>
    <n v="3871"/>
    <n v="-4.6736251752609438E-4"/>
    <s v="Dec-12"/>
    <x v="10"/>
    <n v="2.3818181818181818"/>
  </r>
  <r>
    <x v="39"/>
    <n v="49"/>
    <x v="2"/>
    <x v="1"/>
    <x v="1"/>
    <x v="25"/>
    <x v="1"/>
    <x v="2"/>
    <x v="8"/>
    <x v="0"/>
    <x v="15"/>
    <x v="17"/>
    <n v="30"/>
    <n v="10"/>
    <n v="90"/>
    <n v="74"/>
    <x v="15"/>
    <x v="0"/>
    <x v="49"/>
    <x v="53"/>
    <n v="1.6333333333333333"/>
    <n v="-15"/>
    <x v="0"/>
    <n v="10.5"/>
    <x v="58"/>
    <n v="-590"/>
    <n v="3256"/>
    <n v="-9.6302003081664099E-4"/>
    <s v="Dec-12"/>
    <x v="6"/>
    <n v="2.4081632653061225"/>
  </r>
  <r>
    <x v="8"/>
    <n v="39"/>
    <x v="2"/>
    <x v="1"/>
    <x v="3"/>
    <x v="10"/>
    <x v="1"/>
    <x v="3"/>
    <x v="7"/>
    <x v="12"/>
    <x v="23"/>
    <x v="7"/>
    <n v="40"/>
    <n v="20"/>
    <n v="100"/>
    <n v="48"/>
    <x v="23"/>
    <x v="12"/>
    <x v="10"/>
    <x v="54"/>
    <n v="0.97499999999999998"/>
    <n v="-19"/>
    <x v="0"/>
    <n v="19.95"/>
    <x v="59"/>
    <n v="88"/>
    <n v="672"/>
    <n v="8.1168831168831163E-4"/>
    <s v="Dec-12"/>
    <x v="6"/>
    <n v="2.2564102564102564"/>
  </r>
  <r>
    <x v="40"/>
    <n v="49"/>
    <x v="2"/>
    <x v="1"/>
    <x v="0"/>
    <x v="25"/>
    <x v="0"/>
    <x v="0"/>
    <x v="10"/>
    <x v="0"/>
    <x v="15"/>
    <x v="12"/>
    <n v="40"/>
    <n v="0"/>
    <n v="100"/>
    <n v="74"/>
    <x v="15"/>
    <x v="0"/>
    <x v="49"/>
    <x v="53"/>
    <n v="1.2250000000000001"/>
    <n v="-5"/>
    <x v="0"/>
    <e v="#DIV/0!"/>
    <x v="58"/>
    <n v="-590"/>
    <n v="3256"/>
    <n v="-9.6302003081664099E-4"/>
    <s v="Dec-12"/>
    <x v="10"/>
    <n v="2.4081632653061225"/>
  </r>
  <r>
    <x v="41"/>
    <n v="41"/>
    <x v="2"/>
    <x v="1"/>
    <x v="0"/>
    <x v="13"/>
    <x v="0"/>
    <x v="0"/>
    <x v="10"/>
    <x v="27"/>
    <x v="2"/>
    <x v="13"/>
    <n v="30"/>
    <n v="30"/>
    <n v="90"/>
    <n v="36"/>
    <x v="2"/>
    <x v="27"/>
    <x v="45"/>
    <x v="55"/>
    <n v="1.3666666666666667"/>
    <n v="0"/>
    <x v="0"/>
    <n v="29"/>
    <x v="11"/>
    <n v="3210"/>
    <n v="432"/>
    <n v="2.336448598130841E-2"/>
    <s v="Dec-12"/>
    <x v="0"/>
    <n v="2.6097560975609757"/>
  </r>
  <r>
    <x v="13"/>
    <n v="92"/>
    <x v="2"/>
    <x v="1"/>
    <x v="0"/>
    <x v="16"/>
    <x v="0"/>
    <x v="0"/>
    <x v="0"/>
    <x v="38"/>
    <x v="42"/>
    <x v="12"/>
    <n v="80"/>
    <n v="20"/>
    <n v="140"/>
    <n v="52"/>
    <x v="42"/>
    <x v="38"/>
    <x v="50"/>
    <x v="56"/>
    <n v="1.1499999999999999"/>
    <n v="-4"/>
    <x v="0"/>
    <n v="19.2"/>
    <x v="60"/>
    <n v="2560"/>
    <n v="1456"/>
    <n v="3.5714285714285713E-3"/>
    <s v="Dec-12"/>
    <x v="11"/>
    <n v="1.7391304347826086"/>
  </r>
  <r>
    <x v="42"/>
    <n v="68"/>
    <x v="2"/>
    <x v="1"/>
    <x v="2"/>
    <x v="26"/>
    <x v="0"/>
    <x v="0"/>
    <x v="0"/>
    <x v="22"/>
    <x v="43"/>
    <x v="5"/>
    <n v="50"/>
    <n v="20"/>
    <n v="110"/>
    <n v="58"/>
    <x v="43"/>
    <x v="22"/>
    <x v="4"/>
    <x v="57"/>
    <n v="1.36"/>
    <n v="7"/>
    <x v="0"/>
    <n v="18.649999999999999"/>
    <x v="61"/>
    <n v="4131"/>
    <n v="1450"/>
    <n v="7.058823529411765E-3"/>
    <s v="Dec-12"/>
    <x v="9"/>
    <n v="2.25"/>
  </r>
  <r>
    <x v="42"/>
    <n v="63"/>
    <x v="2"/>
    <x v="1"/>
    <x v="2"/>
    <x v="27"/>
    <x v="0"/>
    <x v="0"/>
    <x v="1"/>
    <x v="18"/>
    <x v="44"/>
    <x v="5"/>
    <n v="40"/>
    <n v="40"/>
    <n v="100"/>
    <n v="40"/>
    <x v="44"/>
    <x v="18"/>
    <x v="51"/>
    <x v="58"/>
    <n v="1.575"/>
    <n v="-4"/>
    <x v="0"/>
    <n v="39.1"/>
    <x v="62"/>
    <n v="5004"/>
    <n v="760"/>
    <n v="1.3631200302915562E-2"/>
    <s v="Dec-12"/>
    <x v="0"/>
    <n v="2.2063492063492065"/>
  </r>
  <r>
    <x v="9"/>
    <n v="92"/>
    <x v="2"/>
    <x v="1"/>
    <x v="3"/>
    <x v="16"/>
    <x v="0"/>
    <x v="0"/>
    <x v="1"/>
    <x v="39"/>
    <x v="42"/>
    <x v="8"/>
    <n v="80"/>
    <n v="20"/>
    <n v="140"/>
    <n v="51"/>
    <x v="42"/>
    <x v="39"/>
    <x v="12"/>
    <x v="59"/>
    <n v="1.1499999999999999"/>
    <n v="-3"/>
    <x v="0"/>
    <n v="19.149999999999999"/>
    <x v="63"/>
    <n v="2720"/>
    <n v="1428"/>
    <n v="3.7946428571428567E-3"/>
    <s v="Dec-12"/>
    <x v="11"/>
    <n v="1.7391304347826086"/>
  </r>
  <r>
    <x v="41"/>
    <n v="55"/>
    <x v="2"/>
    <x v="1"/>
    <x v="0"/>
    <x v="24"/>
    <x v="0"/>
    <x v="1"/>
    <x v="11"/>
    <x v="37"/>
    <x v="41"/>
    <x v="13"/>
    <n v="40"/>
    <n v="0"/>
    <n v="100"/>
    <n v="79"/>
    <x v="41"/>
    <x v="37"/>
    <x v="48"/>
    <x v="52"/>
    <n v="1.375"/>
    <n v="-3"/>
    <x v="0"/>
    <e v="#DIV/0!"/>
    <x v="57"/>
    <n v="-393"/>
    <n v="3871"/>
    <n v="-4.6736251752609438E-4"/>
    <s v="Dec-12"/>
    <x v="10"/>
    <n v="2.3818181818181818"/>
  </r>
  <r>
    <x v="43"/>
    <n v="51"/>
    <x v="3"/>
    <x v="0"/>
    <x v="0"/>
    <x v="0"/>
    <x v="0"/>
    <x v="0"/>
    <x v="0"/>
    <x v="11"/>
    <x v="45"/>
    <x v="0"/>
    <n v="30"/>
    <n v="30"/>
    <n v="90"/>
    <n v="76"/>
    <x v="45"/>
    <x v="11"/>
    <x v="52"/>
    <x v="60"/>
    <n v="1.7"/>
    <n v="-37"/>
    <x v="0"/>
    <n v="30.233333333333334"/>
    <x v="64"/>
    <n v="-910"/>
    <n v="3496"/>
    <n v="-1.1705685618729098E-3"/>
    <s v="Oct-13"/>
    <x v="0"/>
    <n v="2.5490196078431371"/>
  </r>
  <r>
    <x v="1"/>
    <n v="52"/>
    <x v="3"/>
    <x v="0"/>
    <x v="0"/>
    <x v="1"/>
    <x v="0"/>
    <x v="0"/>
    <x v="1"/>
    <x v="40"/>
    <x v="41"/>
    <x v="0"/>
    <n v="30"/>
    <n v="50"/>
    <n v="90"/>
    <n v="45"/>
    <x v="41"/>
    <x v="40"/>
    <x v="36"/>
    <x v="61"/>
    <n v="1.7333333333333334"/>
    <n v="-11"/>
    <x v="0"/>
    <n v="49.22"/>
    <x v="65"/>
    <n v="5109"/>
    <n v="765"/>
    <n v="1.7512348450830714E-2"/>
    <s v="Oct-13"/>
    <x v="1"/>
    <n v="2.5192307692307692"/>
  </r>
  <r>
    <x v="44"/>
    <n v="43"/>
    <x v="3"/>
    <x v="0"/>
    <x v="1"/>
    <x v="2"/>
    <x v="0"/>
    <x v="0"/>
    <x v="0"/>
    <x v="41"/>
    <x v="11"/>
    <x v="1"/>
    <n v="30"/>
    <n v="50"/>
    <n v="90"/>
    <n v="36"/>
    <x v="11"/>
    <x v="41"/>
    <x v="16"/>
    <x v="62"/>
    <n v="1.4333333333333333"/>
    <n v="-8"/>
    <x v="0"/>
    <n v="49.16"/>
    <x v="66"/>
    <n v="4788"/>
    <n v="468"/>
    <n v="2.8340080971659919E-2"/>
    <s v="Oct-13"/>
    <x v="1"/>
    <n v="2.6511627906976742"/>
  </r>
  <r>
    <x v="35"/>
    <n v="38"/>
    <x v="3"/>
    <x v="0"/>
    <x v="2"/>
    <x v="3"/>
    <x v="0"/>
    <x v="1"/>
    <x v="2"/>
    <x v="33"/>
    <x v="46"/>
    <x v="2"/>
    <n v="40"/>
    <n v="50"/>
    <n v="100"/>
    <n v="21"/>
    <x v="46"/>
    <x v="33"/>
    <x v="53"/>
    <x v="63"/>
    <n v="0.95"/>
    <n v="2"/>
    <x v="0"/>
    <n v="48.96"/>
    <x v="67"/>
    <n v="5200"/>
    <n v="210"/>
    <n v="5.2000000000000005E-2"/>
    <s v="Oct-13"/>
    <x v="2"/>
    <n v="2.6315789473684212"/>
  </r>
  <r>
    <x v="45"/>
    <n v="72"/>
    <x v="3"/>
    <x v="0"/>
    <x v="3"/>
    <x v="4"/>
    <x v="0"/>
    <x v="1"/>
    <x v="3"/>
    <x v="42"/>
    <x v="47"/>
    <x v="3"/>
    <n v="20"/>
    <n v="50"/>
    <n v="80"/>
    <n v="54"/>
    <x v="47"/>
    <x v="42"/>
    <x v="54"/>
    <x v="64"/>
    <n v="3.6"/>
    <n v="33"/>
    <x v="0"/>
    <n v="48.34"/>
    <x v="68"/>
    <n v="16102"/>
    <n v="1242"/>
    <n v="1.8601523980277902E-2"/>
    <s v="Oct-13"/>
    <x v="3"/>
    <n v="2.6944444444444446"/>
  </r>
  <r>
    <x v="46"/>
    <n v="0"/>
    <x v="3"/>
    <x v="1"/>
    <x v="0"/>
    <x v="5"/>
    <x v="1"/>
    <x v="2"/>
    <x v="4"/>
    <x v="43"/>
    <x v="48"/>
    <x v="4"/>
    <n v="0"/>
    <n v="60"/>
    <n v="60"/>
    <n v="12"/>
    <x v="48"/>
    <x v="43"/>
    <x v="55"/>
    <x v="5"/>
    <e v="#DIV/0!"/>
    <n v="-14"/>
    <x v="0"/>
    <n v="59.233333333333334"/>
    <x v="69"/>
    <n v="2116"/>
    <e v="#DIV/0!"/>
    <e v="#DIV/0!"/>
    <s v="Oct-13"/>
    <x v="4"/>
    <e v="#DIV/0!"/>
  </r>
  <r>
    <x v="31"/>
    <n v="47"/>
    <x v="3"/>
    <x v="1"/>
    <x v="2"/>
    <x v="6"/>
    <x v="1"/>
    <x v="2"/>
    <x v="4"/>
    <x v="5"/>
    <x v="15"/>
    <x v="5"/>
    <n v="30"/>
    <n v="50"/>
    <n v="90"/>
    <n v="43"/>
    <x v="15"/>
    <x v="5"/>
    <x v="10"/>
    <x v="65"/>
    <n v="1.5666666666666667"/>
    <n v="-19"/>
    <x v="0"/>
    <n v="49.38"/>
    <x v="70"/>
    <n v="3658"/>
    <n v="644.99999999999989"/>
    <n v="1.7514124293785311E-2"/>
    <s v="Oct-13"/>
    <x v="1"/>
    <n v="2.5106382978723403"/>
  </r>
  <r>
    <x v="47"/>
    <n v="27"/>
    <x v="3"/>
    <x v="1"/>
    <x v="1"/>
    <x v="7"/>
    <x v="1"/>
    <x v="3"/>
    <x v="5"/>
    <x v="5"/>
    <x v="49"/>
    <x v="6"/>
    <n v="30"/>
    <n v="60"/>
    <n v="90"/>
    <n v="18"/>
    <x v="49"/>
    <x v="5"/>
    <x v="56"/>
    <x v="66"/>
    <n v="0.9"/>
    <n v="-29"/>
    <x v="0"/>
    <n v="59.483333333333334"/>
    <x v="71"/>
    <n v="2170"/>
    <n v="125.99999999999999"/>
    <n v="6.3265306122448989E-2"/>
    <s v="Oct-13"/>
    <x v="3"/>
    <n v="2.5925925925925926"/>
  </r>
  <r>
    <x v="8"/>
    <n v="31"/>
    <x v="3"/>
    <x v="1"/>
    <x v="3"/>
    <x v="8"/>
    <x v="1"/>
    <x v="3"/>
    <x v="5"/>
    <x v="44"/>
    <x v="50"/>
    <x v="7"/>
    <n v="30"/>
    <n v="50"/>
    <n v="90"/>
    <n v="30"/>
    <x v="50"/>
    <x v="44"/>
    <x v="9"/>
    <x v="67"/>
    <n v="1.0333333333333334"/>
    <n v="-40"/>
    <x v="0"/>
    <n v="49.8"/>
    <x v="72"/>
    <n v="720"/>
    <n v="270"/>
    <n v="1.54320987654321E-2"/>
    <s v="Oct-13"/>
    <x v="1"/>
    <n v="2.3225806451612905"/>
  </r>
  <r>
    <x v="9"/>
    <n v="40"/>
    <x v="3"/>
    <x v="1"/>
    <x v="3"/>
    <x v="9"/>
    <x v="1"/>
    <x v="2"/>
    <x v="4"/>
    <x v="45"/>
    <x v="28"/>
    <x v="8"/>
    <n v="20"/>
    <n v="60"/>
    <n v="80"/>
    <n v="22"/>
    <x v="28"/>
    <x v="45"/>
    <x v="57"/>
    <x v="68"/>
    <n v="2"/>
    <n v="-5"/>
    <x v="0"/>
    <n v="59.083333333333336"/>
    <x v="73"/>
    <n v="5830"/>
    <n v="242"/>
    <n v="4.716981132075472E-2"/>
    <s v="Oct-13"/>
    <x v="5"/>
    <n v="2.65"/>
  </r>
  <r>
    <x v="10"/>
    <n v="49"/>
    <x v="3"/>
    <x v="1"/>
    <x v="2"/>
    <x v="6"/>
    <x v="1"/>
    <x v="3"/>
    <x v="6"/>
    <x v="31"/>
    <x v="51"/>
    <x v="9"/>
    <n v="30"/>
    <n v="60"/>
    <n v="90"/>
    <n v="38"/>
    <x v="51"/>
    <x v="31"/>
    <x v="2"/>
    <x v="69"/>
    <n v="1.6333333333333333"/>
    <n v="-11"/>
    <x v="0"/>
    <n v="59.18333333333333"/>
    <x v="74"/>
    <n v="6272"/>
    <n v="570"/>
    <n v="2.5520833333333333E-2"/>
    <s v="Oct-13"/>
    <x v="3"/>
    <n v="2.6122448979591835"/>
  </r>
  <r>
    <x v="10"/>
    <n v="45"/>
    <x v="3"/>
    <x v="1"/>
    <x v="2"/>
    <x v="10"/>
    <x v="1"/>
    <x v="3"/>
    <x v="7"/>
    <x v="18"/>
    <x v="26"/>
    <x v="9"/>
    <n v="30"/>
    <n v="50"/>
    <n v="90"/>
    <n v="45"/>
    <x v="26"/>
    <x v="18"/>
    <x v="58"/>
    <x v="70"/>
    <n v="1.5"/>
    <n v="-14"/>
    <x v="0"/>
    <n v="49.28"/>
    <x v="75"/>
    <n v="4356"/>
    <n v="630"/>
    <n v="2.1251475796930343E-2"/>
    <s v="Oct-13"/>
    <x v="1"/>
    <n v="2.6888888888888891"/>
  </r>
  <r>
    <x v="10"/>
    <n v="45"/>
    <x v="3"/>
    <x v="1"/>
    <x v="2"/>
    <x v="11"/>
    <x v="1"/>
    <x v="2"/>
    <x v="8"/>
    <x v="46"/>
    <x v="52"/>
    <x v="9"/>
    <n v="30"/>
    <n v="30"/>
    <n v="90"/>
    <n v="71"/>
    <x v="52"/>
    <x v="46"/>
    <x v="4"/>
    <x v="71"/>
    <n v="1.5"/>
    <n v="-40"/>
    <x v="0"/>
    <n v="30.333333333333332"/>
    <x v="76"/>
    <n v="-1160"/>
    <n v="2911"/>
    <n v="-2.1026072329688814E-3"/>
    <s v="Oct-13"/>
    <x v="0"/>
    <n v="2.5777777777777779"/>
  </r>
  <r>
    <x v="27"/>
    <n v="60"/>
    <x v="3"/>
    <x v="1"/>
    <x v="1"/>
    <x v="12"/>
    <x v="1"/>
    <x v="2"/>
    <x v="9"/>
    <x v="12"/>
    <x v="43"/>
    <x v="10"/>
    <n v="30"/>
    <n v="10"/>
    <n v="90"/>
    <n v="83"/>
    <x v="43"/>
    <x v="12"/>
    <x v="59"/>
    <x v="13"/>
    <n v="2"/>
    <n v="-9"/>
    <x v="0"/>
    <n v="9.9"/>
    <x v="13"/>
    <n v="153"/>
    <n v="4482"/>
    <n v="1.2103606874848704E-4"/>
    <s v="Oct-13"/>
    <x v="6"/>
    <n v="2.5499999999999998"/>
  </r>
  <r>
    <x v="48"/>
    <n v="34"/>
    <x v="3"/>
    <x v="1"/>
    <x v="3"/>
    <x v="13"/>
    <x v="1"/>
    <x v="3"/>
    <x v="7"/>
    <x v="37"/>
    <x v="40"/>
    <x v="7"/>
    <n v="40"/>
    <n v="30"/>
    <n v="100"/>
    <n v="45"/>
    <x v="40"/>
    <x v="37"/>
    <x v="58"/>
    <x v="72"/>
    <n v="0.85"/>
    <n v="-33"/>
    <x v="0"/>
    <n v="30.1"/>
    <x v="77"/>
    <n v="-246"/>
    <n v="540"/>
    <n v="-3.0487804878048782E-3"/>
    <s v="Oct-13"/>
    <x v="7"/>
    <n v="2.4117647058823528"/>
  </r>
  <r>
    <x v="17"/>
    <n v="54"/>
    <x v="3"/>
    <x v="1"/>
    <x v="3"/>
    <x v="14"/>
    <x v="1"/>
    <x v="2"/>
    <x v="9"/>
    <x v="47"/>
    <x v="51"/>
    <x v="11"/>
    <n v="40"/>
    <n v="40"/>
    <n v="100"/>
    <n v="54"/>
    <x v="51"/>
    <x v="47"/>
    <x v="60"/>
    <x v="73"/>
    <n v="1.35"/>
    <n v="-22"/>
    <x v="0"/>
    <n v="39.549999999999997"/>
    <x v="78"/>
    <n v="2304"/>
    <n v="1080"/>
    <n v="7.0312500000000002E-3"/>
    <s v="Oct-13"/>
    <x v="0"/>
    <n v="2.3703703703703702"/>
  </r>
  <r>
    <x v="13"/>
    <n v="45"/>
    <x v="3"/>
    <x v="1"/>
    <x v="0"/>
    <x v="11"/>
    <x v="0"/>
    <x v="0"/>
    <x v="10"/>
    <x v="48"/>
    <x v="52"/>
    <x v="12"/>
    <n v="20"/>
    <n v="30"/>
    <n v="80"/>
    <n v="70"/>
    <x v="52"/>
    <x v="48"/>
    <x v="61"/>
    <x v="74"/>
    <n v="2.25"/>
    <n v="-39"/>
    <x v="0"/>
    <n v="30.3"/>
    <x v="79"/>
    <n v="-1044"/>
    <n v="2870"/>
    <n v="-1.8923465096719932E-3"/>
    <s v="Oct-13"/>
    <x v="2"/>
    <n v="2.5777777777777779"/>
  </r>
  <r>
    <x v="14"/>
    <n v="48"/>
    <x v="3"/>
    <x v="1"/>
    <x v="0"/>
    <x v="2"/>
    <x v="0"/>
    <x v="0"/>
    <x v="0"/>
    <x v="49"/>
    <x v="53"/>
    <x v="13"/>
    <n v="30"/>
    <n v="60"/>
    <n v="90"/>
    <n v="25"/>
    <x v="53"/>
    <x v="49"/>
    <x v="3"/>
    <x v="75"/>
    <n v="1.6"/>
    <n v="7"/>
    <x v="0"/>
    <n v="58.883333333333333"/>
    <x v="80"/>
    <n v="8442"/>
    <n v="325"/>
    <n v="4.0903540903540904E-2"/>
    <s v="Oct-13"/>
    <x v="3"/>
    <n v="2.625"/>
  </r>
  <r>
    <x v="15"/>
    <n v="49"/>
    <x v="3"/>
    <x v="1"/>
    <x v="3"/>
    <x v="6"/>
    <x v="0"/>
    <x v="0"/>
    <x v="10"/>
    <x v="31"/>
    <x v="51"/>
    <x v="8"/>
    <n v="30"/>
    <n v="60"/>
    <n v="90"/>
    <n v="38"/>
    <x v="51"/>
    <x v="31"/>
    <x v="2"/>
    <x v="69"/>
    <n v="1.6333333333333333"/>
    <n v="-11"/>
    <x v="0"/>
    <n v="59.18333333333333"/>
    <x v="74"/>
    <n v="6272"/>
    <n v="570"/>
    <n v="2.5520833333333333E-2"/>
    <s v="Oct-13"/>
    <x v="3"/>
    <n v="2.6122448979591835"/>
  </r>
  <r>
    <x v="30"/>
    <n v="48"/>
    <x v="3"/>
    <x v="1"/>
    <x v="3"/>
    <x v="2"/>
    <x v="0"/>
    <x v="0"/>
    <x v="0"/>
    <x v="50"/>
    <x v="35"/>
    <x v="14"/>
    <n v="30"/>
    <n v="60"/>
    <n v="90"/>
    <n v="24"/>
    <x v="35"/>
    <x v="50"/>
    <x v="28"/>
    <x v="76"/>
    <n v="1.6"/>
    <n v="10"/>
    <x v="0"/>
    <n v="58.833333333333336"/>
    <x v="81"/>
    <n v="8890"/>
    <n v="312"/>
    <n v="4.2398546335554212E-2"/>
    <s v="Oct-13"/>
    <x v="3"/>
    <n v="2.6458333333333335"/>
  </r>
  <r>
    <x v="42"/>
    <n v="40"/>
    <x v="3"/>
    <x v="1"/>
    <x v="2"/>
    <x v="9"/>
    <x v="0"/>
    <x v="1"/>
    <x v="2"/>
    <x v="36"/>
    <x v="28"/>
    <x v="5"/>
    <n v="40"/>
    <n v="50"/>
    <n v="100"/>
    <n v="23"/>
    <x v="28"/>
    <x v="36"/>
    <x v="62"/>
    <x v="77"/>
    <n v="1"/>
    <n v="3"/>
    <x v="0"/>
    <n v="48.94"/>
    <x v="82"/>
    <n v="5618"/>
    <n v="253"/>
    <n v="4.5454545454545456E-2"/>
    <s v="Oct-13"/>
    <x v="2"/>
    <n v="2.65"/>
  </r>
  <r>
    <x v="12"/>
    <n v="82"/>
    <x v="3"/>
    <x v="1"/>
    <x v="3"/>
    <x v="15"/>
    <x v="0"/>
    <x v="1"/>
    <x v="11"/>
    <x v="51"/>
    <x v="18"/>
    <x v="11"/>
    <n v="30"/>
    <n v="50"/>
    <n v="90"/>
    <n v="59"/>
    <x v="18"/>
    <x v="51"/>
    <x v="49"/>
    <x v="78"/>
    <n v="2.7333333333333334"/>
    <n v="45"/>
    <x v="0"/>
    <n v="48.1"/>
    <x v="83"/>
    <n v="20710"/>
    <n v="1593"/>
    <n v="1.6139993204213388E-2"/>
    <s v="Oct-13"/>
    <x v="1"/>
    <n v="2.6585365853658538"/>
  </r>
  <r>
    <x v="49"/>
    <n v="91"/>
    <x v="3"/>
    <x v="1"/>
    <x v="3"/>
    <x v="16"/>
    <x v="0"/>
    <x v="1"/>
    <x v="3"/>
    <x v="52"/>
    <x v="54"/>
    <x v="11"/>
    <n v="40"/>
    <n v="50"/>
    <n v="100"/>
    <n v="51"/>
    <x v="54"/>
    <x v="52"/>
    <x v="63"/>
    <x v="79"/>
    <n v="2.2749999999999999"/>
    <n v="63"/>
    <x v="0"/>
    <n v="47.74"/>
    <x v="84"/>
    <n v="26216"/>
    <n v="1428"/>
    <n v="1.7395320197044335E-2"/>
    <s v="Oct-13"/>
    <x v="2"/>
    <n v="2.5494505494505493"/>
  </r>
  <r>
    <x v="22"/>
    <n v="40"/>
    <x v="4"/>
    <x v="0"/>
    <x v="1"/>
    <x v="2"/>
    <x v="1"/>
    <x v="3"/>
    <x v="5"/>
    <x v="40"/>
    <x v="55"/>
    <x v="1"/>
    <n v="40"/>
    <n v="40"/>
    <n v="100"/>
    <n v="26"/>
    <x v="55"/>
    <x v="40"/>
    <x v="3"/>
    <x v="7"/>
    <n v="1"/>
    <n v="-1"/>
    <x v="0"/>
    <n v="39.024999999999999"/>
    <x v="85"/>
    <n v="3822"/>
    <n v="338"/>
    <n v="3.0612244897959183E-2"/>
    <s v="Nov-13"/>
    <x v="0"/>
    <n v="2.4500000000000002"/>
  </r>
  <r>
    <x v="50"/>
    <n v="50"/>
    <x v="4"/>
    <x v="0"/>
    <x v="1"/>
    <x v="10"/>
    <x v="1"/>
    <x v="2"/>
    <x v="4"/>
    <x v="53"/>
    <x v="41"/>
    <x v="1"/>
    <n v="30"/>
    <n v="40"/>
    <n v="90"/>
    <n v="25"/>
    <x v="41"/>
    <x v="53"/>
    <x v="64"/>
    <x v="80"/>
    <n v="1.6666666666666667"/>
    <n v="31"/>
    <x v="0"/>
    <n v="38.225000000000001"/>
    <x v="86"/>
    <n v="9301"/>
    <n v="350"/>
    <n v="3.8713195201744821E-2"/>
    <s v="Nov-13"/>
    <x v="2"/>
    <n v="2.62"/>
  </r>
  <r>
    <x v="23"/>
    <n v="40"/>
    <x v="4"/>
    <x v="0"/>
    <x v="0"/>
    <x v="2"/>
    <x v="1"/>
    <x v="3"/>
    <x v="7"/>
    <x v="54"/>
    <x v="55"/>
    <x v="0"/>
    <n v="30"/>
    <n v="40"/>
    <n v="90"/>
    <n v="25"/>
    <x v="55"/>
    <x v="54"/>
    <x v="31"/>
    <x v="81"/>
    <n v="1.3333333333333333"/>
    <n v="0"/>
    <x v="0"/>
    <n v="39"/>
    <x v="87"/>
    <n v="3920"/>
    <n v="325"/>
    <n v="3.1397174254317116E-2"/>
    <s v="Nov-13"/>
    <x v="2"/>
    <n v="2.4500000000000002"/>
  </r>
  <r>
    <x v="25"/>
    <n v="52"/>
    <x v="4"/>
    <x v="0"/>
    <x v="2"/>
    <x v="17"/>
    <x v="1"/>
    <x v="2"/>
    <x v="8"/>
    <x v="55"/>
    <x v="51"/>
    <x v="15"/>
    <n v="50"/>
    <n v="0"/>
    <n v="110"/>
    <n v="76"/>
    <x v="51"/>
    <x v="55"/>
    <x v="65"/>
    <x v="82"/>
    <n v="1.04"/>
    <n v="-12"/>
    <x v="0"/>
    <e v="#DIV/0!"/>
    <x v="88"/>
    <n v="-1536"/>
    <n v="3572.0000000000005"/>
    <n v="-1.9946808510638296E-3"/>
    <s v="Nov-13"/>
    <x v="8"/>
    <n v="2.4615384615384617"/>
  </r>
  <r>
    <x v="35"/>
    <n v="75"/>
    <x v="4"/>
    <x v="0"/>
    <x v="2"/>
    <x v="4"/>
    <x v="0"/>
    <x v="0"/>
    <x v="1"/>
    <x v="56"/>
    <x v="56"/>
    <x v="2"/>
    <n v="50"/>
    <n v="30"/>
    <n v="110"/>
    <n v="45"/>
    <x v="56"/>
    <x v="56"/>
    <x v="60"/>
    <x v="83"/>
    <n v="1.5"/>
    <n v="35"/>
    <x v="0"/>
    <n v="27.833333333333332"/>
    <x v="89"/>
    <n v="11375"/>
    <n v="1035"/>
    <n v="1.6149068322981366E-2"/>
    <s v="Nov-13"/>
    <x v="6"/>
    <n v="2.3333333333333335"/>
  </r>
  <r>
    <x v="51"/>
    <n v="46"/>
    <x v="4"/>
    <x v="0"/>
    <x v="1"/>
    <x v="10"/>
    <x v="0"/>
    <x v="0"/>
    <x v="0"/>
    <x v="43"/>
    <x v="26"/>
    <x v="1"/>
    <n v="40"/>
    <n v="30"/>
    <n v="100"/>
    <n v="37"/>
    <x v="26"/>
    <x v="43"/>
    <x v="21"/>
    <x v="84"/>
    <n v="1.1499999999999999"/>
    <n v="16"/>
    <x v="0"/>
    <n v="28.466666666666665"/>
    <x v="90"/>
    <n v="5566"/>
    <n v="518"/>
    <n v="2.7154663518299881E-2"/>
    <s v="Nov-13"/>
    <x v="7"/>
    <n v="2.6304347826086958"/>
  </r>
  <r>
    <x v="23"/>
    <n v="55"/>
    <x v="4"/>
    <x v="0"/>
    <x v="0"/>
    <x v="14"/>
    <x v="0"/>
    <x v="1"/>
    <x v="2"/>
    <x v="57"/>
    <x v="57"/>
    <x v="0"/>
    <n v="40"/>
    <n v="20"/>
    <n v="100"/>
    <n v="54"/>
    <x v="57"/>
    <x v="57"/>
    <x v="60"/>
    <x v="85"/>
    <n v="1.375"/>
    <n v="2"/>
    <x v="0"/>
    <n v="18.899999999999999"/>
    <x v="91"/>
    <n v="2904"/>
    <n v="1080"/>
    <n v="8.3333333333333332E-3"/>
    <s v="Nov-13"/>
    <x v="6"/>
    <n v="2.4"/>
  </r>
  <r>
    <x v="52"/>
    <n v="50"/>
    <x v="4"/>
    <x v="0"/>
    <x v="0"/>
    <x v="10"/>
    <x v="0"/>
    <x v="1"/>
    <x v="2"/>
    <x v="53"/>
    <x v="41"/>
    <x v="16"/>
    <n v="40"/>
    <n v="40"/>
    <n v="100"/>
    <n v="25"/>
    <x v="41"/>
    <x v="53"/>
    <x v="64"/>
    <x v="80"/>
    <n v="1.25"/>
    <n v="31"/>
    <x v="0"/>
    <n v="38.225000000000001"/>
    <x v="86"/>
    <n v="9301"/>
    <n v="350"/>
    <n v="3.8713195201744821E-2"/>
    <s v="Nov-13"/>
    <x v="0"/>
    <n v="2.62"/>
  </r>
  <r>
    <x v="23"/>
    <n v="57"/>
    <x v="4"/>
    <x v="0"/>
    <x v="0"/>
    <x v="1"/>
    <x v="0"/>
    <x v="1"/>
    <x v="11"/>
    <x v="58"/>
    <x v="33"/>
    <x v="0"/>
    <n v="40"/>
    <n v="30"/>
    <n v="100"/>
    <n v="39"/>
    <x v="33"/>
    <x v="58"/>
    <x v="6"/>
    <x v="86"/>
    <n v="1.425"/>
    <n v="13"/>
    <x v="0"/>
    <n v="28.566666666666666"/>
    <x v="92"/>
    <n v="5719"/>
    <n v="663"/>
    <n v="1.9018133569217159E-2"/>
    <s v="Nov-13"/>
    <x v="7"/>
    <n v="2.3333333333333335"/>
  </r>
  <r>
    <x v="53"/>
    <n v="36"/>
    <x v="4"/>
    <x v="0"/>
    <x v="2"/>
    <x v="3"/>
    <x v="0"/>
    <x v="1"/>
    <x v="2"/>
    <x v="43"/>
    <x v="3"/>
    <x v="15"/>
    <n v="30"/>
    <n v="40"/>
    <n v="90"/>
    <n v="21"/>
    <x v="3"/>
    <x v="43"/>
    <x v="53"/>
    <x v="87"/>
    <n v="1.2"/>
    <n v="6"/>
    <x v="0"/>
    <n v="38.85"/>
    <x v="93"/>
    <n v="4324"/>
    <n v="210.00000000000003"/>
    <n v="4.8936170212765952E-2"/>
    <s v="Nov-13"/>
    <x v="2"/>
    <n v="2.6111111111111112"/>
  </r>
  <r>
    <x v="54"/>
    <n v="33"/>
    <x v="4"/>
    <x v="1"/>
    <x v="0"/>
    <x v="8"/>
    <x v="1"/>
    <x v="2"/>
    <x v="4"/>
    <x v="54"/>
    <x v="58"/>
    <x v="12"/>
    <n v="40"/>
    <n v="50"/>
    <n v="100"/>
    <n v="21"/>
    <x v="58"/>
    <x v="54"/>
    <x v="66"/>
    <x v="88"/>
    <n v="0.82499999999999996"/>
    <n v="-10"/>
    <x v="0"/>
    <n v="49.2"/>
    <x v="94"/>
    <n v="3440"/>
    <n v="189"/>
    <n v="5.1679586563307497E-2"/>
    <s v="Nov-13"/>
    <x v="2"/>
    <n v="2.606060606060606"/>
  </r>
  <r>
    <x v="27"/>
    <n v="31"/>
    <x v="4"/>
    <x v="1"/>
    <x v="1"/>
    <x v="18"/>
    <x v="1"/>
    <x v="3"/>
    <x v="5"/>
    <x v="41"/>
    <x v="59"/>
    <x v="10"/>
    <n v="30"/>
    <n v="50"/>
    <n v="90"/>
    <n v="19"/>
    <x v="59"/>
    <x v="41"/>
    <x v="67"/>
    <x v="89"/>
    <n v="1.0333333333333334"/>
    <n v="-8"/>
    <x v="0"/>
    <n v="49.16"/>
    <x v="95"/>
    <n v="3486"/>
    <n v="152"/>
    <n v="6.3253012048192767E-2"/>
    <s v="Nov-13"/>
    <x v="1"/>
    <n v="2.6774193548387095"/>
  </r>
  <r>
    <x v="28"/>
    <n v="36"/>
    <x v="4"/>
    <x v="1"/>
    <x v="1"/>
    <x v="3"/>
    <x v="1"/>
    <x v="3"/>
    <x v="5"/>
    <x v="16"/>
    <x v="3"/>
    <x v="6"/>
    <n v="40"/>
    <n v="40"/>
    <n v="100"/>
    <n v="22"/>
    <x v="3"/>
    <x v="16"/>
    <x v="68"/>
    <x v="90"/>
    <n v="0.9"/>
    <n v="5"/>
    <x v="0"/>
    <n v="38.875"/>
    <x v="96"/>
    <n v="4230"/>
    <n v="220"/>
    <n v="4.7872340425531915E-2"/>
    <s v="Nov-13"/>
    <x v="0"/>
    <n v="2.6111111111111112"/>
  </r>
  <r>
    <x v="55"/>
    <n v="49"/>
    <x v="4"/>
    <x v="1"/>
    <x v="1"/>
    <x v="6"/>
    <x v="1"/>
    <x v="2"/>
    <x v="4"/>
    <x v="35"/>
    <x v="51"/>
    <x v="10"/>
    <n v="30"/>
    <n v="30"/>
    <n v="90"/>
    <n v="37"/>
    <x v="51"/>
    <x v="35"/>
    <x v="69"/>
    <x v="91"/>
    <n v="1.6333333333333333"/>
    <n v="20"/>
    <x v="0"/>
    <n v="28.333333333333332"/>
    <x v="97"/>
    <n v="6400"/>
    <n v="555"/>
    <n v="2.6041666666666668E-2"/>
    <s v="Nov-13"/>
    <x v="0"/>
    <n v="2.6122448979591835"/>
  </r>
  <r>
    <x v="14"/>
    <n v="54"/>
    <x v="4"/>
    <x v="1"/>
    <x v="0"/>
    <x v="14"/>
    <x v="1"/>
    <x v="3"/>
    <x v="6"/>
    <x v="6"/>
    <x v="60"/>
    <x v="13"/>
    <n v="50"/>
    <n v="20"/>
    <n v="110"/>
    <n v="53"/>
    <x v="60"/>
    <x v="6"/>
    <x v="13"/>
    <x v="92"/>
    <n v="1.08"/>
    <n v="1"/>
    <x v="0"/>
    <n v="18.95"/>
    <x v="98"/>
    <n v="2709"/>
    <n v="1060"/>
    <n v="8.1395348837209301E-3"/>
    <s v="Nov-13"/>
    <x v="9"/>
    <n v="2.3888888888888888"/>
  </r>
  <r>
    <x v="10"/>
    <n v="46"/>
    <x v="4"/>
    <x v="1"/>
    <x v="2"/>
    <x v="10"/>
    <x v="1"/>
    <x v="3"/>
    <x v="6"/>
    <x v="16"/>
    <x v="10"/>
    <x v="9"/>
    <n v="40"/>
    <n v="40"/>
    <n v="100"/>
    <n v="37"/>
    <x v="10"/>
    <x v="16"/>
    <x v="21"/>
    <x v="93"/>
    <n v="1.1499999999999999"/>
    <n v="5"/>
    <x v="0"/>
    <n v="38.875"/>
    <x v="99"/>
    <n v="5400"/>
    <n v="518"/>
    <n v="2.6785714285714288E-2"/>
    <s v="Nov-13"/>
    <x v="0"/>
    <n v="2.6086956521739131"/>
  </r>
  <r>
    <x v="10"/>
    <n v="43"/>
    <x v="4"/>
    <x v="1"/>
    <x v="2"/>
    <x v="10"/>
    <x v="1"/>
    <x v="3"/>
    <x v="7"/>
    <x v="27"/>
    <x v="52"/>
    <x v="9"/>
    <n v="30"/>
    <n v="30"/>
    <n v="90"/>
    <n v="46"/>
    <x v="52"/>
    <x v="27"/>
    <x v="32"/>
    <x v="33"/>
    <n v="1.4333333333333333"/>
    <n v="0"/>
    <x v="0"/>
    <n v="29"/>
    <x v="100"/>
    <n v="3480"/>
    <n v="644"/>
    <n v="1.8472906403940885E-2"/>
    <s v="Nov-13"/>
    <x v="0"/>
    <n v="2.6976744186046511"/>
  </r>
  <r>
    <x v="10"/>
    <n v="44"/>
    <x v="4"/>
    <x v="1"/>
    <x v="2"/>
    <x v="19"/>
    <x v="1"/>
    <x v="2"/>
    <x v="8"/>
    <x v="55"/>
    <x v="27"/>
    <x v="9"/>
    <n v="40"/>
    <n v="10"/>
    <n v="100"/>
    <n v="70"/>
    <x v="27"/>
    <x v="55"/>
    <x v="61"/>
    <x v="94"/>
    <n v="1.1000000000000001"/>
    <n v="-22"/>
    <x v="0"/>
    <n v="11.2"/>
    <x v="101"/>
    <n v="-1356"/>
    <n v="2800"/>
    <n v="-2.6548672566371681E-3"/>
    <s v="Nov-13"/>
    <x v="9"/>
    <n v="2.5681818181818183"/>
  </r>
  <r>
    <x v="11"/>
    <n v="53"/>
    <x v="4"/>
    <x v="1"/>
    <x v="1"/>
    <x v="20"/>
    <x v="1"/>
    <x v="2"/>
    <x v="8"/>
    <x v="59"/>
    <x v="61"/>
    <x v="10"/>
    <n v="40"/>
    <n v="30"/>
    <n v="100"/>
    <n v="39"/>
    <x v="61"/>
    <x v="59"/>
    <x v="45"/>
    <x v="95"/>
    <n v="1.325"/>
    <n v="43"/>
    <x v="0"/>
    <n v="27.566666666666666"/>
    <x v="102"/>
    <n v="10950"/>
    <n v="624"/>
    <n v="3.0416666666666668E-2"/>
    <s v="Nov-13"/>
    <x v="7"/>
    <n v="2.8301886792452828"/>
  </r>
  <r>
    <x v="32"/>
    <n v="54"/>
    <x v="4"/>
    <x v="1"/>
    <x v="3"/>
    <x v="14"/>
    <x v="1"/>
    <x v="2"/>
    <x v="8"/>
    <x v="60"/>
    <x v="60"/>
    <x v="14"/>
    <n v="50"/>
    <n v="20"/>
    <n v="110"/>
    <n v="54"/>
    <x v="60"/>
    <x v="60"/>
    <x v="60"/>
    <x v="96"/>
    <n v="1.08"/>
    <n v="-1"/>
    <x v="0"/>
    <n v="19.05"/>
    <x v="103"/>
    <n v="2451"/>
    <n v="1080"/>
    <n v="7.3643410852713177E-3"/>
    <s v="Nov-13"/>
    <x v="9"/>
    <n v="2.3888888888888888"/>
  </r>
  <r>
    <x v="28"/>
    <n v="54"/>
    <x v="4"/>
    <x v="1"/>
    <x v="1"/>
    <x v="14"/>
    <x v="0"/>
    <x v="0"/>
    <x v="10"/>
    <x v="60"/>
    <x v="60"/>
    <x v="6"/>
    <n v="50"/>
    <n v="20"/>
    <n v="110"/>
    <n v="54"/>
    <x v="60"/>
    <x v="60"/>
    <x v="60"/>
    <x v="96"/>
    <n v="1.08"/>
    <n v="-1"/>
    <x v="0"/>
    <n v="19.05"/>
    <x v="103"/>
    <n v="2451"/>
    <n v="1080"/>
    <n v="7.3643410852713177E-3"/>
    <s v="Nov-13"/>
    <x v="9"/>
    <n v="2.3888888888888888"/>
  </r>
  <r>
    <x v="9"/>
    <n v="46"/>
    <x v="4"/>
    <x v="1"/>
    <x v="3"/>
    <x v="10"/>
    <x v="0"/>
    <x v="0"/>
    <x v="10"/>
    <x v="16"/>
    <x v="10"/>
    <x v="8"/>
    <n v="40"/>
    <n v="30"/>
    <n v="100"/>
    <n v="37"/>
    <x v="10"/>
    <x v="16"/>
    <x v="21"/>
    <x v="93"/>
    <n v="1.1499999999999999"/>
    <n v="15"/>
    <x v="0"/>
    <n v="28.5"/>
    <x v="99"/>
    <n v="5400"/>
    <n v="518"/>
    <n v="2.6785714285714288E-2"/>
    <s v="Nov-13"/>
    <x v="7"/>
    <n v="2.6086956521739131"/>
  </r>
  <r>
    <x v="9"/>
    <n v="43"/>
    <x v="4"/>
    <x v="1"/>
    <x v="3"/>
    <x v="10"/>
    <x v="0"/>
    <x v="0"/>
    <x v="0"/>
    <x v="27"/>
    <x v="52"/>
    <x v="8"/>
    <n v="40"/>
    <n v="30"/>
    <n v="100"/>
    <n v="46"/>
    <x v="52"/>
    <x v="27"/>
    <x v="32"/>
    <x v="33"/>
    <n v="1.075"/>
    <n v="0"/>
    <x v="0"/>
    <n v="29"/>
    <x v="100"/>
    <n v="3480"/>
    <n v="644"/>
    <n v="1.8472906403940885E-2"/>
    <s v="Nov-13"/>
    <x v="7"/>
    <n v="2.6976744186046511"/>
  </r>
  <r>
    <x v="56"/>
    <n v="47"/>
    <x v="4"/>
    <x v="1"/>
    <x v="3"/>
    <x v="2"/>
    <x v="0"/>
    <x v="0"/>
    <x v="0"/>
    <x v="56"/>
    <x v="1"/>
    <x v="14"/>
    <n v="40"/>
    <n v="40"/>
    <n v="100"/>
    <n v="24"/>
    <x v="1"/>
    <x v="56"/>
    <x v="31"/>
    <x v="68"/>
    <n v="1.175"/>
    <n v="25"/>
    <x v="0"/>
    <n v="38.375"/>
    <x v="104"/>
    <n v="7995"/>
    <n v="312"/>
    <n v="4.065040650406504E-2"/>
    <s v="Nov-13"/>
    <x v="0"/>
    <n v="2.6170212765957448"/>
  </r>
  <r>
    <x v="31"/>
    <n v="36"/>
    <x v="4"/>
    <x v="1"/>
    <x v="2"/>
    <x v="3"/>
    <x v="0"/>
    <x v="1"/>
    <x v="3"/>
    <x v="31"/>
    <x v="62"/>
    <x v="5"/>
    <n v="30"/>
    <n v="40"/>
    <n v="90"/>
    <n v="21"/>
    <x v="62"/>
    <x v="31"/>
    <x v="70"/>
    <x v="97"/>
    <n v="1.2"/>
    <n v="9"/>
    <x v="0"/>
    <n v="38.774999999999999"/>
    <x v="105"/>
    <n v="4704"/>
    <n v="209.99999999999997"/>
    <n v="5.1041666666666673E-2"/>
    <s v="Nov-13"/>
    <x v="2"/>
    <n v="2.6666666666666665"/>
  </r>
  <r>
    <x v="30"/>
    <n v="61"/>
    <x v="4"/>
    <x v="1"/>
    <x v="3"/>
    <x v="21"/>
    <x v="0"/>
    <x v="1"/>
    <x v="3"/>
    <x v="12"/>
    <x v="63"/>
    <x v="14"/>
    <n v="40"/>
    <n v="0"/>
    <n v="100"/>
    <n v="85"/>
    <x v="63"/>
    <x v="12"/>
    <x v="71"/>
    <x v="40"/>
    <n v="1.5249999999999999"/>
    <n v="1"/>
    <x v="0"/>
    <e v="#DIV/0!"/>
    <x v="43"/>
    <n v="157"/>
    <n v="4675"/>
    <n v="1.1580775911986103E-4"/>
    <s v="Nov-13"/>
    <x v="10"/>
    <n v="2.5737704918032787"/>
  </r>
  <r>
    <x v="57"/>
    <n v="43"/>
    <x v="5"/>
    <x v="0"/>
    <x v="1"/>
    <x v="10"/>
    <x v="1"/>
    <x v="3"/>
    <x v="5"/>
    <x v="16"/>
    <x v="28"/>
    <x v="1"/>
    <n v="50"/>
    <n v="40"/>
    <n v="110"/>
    <n v="26"/>
    <x v="28"/>
    <x v="16"/>
    <x v="8"/>
    <x v="93"/>
    <n v="0.86"/>
    <n v="5"/>
    <x v="0"/>
    <n v="38.875"/>
    <x v="1"/>
    <n v="4770"/>
    <n v="364"/>
    <n v="3.0323450134770891E-2"/>
    <s v="Dec-13"/>
    <x v="7"/>
    <n v="2.4651162790697674"/>
  </r>
  <r>
    <x v="44"/>
    <n v="54"/>
    <x v="5"/>
    <x v="0"/>
    <x v="1"/>
    <x v="6"/>
    <x v="1"/>
    <x v="2"/>
    <x v="4"/>
    <x v="61"/>
    <x v="64"/>
    <x v="1"/>
    <n v="40"/>
    <n v="40"/>
    <n v="100"/>
    <n v="27"/>
    <x v="64"/>
    <x v="61"/>
    <x v="22"/>
    <x v="98"/>
    <n v="1.35"/>
    <n v="37"/>
    <x v="0"/>
    <n v="38.075000000000003"/>
    <x v="106"/>
    <n v="10934"/>
    <n v="404.99999999999994"/>
    <n v="3.615023474178404E-2"/>
    <s v="Dec-13"/>
    <x v="0"/>
    <n v="2.6296296296296298"/>
  </r>
  <r>
    <x v="23"/>
    <n v="47"/>
    <x v="5"/>
    <x v="0"/>
    <x v="0"/>
    <x v="22"/>
    <x v="0"/>
    <x v="0"/>
    <x v="0"/>
    <x v="48"/>
    <x v="16"/>
    <x v="0"/>
    <n v="40"/>
    <n v="0"/>
    <n v="100"/>
    <n v="71"/>
    <x v="16"/>
    <x v="48"/>
    <x v="23"/>
    <x v="99"/>
    <n v="1.175"/>
    <n v="-9"/>
    <x v="0"/>
    <e v="#DIV/0!"/>
    <x v="107"/>
    <n v="-1071"/>
    <n v="2982"/>
    <n v="-1.8007202881152461E-3"/>
    <s v="Dec-13"/>
    <x v="10"/>
    <n v="2.5319148936170213"/>
  </r>
  <r>
    <x v="1"/>
    <n v="54"/>
    <x v="5"/>
    <x v="0"/>
    <x v="0"/>
    <x v="1"/>
    <x v="0"/>
    <x v="0"/>
    <x v="1"/>
    <x v="58"/>
    <x v="65"/>
    <x v="0"/>
    <n v="50"/>
    <n v="30"/>
    <n v="110"/>
    <n v="44"/>
    <x v="65"/>
    <x v="58"/>
    <x v="36"/>
    <x v="86"/>
    <n v="1.08"/>
    <n v="13"/>
    <x v="0"/>
    <n v="28.566666666666666"/>
    <x v="108"/>
    <n v="5805"/>
    <n v="748"/>
    <n v="1.8736383442265796E-2"/>
    <s v="Dec-13"/>
    <x v="6"/>
    <n v="2.5"/>
  </r>
  <r>
    <x v="58"/>
    <n v="65"/>
    <x v="5"/>
    <x v="0"/>
    <x v="2"/>
    <x v="23"/>
    <x v="0"/>
    <x v="0"/>
    <x v="0"/>
    <x v="28"/>
    <x v="66"/>
    <x v="2"/>
    <n v="40"/>
    <n v="20"/>
    <n v="100"/>
    <n v="57"/>
    <x v="66"/>
    <x v="28"/>
    <x v="72"/>
    <x v="100"/>
    <n v="1.625"/>
    <n v="14"/>
    <x v="0"/>
    <n v="18.3"/>
    <x v="109"/>
    <n v="5270"/>
    <n v="1368"/>
    <n v="9.1397849462365593E-3"/>
    <s v="Dec-13"/>
    <x v="6"/>
    <n v="2.3846153846153846"/>
  </r>
  <r>
    <x v="59"/>
    <n v="80"/>
    <x v="5"/>
    <x v="0"/>
    <x v="2"/>
    <x v="23"/>
    <x v="0"/>
    <x v="0"/>
    <x v="1"/>
    <x v="62"/>
    <x v="67"/>
    <x v="2"/>
    <n v="60"/>
    <n v="30"/>
    <n v="120"/>
    <n v="46"/>
    <x v="67"/>
    <x v="62"/>
    <x v="35"/>
    <x v="101"/>
    <n v="1.3333333333333333"/>
    <n v="44"/>
    <x v="0"/>
    <n v="27.533333333333331"/>
    <x v="110"/>
    <n v="13912"/>
    <n v="1104"/>
    <n v="1.6400709219858155E-2"/>
    <s v="Dec-13"/>
    <x v="9"/>
    <n v="2.35"/>
  </r>
  <r>
    <x v="60"/>
    <n v="54"/>
    <x v="5"/>
    <x v="0"/>
    <x v="1"/>
    <x v="1"/>
    <x v="0"/>
    <x v="0"/>
    <x v="10"/>
    <x v="41"/>
    <x v="65"/>
    <x v="1"/>
    <n v="50"/>
    <n v="30"/>
    <n v="110"/>
    <n v="45"/>
    <x v="65"/>
    <x v="41"/>
    <x v="73"/>
    <x v="102"/>
    <n v="1.08"/>
    <n v="12"/>
    <x v="0"/>
    <n v="28.6"/>
    <x v="111"/>
    <n v="5670"/>
    <n v="765"/>
    <n v="1.8300653594771243E-2"/>
    <s v="Dec-13"/>
    <x v="6"/>
    <n v="2.5"/>
  </r>
  <r>
    <x v="44"/>
    <n v="41"/>
    <x v="5"/>
    <x v="0"/>
    <x v="1"/>
    <x v="2"/>
    <x v="0"/>
    <x v="0"/>
    <x v="0"/>
    <x v="18"/>
    <x v="68"/>
    <x v="1"/>
    <n v="30"/>
    <n v="30"/>
    <n v="90"/>
    <n v="36"/>
    <x v="68"/>
    <x v="18"/>
    <x v="16"/>
    <x v="103"/>
    <n v="1.3666666666666667"/>
    <n v="6"/>
    <x v="0"/>
    <n v="28.8"/>
    <x v="112"/>
    <n v="3888"/>
    <n v="468"/>
    <n v="2.564102564102564E-2"/>
    <s v="Dec-13"/>
    <x v="0"/>
    <n v="2.6341463414634148"/>
  </r>
  <r>
    <x v="61"/>
    <n v="54"/>
    <x v="5"/>
    <x v="0"/>
    <x v="3"/>
    <x v="6"/>
    <x v="0"/>
    <x v="1"/>
    <x v="11"/>
    <x v="63"/>
    <x v="64"/>
    <x v="3"/>
    <n v="30"/>
    <n v="50"/>
    <n v="90"/>
    <n v="26"/>
    <x v="64"/>
    <x v="63"/>
    <x v="17"/>
    <x v="104"/>
    <n v="1.8"/>
    <n v="29"/>
    <x v="0"/>
    <n v="48.42"/>
    <x v="113"/>
    <n v="11218"/>
    <n v="390"/>
    <n v="3.7089201877934269E-2"/>
    <s v="Dec-13"/>
    <x v="1"/>
    <n v="2.6296296296296298"/>
  </r>
  <r>
    <x v="62"/>
    <n v="31"/>
    <x v="5"/>
    <x v="1"/>
    <x v="0"/>
    <x v="18"/>
    <x v="1"/>
    <x v="2"/>
    <x v="4"/>
    <x v="54"/>
    <x v="40"/>
    <x v="12"/>
    <n v="30"/>
    <n v="50"/>
    <n v="90"/>
    <n v="19"/>
    <x v="40"/>
    <x v="54"/>
    <x v="74"/>
    <x v="68"/>
    <n v="1.0333333333333334"/>
    <n v="-10"/>
    <x v="0"/>
    <n v="49.2"/>
    <x v="114"/>
    <n v="3280"/>
    <n v="152"/>
    <n v="6.097560975609756E-2"/>
    <s v="Dec-13"/>
    <x v="1"/>
    <n v="2.6451612903225805"/>
  </r>
  <r>
    <x v="55"/>
    <n v="34"/>
    <x v="5"/>
    <x v="1"/>
    <x v="1"/>
    <x v="8"/>
    <x v="1"/>
    <x v="3"/>
    <x v="5"/>
    <x v="43"/>
    <x v="69"/>
    <x v="10"/>
    <n v="40"/>
    <n v="50"/>
    <n v="100"/>
    <n v="20"/>
    <x v="69"/>
    <x v="43"/>
    <x v="7"/>
    <x v="105"/>
    <n v="0.85"/>
    <n v="-4"/>
    <x v="0"/>
    <n v="49.08"/>
    <x v="37"/>
    <n v="4186"/>
    <n v="180"/>
    <n v="5.6166056166056161E-2"/>
    <s v="Dec-13"/>
    <x v="2"/>
    <n v="2.6764705882352939"/>
  </r>
  <r>
    <x v="7"/>
    <n v="33"/>
    <x v="5"/>
    <x v="1"/>
    <x v="1"/>
    <x v="8"/>
    <x v="1"/>
    <x v="3"/>
    <x v="5"/>
    <x v="41"/>
    <x v="70"/>
    <x v="6"/>
    <n v="30"/>
    <n v="50"/>
    <n v="90"/>
    <n v="21"/>
    <x v="70"/>
    <x v="41"/>
    <x v="7"/>
    <x v="106"/>
    <n v="1.1000000000000001"/>
    <n v="-8"/>
    <x v="0"/>
    <n v="49.16"/>
    <x v="115"/>
    <n v="3654"/>
    <n v="189"/>
    <n v="5.3639846743295021E-2"/>
    <s v="Dec-13"/>
    <x v="1"/>
    <n v="2.6363636363636362"/>
  </r>
  <r>
    <x v="10"/>
    <n v="48"/>
    <x v="5"/>
    <x v="1"/>
    <x v="2"/>
    <x v="6"/>
    <x v="1"/>
    <x v="3"/>
    <x v="7"/>
    <x v="41"/>
    <x v="45"/>
    <x v="9"/>
    <n v="40"/>
    <n v="30"/>
    <n v="100"/>
    <n v="46"/>
    <x v="45"/>
    <x v="41"/>
    <x v="75"/>
    <x v="107"/>
    <n v="1.2"/>
    <n v="12"/>
    <x v="0"/>
    <n v="28.6"/>
    <x v="116"/>
    <n v="5460"/>
    <n v="690"/>
    <n v="2.1538461538461538E-2"/>
    <s v="Dec-13"/>
    <x v="7"/>
    <n v="2.7083333333333335"/>
  </r>
  <r>
    <x v="29"/>
    <n v="55"/>
    <x v="5"/>
    <x v="1"/>
    <x v="1"/>
    <x v="24"/>
    <x v="1"/>
    <x v="2"/>
    <x v="9"/>
    <x v="64"/>
    <x v="71"/>
    <x v="10"/>
    <n v="40"/>
    <n v="0"/>
    <n v="100"/>
    <n v="79"/>
    <x v="71"/>
    <x v="64"/>
    <x v="50"/>
    <x v="108"/>
    <n v="1.375"/>
    <n v="-4"/>
    <x v="0"/>
    <e v="#DIV/0!"/>
    <x v="117"/>
    <n v="-560"/>
    <n v="3871.0000000000005"/>
    <n v="-5.8309037900874635E-4"/>
    <s v="Dec-13"/>
    <x v="10"/>
    <n v="2.5454545454545454"/>
  </r>
  <r>
    <x v="39"/>
    <n v="49"/>
    <x v="5"/>
    <x v="1"/>
    <x v="1"/>
    <x v="25"/>
    <x v="1"/>
    <x v="2"/>
    <x v="8"/>
    <x v="11"/>
    <x v="53"/>
    <x v="17"/>
    <n v="30"/>
    <n v="10"/>
    <n v="90"/>
    <n v="74"/>
    <x v="53"/>
    <x v="11"/>
    <x v="76"/>
    <x v="109"/>
    <n v="1.6333333333333333"/>
    <n v="-17"/>
    <x v="0"/>
    <n v="10.7"/>
    <x v="118"/>
    <n v="-882"/>
    <n v="3256"/>
    <n v="-1.2626262626262625E-3"/>
    <s v="Dec-13"/>
    <x v="6"/>
    <n v="2.5714285714285716"/>
  </r>
  <r>
    <x v="48"/>
    <n v="39"/>
    <x v="5"/>
    <x v="1"/>
    <x v="3"/>
    <x v="10"/>
    <x v="1"/>
    <x v="3"/>
    <x v="7"/>
    <x v="12"/>
    <x v="3"/>
    <x v="7"/>
    <n v="40"/>
    <n v="20"/>
    <n v="100"/>
    <n v="48"/>
    <x v="3"/>
    <x v="12"/>
    <x v="73"/>
    <x v="54"/>
    <n v="0.97499999999999998"/>
    <n v="-19"/>
    <x v="0"/>
    <n v="19.95"/>
    <x v="59"/>
    <n v="94"/>
    <n v="672"/>
    <n v="7.5987841945288754E-4"/>
    <s v="Dec-13"/>
    <x v="6"/>
    <n v="2.4102564102564101"/>
  </r>
  <r>
    <x v="26"/>
    <n v="49"/>
    <x v="5"/>
    <x v="1"/>
    <x v="0"/>
    <x v="25"/>
    <x v="0"/>
    <x v="0"/>
    <x v="10"/>
    <x v="11"/>
    <x v="53"/>
    <x v="12"/>
    <n v="40"/>
    <n v="0"/>
    <n v="100"/>
    <n v="74"/>
    <x v="53"/>
    <x v="11"/>
    <x v="76"/>
    <x v="109"/>
    <n v="1.2250000000000001"/>
    <n v="-7"/>
    <x v="0"/>
    <e v="#DIV/0!"/>
    <x v="118"/>
    <n v="-882"/>
    <n v="3256"/>
    <n v="-1.2626262626262625E-3"/>
    <s v="Dec-13"/>
    <x v="10"/>
    <n v="2.5714285714285716"/>
  </r>
  <r>
    <x v="41"/>
    <n v="41"/>
    <x v="5"/>
    <x v="1"/>
    <x v="0"/>
    <x v="13"/>
    <x v="0"/>
    <x v="0"/>
    <x v="10"/>
    <x v="16"/>
    <x v="11"/>
    <x v="13"/>
    <n v="30"/>
    <n v="30"/>
    <n v="90"/>
    <n v="36"/>
    <x v="11"/>
    <x v="16"/>
    <x v="39"/>
    <x v="110"/>
    <n v="1.3666666666666667"/>
    <n v="15"/>
    <x v="0"/>
    <n v="28.5"/>
    <x v="75"/>
    <n v="5130"/>
    <n v="432"/>
    <n v="3.2894736842105261E-2"/>
    <s v="Dec-13"/>
    <x v="0"/>
    <n v="2.7804878048780486"/>
  </r>
  <r>
    <x v="40"/>
    <n v="92"/>
    <x v="5"/>
    <x v="1"/>
    <x v="0"/>
    <x v="16"/>
    <x v="0"/>
    <x v="0"/>
    <x v="0"/>
    <x v="10"/>
    <x v="72"/>
    <x v="12"/>
    <n v="80"/>
    <n v="20"/>
    <n v="140"/>
    <n v="52"/>
    <x v="72"/>
    <x v="10"/>
    <x v="77"/>
    <x v="111"/>
    <n v="1.1499999999999999"/>
    <n v="4"/>
    <x v="0"/>
    <n v="18.8"/>
    <x v="119"/>
    <n v="4104"/>
    <n v="1456"/>
    <n v="5.0125313283208017E-3"/>
    <s v="Dec-13"/>
    <x v="11"/>
    <n v="1.8586956521739131"/>
  </r>
  <r>
    <x v="6"/>
    <n v="68"/>
    <x v="5"/>
    <x v="1"/>
    <x v="2"/>
    <x v="26"/>
    <x v="0"/>
    <x v="0"/>
    <x v="0"/>
    <x v="54"/>
    <x v="73"/>
    <x v="5"/>
    <n v="50"/>
    <n v="20"/>
    <n v="110"/>
    <n v="58"/>
    <x v="73"/>
    <x v="54"/>
    <x v="49"/>
    <x v="112"/>
    <n v="1.36"/>
    <n v="20"/>
    <x v="0"/>
    <n v="18"/>
    <x v="120"/>
    <n v="6520"/>
    <n v="1450"/>
    <n v="9.8159509202453993E-3"/>
    <s v="Dec-13"/>
    <x v="9"/>
    <n v="2.3970588235294117"/>
  </r>
  <r>
    <x v="31"/>
    <n v="63"/>
    <x v="5"/>
    <x v="1"/>
    <x v="2"/>
    <x v="27"/>
    <x v="0"/>
    <x v="0"/>
    <x v="1"/>
    <x v="36"/>
    <x v="74"/>
    <x v="5"/>
    <n v="40"/>
    <n v="40"/>
    <n v="100"/>
    <n v="40"/>
    <x v="74"/>
    <x v="36"/>
    <x v="78"/>
    <x v="113"/>
    <n v="1.575"/>
    <n v="13"/>
    <x v="0"/>
    <n v="38.674999999999997"/>
    <x v="121"/>
    <n v="7844"/>
    <n v="760.00000000000011"/>
    <n v="1.8847795163584636E-2"/>
    <s v="Dec-13"/>
    <x v="0"/>
    <n v="2.3492063492063493"/>
  </r>
  <r>
    <x v="9"/>
    <n v="92"/>
    <x v="5"/>
    <x v="1"/>
    <x v="3"/>
    <x v="16"/>
    <x v="0"/>
    <x v="0"/>
    <x v="1"/>
    <x v="65"/>
    <x v="72"/>
    <x v="8"/>
    <n v="80"/>
    <n v="20"/>
    <n v="140"/>
    <n v="51"/>
    <x v="72"/>
    <x v="65"/>
    <x v="38"/>
    <x v="114"/>
    <n v="1.1499999999999999"/>
    <n v="5"/>
    <x v="0"/>
    <n v="18.75"/>
    <x v="122"/>
    <n v="4275"/>
    <n v="1428"/>
    <n v="5.2213868003341693E-3"/>
    <s v="Dec-13"/>
    <x v="11"/>
    <n v="1.8586956521739131"/>
  </r>
  <r>
    <x v="14"/>
    <n v="55"/>
    <x v="5"/>
    <x v="1"/>
    <x v="0"/>
    <x v="24"/>
    <x v="0"/>
    <x v="1"/>
    <x v="11"/>
    <x v="64"/>
    <x v="71"/>
    <x v="13"/>
    <n v="40"/>
    <n v="0"/>
    <n v="100"/>
    <n v="79"/>
    <x v="71"/>
    <x v="64"/>
    <x v="50"/>
    <x v="108"/>
    <n v="1.375"/>
    <n v="-4"/>
    <x v="0"/>
    <e v="#DIV/0!"/>
    <x v="117"/>
    <n v="-560"/>
    <n v="3871.0000000000005"/>
    <n v="-5.8309037900874635E-4"/>
    <s v="Dec-13"/>
    <x v="10"/>
    <n v="2.5454545454545454"/>
  </r>
  <r>
    <x v="23"/>
    <n v="39"/>
    <x v="0"/>
    <x v="0"/>
    <x v="0"/>
    <x v="13"/>
    <x v="1"/>
    <x v="3"/>
    <x v="7"/>
    <x v="22"/>
    <x v="31"/>
    <x v="0"/>
    <n v="30"/>
    <n v="50"/>
    <n v="80"/>
    <n v="24"/>
    <x v="31"/>
    <x v="22"/>
    <x v="17"/>
    <x v="115"/>
    <n v="1.3"/>
    <n v="-23"/>
    <x v="0"/>
    <n v="49.46"/>
    <x v="15"/>
    <n v="2430"/>
    <n v="288"/>
    <n v="2.5000000000000001E-2"/>
    <s v="Oct-12"/>
    <x v="3"/>
    <n v="2.3076923076923075"/>
  </r>
  <r>
    <x v="58"/>
    <n v="80"/>
    <x v="0"/>
    <x v="0"/>
    <x v="2"/>
    <x v="23"/>
    <x v="0"/>
    <x v="0"/>
    <x v="1"/>
    <x v="21"/>
    <x v="75"/>
    <x v="2"/>
    <n v="40"/>
    <n v="40"/>
    <n v="90"/>
    <n v="46"/>
    <x v="75"/>
    <x v="21"/>
    <x v="4"/>
    <x v="22"/>
    <n v="2"/>
    <n v="8"/>
    <x v="0"/>
    <n v="38.799999999999997"/>
    <x v="123"/>
    <n v="8352"/>
    <n v="1104"/>
    <n v="1.1494252873563218E-2"/>
    <s v="Oct-12"/>
    <x v="2"/>
    <n v="2.1749999999999998"/>
  </r>
  <r>
    <x v="0"/>
    <n v="54"/>
    <x v="0"/>
    <x v="0"/>
    <x v="0"/>
    <x v="14"/>
    <x v="0"/>
    <x v="1"/>
    <x v="2"/>
    <x v="32"/>
    <x v="10"/>
    <x v="0"/>
    <n v="30"/>
    <n v="30"/>
    <n v="80"/>
    <n v="53"/>
    <x v="10"/>
    <x v="32"/>
    <x v="33"/>
    <x v="37"/>
    <n v="1.8"/>
    <n v="-17"/>
    <x v="0"/>
    <n v="29.566666666666666"/>
    <x v="124"/>
    <n v="1560"/>
    <n v="1060"/>
    <n v="5.4166666666666669E-3"/>
    <s v="Oct-12"/>
    <x v="2"/>
    <n v="2.2222222222222223"/>
  </r>
  <r>
    <x v="0"/>
    <n v="54"/>
    <x v="0"/>
    <x v="0"/>
    <x v="0"/>
    <x v="20"/>
    <x v="0"/>
    <x v="1"/>
    <x v="11"/>
    <x v="22"/>
    <x v="15"/>
    <x v="0"/>
    <n v="30"/>
    <n v="40"/>
    <n v="80"/>
    <n v="37"/>
    <x v="15"/>
    <x v="22"/>
    <x v="79"/>
    <x v="116"/>
    <n v="1.8"/>
    <n v="-13"/>
    <x v="0"/>
    <n v="39.325000000000003"/>
    <x v="125"/>
    <n v="3186"/>
    <n v="592"/>
    <n v="1.4300847457627119E-2"/>
    <s v="Oct-12"/>
    <x v="1"/>
    <n v="2.1851851851851851"/>
  </r>
  <r>
    <x v="63"/>
    <n v="27"/>
    <x v="0"/>
    <x v="0"/>
    <x v="2"/>
    <x v="7"/>
    <x v="0"/>
    <x v="1"/>
    <x v="2"/>
    <x v="30"/>
    <x v="7"/>
    <x v="15"/>
    <n v="20"/>
    <n v="50"/>
    <n v="70"/>
    <n v="19"/>
    <x v="7"/>
    <x v="30"/>
    <x v="66"/>
    <x v="117"/>
    <n v="1.35"/>
    <n v="-30"/>
    <x v="0"/>
    <n v="49.6"/>
    <x v="126"/>
    <n v="1320"/>
    <n v="133"/>
    <n v="4.3290043290043288E-2"/>
    <s v="Oct-12"/>
    <x v="5"/>
    <n v="2.4444444444444446"/>
  </r>
  <r>
    <x v="64"/>
    <n v="76"/>
    <x v="0"/>
    <x v="0"/>
    <x v="3"/>
    <x v="28"/>
    <x v="0"/>
    <x v="1"/>
    <x v="11"/>
    <x v="63"/>
    <x v="76"/>
    <x v="3"/>
    <n v="30"/>
    <n v="50"/>
    <n v="80"/>
    <n v="32"/>
    <x v="76"/>
    <x v="63"/>
    <x v="13"/>
    <x v="118"/>
    <n v="2.5333333333333332"/>
    <n v="29"/>
    <x v="0"/>
    <n v="48.42"/>
    <x v="127"/>
    <n v="14773"/>
    <n v="672"/>
    <n v="2.0117137764196588E-2"/>
    <s v="Oct-12"/>
    <x v="3"/>
    <n v="2.4605263157894739"/>
  </r>
  <r>
    <x v="65"/>
    <n v="22"/>
    <x v="0"/>
    <x v="1"/>
    <x v="0"/>
    <x v="7"/>
    <x v="1"/>
    <x v="2"/>
    <x v="4"/>
    <x v="44"/>
    <x v="77"/>
    <x v="13"/>
    <n v="20"/>
    <n v="50"/>
    <n v="70"/>
    <n v="19"/>
    <x v="77"/>
    <x v="44"/>
    <x v="67"/>
    <x v="34"/>
    <n v="1.1000000000000001"/>
    <n v="-40"/>
    <x v="0"/>
    <n v="49.8"/>
    <x v="128"/>
    <n v="510"/>
    <n v="133"/>
    <n v="2.8011204481792718E-2"/>
    <s v="Oct-12"/>
    <x v="5"/>
    <n v="2.3181818181818183"/>
  </r>
  <r>
    <x v="66"/>
    <n v="23"/>
    <x v="0"/>
    <x v="1"/>
    <x v="0"/>
    <x v="29"/>
    <x v="1"/>
    <x v="2"/>
    <x v="8"/>
    <x v="47"/>
    <x v="78"/>
    <x v="4"/>
    <n v="20"/>
    <n v="50"/>
    <n v="70"/>
    <n v="17"/>
    <x v="78"/>
    <x v="47"/>
    <x v="80"/>
    <x v="7"/>
    <n v="1.1499999999999999"/>
    <n v="-32"/>
    <x v="0"/>
    <n v="49.64"/>
    <x v="129"/>
    <n v="1044"/>
    <n v="102"/>
    <n v="5.1724137931034482E-2"/>
    <s v="Oct-12"/>
    <x v="5"/>
    <n v="2.5217391304347827"/>
  </r>
  <r>
    <x v="67"/>
    <n v="79"/>
    <x v="0"/>
    <x v="1"/>
    <x v="2"/>
    <x v="30"/>
    <x v="0"/>
    <x v="0"/>
    <x v="0"/>
    <x v="28"/>
    <x v="79"/>
    <x v="5"/>
    <n v="40"/>
    <n v="30"/>
    <n v="90"/>
    <n v="64"/>
    <x v="79"/>
    <x v="28"/>
    <x v="12"/>
    <x v="119"/>
    <n v="1.9750000000000001"/>
    <n v="4"/>
    <x v="0"/>
    <n v="28.866666666666667"/>
    <x v="130"/>
    <n v="6018"/>
    <n v="1920"/>
    <n v="6.4030131826741995E-3"/>
    <s v="Oct-12"/>
    <x v="0"/>
    <n v="2.240506329113924"/>
  </r>
  <r>
    <x v="6"/>
    <n v="65"/>
    <x v="0"/>
    <x v="1"/>
    <x v="2"/>
    <x v="14"/>
    <x v="0"/>
    <x v="0"/>
    <x v="1"/>
    <x v="3"/>
    <x v="64"/>
    <x v="5"/>
    <n v="30"/>
    <n v="50"/>
    <n v="80"/>
    <n v="42"/>
    <x v="64"/>
    <x v="3"/>
    <x v="33"/>
    <x v="120"/>
    <n v="2.1666666666666665"/>
    <n v="-15"/>
    <x v="0"/>
    <n v="49.3"/>
    <x v="131"/>
    <n v="4970"/>
    <n v="840"/>
    <n v="1.232394366197183E-2"/>
    <s v="Oct-12"/>
    <x v="3"/>
    <n v="2.1846153846153844"/>
  </r>
  <r>
    <x v="14"/>
    <n v="46"/>
    <x v="0"/>
    <x v="1"/>
    <x v="0"/>
    <x v="10"/>
    <x v="0"/>
    <x v="1"/>
    <x v="2"/>
    <x v="27"/>
    <x v="27"/>
    <x v="13"/>
    <n v="20"/>
    <n v="40"/>
    <n v="70"/>
    <n v="37"/>
    <x v="27"/>
    <x v="27"/>
    <x v="25"/>
    <x v="33"/>
    <n v="2.2999999999999998"/>
    <n v="-10"/>
    <x v="0"/>
    <n v="39.25"/>
    <x v="36"/>
    <n v="3390"/>
    <n v="518"/>
    <n v="1.8963337547408345E-2"/>
    <s v="Oct-12"/>
    <x v="3"/>
    <n v="2.4565217391304346"/>
  </r>
  <r>
    <x v="65"/>
    <n v="60"/>
    <x v="0"/>
    <x v="1"/>
    <x v="0"/>
    <x v="12"/>
    <x v="0"/>
    <x v="1"/>
    <x v="11"/>
    <x v="66"/>
    <x v="13"/>
    <x v="13"/>
    <n v="40"/>
    <n v="0"/>
    <n v="90"/>
    <n v="84"/>
    <x v="13"/>
    <x v="66"/>
    <x v="50"/>
    <x v="121"/>
    <n v="1.5"/>
    <n v="0"/>
    <x v="0"/>
    <e v="#DIV/0!"/>
    <x v="132"/>
    <n v="0"/>
    <e v="#DIV/0!"/>
    <n v="0"/>
    <s v="Oct-12"/>
    <x v="9"/>
    <n v="2.4"/>
  </r>
  <r>
    <x v="32"/>
    <n v="60"/>
    <x v="0"/>
    <x v="1"/>
    <x v="3"/>
    <x v="31"/>
    <x v="0"/>
    <x v="1"/>
    <x v="2"/>
    <x v="67"/>
    <x v="80"/>
    <x v="14"/>
    <n v="20"/>
    <n v="40"/>
    <n v="70"/>
    <n v="42"/>
    <x v="80"/>
    <x v="67"/>
    <x v="81"/>
    <x v="122"/>
    <n v="3"/>
    <n v="17"/>
    <x v="0"/>
    <n v="38.575000000000003"/>
    <x v="133"/>
    <n v="9063"/>
    <n v="756"/>
    <n v="1.9916142557651992E-2"/>
    <s v="Oct-12"/>
    <x v="3"/>
    <n v="2.65"/>
  </r>
  <r>
    <x v="68"/>
    <n v="40"/>
    <x v="1"/>
    <x v="0"/>
    <x v="0"/>
    <x v="2"/>
    <x v="0"/>
    <x v="0"/>
    <x v="0"/>
    <x v="22"/>
    <x v="19"/>
    <x v="16"/>
    <n v="30"/>
    <n v="30"/>
    <n v="80"/>
    <n v="25"/>
    <x v="19"/>
    <x v="22"/>
    <x v="22"/>
    <x v="24"/>
    <n v="1.3333333333333333"/>
    <n v="-3"/>
    <x v="0"/>
    <n v="29.1"/>
    <x v="24"/>
    <n v="2484"/>
    <n v="325"/>
    <n v="2.2575250836120404E-2"/>
    <s v="Nov-12"/>
    <x v="2"/>
    <n v="2.2999999999999998"/>
  </r>
  <r>
    <x v="69"/>
    <n v="36"/>
    <x v="1"/>
    <x v="0"/>
    <x v="0"/>
    <x v="3"/>
    <x v="0"/>
    <x v="0"/>
    <x v="0"/>
    <x v="27"/>
    <x v="23"/>
    <x v="18"/>
    <n v="30"/>
    <n v="40"/>
    <n v="80"/>
    <n v="22"/>
    <x v="23"/>
    <x v="27"/>
    <x v="31"/>
    <x v="7"/>
    <n v="1.2"/>
    <n v="-10"/>
    <x v="0"/>
    <n v="39.25"/>
    <x v="33"/>
    <n v="2640"/>
    <n v="220"/>
    <n v="3.4090909090909088E-2"/>
    <s v="Nov-12"/>
    <x v="1"/>
    <n v="2.4444444444444446"/>
  </r>
  <r>
    <x v="70"/>
    <n v="55"/>
    <x v="1"/>
    <x v="0"/>
    <x v="2"/>
    <x v="14"/>
    <x v="0"/>
    <x v="0"/>
    <x v="0"/>
    <x v="25"/>
    <x v="21"/>
    <x v="15"/>
    <n v="40"/>
    <n v="20"/>
    <n v="90"/>
    <n v="54"/>
    <x v="21"/>
    <x v="25"/>
    <x v="26"/>
    <x v="28"/>
    <n v="1.375"/>
    <n v="-5"/>
    <x v="0"/>
    <n v="19.25"/>
    <x v="28"/>
    <n v="1860"/>
    <n v="1080"/>
    <n v="6.0483870967741934E-3"/>
    <s v="Nov-12"/>
    <x v="7"/>
    <n v="2.2545454545454544"/>
  </r>
  <r>
    <x v="71"/>
    <n v="40"/>
    <x v="1"/>
    <x v="0"/>
    <x v="3"/>
    <x v="2"/>
    <x v="0"/>
    <x v="0"/>
    <x v="1"/>
    <x v="22"/>
    <x v="19"/>
    <x v="3"/>
    <n v="30"/>
    <n v="30"/>
    <n v="80"/>
    <n v="25"/>
    <x v="19"/>
    <x v="22"/>
    <x v="22"/>
    <x v="24"/>
    <n v="1.3333333333333333"/>
    <n v="-3"/>
    <x v="0"/>
    <n v="29.1"/>
    <x v="24"/>
    <n v="2484"/>
    <n v="325"/>
    <n v="2.2575250836120404E-2"/>
    <s v="Nov-12"/>
    <x v="2"/>
    <n v="2.2999999999999998"/>
  </r>
  <r>
    <x v="72"/>
    <n v="28"/>
    <x v="1"/>
    <x v="0"/>
    <x v="2"/>
    <x v="7"/>
    <x v="0"/>
    <x v="1"/>
    <x v="2"/>
    <x v="34"/>
    <x v="49"/>
    <x v="2"/>
    <n v="20"/>
    <n v="40"/>
    <n v="70"/>
    <n v="19"/>
    <x v="49"/>
    <x v="34"/>
    <x v="70"/>
    <x v="84"/>
    <n v="1.4"/>
    <n v="-17"/>
    <x v="0"/>
    <n v="39.424999999999997"/>
    <x v="134"/>
    <n v="1610"/>
    <n v="133"/>
    <n v="4.6938775510204082E-2"/>
    <s v="Nov-12"/>
    <x v="3"/>
    <n v="2.5"/>
  </r>
  <r>
    <x v="35"/>
    <n v="31"/>
    <x v="1"/>
    <x v="0"/>
    <x v="2"/>
    <x v="18"/>
    <x v="0"/>
    <x v="1"/>
    <x v="3"/>
    <x v="2"/>
    <x v="25"/>
    <x v="2"/>
    <n v="30"/>
    <n v="40"/>
    <n v="80"/>
    <n v="19"/>
    <x v="25"/>
    <x v="2"/>
    <x v="30"/>
    <x v="3"/>
    <n v="1.0333333333333334"/>
    <n v="-12"/>
    <x v="0"/>
    <n v="39.299999999999997"/>
    <x v="32"/>
    <n v="2184"/>
    <n v="152"/>
    <n v="4.4871794871794872E-2"/>
    <s v="Nov-12"/>
    <x v="1"/>
    <n v="2.5161290322580645"/>
  </r>
  <r>
    <x v="53"/>
    <n v="32"/>
    <x v="1"/>
    <x v="0"/>
    <x v="2"/>
    <x v="18"/>
    <x v="0"/>
    <x v="1"/>
    <x v="3"/>
    <x v="26"/>
    <x v="81"/>
    <x v="15"/>
    <n v="30"/>
    <n v="40"/>
    <n v="80"/>
    <n v="19"/>
    <x v="81"/>
    <x v="26"/>
    <x v="57"/>
    <x v="123"/>
    <n v="1.0666666666666667"/>
    <n v="-11"/>
    <x v="0"/>
    <n v="39.274999999999999"/>
    <x v="135"/>
    <n v="2320"/>
    <n v="152"/>
    <n v="4.5312499999999999E-2"/>
    <s v="Nov-12"/>
    <x v="1"/>
    <n v="2.5"/>
  </r>
  <r>
    <x v="73"/>
    <n v="50"/>
    <x v="1"/>
    <x v="0"/>
    <x v="3"/>
    <x v="10"/>
    <x v="0"/>
    <x v="1"/>
    <x v="11"/>
    <x v="17"/>
    <x v="1"/>
    <x v="3"/>
    <n v="30"/>
    <n v="40"/>
    <n v="80"/>
    <n v="26"/>
    <x v="1"/>
    <x v="17"/>
    <x v="82"/>
    <x v="124"/>
    <n v="1.6666666666666667"/>
    <n v="7"/>
    <x v="0"/>
    <n v="38.825000000000003"/>
    <x v="136"/>
    <n v="5781"/>
    <n v="364"/>
    <n v="2.72938443670151E-2"/>
    <s v="Nov-12"/>
    <x v="1"/>
    <n v="2.46"/>
  </r>
  <r>
    <x v="5"/>
    <n v="0"/>
    <x v="1"/>
    <x v="1"/>
    <x v="0"/>
    <x v="5"/>
    <x v="1"/>
    <x v="2"/>
    <x v="4"/>
    <x v="5"/>
    <x v="5"/>
    <x v="4"/>
    <n v="0"/>
    <n v="40"/>
    <n v="50"/>
    <n v="12"/>
    <x v="5"/>
    <x v="5"/>
    <x v="5"/>
    <x v="5"/>
    <e v="#DIV/0!"/>
    <n v="-9"/>
    <x v="0"/>
    <n v="39.225000000000001"/>
    <x v="5"/>
    <n v="1333"/>
    <e v="#DIV/0!"/>
    <e v="#DIV/0!"/>
    <s v="Nov-12"/>
    <x v="12"/>
    <e v="#DIV/0!"/>
  </r>
  <r>
    <x v="39"/>
    <n v="82"/>
    <x v="1"/>
    <x v="1"/>
    <x v="1"/>
    <x v="26"/>
    <x v="1"/>
    <x v="3"/>
    <x v="5"/>
    <x v="23"/>
    <x v="0"/>
    <x v="17"/>
    <n v="90"/>
    <n v="10"/>
    <n v="140"/>
    <n v="48"/>
    <x v="0"/>
    <x v="23"/>
    <x v="83"/>
    <x v="125"/>
    <n v="0.91111111111111109"/>
    <n v="-18"/>
    <x v="0"/>
    <n v="10.8"/>
    <x v="137"/>
    <n v="-976"/>
    <n v="1200"/>
    <n v="-2.6229508196721311E-3"/>
    <s v="Nov-12"/>
    <x v="13"/>
    <n v="1.4878048780487805"/>
  </r>
  <r>
    <x v="74"/>
    <n v="22"/>
    <x v="1"/>
    <x v="1"/>
    <x v="0"/>
    <x v="29"/>
    <x v="1"/>
    <x v="2"/>
    <x v="8"/>
    <x v="38"/>
    <x v="82"/>
    <x v="4"/>
    <n v="20"/>
    <n v="40"/>
    <n v="70"/>
    <n v="18"/>
    <x v="82"/>
    <x v="38"/>
    <x v="80"/>
    <x v="126"/>
    <n v="1.1000000000000001"/>
    <n v="-24"/>
    <x v="0"/>
    <n v="39.6"/>
    <x v="138"/>
    <n v="896"/>
    <n v="108"/>
    <n v="4.7619047619047616E-2"/>
    <s v="Nov-12"/>
    <x v="3"/>
    <n v="2.5454545454545454"/>
  </r>
  <r>
    <x v="39"/>
    <n v="44"/>
    <x v="1"/>
    <x v="1"/>
    <x v="1"/>
    <x v="19"/>
    <x v="1"/>
    <x v="2"/>
    <x v="8"/>
    <x v="11"/>
    <x v="28"/>
    <x v="17"/>
    <n v="30"/>
    <n v="0"/>
    <n v="80"/>
    <n v="69"/>
    <x v="28"/>
    <x v="11"/>
    <x v="84"/>
    <x v="127"/>
    <n v="1.4666666666666666"/>
    <n v="-7"/>
    <x v="0"/>
    <e v="#DIV/0!"/>
    <x v="139"/>
    <n v="-742"/>
    <n v="2760"/>
    <n v="-1.6509433962264149E-3"/>
    <s v="Nov-12"/>
    <x v="6"/>
    <n v="2.4090909090909092"/>
  </r>
  <r>
    <x v="8"/>
    <n v="33"/>
    <x v="1"/>
    <x v="1"/>
    <x v="3"/>
    <x v="13"/>
    <x v="1"/>
    <x v="3"/>
    <x v="7"/>
    <x v="64"/>
    <x v="83"/>
    <x v="7"/>
    <n v="30"/>
    <n v="10"/>
    <n v="80"/>
    <n v="45"/>
    <x v="83"/>
    <x v="64"/>
    <x v="69"/>
    <x v="128"/>
    <n v="1.1000000000000001"/>
    <n v="-14"/>
    <x v="0"/>
    <n v="10.4"/>
    <x v="140"/>
    <n v="-296"/>
    <n v="540"/>
    <n v="-4.5045045045045045E-3"/>
    <s v="Nov-12"/>
    <x v="7"/>
    <n v="2.2424242424242422"/>
  </r>
  <r>
    <x v="13"/>
    <n v="44"/>
    <x v="1"/>
    <x v="1"/>
    <x v="0"/>
    <x v="19"/>
    <x v="0"/>
    <x v="0"/>
    <x v="10"/>
    <x v="23"/>
    <x v="28"/>
    <x v="12"/>
    <n v="40"/>
    <n v="0"/>
    <n v="90"/>
    <n v="70"/>
    <x v="28"/>
    <x v="23"/>
    <x v="35"/>
    <x v="35"/>
    <n v="1.1000000000000001"/>
    <n v="-8"/>
    <x v="0"/>
    <e v="#DIV/0!"/>
    <x v="38"/>
    <n v="-848"/>
    <n v="2800"/>
    <n v="-1.8867924528301887E-3"/>
    <s v="Nov-12"/>
    <x v="9"/>
    <n v="2.4090909090909092"/>
  </r>
  <r>
    <x v="14"/>
    <n v="31"/>
    <x v="1"/>
    <x v="1"/>
    <x v="0"/>
    <x v="18"/>
    <x v="0"/>
    <x v="0"/>
    <x v="0"/>
    <x v="22"/>
    <x v="25"/>
    <x v="13"/>
    <n v="20"/>
    <n v="40"/>
    <n v="70"/>
    <n v="20"/>
    <x v="25"/>
    <x v="22"/>
    <x v="57"/>
    <x v="48"/>
    <n v="1.55"/>
    <n v="-13"/>
    <x v="0"/>
    <n v="39.325000000000003"/>
    <x v="141"/>
    <n v="2106"/>
    <n v="160"/>
    <n v="4.3269230769230768E-2"/>
    <s v="Nov-12"/>
    <x v="3"/>
    <n v="2.5161290322580645"/>
  </r>
  <r>
    <x v="42"/>
    <n v="69"/>
    <x v="1"/>
    <x v="1"/>
    <x v="2"/>
    <x v="28"/>
    <x v="0"/>
    <x v="0"/>
    <x v="1"/>
    <x v="68"/>
    <x v="61"/>
    <x v="5"/>
    <n v="50"/>
    <n v="30"/>
    <n v="100"/>
    <n v="43"/>
    <x v="61"/>
    <x v="68"/>
    <x v="85"/>
    <x v="129"/>
    <n v="1.38"/>
    <n v="8"/>
    <x v="0"/>
    <n v="28.733333333333334"/>
    <x v="142"/>
    <n v="5700"/>
    <n v="903"/>
    <n v="1.2063492063492064E-2"/>
    <s v="Nov-12"/>
    <x v="7"/>
    <n v="2.1739130434782608"/>
  </r>
  <r>
    <x v="14"/>
    <n v="49"/>
    <x v="1"/>
    <x v="1"/>
    <x v="0"/>
    <x v="6"/>
    <x v="0"/>
    <x v="1"/>
    <x v="2"/>
    <x v="9"/>
    <x v="10"/>
    <x v="13"/>
    <n v="40"/>
    <n v="20"/>
    <n v="90"/>
    <n v="38"/>
    <x v="10"/>
    <x v="9"/>
    <x v="10"/>
    <x v="10"/>
    <n v="1.2250000000000001"/>
    <n v="13"/>
    <x v="0"/>
    <n v="18.350000000000001"/>
    <x v="10"/>
    <n v="3960"/>
    <n v="570"/>
    <n v="1.8333333333333333E-2"/>
    <s v="Nov-12"/>
    <x v="7"/>
    <n v="2.4489795918367347"/>
  </r>
  <r>
    <x v="32"/>
    <n v="49"/>
    <x v="1"/>
    <x v="1"/>
    <x v="3"/>
    <x v="6"/>
    <x v="0"/>
    <x v="1"/>
    <x v="11"/>
    <x v="28"/>
    <x v="10"/>
    <x v="14"/>
    <n v="30"/>
    <n v="30"/>
    <n v="80"/>
    <n v="37"/>
    <x v="10"/>
    <x v="28"/>
    <x v="32"/>
    <x v="31"/>
    <n v="1.6333333333333333"/>
    <n v="4"/>
    <x v="0"/>
    <n v="28.866666666666667"/>
    <x v="34"/>
    <n v="4080"/>
    <n v="555"/>
    <n v="1.8888888888888889E-2"/>
    <s v="Nov-12"/>
    <x v="2"/>
    <n v="2.4489795918367347"/>
  </r>
  <r>
    <x v="1"/>
    <n v="43"/>
    <x v="2"/>
    <x v="0"/>
    <x v="0"/>
    <x v="10"/>
    <x v="1"/>
    <x v="3"/>
    <x v="7"/>
    <x v="26"/>
    <x v="9"/>
    <x v="0"/>
    <n v="40"/>
    <n v="30"/>
    <n v="90"/>
    <n v="27"/>
    <x v="9"/>
    <x v="26"/>
    <x v="86"/>
    <x v="130"/>
    <n v="1.075"/>
    <n v="-1"/>
    <x v="0"/>
    <n v="29.033333333333335"/>
    <x v="143"/>
    <n v="2871"/>
    <n v="377.99999999999994"/>
    <n v="2.0923520923520924E-2"/>
    <s v="Dec-12"/>
    <x v="0"/>
    <n v="2.3023255813953489"/>
  </r>
  <r>
    <x v="69"/>
    <n v="41"/>
    <x v="2"/>
    <x v="0"/>
    <x v="0"/>
    <x v="2"/>
    <x v="1"/>
    <x v="3"/>
    <x v="7"/>
    <x v="10"/>
    <x v="38"/>
    <x v="18"/>
    <n v="40"/>
    <n v="20"/>
    <n v="90"/>
    <n v="36"/>
    <x v="38"/>
    <x v="10"/>
    <x v="45"/>
    <x v="46"/>
    <n v="1.0249999999999999"/>
    <n v="4"/>
    <x v="0"/>
    <n v="18.8"/>
    <x v="51"/>
    <n v="2424"/>
    <n v="468"/>
    <n v="1.827875095201828E-2"/>
    <s v="Dec-12"/>
    <x v="7"/>
    <n v="2.4634146341463414"/>
  </r>
  <r>
    <x v="25"/>
    <n v="47"/>
    <x v="2"/>
    <x v="0"/>
    <x v="2"/>
    <x v="22"/>
    <x v="1"/>
    <x v="2"/>
    <x v="8"/>
    <x v="69"/>
    <x v="9"/>
    <x v="15"/>
    <n v="40"/>
    <n v="-10"/>
    <n v="90"/>
    <n v="72"/>
    <x v="9"/>
    <x v="69"/>
    <x v="63"/>
    <x v="131"/>
    <n v="1.175"/>
    <n v="-10"/>
    <x v="0"/>
    <n v="-12"/>
    <x v="144"/>
    <n v="-1980"/>
    <n v="3024"/>
    <n v="-4.8100048100048094E-3"/>
    <s v="Dec-12"/>
    <x v="10"/>
    <n v="2.1063829787234041"/>
  </r>
  <r>
    <x v="68"/>
    <n v="43"/>
    <x v="2"/>
    <x v="0"/>
    <x v="0"/>
    <x v="10"/>
    <x v="0"/>
    <x v="0"/>
    <x v="0"/>
    <x v="26"/>
    <x v="9"/>
    <x v="16"/>
    <n v="40"/>
    <n v="30"/>
    <n v="90"/>
    <n v="27"/>
    <x v="9"/>
    <x v="26"/>
    <x v="86"/>
    <x v="130"/>
    <n v="1.075"/>
    <n v="-1"/>
    <x v="0"/>
    <n v="29.033333333333335"/>
    <x v="143"/>
    <n v="2871"/>
    <n v="377.99999999999994"/>
    <n v="2.0923520923520924E-2"/>
    <s v="Dec-12"/>
    <x v="0"/>
    <n v="2.3023255813953489"/>
  </r>
  <r>
    <x v="75"/>
    <n v="43"/>
    <x v="2"/>
    <x v="0"/>
    <x v="3"/>
    <x v="10"/>
    <x v="0"/>
    <x v="0"/>
    <x v="1"/>
    <x v="26"/>
    <x v="9"/>
    <x v="3"/>
    <n v="40"/>
    <n v="30"/>
    <n v="90"/>
    <n v="27"/>
    <x v="9"/>
    <x v="26"/>
    <x v="86"/>
    <x v="130"/>
    <n v="1.075"/>
    <n v="-1"/>
    <x v="0"/>
    <n v="29.033333333333335"/>
    <x v="143"/>
    <n v="2871"/>
    <n v="377.99999999999994"/>
    <n v="2.0923520923520924E-2"/>
    <s v="Dec-12"/>
    <x v="0"/>
    <n v="2.3023255813953489"/>
  </r>
  <r>
    <x v="0"/>
    <n v="46"/>
    <x v="2"/>
    <x v="0"/>
    <x v="0"/>
    <x v="1"/>
    <x v="0"/>
    <x v="1"/>
    <x v="2"/>
    <x v="70"/>
    <x v="84"/>
    <x v="0"/>
    <n v="30"/>
    <n v="10"/>
    <n v="80"/>
    <n v="51"/>
    <x v="84"/>
    <x v="70"/>
    <x v="1"/>
    <x v="132"/>
    <n v="1.5333333333333334"/>
    <n v="-4"/>
    <x v="0"/>
    <n v="9.4"/>
    <x v="129"/>
    <n v="618"/>
    <n v="867"/>
    <n v="3.4266133637921191E-3"/>
    <s v="Dec-12"/>
    <x v="7"/>
    <n v="2.2391304347826089"/>
  </r>
  <r>
    <x v="0"/>
    <n v="53"/>
    <x v="2"/>
    <x v="0"/>
    <x v="0"/>
    <x v="20"/>
    <x v="0"/>
    <x v="1"/>
    <x v="11"/>
    <x v="1"/>
    <x v="52"/>
    <x v="0"/>
    <n v="40"/>
    <n v="20"/>
    <n v="90"/>
    <n v="37"/>
    <x v="52"/>
    <x v="1"/>
    <x v="6"/>
    <x v="133"/>
    <n v="1.325"/>
    <n v="6"/>
    <x v="0"/>
    <n v="18.7"/>
    <x v="145"/>
    <n v="3016"/>
    <n v="592"/>
    <n v="1.4008620689655173E-2"/>
    <s v="Dec-12"/>
    <x v="7"/>
    <n v="2.1886792452830188"/>
  </r>
  <r>
    <x v="70"/>
    <n v="33"/>
    <x v="2"/>
    <x v="0"/>
    <x v="2"/>
    <x v="8"/>
    <x v="0"/>
    <x v="1"/>
    <x v="2"/>
    <x v="26"/>
    <x v="40"/>
    <x v="15"/>
    <n v="30"/>
    <n v="40"/>
    <n v="80"/>
    <n v="20"/>
    <x v="40"/>
    <x v="26"/>
    <x v="62"/>
    <x v="134"/>
    <n v="1.1000000000000001"/>
    <n v="-11"/>
    <x v="0"/>
    <n v="39.274999999999999"/>
    <x v="146"/>
    <n v="2378"/>
    <n v="180"/>
    <n v="3.9295392953929538E-2"/>
    <s v="Dec-12"/>
    <x v="1"/>
    <n v="2.4848484848484849"/>
  </r>
  <r>
    <x v="76"/>
    <n v="34"/>
    <x v="2"/>
    <x v="0"/>
    <x v="2"/>
    <x v="8"/>
    <x v="0"/>
    <x v="1"/>
    <x v="3"/>
    <x v="27"/>
    <x v="39"/>
    <x v="2"/>
    <n v="30"/>
    <n v="40"/>
    <n v="80"/>
    <n v="21"/>
    <x v="39"/>
    <x v="27"/>
    <x v="87"/>
    <x v="91"/>
    <n v="1.1333333333333333"/>
    <n v="-10"/>
    <x v="0"/>
    <n v="39.25"/>
    <x v="147"/>
    <n v="2550"/>
    <n v="189"/>
    <n v="3.9215686274509803E-2"/>
    <s v="Dec-12"/>
    <x v="1"/>
    <n v="2.5"/>
  </r>
  <r>
    <x v="77"/>
    <n v="0"/>
    <x v="2"/>
    <x v="1"/>
    <x v="0"/>
    <x v="5"/>
    <x v="1"/>
    <x v="2"/>
    <x v="4"/>
    <x v="71"/>
    <x v="5"/>
    <x v="4"/>
    <n v="0"/>
    <n v="40"/>
    <n v="50"/>
    <n v="11"/>
    <x v="5"/>
    <x v="71"/>
    <x v="88"/>
    <x v="5"/>
    <e v="#DIV/0!"/>
    <n v="-8"/>
    <x v="0"/>
    <n v="39.200000000000003"/>
    <x v="148"/>
    <n v="1376"/>
    <e v="#DIV/0!"/>
    <e v="#DIV/0!"/>
    <s v="Dec-12"/>
    <x v="12"/>
    <e v="#DIV/0!"/>
  </r>
  <r>
    <x v="29"/>
    <n v="43"/>
    <x v="2"/>
    <x v="1"/>
    <x v="1"/>
    <x v="2"/>
    <x v="1"/>
    <x v="2"/>
    <x v="4"/>
    <x v="22"/>
    <x v="28"/>
    <x v="10"/>
    <n v="30"/>
    <n v="20"/>
    <n v="80"/>
    <n v="36"/>
    <x v="28"/>
    <x v="22"/>
    <x v="2"/>
    <x v="24"/>
    <n v="1.4333333333333333"/>
    <n v="7"/>
    <x v="0"/>
    <n v="18.649999999999999"/>
    <x v="78"/>
    <n v="2862"/>
    <n v="467.99999999999994"/>
    <n v="1.9593613933236578E-2"/>
    <s v="Dec-12"/>
    <x v="0"/>
    <n v="2.4651162790697674"/>
  </r>
  <r>
    <x v="48"/>
    <n v="31"/>
    <x v="2"/>
    <x v="1"/>
    <x v="3"/>
    <x v="8"/>
    <x v="1"/>
    <x v="3"/>
    <x v="5"/>
    <x v="72"/>
    <x v="85"/>
    <x v="7"/>
    <n v="30"/>
    <n v="30"/>
    <n v="80"/>
    <n v="30"/>
    <x v="85"/>
    <x v="72"/>
    <x v="8"/>
    <x v="135"/>
    <n v="1.0333333333333334"/>
    <n v="-22"/>
    <x v="0"/>
    <n v="29.733333333333334"/>
    <x v="149"/>
    <n v="552"/>
    <n v="270"/>
    <n v="1.2882447665056361E-2"/>
    <s v="Dec-12"/>
    <x v="2"/>
    <n v="2.225806451612903"/>
  </r>
  <r>
    <x v="74"/>
    <n v="23"/>
    <x v="2"/>
    <x v="1"/>
    <x v="0"/>
    <x v="29"/>
    <x v="1"/>
    <x v="2"/>
    <x v="8"/>
    <x v="39"/>
    <x v="78"/>
    <x v="4"/>
    <n v="20"/>
    <n v="40"/>
    <n v="70"/>
    <n v="18"/>
    <x v="78"/>
    <x v="39"/>
    <x v="67"/>
    <x v="136"/>
    <n v="1.1499999999999999"/>
    <n v="-23"/>
    <x v="0"/>
    <n v="39.575000000000003"/>
    <x v="129"/>
    <n v="986"/>
    <n v="108"/>
    <n v="4.8850574712643681E-2"/>
    <s v="Dec-12"/>
    <x v="3"/>
    <n v="2.5217391304347827"/>
  </r>
  <r>
    <x v="38"/>
    <n v="41"/>
    <x v="2"/>
    <x v="1"/>
    <x v="1"/>
    <x v="13"/>
    <x v="1"/>
    <x v="2"/>
    <x v="8"/>
    <x v="5"/>
    <x v="2"/>
    <x v="10"/>
    <n v="30"/>
    <n v="20"/>
    <n v="80"/>
    <n v="35"/>
    <x v="2"/>
    <x v="5"/>
    <x v="82"/>
    <x v="137"/>
    <n v="1.3666666666666667"/>
    <n v="11"/>
    <x v="0"/>
    <n v="18.45"/>
    <x v="150"/>
    <n v="3317"/>
    <n v="420"/>
    <n v="2.4143302180685361E-2"/>
    <s v="Dec-12"/>
    <x v="0"/>
    <n v="2.6097560975609757"/>
  </r>
  <r>
    <x v="17"/>
    <n v="46"/>
    <x v="2"/>
    <x v="1"/>
    <x v="3"/>
    <x v="1"/>
    <x v="1"/>
    <x v="2"/>
    <x v="9"/>
    <x v="70"/>
    <x v="84"/>
    <x v="11"/>
    <n v="40"/>
    <n v="10"/>
    <n v="90"/>
    <n v="51"/>
    <x v="84"/>
    <x v="70"/>
    <x v="1"/>
    <x v="132"/>
    <n v="1.1499999999999999"/>
    <n v="-4"/>
    <x v="0"/>
    <n v="9.4"/>
    <x v="129"/>
    <n v="618"/>
    <n v="867"/>
    <n v="3.4266133637921191E-3"/>
    <s v="Dec-12"/>
    <x v="6"/>
    <n v="2.2391304347826089"/>
  </r>
  <r>
    <x v="14"/>
    <n v="43"/>
    <x v="2"/>
    <x v="1"/>
    <x v="0"/>
    <x v="2"/>
    <x v="0"/>
    <x v="1"/>
    <x v="2"/>
    <x v="2"/>
    <x v="28"/>
    <x v="13"/>
    <n v="30"/>
    <n v="20"/>
    <n v="80"/>
    <n v="35"/>
    <x v="28"/>
    <x v="2"/>
    <x v="69"/>
    <x v="2"/>
    <n v="1.4333333333333333"/>
    <n v="8"/>
    <x v="0"/>
    <n v="18.600000000000001"/>
    <x v="151"/>
    <n v="2968"/>
    <n v="455"/>
    <n v="2.0319303338171262E-2"/>
    <s v="Dec-12"/>
    <x v="0"/>
    <n v="2.4651162790697674"/>
  </r>
  <r>
    <x v="67"/>
    <n v="33"/>
    <x v="2"/>
    <x v="1"/>
    <x v="2"/>
    <x v="8"/>
    <x v="0"/>
    <x v="1"/>
    <x v="3"/>
    <x v="2"/>
    <x v="40"/>
    <x v="5"/>
    <n v="30"/>
    <n v="40"/>
    <n v="80"/>
    <n v="21"/>
    <x v="40"/>
    <x v="2"/>
    <x v="29"/>
    <x v="50"/>
    <n v="1.1000000000000001"/>
    <n v="-12"/>
    <x v="0"/>
    <n v="39.299999999999997"/>
    <x v="55"/>
    <n v="2296"/>
    <n v="189"/>
    <n v="3.7940379403794036E-2"/>
    <s v="Dec-12"/>
    <x v="1"/>
    <n v="2.4848484848484849"/>
  </r>
  <r>
    <x v="9"/>
    <n v="49"/>
    <x v="2"/>
    <x v="1"/>
    <x v="3"/>
    <x v="25"/>
    <x v="0"/>
    <x v="1"/>
    <x v="2"/>
    <x v="64"/>
    <x v="15"/>
    <x v="8"/>
    <n v="30"/>
    <n v="0"/>
    <n v="80"/>
    <n v="73"/>
    <x v="15"/>
    <x v="64"/>
    <x v="43"/>
    <x v="138"/>
    <n v="1.6333333333333333"/>
    <n v="-4"/>
    <x v="0"/>
    <e v="#DIV/0!"/>
    <x v="152"/>
    <n v="-472"/>
    <n v="3212"/>
    <n v="-7.7041602465331282E-4"/>
    <s v="Dec-12"/>
    <x v="6"/>
    <n v="2.4081632653061225"/>
  </r>
  <r>
    <x v="78"/>
    <n v="55"/>
    <x v="2"/>
    <x v="1"/>
    <x v="3"/>
    <x v="24"/>
    <x v="0"/>
    <x v="1"/>
    <x v="3"/>
    <x v="37"/>
    <x v="41"/>
    <x v="14"/>
    <n v="40"/>
    <n v="-10"/>
    <n v="90"/>
    <n v="79"/>
    <x v="41"/>
    <x v="37"/>
    <x v="48"/>
    <x v="52"/>
    <n v="1.375"/>
    <n v="7"/>
    <x v="0"/>
    <n v="-10.3"/>
    <x v="57"/>
    <n v="-393"/>
    <n v="3871"/>
    <n v="-4.6736251752609438E-4"/>
    <s v="Dec-12"/>
    <x v="10"/>
    <n v="2.3818181818181818"/>
  </r>
  <r>
    <x v="0"/>
    <n v="39"/>
    <x v="3"/>
    <x v="0"/>
    <x v="0"/>
    <x v="13"/>
    <x v="1"/>
    <x v="3"/>
    <x v="7"/>
    <x v="54"/>
    <x v="62"/>
    <x v="0"/>
    <n v="30"/>
    <n v="50"/>
    <n v="80"/>
    <n v="24"/>
    <x v="62"/>
    <x v="54"/>
    <x v="89"/>
    <x v="91"/>
    <n v="1.3"/>
    <n v="-10"/>
    <x v="0"/>
    <n v="49.2"/>
    <x v="153"/>
    <n v="3840"/>
    <n v="288"/>
    <n v="3.4722222222222224E-2"/>
    <s v="Oct-13"/>
    <x v="3"/>
    <n v="2.4615384615384617"/>
  </r>
  <r>
    <x v="79"/>
    <n v="80"/>
    <x v="3"/>
    <x v="0"/>
    <x v="2"/>
    <x v="23"/>
    <x v="0"/>
    <x v="0"/>
    <x v="1"/>
    <x v="53"/>
    <x v="86"/>
    <x v="2"/>
    <n v="40"/>
    <n v="40"/>
    <n v="90"/>
    <n v="46"/>
    <x v="86"/>
    <x v="53"/>
    <x v="35"/>
    <x v="139"/>
    <n v="2"/>
    <n v="31"/>
    <x v="0"/>
    <n v="38.225000000000001"/>
    <x v="154"/>
    <n v="13135"/>
    <n v="1104"/>
    <n v="1.5990990990990991E-2"/>
    <s v="Oct-13"/>
    <x v="2"/>
    <n v="2.3125"/>
  </r>
  <r>
    <x v="43"/>
    <n v="54"/>
    <x v="3"/>
    <x v="0"/>
    <x v="0"/>
    <x v="14"/>
    <x v="0"/>
    <x v="1"/>
    <x v="2"/>
    <x v="60"/>
    <x v="51"/>
    <x v="0"/>
    <n v="30"/>
    <n v="30"/>
    <n v="80"/>
    <n v="53"/>
    <x v="51"/>
    <x v="60"/>
    <x v="26"/>
    <x v="96"/>
    <n v="1.8"/>
    <n v="-11"/>
    <x v="0"/>
    <n v="29.366666666666667"/>
    <x v="155"/>
    <n v="2432"/>
    <n v="1060"/>
    <n v="7.4218749999999997E-3"/>
    <s v="Oct-13"/>
    <x v="2"/>
    <n v="2.3703703703703702"/>
  </r>
  <r>
    <x v="1"/>
    <n v="54"/>
    <x v="3"/>
    <x v="0"/>
    <x v="0"/>
    <x v="20"/>
    <x v="0"/>
    <x v="1"/>
    <x v="11"/>
    <x v="54"/>
    <x v="53"/>
    <x v="0"/>
    <n v="30"/>
    <n v="40"/>
    <n v="80"/>
    <n v="37"/>
    <x v="53"/>
    <x v="54"/>
    <x v="32"/>
    <x v="55"/>
    <n v="1.8"/>
    <n v="0"/>
    <x v="0"/>
    <n v="39"/>
    <x v="156"/>
    <n v="5040"/>
    <n v="592"/>
    <n v="1.984126984126984E-2"/>
    <s v="Oct-13"/>
    <x v="1"/>
    <n v="2.3333333333333335"/>
  </r>
  <r>
    <x v="80"/>
    <n v="27"/>
    <x v="3"/>
    <x v="0"/>
    <x v="2"/>
    <x v="7"/>
    <x v="0"/>
    <x v="1"/>
    <x v="2"/>
    <x v="27"/>
    <x v="49"/>
    <x v="15"/>
    <n v="20"/>
    <n v="50"/>
    <n v="70"/>
    <n v="19"/>
    <x v="49"/>
    <x v="27"/>
    <x v="80"/>
    <x v="140"/>
    <n v="1.35"/>
    <n v="-20"/>
    <x v="0"/>
    <n v="49.4"/>
    <x v="157"/>
    <n v="2100"/>
    <n v="133"/>
    <n v="6.1224489795918366E-2"/>
    <s v="Oct-13"/>
    <x v="5"/>
    <n v="2.5925925925925926"/>
  </r>
  <r>
    <x v="81"/>
    <n v="76"/>
    <x v="3"/>
    <x v="0"/>
    <x v="3"/>
    <x v="28"/>
    <x v="0"/>
    <x v="1"/>
    <x v="11"/>
    <x v="73"/>
    <x v="87"/>
    <x v="3"/>
    <n v="30"/>
    <n v="50"/>
    <n v="80"/>
    <n v="32"/>
    <x v="87"/>
    <x v="73"/>
    <x v="90"/>
    <x v="141"/>
    <n v="2.5333333333333332"/>
    <n v="67"/>
    <x v="0"/>
    <n v="47.66"/>
    <x v="158"/>
    <n v="23283"/>
    <n v="672"/>
    <n v="2.7997128499641061E-2"/>
    <s v="Oct-13"/>
    <x v="3"/>
    <n v="2.6184210526315788"/>
  </r>
  <r>
    <x v="14"/>
    <n v="22"/>
    <x v="3"/>
    <x v="1"/>
    <x v="0"/>
    <x v="7"/>
    <x v="1"/>
    <x v="2"/>
    <x v="4"/>
    <x v="25"/>
    <x v="88"/>
    <x v="13"/>
    <n v="20"/>
    <n v="50"/>
    <n v="70"/>
    <n v="19"/>
    <x v="88"/>
    <x v="25"/>
    <x v="56"/>
    <x v="33"/>
    <n v="1.1000000000000001"/>
    <n v="-35"/>
    <x v="0"/>
    <n v="49.7"/>
    <x v="159"/>
    <n v="810"/>
    <n v="133"/>
    <n v="3.968253968253968E-2"/>
    <s v="Oct-13"/>
    <x v="5"/>
    <n v="2.4545454545454546"/>
  </r>
  <r>
    <x v="77"/>
    <n v="23"/>
    <x v="3"/>
    <x v="1"/>
    <x v="0"/>
    <x v="29"/>
    <x v="1"/>
    <x v="2"/>
    <x v="8"/>
    <x v="22"/>
    <x v="89"/>
    <x v="4"/>
    <n v="20"/>
    <n v="50"/>
    <n v="70"/>
    <n v="17"/>
    <x v="89"/>
    <x v="22"/>
    <x v="91"/>
    <x v="90"/>
    <n v="1.1499999999999999"/>
    <n v="-23"/>
    <x v="0"/>
    <n v="49.46"/>
    <x v="160"/>
    <n v="1674"/>
    <n v="102"/>
    <n v="7.2580645161290328E-2"/>
    <s v="Oct-13"/>
    <x v="5"/>
    <n v="2.6956521739130435"/>
  </r>
  <r>
    <x v="31"/>
    <n v="79"/>
    <x v="3"/>
    <x v="1"/>
    <x v="2"/>
    <x v="30"/>
    <x v="0"/>
    <x v="0"/>
    <x v="0"/>
    <x v="35"/>
    <x v="90"/>
    <x v="5"/>
    <n v="40"/>
    <n v="30"/>
    <n v="90"/>
    <n v="64"/>
    <x v="90"/>
    <x v="35"/>
    <x v="92"/>
    <x v="142"/>
    <n v="1.9750000000000001"/>
    <n v="20"/>
    <x v="0"/>
    <n v="28.333333333333332"/>
    <x v="161"/>
    <n v="9450"/>
    <n v="1920"/>
    <n v="8.8183421516754863E-3"/>
    <s v="Oct-13"/>
    <x v="0"/>
    <n v="2.3924050632911391"/>
  </r>
  <r>
    <x v="31"/>
    <n v="65"/>
    <x v="3"/>
    <x v="1"/>
    <x v="2"/>
    <x v="14"/>
    <x v="0"/>
    <x v="0"/>
    <x v="1"/>
    <x v="33"/>
    <x v="91"/>
    <x v="5"/>
    <n v="30"/>
    <n v="50"/>
    <n v="80"/>
    <n v="42"/>
    <x v="91"/>
    <x v="33"/>
    <x v="44"/>
    <x v="143"/>
    <n v="2.1666666666666665"/>
    <n v="2"/>
    <x v="0"/>
    <n v="48.96"/>
    <x v="162"/>
    <n v="7852"/>
    <n v="840"/>
    <n v="1.7218543046357615E-2"/>
    <s v="Oct-13"/>
    <x v="3"/>
    <n v="2.3230769230769233"/>
  </r>
  <r>
    <x v="14"/>
    <n v="46"/>
    <x v="3"/>
    <x v="1"/>
    <x v="0"/>
    <x v="10"/>
    <x v="0"/>
    <x v="1"/>
    <x v="2"/>
    <x v="16"/>
    <x v="10"/>
    <x v="13"/>
    <n v="20"/>
    <n v="40"/>
    <n v="70"/>
    <n v="37"/>
    <x v="10"/>
    <x v="16"/>
    <x v="21"/>
    <x v="93"/>
    <n v="2.2999999999999998"/>
    <n v="5"/>
    <x v="0"/>
    <n v="38.875"/>
    <x v="99"/>
    <n v="5400"/>
    <n v="518"/>
    <n v="2.6785714285714288E-2"/>
    <s v="Oct-13"/>
    <x v="3"/>
    <n v="2.6086956521739131"/>
  </r>
  <r>
    <x v="14"/>
    <n v="60"/>
    <x v="3"/>
    <x v="1"/>
    <x v="0"/>
    <x v="12"/>
    <x v="0"/>
    <x v="1"/>
    <x v="11"/>
    <x v="66"/>
    <x v="43"/>
    <x v="13"/>
    <n v="40"/>
    <n v="0"/>
    <n v="90"/>
    <n v="84"/>
    <x v="43"/>
    <x v="66"/>
    <x v="93"/>
    <x v="121"/>
    <n v="1.5"/>
    <n v="0"/>
    <x v="0"/>
    <e v="#DIV/0!"/>
    <x v="132"/>
    <n v="0"/>
    <e v="#DIV/0!"/>
    <n v="0"/>
    <s v="Oct-13"/>
    <x v="9"/>
    <n v="2.5499999999999998"/>
  </r>
  <r>
    <x v="16"/>
    <n v="60"/>
    <x v="3"/>
    <x v="1"/>
    <x v="3"/>
    <x v="31"/>
    <x v="0"/>
    <x v="1"/>
    <x v="2"/>
    <x v="74"/>
    <x v="92"/>
    <x v="14"/>
    <n v="20"/>
    <n v="40"/>
    <n v="70"/>
    <n v="42"/>
    <x v="92"/>
    <x v="74"/>
    <x v="94"/>
    <x v="144"/>
    <n v="3"/>
    <n v="45"/>
    <x v="0"/>
    <n v="37.875"/>
    <x v="163"/>
    <n v="14365"/>
    <n v="756"/>
    <n v="2.7942143326758713E-2"/>
    <s v="Oct-13"/>
    <x v="3"/>
    <n v="2.8166666666666669"/>
  </r>
  <r>
    <x v="82"/>
    <n v="40"/>
    <x v="4"/>
    <x v="0"/>
    <x v="0"/>
    <x v="2"/>
    <x v="0"/>
    <x v="0"/>
    <x v="0"/>
    <x v="54"/>
    <x v="55"/>
    <x v="16"/>
    <n v="30"/>
    <n v="30"/>
    <n v="80"/>
    <n v="25"/>
    <x v="55"/>
    <x v="54"/>
    <x v="31"/>
    <x v="81"/>
    <n v="1.3333333333333333"/>
    <n v="10"/>
    <x v="0"/>
    <n v="28.666666666666668"/>
    <x v="87"/>
    <n v="3920"/>
    <n v="325"/>
    <n v="3.1397174254317116E-2"/>
    <s v="Nov-13"/>
    <x v="2"/>
    <n v="2.4500000000000002"/>
  </r>
  <r>
    <x v="83"/>
    <n v="36"/>
    <x v="4"/>
    <x v="0"/>
    <x v="0"/>
    <x v="3"/>
    <x v="0"/>
    <x v="0"/>
    <x v="0"/>
    <x v="16"/>
    <x v="3"/>
    <x v="18"/>
    <n v="30"/>
    <n v="40"/>
    <n v="80"/>
    <n v="22"/>
    <x v="3"/>
    <x v="16"/>
    <x v="68"/>
    <x v="90"/>
    <n v="1.2"/>
    <n v="5"/>
    <x v="0"/>
    <n v="38.875"/>
    <x v="96"/>
    <n v="4230"/>
    <n v="220"/>
    <n v="4.7872340425531915E-2"/>
    <s v="Nov-13"/>
    <x v="1"/>
    <n v="2.6111111111111112"/>
  </r>
  <r>
    <x v="84"/>
    <n v="55"/>
    <x v="4"/>
    <x v="0"/>
    <x v="2"/>
    <x v="14"/>
    <x v="0"/>
    <x v="0"/>
    <x v="0"/>
    <x v="57"/>
    <x v="57"/>
    <x v="15"/>
    <n v="40"/>
    <n v="20"/>
    <n v="90"/>
    <n v="54"/>
    <x v="57"/>
    <x v="57"/>
    <x v="60"/>
    <x v="85"/>
    <n v="1.375"/>
    <n v="2"/>
    <x v="0"/>
    <n v="18.899999999999999"/>
    <x v="91"/>
    <n v="2904"/>
    <n v="1080"/>
    <n v="8.3333333333333332E-3"/>
    <s v="Nov-13"/>
    <x v="7"/>
    <n v="2.4"/>
  </r>
  <r>
    <x v="85"/>
    <n v="40"/>
    <x v="4"/>
    <x v="0"/>
    <x v="3"/>
    <x v="2"/>
    <x v="0"/>
    <x v="0"/>
    <x v="1"/>
    <x v="54"/>
    <x v="55"/>
    <x v="3"/>
    <n v="30"/>
    <n v="30"/>
    <n v="80"/>
    <n v="25"/>
    <x v="55"/>
    <x v="54"/>
    <x v="31"/>
    <x v="81"/>
    <n v="1.3333333333333333"/>
    <n v="10"/>
    <x v="0"/>
    <n v="28.666666666666668"/>
    <x v="87"/>
    <n v="3920"/>
    <n v="325"/>
    <n v="3.1397174254317116E-2"/>
    <s v="Nov-13"/>
    <x v="2"/>
    <n v="2.4500000000000002"/>
  </r>
  <r>
    <x v="72"/>
    <n v="28"/>
    <x v="4"/>
    <x v="0"/>
    <x v="2"/>
    <x v="7"/>
    <x v="0"/>
    <x v="1"/>
    <x v="2"/>
    <x v="28"/>
    <x v="93"/>
    <x v="2"/>
    <n v="20"/>
    <n v="40"/>
    <n v="70"/>
    <n v="19"/>
    <x v="93"/>
    <x v="28"/>
    <x v="67"/>
    <x v="145"/>
    <n v="1.4"/>
    <n v="-6"/>
    <x v="0"/>
    <n v="39.15"/>
    <x v="164"/>
    <n v="2550"/>
    <n v="133"/>
    <n v="6.4761904761904757E-2"/>
    <s v="Nov-13"/>
    <x v="3"/>
    <n v="2.6785714285714284"/>
  </r>
  <r>
    <x v="79"/>
    <n v="31"/>
    <x v="4"/>
    <x v="0"/>
    <x v="2"/>
    <x v="18"/>
    <x v="0"/>
    <x v="1"/>
    <x v="3"/>
    <x v="41"/>
    <x v="59"/>
    <x v="2"/>
    <n v="30"/>
    <n v="40"/>
    <n v="80"/>
    <n v="19"/>
    <x v="59"/>
    <x v="41"/>
    <x v="67"/>
    <x v="89"/>
    <n v="1.0333333333333334"/>
    <n v="2"/>
    <x v="0"/>
    <n v="38.950000000000003"/>
    <x v="95"/>
    <n v="3486"/>
    <n v="152"/>
    <n v="6.3253012048192767E-2"/>
    <s v="Nov-13"/>
    <x v="1"/>
    <n v="2.6774193548387095"/>
  </r>
  <r>
    <x v="80"/>
    <n v="32"/>
    <x v="4"/>
    <x v="0"/>
    <x v="2"/>
    <x v="18"/>
    <x v="0"/>
    <x v="1"/>
    <x v="3"/>
    <x v="58"/>
    <x v="39"/>
    <x v="15"/>
    <n v="30"/>
    <n v="40"/>
    <n v="80"/>
    <n v="19"/>
    <x v="39"/>
    <x v="58"/>
    <x v="74"/>
    <x v="146"/>
    <n v="1.0666666666666667"/>
    <n v="3"/>
    <x v="0"/>
    <n v="38.924999999999997"/>
    <x v="165"/>
    <n v="3655"/>
    <n v="152"/>
    <n v="6.3235294117647056E-2"/>
    <s v="Nov-13"/>
    <x v="1"/>
    <n v="2.65625"/>
  </r>
  <r>
    <x v="86"/>
    <n v="50"/>
    <x v="4"/>
    <x v="0"/>
    <x v="3"/>
    <x v="10"/>
    <x v="0"/>
    <x v="1"/>
    <x v="11"/>
    <x v="50"/>
    <x v="41"/>
    <x v="3"/>
    <n v="30"/>
    <n v="40"/>
    <n v="80"/>
    <n v="26"/>
    <x v="41"/>
    <x v="50"/>
    <x v="8"/>
    <x v="68"/>
    <n v="1.6666666666666667"/>
    <n v="30"/>
    <x v="0"/>
    <n v="38.25"/>
    <x v="166"/>
    <n v="9170"/>
    <n v="364"/>
    <n v="3.8167938931297711E-2"/>
    <s v="Nov-13"/>
    <x v="1"/>
    <n v="2.62"/>
  </r>
  <r>
    <x v="74"/>
    <n v="0"/>
    <x v="4"/>
    <x v="1"/>
    <x v="0"/>
    <x v="5"/>
    <x v="1"/>
    <x v="2"/>
    <x v="4"/>
    <x v="43"/>
    <x v="48"/>
    <x v="4"/>
    <n v="0"/>
    <n v="40"/>
    <n v="50"/>
    <n v="12"/>
    <x v="48"/>
    <x v="43"/>
    <x v="55"/>
    <x v="5"/>
    <e v="#DIV/0!"/>
    <n v="6"/>
    <x v="0"/>
    <n v="38.85"/>
    <x v="69"/>
    <n v="2116"/>
    <e v="#DIV/0!"/>
    <e v="#DIV/0!"/>
    <s v="Nov-13"/>
    <x v="12"/>
    <e v="#DIV/0!"/>
  </r>
  <r>
    <x v="39"/>
    <n v="82"/>
    <x v="4"/>
    <x v="1"/>
    <x v="1"/>
    <x v="26"/>
    <x v="1"/>
    <x v="3"/>
    <x v="5"/>
    <x v="55"/>
    <x v="45"/>
    <x v="17"/>
    <n v="90"/>
    <n v="10"/>
    <n v="140"/>
    <n v="48"/>
    <x v="45"/>
    <x v="55"/>
    <x v="19"/>
    <x v="147"/>
    <n v="0.91111111111111109"/>
    <n v="-22"/>
    <x v="0"/>
    <n v="11.2"/>
    <x v="167"/>
    <n v="-1560"/>
    <n v="1200"/>
    <n v="-3.6923076923076922E-3"/>
    <s v="Nov-13"/>
    <x v="13"/>
    <n v="1.5853658536585367"/>
  </r>
  <r>
    <x v="74"/>
    <n v="22"/>
    <x v="4"/>
    <x v="1"/>
    <x v="0"/>
    <x v="29"/>
    <x v="1"/>
    <x v="2"/>
    <x v="8"/>
    <x v="10"/>
    <x v="94"/>
    <x v="4"/>
    <n v="20"/>
    <n v="40"/>
    <n v="70"/>
    <n v="18"/>
    <x v="94"/>
    <x v="10"/>
    <x v="95"/>
    <x v="148"/>
    <n v="1.1000000000000001"/>
    <n v="-16"/>
    <x v="0"/>
    <n v="39.4"/>
    <x v="168"/>
    <n v="1440"/>
    <n v="108"/>
    <n v="6.6666666666666666E-2"/>
    <s v="Nov-13"/>
    <x v="3"/>
    <n v="2.7272727272727271"/>
  </r>
  <r>
    <x v="39"/>
    <n v="44"/>
    <x v="4"/>
    <x v="1"/>
    <x v="1"/>
    <x v="19"/>
    <x v="1"/>
    <x v="2"/>
    <x v="8"/>
    <x v="46"/>
    <x v="27"/>
    <x v="17"/>
    <n v="30"/>
    <n v="0"/>
    <n v="80"/>
    <n v="69"/>
    <x v="27"/>
    <x v="46"/>
    <x v="49"/>
    <x v="72"/>
    <n v="1.4666666666666666"/>
    <n v="-10"/>
    <x v="0"/>
    <e v="#DIV/0!"/>
    <x v="169"/>
    <n v="-1130"/>
    <n v="2760"/>
    <n v="-2.2123893805309734E-3"/>
    <s v="Nov-13"/>
    <x v="6"/>
    <n v="2.5681818181818183"/>
  </r>
  <r>
    <x v="8"/>
    <n v="33"/>
    <x v="4"/>
    <x v="1"/>
    <x v="3"/>
    <x v="13"/>
    <x v="1"/>
    <x v="3"/>
    <x v="7"/>
    <x v="15"/>
    <x v="95"/>
    <x v="7"/>
    <n v="30"/>
    <n v="10"/>
    <n v="80"/>
    <n v="45"/>
    <x v="95"/>
    <x v="15"/>
    <x v="58"/>
    <x v="149"/>
    <n v="1.1000000000000001"/>
    <n v="-16"/>
    <x v="0"/>
    <n v="10.6"/>
    <x v="170"/>
    <n v="-474"/>
    <n v="540"/>
    <n v="-6.3291139240506328E-3"/>
    <s v="Nov-13"/>
    <x v="7"/>
    <n v="2.393939393939394"/>
  </r>
  <r>
    <x v="26"/>
    <n v="44"/>
    <x v="4"/>
    <x v="1"/>
    <x v="0"/>
    <x v="19"/>
    <x v="0"/>
    <x v="0"/>
    <x v="10"/>
    <x v="55"/>
    <x v="27"/>
    <x v="12"/>
    <n v="40"/>
    <n v="0"/>
    <n v="90"/>
    <n v="70"/>
    <x v="27"/>
    <x v="55"/>
    <x v="61"/>
    <x v="94"/>
    <n v="1.1000000000000001"/>
    <n v="-12"/>
    <x v="0"/>
    <e v="#DIV/0!"/>
    <x v="101"/>
    <n v="-1356"/>
    <n v="2800"/>
    <n v="-2.6548672566371681E-3"/>
    <s v="Nov-13"/>
    <x v="9"/>
    <n v="2.5681818181818183"/>
  </r>
  <r>
    <x v="65"/>
    <n v="31"/>
    <x v="4"/>
    <x v="1"/>
    <x v="0"/>
    <x v="18"/>
    <x v="0"/>
    <x v="0"/>
    <x v="0"/>
    <x v="54"/>
    <x v="59"/>
    <x v="13"/>
    <n v="20"/>
    <n v="40"/>
    <n v="70"/>
    <n v="20"/>
    <x v="59"/>
    <x v="54"/>
    <x v="96"/>
    <x v="68"/>
    <n v="1.55"/>
    <n v="0"/>
    <x v="0"/>
    <n v="39"/>
    <x v="171"/>
    <n v="3320"/>
    <n v="160"/>
    <n v="6.0240963855421686E-2"/>
    <s v="Nov-13"/>
    <x v="3"/>
    <n v="2.6774193548387095"/>
  </r>
  <r>
    <x v="67"/>
    <n v="69"/>
    <x v="4"/>
    <x v="1"/>
    <x v="2"/>
    <x v="28"/>
    <x v="0"/>
    <x v="0"/>
    <x v="1"/>
    <x v="4"/>
    <x v="42"/>
    <x v="5"/>
    <n v="50"/>
    <n v="30"/>
    <n v="100"/>
    <n v="43"/>
    <x v="42"/>
    <x v="4"/>
    <x v="97"/>
    <x v="126"/>
    <n v="1.38"/>
    <n v="26"/>
    <x v="0"/>
    <n v="28.133333333333333"/>
    <x v="172"/>
    <n v="8960"/>
    <n v="903"/>
    <n v="1.6666666666666666E-2"/>
    <s v="Nov-13"/>
    <x v="7"/>
    <n v="2.318840579710145"/>
  </r>
  <r>
    <x v="65"/>
    <n v="49"/>
    <x v="4"/>
    <x v="1"/>
    <x v="0"/>
    <x v="6"/>
    <x v="0"/>
    <x v="1"/>
    <x v="2"/>
    <x v="31"/>
    <x v="51"/>
    <x v="13"/>
    <n v="40"/>
    <n v="20"/>
    <n v="90"/>
    <n v="38"/>
    <x v="51"/>
    <x v="31"/>
    <x v="2"/>
    <x v="69"/>
    <n v="1.2250000000000001"/>
    <n v="29"/>
    <x v="0"/>
    <n v="17.55"/>
    <x v="74"/>
    <n v="6272"/>
    <n v="570"/>
    <n v="2.5520833333333333E-2"/>
    <s v="Nov-13"/>
    <x v="7"/>
    <n v="2.6122448979591835"/>
  </r>
  <r>
    <x v="32"/>
    <n v="49"/>
    <x v="4"/>
    <x v="1"/>
    <x v="3"/>
    <x v="6"/>
    <x v="0"/>
    <x v="1"/>
    <x v="11"/>
    <x v="35"/>
    <x v="51"/>
    <x v="14"/>
    <n v="30"/>
    <n v="30"/>
    <n v="80"/>
    <n v="37"/>
    <x v="51"/>
    <x v="35"/>
    <x v="69"/>
    <x v="91"/>
    <n v="1.6333333333333333"/>
    <n v="20"/>
    <x v="0"/>
    <n v="28.333333333333332"/>
    <x v="97"/>
    <n v="6400"/>
    <n v="555"/>
    <n v="2.6041666666666668E-2"/>
    <s v="Nov-13"/>
    <x v="2"/>
    <n v="2.6122448979591835"/>
  </r>
  <r>
    <x v="1"/>
    <n v="43"/>
    <x v="5"/>
    <x v="0"/>
    <x v="0"/>
    <x v="10"/>
    <x v="1"/>
    <x v="3"/>
    <x v="7"/>
    <x v="58"/>
    <x v="28"/>
    <x v="0"/>
    <n v="40"/>
    <n v="30"/>
    <n v="90"/>
    <n v="27"/>
    <x v="28"/>
    <x v="58"/>
    <x v="17"/>
    <x v="150"/>
    <n v="1.075"/>
    <n v="13"/>
    <x v="0"/>
    <n v="28.566666666666666"/>
    <x v="173"/>
    <n v="4558"/>
    <n v="378"/>
    <n v="2.8975741239892185E-2"/>
    <s v="Dec-13"/>
    <x v="0"/>
    <n v="2.4651162790697674"/>
  </r>
  <r>
    <x v="87"/>
    <n v="41"/>
    <x v="5"/>
    <x v="0"/>
    <x v="0"/>
    <x v="2"/>
    <x v="1"/>
    <x v="3"/>
    <x v="7"/>
    <x v="18"/>
    <x v="68"/>
    <x v="18"/>
    <n v="40"/>
    <n v="20"/>
    <n v="90"/>
    <n v="36"/>
    <x v="68"/>
    <x v="18"/>
    <x v="16"/>
    <x v="103"/>
    <n v="1.0249999999999999"/>
    <n v="16"/>
    <x v="0"/>
    <n v="18.2"/>
    <x v="112"/>
    <n v="3888"/>
    <n v="468"/>
    <n v="2.564102564102564E-2"/>
    <s v="Dec-13"/>
    <x v="7"/>
    <n v="2.6341463414634148"/>
  </r>
  <r>
    <x v="80"/>
    <n v="47"/>
    <x v="5"/>
    <x v="0"/>
    <x v="2"/>
    <x v="22"/>
    <x v="1"/>
    <x v="2"/>
    <x v="8"/>
    <x v="75"/>
    <x v="28"/>
    <x v="15"/>
    <n v="40"/>
    <n v="-10"/>
    <n v="90"/>
    <n v="72"/>
    <x v="28"/>
    <x v="75"/>
    <x v="98"/>
    <x v="151"/>
    <n v="1.175"/>
    <n v="-20"/>
    <x v="0"/>
    <n v="-13"/>
    <x v="174"/>
    <n v="-3180"/>
    <n v="3024"/>
    <n v="-6.7385444743935314E-3"/>
    <s v="Dec-13"/>
    <x v="10"/>
    <n v="2.2553191489361701"/>
  </r>
  <r>
    <x v="82"/>
    <n v="43"/>
    <x v="5"/>
    <x v="0"/>
    <x v="0"/>
    <x v="10"/>
    <x v="0"/>
    <x v="0"/>
    <x v="0"/>
    <x v="58"/>
    <x v="28"/>
    <x v="16"/>
    <n v="40"/>
    <n v="30"/>
    <n v="90"/>
    <n v="27"/>
    <x v="28"/>
    <x v="58"/>
    <x v="17"/>
    <x v="150"/>
    <n v="1.075"/>
    <n v="13"/>
    <x v="0"/>
    <n v="28.566666666666666"/>
    <x v="173"/>
    <n v="4558"/>
    <n v="378"/>
    <n v="2.8975741239892185E-2"/>
    <s v="Dec-13"/>
    <x v="0"/>
    <n v="2.4651162790697674"/>
  </r>
  <r>
    <x v="85"/>
    <n v="43"/>
    <x v="5"/>
    <x v="0"/>
    <x v="3"/>
    <x v="10"/>
    <x v="0"/>
    <x v="0"/>
    <x v="1"/>
    <x v="58"/>
    <x v="28"/>
    <x v="3"/>
    <n v="40"/>
    <n v="30"/>
    <n v="90"/>
    <n v="27"/>
    <x v="28"/>
    <x v="58"/>
    <x v="17"/>
    <x v="150"/>
    <n v="1.075"/>
    <n v="13"/>
    <x v="0"/>
    <n v="28.566666666666666"/>
    <x v="173"/>
    <n v="4558"/>
    <n v="378"/>
    <n v="2.8975741239892185E-2"/>
    <s v="Dec-13"/>
    <x v="0"/>
    <n v="2.4651162790697674"/>
  </r>
  <r>
    <x v="0"/>
    <n v="46"/>
    <x v="5"/>
    <x v="0"/>
    <x v="0"/>
    <x v="1"/>
    <x v="0"/>
    <x v="1"/>
    <x v="2"/>
    <x v="76"/>
    <x v="96"/>
    <x v="0"/>
    <n v="30"/>
    <n v="10"/>
    <n v="80"/>
    <n v="51"/>
    <x v="96"/>
    <x v="76"/>
    <x v="99"/>
    <x v="152"/>
    <n v="1.5333333333333334"/>
    <n v="-1"/>
    <x v="0"/>
    <n v="9.1"/>
    <x v="160"/>
    <n v="990"/>
    <n v="867"/>
    <n v="4.8128342245989308E-3"/>
    <s v="Dec-13"/>
    <x v="7"/>
    <n v="2.3913043478260869"/>
  </r>
  <r>
    <x v="1"/>
    <n v="53"/>
    <x v="5"/>
    <x v="0"/>
    <x v="0"/>
    <x v="20"/>
    <x v="0"/>
    <x v="1"/>
    <x v="11"/>
    <x v="40"/>
    <x v="21"/>
    <x v="0"/>
    <n v="40"/>
    <n v="20"/>
    <n v="90"/>
    <n v="37"/>
    <x v="21"/>
    <x v="40"/>
    <x v="58"/>
    <x v="153"/>
    <n v="1.325"/>
    <n v="19"/>
    <x v="0"/>
    <n v="18.05"/>
    <x v="175"/>
    <n v="4836"/>
    <n v="592"/>
    <n v="1.9657258064516129E-2"/>
    <s v="Dec-13"/>
    <x v="7"/>
    <n v="2.3396226415094339"/>
  </r>
  <r>
    <x v="80"/>
    <n v="33"/>
    <x v="5"/>
    <x v="0"/>
    <x v="2"/>
    <x v="8"/>
    <x v="0"/>
    <x v="1"/>
    <x v="2"/>
    <x v="58"/>
    <x v="70"/>
    <x v="15"/>
    <n v="30"/>
    <n v="40"/>
    <n v="80"/>
    <n v="20"/>
    <x v="70"/>
    <x v="58"/>
    <x v="100"/>
    <x v="154"/>
    <n v="1.1000000000000001"/>
    <n v="3"/>
    <x v="0"/>
    <n v="38.924999999999997"/>
    <x v="176"/>
    <n v="3741"/>
    <n v="180"/>
    <n v="5.4916985951468711E-2"/>
    <s v="Dec-13"/>
    <x v="1"/>
    <n v="2.6363636363636362"/>
  </r>
  <r>
    <x v="88"/>
    <n v="34"/>
    <x v="5"/>
    <x v="0"/>
    <x v="2"/>
    <x v="8"/>
    <x v="0"/>
    <x v="1"/>
    <x v="3"/>
    <x v="16"/>
    <x v="69"/>
    <x v="2"/>
    <n v="30"/>
    <n v="40"/>
    <n v="80"/>
    <n v="21"/>
    <x v="69"/>
    <x v="16"/>
    <x v="66"/>
    <x v="68"/>
    <n v="1.1333333333333333"/>
    <n v="5"/>
    <x v="0"/>
    <n v="38.875"/>
    <x v="177"/>
    <n v="4095"/>
    <n v="189"/>
    <n v="5.4945054945054944E-2"/>
    <s v="Dec-13"/>
    <x v="1"/>
    <n v="2.6764705882352939"/>
  </r>
  <r>
    <x v="46"/>
    <n v="0"/>
    <x v="5"/>
    <x v="1"/>
    <x v="0"/>
    <x v="5"/>
    <x v="1"/>
    <x v="2"/>
    <x v="4"/>
    <x v="17"/>
    <x v="48"/>
    <x v="4"/>
    <n v="0"/>
    <n v="40"/>
    <n v="50"/>
    <n v="11"/>
    <x v="48"/>
    <x v="17"/>
    <x v="101"/>
    <x v="5"/>
    <e v="#DIV/0!"/>
    <n v="7"/>
    <x v="0"/>
    <n v="38.825000000000003"/>
    <x v="178"/>
    <n v="2162"/>
    <e v="#DIV/0!"/>
    <e v="#DIV/0!"/>
    <s v="Dec-13"/>
    <x v="12"/>
    <e v="#DIV/0!"/>
  </r>
  <r>
    <x v="11"/>
    <n v="43"/>
    <x v="5"/>
    <x v="1"/>
    <x v="1"/>
    <x v="2"/>
    <x v="1"/>
    <x v="2"/>
    <x v="4"/>
    <x v="54"/>
    <x v="27"/>
    <x v="10"/>
    <n v="30"/>
    <n v="20"/>
    <n v="80"/>
    <n v="36"/>
    <x v="27"/>
    <x v="54"/>
    <x v="15"/>
    <x v="81"/>
    <n v="1.4333333333333333"/>
    <n v="20"/>
    <x v="0"/>
    <n v="18"/>
    <x v="62"/>
    <n v="4520"/>
    <n v="468"/>
    <n v="2.7229407760381213E-2"/>
    <s v="Dec-13"/>
    <x v="0"/>
    <n v="2.6279069767441858"/>
  </r>
  <r>
    <x v="8"/>
    <n v="31"/>
    <x v="5"/>
    <x v="1"/>
    <x v="3"/>
    <x v="8"/>
    <x v="1"/>
    <x v="3"/>
    <x v="5"/>
    <x v="14"/>
    <x v="83"/>
    <x v="7"/>
    <n v="30"/>
    <n v="30"/>
    <n v="80"/>
    <n v="30"/>
    <x v="83"/>
    <x v="14"/>
    <x v="9"/>
    <x v="155"/>
    <n v="1.0333333333333334"/>
    <n v="-18"/>
    <x v="0"/>
    <n v="29.6"/>
    <x v="179"/>
    <n v="888"/>
    <n v="270"/>
    <n v="1.8018018018018018E-2"/>
    <s v="Dec-13"/>
    <x v="2"/>
    <n v="2.3870967741935485"/>
  </r>
  <r>
    <x v="74"/>
    <n v="23"/>
    <x v="5"/>
    <x v="1"/>
    <x v="0"/>
    <x v="29"/>
    <x v="1"/>
    <x v="2"/>
    <x v="8"/>
    <x v="65"/>
    <x v="89"/>
    <x v="4"/>
    <n v="20"/>
    <n v="40"/>
    <n v="70"/>
    <n v="18"/>
    <x v="89"/>
    <x v="65"/>
    <x v="102"/>
    <x v="156"/>
    <n v="1.1499999999999999"/>
    <n v="-15"/>
    <x v="0"/>
    <n v="39.375"/>
    <x v="180"/>
    <n v="1550"/>
    <n v="107.99999999999999"/>
    <n v="6.7204301075268827E-2"/>
    <s v="Dec-13"/>
    <x v="3"/>
    <n v="2.6956521739130435"/>
  </r>
  <r>
    <x v="29"/>
    <n v="41"/>
    <x v="5"/>
    <x v="1"/>
    <x v="1"/>
    <x v="13"/>
    <x v="1"/>
    <x v="2"/>
    <x v="8"/>
    <x v="43"/>
    <x v="11"/>
    <x v="10"/>
    <n v="30"/>
    <n v="20"/>
    <n v="80"/>
    <n v="35"/>
    <x v="11"/>
    <x v="43"/>
    <x v="103"/>
    <x v="157"/>
    <n v="1.3666666666666667"/>
    <n v="26"/>
    <x v="0"/>
    <n v="17.7"/>
    <x v="181"/>
    <n v="5244"/>
    <n v="420"/>
    <n v="3.3625730994152045E-2"/>
    <s v="Dec-13"/>
    <x v="0"/>
    <n v="2.7804878048780486"/>
  </r>
  <r>
    <x v="17"/>
    <n v="46"/>
    <x v="5"/>
    <x v="1"/>
    <x v="3"/>
    <x v="1"/>
    <x v="1"/>
    <x v="2"/>
    <x v="9"/>
    <x v="76"/>
    <x v="96"/>
    <x v="11"/>
    <n v="40"/>
    <n v="10"/>
    <n v="90"/>
    <n v="51"/>
    <x v="96"/>
    <x v="76"/>
    <x v="99"/>
    <x v="152"/>
    <n v="1.1499999999999999"/>
    <n v="-1"/>
    <x v="0"/>
    <n v="9.1"/>
    <x v="160"/>
    <n v="990"/>
    <n v="867"/>
    <n v="4.8128342245989308E-3"/>
    <s v="Dec-13"/>
    <x v="6"/>
    <n v="2.3913043478260869"/>
  </r>
  <r>
    <x v="14"/>
    <n v="43"/>
    <x v="5"/>
    <x v="1"/>
    <x v="0"/>
    <x v="2"/>
    <x v="0"/>
    <x v="1"/>
    <x v="2"/>
    <x v="41"/>
    <x v="27"/>
    <x v="13"/>
    <n v="30"/>
    <n v="20"/>
    <n v="80"/>
    <n v="35"/>
    <x v="27"/>
    <x v="41"/>
    <x v="37"/>
    <x v="62"/>
    <n v="1.4333333333333333"/>
    <n v="22"/>
    <x v="0"/>
    <n v="17.899999999999999"/>
    <x v="131"/>
    <n v="4746"/>
    <n v="455"/>
    <n v="2.8590878148400271E-2"/>
    <s v="Dec-13"/>
    <x v="0"/>
    <n v="2.6279069767441858"/>
  </r>
  <r>
    <x v="67"/>
    <n v="33"/>
    <x v="5"/>
    <x v="1"/>
    <x v="2"/>
    <x v="8"/>
    <x v="0"/>
    <x v="1"/>
    <x v="3"/>
    <x v="41"/>
    <x v="70"/>
    <x v="5"/>
    <n v="30"/>
    <n v="40"/>
    <n v="80"/>
    <n v="21"/>
    <x v="70"/>
    <x v="41"/>
    <x v="7"/>
    <x v="106"/>
    <n v="1.1000000000000001"/>
    <n v="2"/>
    <x v="0"/>
    <n v="38.950000000000003"/>
    <x v="115"/>
    <n v="3654"/>
    <n v="189"/>
    <n v="5.3639846743295021E-2"/>
    <s v="Dec-13"/>
    <x v="1"/>
    <n v="2.6363636363636362"/>
  </r>
  <r>
    <x v="9"/>
    <n v="49"/>
    <x v="5"/>
    <x v="1"/>
    <x v="3"/>
    <x v="25"/>
    <x v="0"/>
    <x v="1"/>
    <x v="2"/>
    <x v="15"/>
    <x v="53"/>
    <x v="8"/>
    <n v="30"/>
    <n v="0"/>
    <n v="80"/>
    <n v="73"/>
    <x v="53"/>
    <x v="15"/>
    <x v="104"/>
    <x v="158"/>
    <n v="1.6333333333333333"/>
    <n v="-6"/>
    <x v="0"/>
    <e v="#DIV/0!"/>
    <x v="182"/>
    <n v="-756"/>
    <n v="3212.0000000000005"/>
    <n v="-1.0822510822510823E-3"/>
    <s v="Dec-13"/>
    <x v="6"/>
    <n v="2.5714285714285716"/>
  </r>
  <r>
    <x v="30"/>
    <n v="55"/>
    <x v="5"/>
    <x v="1"/>
    <x v="3"/>
    <x v="24"/>
    <x v="0"/>
    <x v="1"/>
    <x v="3"/>
    <x v="64"/>
    <x v="71"/>
    <x v="14"/>
    <n v="40"/>
    <n v="-10"/>
    <n v="90"/>
    <n v="79"/>
    <x v="71"/>
    <x v="64"/>
    <x v="50"/>
    <x v="108"/>
    <n v="1.375"/>
    <n v="6"/>
    <x v="0"/>
    <n v="-10.4"/>
    <x v="117"/>
    <n v="-560"/>
    <n v="3871.0000000000005"/>
    <n v="-5.8309037900874635E-4"/>
    <s v="Dec-13"/>
    <x v="10"/>
    <n v="2.5454545454545454"/>
  </r>
  <r>
    <x v="89"/>
    <n v="39"/>
    <x v="0"/>
    <x v="0"/>
    <x v="0"/>
    <x v="13"/>
    <x v="0"/>
    <x v="0"/>
    <x v="0"/>
    <x v="22"/>
    <x v="31"/>
    <x v="16"/>
    <n v="20"/>
    <n v="40"/>
    <n v="60"/>
    <n v="24"/>
    <x v="31"/>
    <x v="22"/>
    <x v="17"/>
    <x v="115"/>
    <n v="1.95"/>
    <n v="-13"/>
    <x v="0"/>
    <n v="39.325000000000003"/>
    <x v="15"/>
    <n v="2430"/>
    <n v="288"/>
    <n v="2.5000000000000001E-2"/>
    <s v="Oct-12"/>
    <x v="5"/>
    <n v="2.3076923076923075"/>
  </r>
  <r>
    <x v="64"/>
    <n v="39"/>
    <x v="0"/>
    <x v="0"/>
    <x v="3"/>
    <x v="13"/>
    <x v="0"/>
    <x v="0"/>
    <x v="1"/>
    <x v="1"/>
    <x v="31"/>
    <x v="3"/>
    <n v="20"/>
    <n v="40"/>
    <n v="60"/>
    <n v="25"/>
    <x v="31"/>
    <x v="1"/>
    <x v="105"/>
    <x v="159"/>
    <n v="1.95"/>
    <n v="-14"/>
    <x v="0"/>
    <n v="39.35"/>
    <x v="183"/>
    <n v="2340"/>
    <n v="300"/>
    <n v="2.4074074074074074E-2"/>
    <s v="Oct-12"/>
    <x v="5"/>
    <n v="2.3076923076923075"/>
  </r>
  <r>
    <x v="39"/>
    <n v="86"/>
    <x v="0"/>
    <x v="1"/>
    <x v="1"/>
    <x v="32"/>
    <x v="1"/>
    <x v="3"/>
    <x v="5"/>
    <x v="77"/>
    <x v="12"/>
    <x v="17"/>
    <n v="110"/>
    <n v="10"/>
    <n v="150"/>
    <n v="49"/>
    <x v="12"/>
    <x v="77"/>
    <x v="106"/>
    <x v="160"/>
    <n v="0.78181818181818186"/>
    <n v="-36"/>
    <x v="0"/>
    <n v="12.6"/>
    <x v="184"/>
    <n v="-2834"/>
    <n v="1274"/>
    <n v="-9.1743119266055051E-3"/>
    <s v="Oct-12"/>
    <x v="14"/>
    <n v="1.2674418604651163"/>
  </r>
  <r>
    <x v="11"/>
    <n v="46"/>
    <x v="0"/>
    <x v="1"/>
    <x v="1"/>
    <x v="10"/>
    <x v="1"/>
    <x v="2"/>
    <x v="4"/>
    <x v="27"/>
    <x v="27"/>
    <x v="10"/>
    <n v="20"/>
    <n v="40"/>
    <n v="60"/>
    <n v="37"/>
    <x v="27"/>
    <x v="27"/>
    <x v="25"/>
    <x v="33"/>
    <n v="2.2999999999999998"/>
    <n v="-10"/>
    <x v="0"/>
    <n v="39.25"/>
    <x v="36"/>
    <n v="3390"/>
    <n v="518"/>
    <n v="1.8963337547408345E-2"/>
    <s v="Oct-12"/>
    <x v="5"/>
    <n v="2.4565217391304346"/>
  </r>
  <r>
    <x v="74"/>
    <n v="31"/>
    <x v="0"/>
    <x v="1"/>
    <x v="0"/>
    <x v="8"/>
    <x v="1"/>
    <x v="3"/>
    <x v="7"/>
    <x v="7"/>
    <x v="8"/>
    <x v="4"/>
    <n v="20"/>
    <n v="30"/>
    <n v="60"/>
    <n v="30"/>
    <x v="8"/>
    <x v="7"/>
    <x v="8"/>
    <x v="8"/>
    <n v="1.55"/>
    <n v="-23"/>
    <x v="0"/>
    <n v="29.766666666666666"/>
    <x v="8"/>
    <n v="476"/>
    <n v="270"/>
    <n v="1.1437908496732027E-2"/>
    <s v="Oct-12"/>
    <x v="3"/>
    <n v="2.193548387096774"/>
  </r>
  <r>
    <x v="39"/>
    <n v="45"/>
    <x v="0"/>
    <x v="1"/>
    <x v="1"/>
    <x v="11"/>
    <x v="1"/>
    <x v="2"/>
    <x v="8"/>
    <x v="15"/>
    <x v="12"/>
    <x v="17"/>
    <n v="20"/>
    <n v="10"/>
    <n v="60"/>
    <n v="70"/>
    <x v="12"/>
    <x v="15"/>
    <x v="14"/>
    <x v="16"/>
    <n v="2.25"/>
    <n v="-16"/>
    <x v="0"/>
    <n v="10.6"/>
    <x v="16"/>
    <n v="-654"/>
    <n v="2870"/>
    <n v="-1.342582233161781E-3"/>
    <s v="Oct-12"/>
    <x v="2"/>
    <n v="2.4222222222222221"/>
  </r>
  <r>
    <x v="15"/>
    <n v="32"/>
    <x v="0"/>
    <x v="1"/>
    <x v="3"/>
    <x v="18"/>
    <x v="1"/>
    <x v="2"/>
    <x v="9"/>
    <x v="2"/>
    <x v="95"/>
    <x v="8"/>
    <n v="20"/>
    <n v="40"/>
    <n v="60"/>
    <n v="19"/>
    <x v="95"/>
    <x v="2"/>
    <x v="57"/>
    <x v="3"/>
    <n v="1.6"/>
    <n v="-12"/>
    <x v="0"/>
    <n v="39.299999999999997"/>
    <x v="32"/>
    <n v="2212"/>
    <n v="152"/>
    <n v="4.4303797468354431E-2"/>
    <s v="Oct-12"/>
    <x v="5"/>
    <n v="2.46875"/>
  </r>
  <r>
    <x v="39"/>
    <n v="31"/>
    <x v="0"/>
    <x v="1"/>
    <x v="1"/>
    <x v="8"/>
    <x v="0"/>
    <x v="0"/>
    <x v="0"/>
    <x v="70"/>
    <x v="8"/>
    <x v="17"/>
    <n v="10"/>
    <n v="30"/>
    <n v="50"/>
    <n v="31"/>
    <x v="8"/>
    <x v="70"/>
    <x v="9"/>
    <x v="161"/>
    <n v="3.1"/>
    <n v="-24"/>
    <x v="0"/>
    <n v="29.8"/>
    <x v="185"/>
    <n v="408"/>
    <n v="279"/>
    <n v="9.8039215686274508E-3"/>
    <s v="Oct-12"/>
    <x v="5"/>
    <n v="2.193548387096774"/>
  </r>
  <r>
    <x v="54"/>
    <n v="39"/>
    <x v="0"/>
    <x v="1"/>
    <x v="0"/>
    <x v="13"/>
    <x v="0"/>
    <x v="1"/>
    <x v="2"/>
    <x v="32"/>
    <x v="19"/>
    <x v="12"/>
    <n v="20"/>
    <n v="30"/>
    <n v="60"/>
    <n v="40"/>
    <x v="19"/>
    <x v="32"/>
    <x v="2"/>
    <x v="162"/>
    <n v="1.95"/>
    <n v="-17"/>
    <x v="0"/>
    <n v="29.566666666666666"/>
    <x v="186"/>
    <n v="1196"/>
    <n v="480.00000000000006"/>
    <n v="1.1775362318840578E-2"/>
    <s v="Oct-12"/>
    <x v="3"/>
    <n v="2.358974358974359"/>
  </r>
  <r>
    <x v="67"/>
    <n v="24"/>
    <x v="0"/>
    <x v="1"/>
    <x v="2"/>
    <x v="29"/>
    <x v="0"/>
    <x v="1"/>
    <x v="3"/>
    <x v="47"/>
    <x v="94"/>
    <x v="5"/>
    <n v="20"/>
    <n v="40"/>
    <n v="60"/>
    <n v="18"/>
    <x v="94"/>
    <x v="47"/>
    <x v="74"/>
    <x v="7"/>
    <n v="1.2"/>
    <n v="-22"/>
    <x v="0"/>
    <n v="39.549999999999997"/>
    <x v="187"/>
    <n v="1080"/>
    <n v="108"/>
    <n v="0.05"/>
    <s v="Oct-12"/>
    <x v="5"/>
    <n v="2.5"/>
  </r>
  <r>
    <x v="10"/>
    <n v="0"/>
    <x v="0"/>
    <x v="1"/>
    <x v="2"/>
    <x v="5"/>
    <x v="0"/>
    <x v="1"/>
    <x v="3"/>
    <x v="71"/>
    <x v="5"/>
    <x v="9"/>
    <n v="0"/>
    <n v="40"/>
    <n v="40"/>
    <n v="11"/>
    <x v="5"/>
    <x v="71"/>
    <x v="88"/>
    <x v="5"/>
    <e v="#DIV/0!"/>
    <n v="-8"/>
    <x v="0"/>
    <n v="39.200000000000003"/>
    <x v="148"/>
    <n v="1376"/>
    <e v="#DIV/0!"/>
    <e v="#DIV/0!"/>
    <s v="Oct-12"/>
    <x v="4"/>
    <e v="#DIV/0!"/>
  </r>
  <r>
    <x v="15"/>
    <n v="45"/>
    <x v="0"/>
    <x v="1"/>
    <x v="3"/>
    <x v="11"/>
    <x v="0"/>
    <x v="1"/>
    <x v="2"/>
    <x v="15"/>
    <x v="12"/>
    <x v="8"/>
    <n v="10"/>
    <n v="20"/>
    <n v="50"/>
    <n v="70"/>
    <x v="12"/>
    <x v="15"/>
    <x v="14"/>
    <x v="16"/>
    <n v="4.5"/>
    <n v="-26"/>
    <x v="0"/>
    <n v="20.3"/>
    <x v="16"/>
    <n v="-654"/>
    <n v="2870"/>
    <n v="-1.342582233161781E-3"/>
    <s v="Oct-12"/>
    <x v="3"/>
    <n v="2.4222222222222221"/>
  </r>
  <r>
    <x v="32"/>
    <n v="60"/>
    <x v="0"/>
    <x v="1"/>
    <x v="3"/>
    <x v="12"/>
    <x v="0"/>
    <x v="1"/>
    <x v="3"/>
    <x v="66"/>
    <x v="13"/>
    <x v="14"/>
    <n v="20"/>
    <n v="10"/>
    <n v="60"/>
    <n v="84"/>
    <x v="13"/>
    <x v="66"/>
    <x v="50"/>
    <x v="121"/>
    <n v="3"/>
    <n v="-10"/>
    <x v="0"/>
    <n v="10"/>
    <x v="132"/>
    <n v="0"/>
    <e v="#DIV/0!"/>
    <n v="0"/>
    <s v="Oct-12"/>
    <x v="2"/>
    <n v="2.4"/>
  </r>
  <r>
    <x v="90"/>
    <n v="32"/>
    <x v="1"/>
    <x v="0"/>
    <x v="0"/>
    <x v="18"/>
    <x v="0"/>
    <x v="0"/>
    <x v="10"/>
    <x v="26"/>
    <x v="81"/>
    <x v="18"/>
    <n v="30"/>
    <n v="30"/>
    <n v="70"/>
    <n v="19"/>
    <x v="81"/>
    <x v="26"/>
    <x v="57"/>
    <x v="123"/>
    <n v="1.0666666666666667"/>
    <n v="-1"/>
    <x v="0"/>
    <n v="29.033333333333335"/>
    <x v="135"/>
    <n v="2320"/>
    <n v="152"/>
    <n v="4.5312499999999999E-2"/>
    <s v="Nov-12"/>
    <x v="1"/>
    <n v="2.5"/>
  </r>
  <r>
    <x v="59"/>
    <n v="54"/>
    <x v="1"/>
    <x v="0"/>
    <x v="2"/>
    <x v="14"/>
    <x v="0"/>
    <x v="0"/>
    <x v="0"/>
    <x v="32"/>
    <x v="26"/>
    <x v="2"/>
    <n v="40"/>
    <n v="10"/>
    <n v="80"/>
    <n v="54"/>
    <x v="26"/>
    <x v="32"/>
    <x v="13"/>
    <x v="37"/>
    <n v="1.35"/>
    <n v="3"/>
    <x v="0"/>
    <n v="8.6999999999999993"/>
    <x v="40"/>
    <n v="1573"/>
    <n v="1080"/>
    <n v="5.371900826446281E-3"/>
    <s v="Nov-12"/>
    <x v="7"/>
    <n v="2.2407407407407409"/>
  </r>
  <r>
    <x v="65"/>
    <n v="22"/>
    <x v="1"/>
    <x v="1"/>
    <x v="0"/>
    <x v="7"/>
    <x v="1"/>
    <x v="2"/>
    <x v="4"/>
    <x v="78"/>
    <x v="97"/>
    <x v="13"/>
    <n v="20"/>
    <n v="30"/>
    <n v="60"/>
    <n v="19"/>
    <x v="97"/>
    <x v="78"/>
    <x v="67"/>
    <x v="163"/>
    <n v="1.1000000000000001"/>
    <n v="-19"/>
    <x v="0"/>
    <n v="29.633333333333333"/>
    <x v="188"/>
    <n v="572"/>
    <n v="133"/>
    <n v="3.021978021978022E-2"/>
    <s v="Nov-12"/>
    <x v="3"/>
    <n v="2.3636363636363638"/>
  </r>
  <r>
    <x v="39"/>
    <n v="35"/>
    <x v="1"/>
    <x v="1"/>
    <x v="1"/>
    <x v="9"/>
    <x v="1"/>
    <x v="2"/>
    <x v="4"/>
    <x v="72"/>
    <x v="40"/>
    <x v="17"/>
    <n v="20"/>
    <n v="20"/>
    <n v="60"/>
    <n v="39"/>
    <x v="40"/>
    <x v="72"/>
    <x v="107"/>
    <x v="164"/>
    <n v="1.75"/>
    <n v="-12"/>
    <x v="0"/>
    <n v="19.600000000000001"/>
    <x v="189"/>
    <n v="656"/>
    <n v="429"/>
    <n v="8.869179600886918E-3"/>
    <s v="Nov-12"/>
    <x v="1"/>
    <n v="2.342857142857143"/>
  </r>
  <r>
    <x v="8"/>
    <n v="29"/>
    <x v="1"/>
    <x v="1"/>
    <x v="3"/>
    <x v="18"/>
    <x v="1"/>
    <x v="3"/>
    <x v="5"/>
    <x v="79"/>
    <x v="98"/>
    <x v="7"/>
    <n v="30"/>
    <n v="20"/>
    <n v="70"/>
    <n v="30"/>
    <x v="98"/>
    <x v="79"/>
    <x v="3"/>
    <x v="165"/>
    <n v="0.96666666666666667"/>
    <n v="-15"/>
    <x v="0"/>
    <n v="19.75"/>
    <x v="190"/>
    <n v="320"/>
    <n v="240"/>
    <n v="9.765625E-3"/>
    <s v="Nov-12"/>
    <x v="2"/>
    <n v="2.2068965517241379"/>
  </r>
  <r>
    <x v="46"/>
    <n v="29"/>
    <x v="1"/>
    <x v="1"/>
    <x v="0"/>
    <x v="18"/>
    <x v="1"/>
    <x v="3"/>
    <x v="7"/>
    <x v="79"/>
    <x v="98"/>
    <x v="4"/>
    <n v="20"/>
    <n v="20"/>
    <n v="60"/>
    <n v="30"/>
    <x v="98"/>
    <x v="79"/>
    <x v="3"/>
    <x v="165"/>
    <n v="1.45"/>
    <n v="-15"/>
    <x v="0"/>
    <n v="19.75"/>
    <x v="190"/>
    <n v="320"/>
    <n v="240"/>
    <n v="9.765625E-3"/>
    <s v="Nov-12"/>
    <x v="1"/>
    <n v="2.2068965517241379"/>
  </r>
  <r>
    <x v="10"/>
    <n v="34"/>
    <x v="1"/>
    <x v="1"/>
    <x v="2"/>
    <x v="13"/>
    <x v="1"/>
    <x v="2"/>
    <x v="12"/>
    <x v="37"/>
    <x v="99"/>
    <x v="9"/>
    <n v="30"/>
    <n v="0"/>
    <n v="70"/>
    <n v="45"/>
    <x v="99"/>
    <x v="37"/>
    <x v="2"/>
    <x v="72"/>
    <n v="1.1333333333333333"/>
    <n v="-3"/>
    <x v="0"/>
    <e v="#DIV/0!"/>
    <x v="77"/>
    <n v="-228"/>
    <n v="540"/>
    <n v="-3.2894736842105261E-3"/>
    <s v="Nov-12"/>
    <x v="7"/>
    <n v="2.2352941176470589"/>
  </r>
  <r>
    <x v="7"/>
    <n v="32"/>
    <x v="1"/>
    <x v="1"/>
    <x v="1"/>
    <x v="18"/>
    <x v="1"/>
    <x v="2"/>
    <x v="8"/>
    <x v="26"/>
    <x v="81"/>
    <x v="6"/>
    <n v="20"/>
    <n v="30"/>
    <n v="60"/>
    <n v="19"/>
    <x v="81"/>
    <x v="26"/>
    <x v="57"/>
    <x v="123"/>
    <n v="1.6"/>
    <n v="-1"/>
    <x v="0"/>
    <n v="29.033333333333335"/>
    <x v="135"/>
    <n v="2320"/>
    <n v="152"/>
    <n v="4.5312499999999999E-2"/>
    <s v="Nov-12"/>
    <x v="3"/>
    <n v="2.5"/>
  </r>
  <r>
    <x v="8"/>
    <n v="0"/>
    <x v="1"/>
    <x v="1"/>
    <x v="3"/>
    <x v="5"/>
    <x v="1"/>
    <x v="2"/>
    <x v="9"/>
    <x v="5"/>
    <x v="5"/>
    <x v="7"/>
    <n v="0"/>
    <n v="30"/>
    <n v="40"/>
    <n v="12"/>
    <x v="5"/>
    <x v="5"/>
    <x v="5"/>
    <x v="5"/>
    <e v="#DIV/0!"/>
    <n v="1"/>
    <x v="0"/>
    <n v="28.966666666666665"/>
    <x v="5"/>
    <n v="1333"/>
    <e v="#DIV/0!"/>
    <e v="#DIV/0!"/>
    <s v="Nov-12"/>
    <x v="12"/>
    <e v="#DIV/0!"/>
  </r>
  <r>
    <x v="9"/>
    <n v="33"/>
    <x v="1"/>
    <x v="1"/>
    <x v="3"/>
    <x v="8"/>
    <x v="1"/>
    <x v="2"/>
    <x v="9"/>
    <x v="22"/>
    <x v="24"/>
    <x v="8"/>
    <n v="30"/>
    <n v="30"/>
    <n v="70"/>
    <n v="21"/>
    <x v="24"/>
    <x v="22"/>
    <x v="29"/>
    <x v="7"/>
    <n v="1.1000000000000001"/>
    <n v="-3"/>
    <x v="0"/>
    <n v="29.1"/>
    <x v="31"/>
    <n v="2187"/>
    <n v="189"/>
    <n v="3.7037037037037035E-2"/>
    <s v="Nov-12"/>
    <x v="1"/>
    <n v="2.4545454545454546"/>
  </r>
  <r>
    <x v="13"/>
    <n v="82"/>
    <x v="1"/>
    <x v="1"/>
    <x v="0"/>
    <x v="26"/>
    <x v="0"/>
    <x v="0"/>
    <x v="0"/>
    <x v="48"/>
    <x v="0"/>
    <x v="12"/>
    <n v="70"/>
    <n v="0"/>
    <n v="110"/>
    <n v="49"/>
    <x v="0"/>
    <x v="48"/>
    <x v="108"/>
    <x v="166"/>
    <n v="1.1714285714285715"/>
    <n v="-9"/>
    <x v="0"/>
    <e v="#DIV/0!"/>
    <x v="191"/>
    <n v="-1098"/>
    <n v="1225"/>
    <n v="-2.9508196721311475E-3"/>
    <s v="Nov-12"/>
    <x v="8"/>
    <n v="1.4878048780487805"/>
  </r>
  <r>
    <x v="15"/>
    <n v="82"/>
    <x v="1"/>
    <x v="1"/>
    <x v="3"/>
    <x v="26"/>
    <x v="0"/>
    <x v="0"/>
    <x v="1"/>
    <x v="23"/>
    <x v="0"/>
    <x v="8"/>
    <n v="70"/>
    <n v="0"/>
    <n v="110"/>
    <n v="48"/>
    <x v="0"/>
    <x v="23"/>
    <x v="83"/>
    <x v="125"/>
    <n v="1.1714285714285715"/>
    <n v="-8"/>
    <x v="0"/>
    <e v="#DIV/0!"/>
    <x v="137"/>
    <n v="-976"/>
    <n v="1200"/>
    <n v="-2.6229508196721311E-3"/>
    <s v="Nov-12"/>
    <x v="8"/>
    <n v="1.4878048780487805"/>
  </r>
  <r>
    <x v="40"/>
    <n v="35"/>
    <x v="1"/>
    <x v="1"/>
    <x v="0"/>
    <x v="9"/>
    <x v="0"/>
    <x v="1"/>
    <x v="2"/>
    <x v="76"/>
    <x v="40"/>
    <x v="12"/>
    <n v="20"/>
    <n v="10"/>
    <n v="60"/>
    <n v="38"/>
    <x v="40"/>
    <x v="76"/>
    <x v="15"/>
    <x v="167"/>
    <n v="1.75"/>
    <n v="-1"/>
    <x v="0"/>
    <n v="9.1"/>
    <x v="192"/>
    <n v="738"/>
    <n v="418"/>
    <n v="9.977827050997784E-3"/>
    <s v="Nov-12"/>
    <x v="2"/>
    <n v="2.342857142857143"/>
  </r>
  <r>
    <x v="54"/>
    <n v="34"/>
    <x v="1"/>
    <x v="1"/>
    <x v="0"/>
    <x v="13"/>
    <x v="0"/>
    <x v="1"/>
    <x v="11"/>
    <x v="37"/>
    <x v="99"/>
    <x v="12"/>
    <n v="20"/>
    <n v="0"/>
    <n v="60"/>
    <n v="45"/>
    <x v="99"/>
    <x v="37"/>
    <x v="2"/>
    <x v="72"/>
    <n v="1.7"/>
    <n v="-3"/>
    <x v="0"/>
    <e v="#DIV/0!"/>
    <x v="77"/>
    <n v="-228"/>
    <n v="540"/>
    <n v="-3.2894736842105261E-3"/>
    <s v="Nov-12"/>
    <x v="0"/>
    <n v="2.2352941176470589"/>
  </r>
  <r>
    <x v="26"/>
    <n v="33"/>
    <x v="1"/>
    <x v="1"/>
    <x v="0"/>
    <x v="13"/>
    <x v="0"/>
    <x v="1"/>
    <x v="3"/>
    <x v="64"/>
    <x v="83"/>
    <x v="12"/>
    <n v="20"/>
    <n v="0"/>
    <n v="60"/>
    <n v="45"/>
    <x v="83"/>
    <x v="64"/>
    <x v="69"/>
    <x v="128"/>
    <n v="1.65"/>
    <n v="-4"/>
    <x v="0"/>
    <e v="#DIV/0!"/>
    <x v="140"/>
    <n v="-296"/>
    <n v="540"/>
    <n v="-4.5045045045045045E-3"/>
    <s v="Nov-12"/>
    <x v="0"/>
    <n v="2.2424242424242422"/>
  </r>
  <r>
    <x v="10"/>
    <n v="0"/>
    <x v="1"/>
    <x v="1"/>
    <x v="2"/>
    <x v="5"/>
    <x v="0"/>
    <x v="1"/>
    <x v="3"/>
    <x v="71"/>
    <x v="5"/>
    <x v="9"/>
    <n v="0"/>
    <n v="30"/>
    <n v="40"/>
    <n v="11"/>
    <x v="5"/>
    <x v="71"/>
    <x v="88"/>
    <x v="5"/>
    <e v="#DIV/0!"/>
    <n v="2"/>
    <x v="0"/>
    <n v="28.933333333333334"/>
    <x v="148"/>
    <n v="1376"/>
    <e v="#DIV/0!"/>
    <e v="#DIV/0!"/>
    <s v="Nov-12"/>
    <x v="12"/>
    <e v="#DIV/0!"/>
  </r>
  <r>
    <x v="9"/>
    <n v="44"/>
    <x v="1"/>
    <x v="1"/>
    <x v="3"/>
    <x v="19"/>
    <x v="0"/>
    <x v="1"/>
    <x v="2"/>
    <x v="11"/>
    <x v="28"/>
    <x v="8"/>
    <n v="30"/>
    <n v="-10"/>
    <n v="70"/>
    <n v="69"/>
    <x v="28"/>
    <x v="11"/>
    <x v="84"/>
    <x v="127"/>
    <n v="1.4666666666666666"/>
    <n v="3"/>
    <x v="0"/>
    <n v="-10.7"/>
    <x v="139"/>
    <n v="-742"/>
    <n v="2760"/>
    <n v="-1.6509433962264149E-3"/>
    <s v="Nov-12"/>
    <x v="6"/>
    <n v="2.4090909090909092"/>
  </r>
  <r>
    <x v="90"/>
    <n v="29"/>
    <x v="2"/>
    <x v="0"/>
    <x v="0"/>
    <x v="18"/>
    <x v="0"/>
    <x v="0"/>
    <x v="10"/>
    <x v="65"/>
    <x v="100"/>
    <x v="18"/>
    <n v="20"/>
    <n v="30"/>
    <n v="60"/>
    <n v="19"/>
    <x v="100"/>
    <x v="65"/>
    <x v="53"/>
    <x v="168"/>
    <n v="1.45"/>
    <n v="-5"/>
    <x v="0"/>
    <n v="29.166666666666668"/>
    <x v="193"/>
    <n v="1825"/>
    <n v="152"/>
    <n v="4.2808219178082189E-2"/>
    <s v="Dec-12"/>
    <x v="3"/>
    <n v="2.5172413793103448"/>
  </r>
  <r>
    <x v="87"/>
    <n v="33"/>
    <x v="2"/>
    <x v="0"/>
    <x v="0"/>
    <x v="8"/>
    <x v="0"/>
    <x v="0"/>
    <x v="0"/>
    <x v="26"/>
    <x v="40"/>
    <x v="18"/>
    <n v="30"/>
    <n v="30"/>
    <n v="70"/>
    <n v="20"/>
    <x v="40"/>
    <x v="26"/>
    <x v="62"/>
    <x v="134"/>
    <n v="1.1000000000000001"/>
    <n v="-1"/>
    <x v="0"/>
    <n v="29.033333333333335"/>
    <x v="146"/>
    <n v="2378"/>
    <n v="180"/>
    <n v="3.9295392953929538E-2"/>
    <s v="Dec-12"/>
    <x v="1"/>
    <n v="2.4848484848484849"/>
  </r>
  <r>
    <x v="63"/>
    <n v="46"/>
    <x v="2"/>
    <x v="0"/>
    <x v="2"/>
    <x v="1"/>
    <x v="0"/>
    <x v="0"/>
    <x v="0"/>
    <x v="7"/>
    <x v="84"/>
    <x v="15"/>
    <n v="30"/>
    <n v="10"/>
    <n v="70"/>
    <n v="50"/>
    <x v="84"/>
    <x v="7"/>
    <x v="27"/>
    <x v="169"/>
    <n v="1.5333333333333334"/>
    <n v="-3"/>
    <x v="0"/>
    <n v="9.3000000000000007"/>
    <x v="194"/>
    <n v="721"/>
    <n v="850"/>
    <n v="3.9977155910908054E-3"/>
    <s v="Dec-12"/>
    <x v="0"/>
    <n v="2.2391304347826089"/>
  </r>
  <r>
    <x v="91"/>
    <n v="30"/>
    <x v="2"/>
    <x v="0"/>
    <x v="2"/>
    <x v="18"/>
    <x v="0"/>
    <x v="1"/>
    <x v="2"/>
    <x v="1"/>
    <x v="93"/>
    <x v="2"/>
    <n v="30"/>
    <n v="30"/>
    <n v="70"/>
    <n v="19"/>
    <x v="93"/>
    <x v="1"/>
    <x v="68"/>
    <x v="170"/>
    <n v="1"/>
    <n v="-4"/>
    <x v="0"/>
    <n v="29.133333333333333"/>
    <x v="195"/>
    <n v="1950"/>
    <n v="152"/>
    <n v="4.3333333333333335E-2"/>
    <s v="Dec-12"/>
    <x v="1"/>
    <n v="2.5"/>
  </r>
  <r>
    <x v="84"/>
    <n v="29"/>
    <x v="2"/>
    <x v="0"/>
    <x v="2"/>
    <x v="18"/>
    <x v="0"/>
    <x v="1"/>
    <x v="3"/>
    <x v="65"/>
    <x v="100"/>
    <x v="15"/>
    <n v="30"/>
    <n v="30"/>
    <n v="70"/>
    <n v="19"/>
    <x v="100"/>
    <x v="65"/>
    <x v="53"/>
    <x v="168"/>
    <n v="0.96666666666666667"/>
    <n v="-5"/>
    <x v="0"/>
    <n v="29.166666666666668"/>
    <x v="193"/>
    <n v="1825"/>
    <n v="152"/>
    <n v="4.2808219178082189E-2"/>
    <s v="Dec-12"/>
    <x v="1"/>
    <n v="2.5172413793103448"/>
  </r>
  <r>
    <x v="14"/>
    <n v="24"/>
    <x v="2"/>
    <x v="1"/>
    <x v="0"/>
    <x v="7"/>
    <x v="1"/>
    <x v="2"/>
    <x v="4"/>
    <x v="32"/>
    <x v="82"/>
    <x v="13"/>
    <n v="30"/>
    <n v="30"/>
    <n v="70"/>
    <n v="19"/>
    <x v="82"/>
    <x v="32"/>
    <x v="96"/>
    <x v="171"/>
    <n v="0.8"/>
    <n v="-17"/>
    <x v="0"/>
    <n v="29.566666666666666"/>
    <x v="196"/>
    <n v="728"/>
    <n v="133"/>
    <n v="3.3163265306122451E-2"/>
    <s v="Dec-12"/>
    <x v="1"/>
    <n v="2.3333333333333335"/>
  </r>
  <r>
    <x v="48"/>
    <n v="0"/>
    <x v="2"/>
    <x v="1"/>
    <x v="3"/>
    <x v="5"/>
    <x v="1"/>
    <x v="2"/>
    <x v="9"/>
    <x v="5"/>
    <x v="5"/>
    <x v="7"/>
    <n v="0"/>
    <n v="30"/>
    <n v="40"/>
    <n v="12"/>
    <x v="5"/>
    <x v="5"/>
    <x v="5"/>
    <x v="5"/>
    <e v="#DIV/0!"/>
    <n v="1"/>
    <x v="0"/>
    <n v="28.966666666666665"/>
    <x v="5"/>
    <n v="1333"/>
    <e v="#DIV/0!"/>
    <e v="#DIV/0!"/>
    <s v="Dec-12"/>
    <x v="12"/>
    <e v="#DIV/0!"/>
  </r>
  <r>
    <x v="9"/>
    <n v="31"/>
    <x v="2"/>
    <x v="1"/>
    <x v="3"/>
    <x v="18"/>
    <x v="1"/>
    <x v="2"/>
    <x v="9"/>
    <x v="1"/>
    <x v="14"/>
    <x v="8"/>
    <n v="30"/>
    <n v="30"/>
    <n v="70"/>
    <n v="20"/>
    <x v="14"/>
    <x v="1"/>
    <x v="57"/>
    <x v="170"/>
    <n v="1.0333333333333334"/>
    <n v="-4"/>
    <x v="0"/>
    <n v="29.133333333333333"/>
    <x v="186"/>
    <n v="2002"/>
    <n v="160"/>
    <n v="4.2207792207792208E-2"/>
    <s v="Dec-12"/>
    <x v="1"/>
    <n v="2.4838709677419355"/>
  </r>
  <r>
    <x v="65"/>
    <n v="34"/>
    <x v="2"/>
    <x v="1"/>
    <x v="0"/>
    <x v="8"/>
    <x v="0"/>
    <x v="0"/>
    <x v="0"/>
    <x v="27"/>
    <x v="39"/>
    <x v="13"/>
    <n v="30"/>
    <n v="30"/>
    <n v="70"/>
    <n v="21"/>
    <x v="39"/>
    <x v="27"/>
    <x v="87"/>
    <x v="91"/>
    <n v="1.1333333333333333"/>
    <n v="0"/>
    <x v="0"/>
    <n v="29"/>
    <x v="147"/>
    <n v="2550"/>
    <n v="189"/>
    <n v="3.9215686274509803E-2"/>
    <s v="Dec-12"/>
    <x v="1"/>
    <n v="2.5"/>
  </r>
  <r>
    <x v="10"/>
    <n v="39"/>
    <x v="2"/>
    <x v="1"/>
    <x v="2"/>
    <x v="10"/>
    <x v="0"/>
    <x v="0"/>
    <x v="0"/>
    <x v="80"/>
    <x v="23"/>
    <x v="9"/>
    <n v="20"/>
    <n v="10"/>
    <n v="60"/>
    <n v="47"/>
    <x v="23"/>
    <x v="80"/>
    <x v="32"/>
    <x v="172"/>
    <n v="1.95"/>
    <n v="-8"/>
    <x v="0"/>
    <n v="9.8000000000000007"/>
    <x v="197"/>
    <n v="176"/>
    <n v="658"/>
    <n v="1.6233766233766233E-3"/>
    <s v="Dec-12"/>
    <x v="2"/>
    <n v="2.2564102564102564"/>
  </r>
  <r>
    <x v="39"/>
    <n v="31"/>
    <x v="2"/>
    <x v="1"/>
    <x v="1"/>
    <x v="8"/>
    <x v="0"/>
    <x v="0"/>
    <x v="0"/>
    <x v="7"/>
    <x v="85"/>
    <x v="17"/>
    <n v="20"/>
    <n v="20"/>
    <n v="60"/>
    <n v="31"/>
    <x v="85"/>
    <x v="7"/>
    <x v="9"/>
    <x v="8"/>
    <n v="1.55"/>
    <n v="-13"/>
    <x v="0"/>
    <n v="19.649999999999999"/>
    <x v="198"/>
    <n v="483"/>
    <n v="279"/>
    <n v="1.1272141706924315E-2"/>
    <s v="Dec-12"/>
    <x v="1"/>
    <n v="2.225806451612903"/>
  </r>
  <r>
    <x v="13"/>
    <n v="38"/>
    <x v="2"/>
    <x v="1"/>
    <x v="0"/>
    <x v="13"/>
    <x v="0"/>
    <x v="1"/>
    <x v="2"/>
    <x v="78"/>
    <x v="101"/>
    <x v="12"/>
    <n v="30"/>
    <n v="10"/>
    <n v="70"/>
    <n v="40"/>
    <x v="101"/>
    <x v="78"/>
    <x v="69"/>
    <x v="173"/>
    <n v="1.2666666666666666"/>
    <n v="1"/>
    <x v="0"/>
    <n v="8.9"/>
    <x v="199"/>
    <n v="979"/>
    <n v="480"/>
    <n v="1.0299625468164793E-2"/>
    <s v="Dec-12"/>
    <x v="0"/>
    <n v="2.3421052631578947"/>
  </r>
  <r>
    <x v="54"/>
    <n v="39"/>
    <x v="2"/>
    <x v="1"/>
    <x v="0"/>
    <x v="10"/>
    <x v="0"/>
    <x v="1"/>
    <x v="3"/>
    <x v="80"/>
    <x v="23"/>
    <x v="12"/>
    <n v="30"/>
    <n v="0"/>
    <n v="70"/>
    <n v="47"/>
    <x v="23"/>
    <x v="80"/>
    <x v="32"/>
    <x v="172"/>
    <n v="1.3"/>
    <n v="2"/>
    <x v="0"/>
    <e v="#DIV/0!"/>
    <x v="197"/>
    <n v="176"/>
    <n v="658"/>
    <n v="1.6233766233766233E-3"/>
    <s v="Dec-12"/>
    <x v="7"/>
    <n v="2.2564102564102564"/>
  </r>
  <r>
    <x v="10"/>
    <n v="0"/>
    <x v="2"/>
    <x v="1"/>
    <x v="2"/>
    <x v="5"/>
    <x v="0"/>
    <x v="1"/>
    <x v="3"/>
    <x v="71"/>
    <x v="5"/>
    <x v="9"/>
    <n v="0"/>
    <n v="30"/>
    <n v="40"/>
    <n v="11"/>
    <x v="5"/>
    <x v="71"/>
    <x v="88"/>
    <x v="5"/>
    <e v="#DIV/0!"/>
    <n v="2"/>
    <x v="0"/>
    <n v="28.933333333333334"/>
    <x v="148"/>
    <n v="1376"/>
    <e v="#DIV/0!"/>
    <e v="#DIV/0!"/>
    <s v="Dec-12"/>
    <x v="12"/>
    <e v="#DIV/0!"/>
  </r>
  <r>
    <x v="30"/>
    <n v="41"/>
    <x v="2"/>
    <x v="1"/>
    <x v="3"/>
    <x v="13"/>
    <x v="0"/>
    <x v="1"/>
    <x v="2"/>
    <x v="27"/>
    <x v="2"/>
    <x v="14"/>
    <n v="30"/>
    <n v="20"/>
    <n v="70"/>
    <n v="36"/>
    <x v="2"/>
    <x v="27"/>
    <x v="45"/>
    <x v="55"/>
    <n v="1.3666666666666667"/>
    <n v="10"/>
    <x v="0"/>
    <n v="18.5"/>
    <x v="11"/>
    <n v="3210"/>
    <n v="432"/>
    <n v="2.336448598130841E-2"/>
    <s v="Dec-12"/>
    <x v="2"/>
    <n v="2.6097560975609757"/>
  </r>
  <r>
    <x v="15"/>
    <n v="38"/>
    <x v="2"/>
    <x v="1"/>
    <x v="3"/>
    <x v="13"/>
    <x v="0"/>
    <x v="1"/>
    <x v="11"/>
    <x v="14"/>
    <x v="101"/>
    <x v="8"/>
    <n v="20"/>
    <n v="10"/>
    <n v="60"/>
    <n v="39"/>
    <x v="101"/>
    <x v="14"/>
    <x v="45"/>
    <x v="174"/>
    <n v="1.9"/>
    <n v="2"/>
    <x v="0"/>
    <n v="8.8000000000000007"/>
    <x v="200"/>
    <n v="1068"/>
    <n v="468"/>
    <n v="1.1235955056179775E-2"/>
    <s v="Dec-12"/>
    <x v="2"/>
    <n v="2.3421052631578947"/>
  </r>
  <r>
    <x v="30"/>
    <n v="43"/>
    <x v="2"/>
    <x v="1"/>
    <x v="3"/>
    <x v="2"/>
    <x v="0"/>
    <x v="1"/>
    <x v="11"/>
    <x v="2"/>
    <x v="28"/>
    <x v="14"/>
    <n v="30"/>
    <n v="20"/>
    <n v="70"/>
    <n v="35"/>
    <x v="28"/>
    <x v="2"/>
    <x v="69"/>
    <x v="2"/>
    <n v="1.4333333333333333"/>
    <n v="8"/>
    <x v="0"/>
    <n v="18.600000000000001"/>
    <x v="151"/>
    <n v="2968"/>
    <n v="455"/>
    <n v="2.0319303338171262E-2"/>
    <s v="Dec-12"/>
    <x v="2"/>
    <n v="2.4651162790697674"/>
  </r>
  <r>
    <x v="82"/>
    <n v="39"/>
    <x v="3"/>
    <x v="0"/>
    <x v="0"/>
    <x v="13"/>
    <x v="0"/>
    <x v="0"/>
    <x v="0"/>
    <x v="54"/>
    <x v="62"/>
    <x v="16"/>
    <n v="20"/>
    <n v="40"/>
    <n v="60"/>
    <n v="24"/>
    <x v="62"/>
    <x v="54"/>
    <x v="89"/>
    <x v="91"/>
    <n v="1.95"/>
    <n v="0"/>
    <x v="0"/>
    <n v="39"/>
    <x v="153"/>
    <n v="3840"/>
    <n v="288"/>
    <n v="3.4722222222222224E-2"/>
    <s v="Oct-13"/>
    <x v="5"/>
    <n v="2.4615384615384617"/>
  </r>
  <r>
    <x v="92"/>
    <n v="39"/>
    <x v="3"/>
    <x v="0"/>
    <x v="3"/>
    <x v="13"/>
    <x v="0"/>
    <x v="0"/>
    <x v="1"/>
    <x v="40"/>
    <x v="62"/>
    <x v="3"/>
    <n v="20"/>
    <n v="40"/>
    <n v="60"/>
    <n v="25"/>
    <x v="62"/>
    <x v="40"/>
    <x v="28"/>
    <x v="170"/>
    <n v="1.95"/>
    <n v="-1"/>
    <x v="0"/>
    <n v="39.024999999999999"/>
    <x v="201"/>
    <n v="3744"/>
    <n v="300"/>
    <n v="3.3854166666666664E-2"/>
    <s v="Oct-13"/>
    <x v="5"/>
    <n v="2.4615384615384617"/>
  </r>
  <r>
    <x v="39"/>
    <n v="86"/>
    <x v="3"/>
    <x v="1"/>
    <x v="1"/>
    <x v="32"/>
    <x v="1"/>
    <x v="3"/>
    <x v="5"/>
    <x v="81"/>
    <x v="52"/>
    <x v="17"/>
    <n v="110"/>
    <n v="10"/>
    <n v="150"/>
    <n v="49"/>
    <x v="52"/>
    <x v="81"/>
    <x v="109"/>
    <x v="175"/>
    <n v="0.78181818181818186"/>
    <n v="-49"/>
    <x v="0"/>
    <n v="13.9"/>
    <x v="202"/>
    <n v="-4524"/>
    <n v="1274"/>
    <n v="-1.2931034482758621E-2"/>
    <s v="Oct-13"/>
    <x v="14"/>
    <n v="1.3488372093023255"/>
  </r>
  <r>
    <x v="11"/>
    <n v="46"/>
    <x v="3"/>
    <x v="1"/>
    <x v="1"/>
    <x v="10"/>
    <x v="1"/>
    <x v="2"/>
    <x v="4"/>
    <x v="16"/>
    <x v="10"/>
    <x v="10"/>
    <n v="20"/>
    <n v="40"/>
    <n v="60"/>
    <n v="37"/>
    <x v="10"/>
    <x v="16"/>
    <x v="21"/>
    <x v="93"/>
    <n v="2.2999999999999998"/>
    <n v="5"/>
    <x v="0"/>
    <n v="38.875"/>
    <x v="99"/>
    <n v="5400"/>
    <n v="518"/>
    <n v="2.6785714285714288E-2"/>
    <s v="Oct-13"/>
    <x v="5"/>
    <n v="2.6086956521739131"/>
  </r>
  <r>
    <x v="74"/>
    <n v="31"/>
    <x v="3"/>
    <x v="1"/>
    <x v="0"/>
    <x v="8"/>
    <x v="1"/>
    <x v="3"/>
    <x v="7"/>
    <x v="44"/>
    <x v="50"/>
    <x v="4"/>
    <n v="20"/>
    <n v="30"/>
    <n v="60"/>
    <n v="30"/>
    <x v="50"/>
    <x v="44"/>
    <x v="9"/>
    <x v="67"/>
    <n v="1.55"/>
    <n v="-20"/>
    <x v="0"/>
    <n v="29.666666666666668"/>
    <x v="72"/>
    <n v="720"/>
    <n v="270"/>
    <n v="1.54320987654321E-2"/>
    <s v="Oct-13"/>
    <x v="3"/>
    <n v="2.3225806451612905"/>
  </r>
  <r>
    <x v="39"/>
    <n v="45"/>
    <x v="3"/>
    <x v="1"/>
    <x v="1"/>
    <x v="11"/>
    <x v="1"/>
    <x v="2"/>
    <x v="8"/>
    <x v="48"/>
    <x v="52"/>
    <x v="17"/>
    <n v="20"/>
    <n v="10"/>
    <n v="60"/>
    <n v="70"/>
    <x v="52"/>
    <x v="48"/>
    <x v="61"/>
    <x v="74"/>
    <n v="2.25"/>
    <n v="-19"/>
    <x v="0"/>
    <n v="10.9"/>
    <x v="79"/>
    <n v="-1044"/>
    <n v="2870"/>
    <n v="-1.8923465096719932E-3"/>
    <s v="Oct-13"/>
    <x v="2"/>
    <n v="2.5777777777777779"/>
  </r>
  <r>
    <x v="9"/>
    <n v="32"/>
    <x v="3"/>
    <x v="1"/>
    <x v="3"/>
    <x v="18"/>
    <x v="1"/>
    <x v="2"/>
    <x v="9"/>
    <x v="41"/>
    <x v="102"/>
    <x v="8"/>
    <n v="20"/>
    <n v="40"/>
    <n v="60"/>
    <n v="19"/>
    <x v="102"/>
    <x v="41"/>
    <x v="74"/>
    <x v="89"/>
    <n v="1.6"/>
    <n v="2"/>
    <x v="0"/>
    <n v="38.950000000000003"/>
    <x v="95"/>
    <n v="3528"/>
    <n v="152"/>
    <n v="6.25E-2"/>
    <s v="Oct-13"/>
    <x v="5"/>
    <n v="2.625"/>
  </r>
  <r>
    <x v="39"/>
    <n v="31"/>
    <x v="3"/>
    <x v="1"/>
    <x v="1"/>
    <x v="8"/>
    <x v="0"/>
    <x v="0"/>
    <x v="0"/>
    <x v="76"/>
    <x v="50"/>
    <x v="17"/>
    <n v="10"/>
    <n v="30"/>
    <n v="50"/>
    <n v="31"/>
    <x v="50"/>
    <x v="76"/>
    <x v="17"/>
    <x v="174"/>
    <n v="3.1"/>
    <n v="-21"/>
    <x v="0"/>
    <n v="29.7"/>
    <x v="203"/>
    <n v="648"/>
    <n v="279"/>
    <n v="1.3888888888888888E-2"/>
    <s v="Oct-13"/>
    <x v="5"/>
    <n v="2.3225806451612905"/>
  </r>
  <r>
    <x v="26"/>
    <n v="39"/>
    <x v="3"/>
    <x v="1"/>
    <x v="0"/>
    <x v="13"/>
    <x v="0"/>
    <x v="1"/>
    <x v="2"/>
    <x v="60"/>
    <x v="55"/>
    <x v="12"/>
    <n v="20"/>
    <n v="30"/>
    <n v="60"/>
    <n v="40"/>
    <x v="55"/>
    <x v="60"/>
    <x v="2"/>
    <x v="176"/>
    <n v="1.95"/>
    <n v="-11"/>
    <x v="0"/>
    <n v="29.366666666666667"/>
    <x v="114"/>
    <n v="1862"/>
    <n v="480"/>
    <n v="1.6156462585034014E-2"/>
    <s v="Oct-13"/>
    <x v="3"/>
    <n v="2.5128205128205128"/>
  </r>
  <r>
    <x v="31"/>
    <n v="24"/>
    <x v="3"/>
    <x v="1"/>
    <x v="2"/>
    <x v="29"/>
    <x v="0"/>
    <x v="1"/>
    <x v="3"/>
    <x v="22"/>
    <x v="98"/>
    <x v="5"/>
    <n v="20"/>
    <n v="40"/>
    <n v="60"/>
    <n v="18"/>
    <x v="98"/>
    <x v="22"/>
    <x v="102"/>
    <x v="90"/>
    <n v="1.2"/>
    <n v="-13"/>
    <x v="0"/>
    <n v="39.325000000000003"/>
    <x v="204"/>
    <n v="1728"/>
    <n v="108"/>
    <n v="7.03125E-2"/>
    <s v="Oct-13"/>
    <x v="5"/>
    <n v="2.6666666666666665"/>
  </r>
  <r>
    <x v="10"/>
    <n v="0"/>
    <x v="3"/>
    <x v="1"/>
    <x v="2"/>
    <x v="5"/>
    <x v="0"/>
    <x v="1"/>
    <x v="3"/>
    <x v="17"/>
    <x v="48"/>
    <x v="9"/>
    <n v="0"/>
    <n v="40"/>
    <n v="40"/>
    <n v="11"/>
    <x v="48"/>
    <x v="17"/>
    <x v="101"/>
    <x v="5"/>
    <e v="#DIV/0!"/>
    <n v="7"/>
    <x v="0"/>
    <n v="38.825000000000003"/>
    <x v="178"/>
    <n v="2162"/>
    <e v="#DIV/0!"/>
    <e v="#DIV/0!"/>
    <s v="Oct-13"/>
    <x v="4"/>
    <e v="#DIV/0!"/>
  </r>
  <r>
    <x v="9"/>
    <n v="45"/>
    <x v="3"/>
    <x v="1"/>
    <x v="3"/>
    <x v="11"/>
    <x v="0"/>
    <x v="1"/>
    <x v="2"/>
    <x v="48"/>
    <x v="52"/>
    <x v="8"/>
    <n v="10"/>
    <n v="20"/>
    <n v="50"/>
    <n v="70"/>
    <x v="52"/>
    <x v="48"/>
    <x v="61"/>
    <x v="74"/>
    <n v="4.5"/>
    <n v="-29"/>
    <x v="0"/>
    <n v="20.45"/>
    <x v="79"/>
    <n v="-1044"/>
    <n v="2870"/>
    <n v="-1.8923465096719932E-3"/>
    <s v="Oct-13"/>
    <x v="3"/>
    <n v="2.5777777777777779"/>
  </r>
  <r>
    <x v="32"/>
    <n v="60"/>
    <x v="3"/>
    <x v="1"/>
    <x v="3"/>
    <x v="12"/>
    <x v="0"/>
    <x v="1"/>
    <x v="3"/>
    <x v="66"/>
    <x v="43"/>
    <x v="14"/>
    <n v="20"/>
    <n v="10"/>
    <n v="60"/>
    <n v="84"/>
    <x v="43"/>
    <x v="66"/>
    <x v="93"/>
    <x v="121"/>
    <n v="3"/>
    <n v="-10"/>
    <x v="0"/>
    <n v="10"/>
    <x v="132"/>
    <n v="0"/>
    <e v="#DIV/0!"/>
    <n v="0"/>
    <s v="Oct-13"/>
    <x v="2"/>
    <n v="2.5499999999999998"/>
  </r>
  <r>
    <x v="93"/>
    <n v="32"/>
    <x v="4"/>
    <x v="0"/>
    <x v="0"/>
    <x v="18"/>
    <x v="0"/>
    <x v="0"/>
    <x v="10"/>
    <x v="58"/>
    <x v="39"/>
    <x v="18"/>
    <n v="30"/>
    <n v="30"/>
    <n v="70"/>
    <n v="19"/>
    <x v="39"/>
    <x v="58"/>
    <x v="74"/>
    <x v="146"/>
    <n v="1.0666666666666667"/>
    <n v="13"/>
    <x v="0"/>
    <n v="28.566666666666666"/>
    <x v="165"/>
    <n v="3655"/>
    <n v="152"/>
    <n v="6.3235294117647056E-2"/>
    <s v="Nov-13"/>
    <x v="1"/>
    <n v="2.65625"/>
  </r>
  <r>
    <x v="35"/>
    <n v="54"/>
    <x v="4"/>
    <x v="0"/>
    <x v="2"/>
    <x v="14"/>
    <x v="0"/>
    <x v="0"/>
    <x v="0"/>
    <x v="60"/>
    <x v="60"/>
    <x v="2"/>
    <n v="40"/>
    <n v="10"/>
    <n v="80"/>
    <n v="54"/>
    <x v="60"/>
    <x v="60"/>
    <x v="60"/>
    <x v="96"/>
    <n v="1.35"/>
    <n v="9"/>
    <x v="0"/>
    <n v="8.1"/>
    <x v="103"/>
    <n v="2451"/>
    <n v="1080"/>
    <n v="7.3643410852713177E-3"/>
    <s v="Nov-13"/>
    <x v="7"/>
    <n v="2.3888888888888888"/>
  </r>
  <r>
    <x v="41"/>
    <n v="22"/>
    <x v="4"/>
    <x v="1"/>
    <x v="0"/>
    <x v="7"/>
    <x v="1"/>
    <x v="2"/>
    <x v="4"/>
    <x v="38"/>
    <x v="103"/>
    <x v="13"/>
    <n v="20"/>
    <n v="30"/>
    <n v="60"/>
    <n v="19"/>
    <x v="103"/>
    <x v="38"/>
    <x v="56"/>
    <x v="177"/>
    <n v="1.1000000000000001"/>
    <n v="-14"/>
    <x v="0"/>
    <n v="29.466666666666665"/>
    <x v="205"/>
    <n v="880"/>
    <n v="133"/>
    <n v="4.1558441558441558E-2"/>
    <s v="Nov-13"/>
    <x v="3"/>
    <n v="2.5"/>
  </r>
  <r>
    <x v="39"/>
    <n v="35"/>
    <x v="4"/>
    <x v="1"/>
    <x v="1"/>
    <x v="9"/>
    <x v="1"/>
    <x v="2"/>
    <x v="4"/>
    <x v="14"/>
    <x v="70"/>
    <x v="17"/>
    <n v="20"/>
    <n v="20"/>
    <n v="60"/>
    <n v="39"/>
    <x v="70"/>
    <x v="14"/>
    <x v="21"/>
    <x v="178"/>
    <n v="1.75"/>
    <n v="-8"/>
    <x v="0"/>
    <n v="19.399999999999999"/>
    <x v="200"/>
    <n v="1044"/>
    <n v="429.00000000000006"/>
    <n v="1.2539184952978056E-2"/>
    <s v="Nov-13"/>
    <x v="1"/>
    <n v="2.4857142857142858"/>
  </r>
  <r>
    <x v="48"/>
    <n v="29"/>
    <x v="4"/>
    <x v="1"/>
    <x v="3"/>
    <x v="18"/>
    <x v="1"/>
    <x v="3"/>
    <x v="5"/>
    <x v="7"/>
    <x v="8"/>
    <x v="7"/>
    <n v="30"/>
    <n v="20"/>
    <n v="70"/>
    <n v="30"/>
    <x v="8"/>
    <x v="7"/>
    <x v="8"/>
    <x v="179"/>
    <n v="0.96666666666666667"/>
    <n v="-13"/>
    <x v="0"/>
    <n v="19.649999999999999"/>
    <x v="8"/>
    <n v="476"/>
    <n v="240"/>
    <n v="1.2867647058823529E-2"/>
    <s v="Nov-13"/>
    <x v="2"/>
    <n v="2.3448275862068964"/>
  </r>
  <r>
    <x v="74"/>
    <n v="29"/>
    <x v="4"/>
    <x v="1"/>
    <x v="0"/>
    <x v="18"/>
    <x v="1"/>
    <x v="3"/>
    <x v="7"/>
    <x v="7"/>
    <x v="8"/>
    <x v="4"/>
    <n v="20"/>
    <n v="20"/>
    <n v="60"/>
    <n v="30"/>
    <x v="8"/>
    <x v="7"/>
    <x v="8"/>
    <x v="179"/>
    <n v="1.45"/>
    <n v="-13"/>
    <x v="0"/>
    <n v="19.649999999999999"/>
    <x v="8"/>
    <n v="476"/>
    <n v="240"/>
    <n v="1.2867647058823529E-2"/>
    <s v="Nov-13"/>
    <x v="1"/>
    <n v="2.3448275862068964"/>
  </r>
  <r>
    <x v="10"/>
    <n v="34"/>
    <x v="4"/>
    <x v="1"/>
    <x v="2"/>
    <x v="13"/>
    <x v="1"/>
    <x v="2"/>
    <x v="12"/>
    <x v="64"/>
    <x v="24"/>
    <x v="9"/>
    <n v="30"/>
    <n v="0"/>
    <n v="70"/>
    <n v="45"/>
    <x v="24"/>
    <x v="64"/>
    <x v="58"/>
    <x v="128"/>
    <n v="1.1333333333333333"/>
    <n v="-4"/>
    <x v="0"/>
    <e v="#DIV/0!"/>
    <x v="140"/>
    <n v="-324"/>
    <n v="540"/>
    <n v="-4.1152263374485592E-3"/>
    <s v="Nov-13"/>
    <x v="7"/>
    <n v="2.3823529411764706"/>
  </r>
  <r>
    <x v="28"/>
    <n v="32"/>
    <x v="4"/>
    <x v="1"/>
    <x v="1"/>
    <x v="18"/>
    <x v="1"/>
    <x v="2"/>
    <x v="8"/>
    <x v="58"/>
    <x v="39"/>
    <x v="6"/>
    <n v="20"/>
    <n v="30"/>
    <n v="60"/>
    <n v="19"/>
    <x v="39"/>
    <x v="58"/>
    <x v="74"/>
    <x v="146"/>
    <n v="1.6"/>
    <n v="13"/>
    <x v="0"/>
    <n v="28.566666666666666"/>
    <x v="165"/>
    <n v="3655"/>
    <n v="152"/>
    <n v="6.3235294117647056E-2"/>
    <s v="Nov-13"/>
    <x v="3"/>
    <n v="2.65625"/>
  </r>
  <r>
    <x v="8"/>
    <n v="0"/>
    <x v="4"/>
    <x v="1"/>
    <x v="3"/>
    <x v="5"/>
    <x v="1"/>
    <x v="2"/>
    <x v="9"/>
    <x v="43"/>
    <x v="48"/>
    <x v="7"/>
    <n v="0"/>
    <n v="30"/>
    <n v="40"/>
    <n v="12"/>
    <x v="48"/>
    <x v="43"/>
    <x v="55"/>
    <x v="5"/>
    <e v="#DIV/0!"/>
    <n v="16"/>
    <x v="0"/>
    <n v="28.466666666666665"/>
    <x v="69"/>
    <n v="2116"/>
    <e v="#DIV/0!"/>
    <e v="#DIV/0!"/>
    <s v="Nov-13"/>
    <x v="12"/>
    <e v="#DIV/0!"/>
  </r>
  <r>
    <x v="9"/>
    <n v="33"/>
    <x v="4"/>
    <x v="1"/>
    <x v="3"/>
    <x v="8"/>
    <x v="1"/>
    <x v="2"/>
    <x v="9"/>
    <x v="54"/>
    <x v="58"/>
    <x v="8"/>
    <n v="30"/>
    <n v="30"/>
    <n v="70"/>
    <n v="21"/>
    <x v="58"/>
    <x v="54"/>
    <x v="66"/>
    <x v="88"/>
    <n v="1.1000000000000001"/>
    <n v="10"/>
    <x v="0"/>
    <n v="28.666666666666668"/>
    <x v="94"/>
    <n v="3440"/>
    <n v="189"/>
    <n v="5.1679586563307497E-2"/>
    <s v="Nov-13"/>
    <x v="1"/>
    <n v="2.606060606060606"/>
  </r>
  <r>
    <x v="26"/>
    <n v="82"/>
    <x v="4"/>
    <x v="1"/>
    <x v="0"/>
    <x v="26"/>
    <x v="0"/>
    <x v="0"/>
    <x v="0"/>
    <x v="82"/>
    <x v="45"/>
    <x v="12"/>
    <n v="70"/>
    <n v="0"/>
    <n v="110"/>
    <n v="49"/>
    <x v="45"/>
    <x v="82"/>
    <x v="12"/>
    <x v="180"/>
    <n v="1.1714285714285715"/>
    <n v="-13"/>
    <x v="0"/>
    <e v="#DIV/0!"/>
    <x v="206"/>
    <n v="-1690"/>
    <n v="1225"/>
    <n v="-4.0000000000000001E-3"/>
    <s v="Nov-13"/>
    <x v="8"/>
    <n v="1.5853658536585367"/>
  </r>
  <r>
    <x v="9"/>
    <n v="82"/>
    <x v="4"/>
    <x v="1"/>
    <x v="3"/>
    <x v="26"/>
    <x v="0"/>
    <x v="0"/>
    <x v="1"/>
    <x v="55"/>
    <x v="45"/>
    <x v="8"/>
    <n v="70"/>
    <n v="0"/>
    <n v="110"/>
    <n v="48"/>
    <x v="45"/>
    <x v="55"/>
    <x v="19"/>
    <x v="147"/>
    <n v="1.1714285714285715"/>
    <n v="-12"/>
    <x v="0"/>
    <e v="#DIV/0!"/>
    <x v="167"/>
    <n v="-1560"/>
    <n v="1200"/>
    <n v="-3.6923076923076922E-3"/>
    <s v="Nov-13"/>
    <x v="8"/>
    <n v="1.5853658536585367"/>
  </r>
  <r>
    <x v="54"/>
    <n v="35"/>
    <x v="4"/>
    <x v="1"/>
    <x v="0"/>
    <x v="9"/>
    <x v="0"/>
    <x v="1"/>
    <x v="2"/>
    <x v="32"/>
    <x v="70"/>
    <x v="12"/>
    <n v="20"/>
    <n v="10"/>
    <n v="60"/>
    <n v="38"/>
    <x v="70"/>
    <x v="32"/>
    <x v="107"/>
    <x v="181"/>
    <n v="1.75"/>
    <n v="3"/>
    <x v="0"/>
    <n v="8.6999999999999993"/>
    <x v="195"/>
    <n v="1131"/>
    <n v="418"/>
    <n v="1.3584117032392895E-2"/>
    <s v="Nov-13"/>
    <x v="2"/>
    <n v="2.4857142857142858"/>
  </r>
  <r>
    <x v="13"/>
    <n v="34"/>
    <x v="4"/>
    <x v="1"/>
    <x v="0"/>
    <x v="13"/>
    <x v="0"/>
    <x v="1"/>
    <x v="11"/>
    <x v="64"/>
    <x v="24"/>
    <x v="12"/>
    <n v="20"/>
    <n v="0"/>
    <n v="60"/>
    <n v="45"/>
    <x v="24"/>
    <x v="64"/>
    <x v="58"/>
    <x v="128"/>
    <n v="1.7"/>
    <n v="-4"/>
    <x v="0"/>
    <e v="#DIV/0!"/>
    <x v="140"/>
    <n v="-324"/>
    <n v="540"/>
    <n v="-4.1152263374485592E-3"/>
    <s v="Nov-13"/>
    <x v="0"/>
    <n v="2.3823529411764706"/>
  </r>
  <r>
    <x v="26"/>
    <n v="33"/>
    <x v="4"/>
    <x v="1"/>
    <x v="0"/>
    <x v="13"/>
    <x v="0"/>
    <x v="1"/>
    <x v="3"/>
    <x v="15"/>
    <x v="95"/>
    <x v="12"/>
    <n v="20"/>
    <n v="0"/>
    <n v="60"/>
    <n v="45"/>
    <x v="95"/>
    <x v="15"/>
    <x v="58"/>
    <x v="149"/>
    <n v="1.65"/>
    <n v="-6"/>
    <x v="0"/>
    <e v="#DIV/0!"/>
    <x v="170"/>
    <n v="-474"/>
    <n v="540"/>
    <n v="-6.3291139240506328E-3"/>
    <s v="Nov-13"/>
    <x v="0"/>
    <n v="2.393939393939394"/>
  </r>
  <r>
    <x v="10"/>
    <n v="0"/>
    <x v="4"/>
    <x v="1"/>
    <x v="2"/>
    <x v="5"/>
    <x v="0"/>
    <x v="1"/>
    <x v="3"/>
    <x v="17"/>
    <x v="48"/>
    <x v="9"/>
    <n v="0"/>
    <n v="30"/>
    <n v="40"/>
    <n v="11"/>
    <x v="48"/>
    <x v="17"/>
    <x v="101"/>
    <x v="5"/>
    <e v="#DIV/0!"/>
    <n v="17"/>
    <x v="0"/>
    <n v="28.433333333333334"/>
    <x v="178"/>
    <n v="2162"/>
    <e v="#DIV/0!"/>
    <e v="#DIV/0!"/>
    <s v="Nov-13"/>
    <x v="12"/>
    <e v="#DIV/0!"/>
  </r>
  <r>
    <x v="9"/>
    <n v="44"/>
    <x v="4"/>
    <x v="1"/>
    <x v="3"/>
    <x v="19"/>
    <x v="0"/>
    <x v="1"/>
    <x v="2"/>
    <x v="46"/>
    <x v="27"/>
    <x v="8"/>
    <n v="30"/>
    <n v="-10"/>
    <n v="70"/>
    <n v="69"/>
    <x v="27"/>
    <x v="46"/>
    <x v="49"/>
    <x v="72"/>
    <n v="1.4666666666666666"/>
    <n v="0"/>
    <x v="0"/>
    <n v="-11"/>
    <x v="169"/>
    <n v="-1130"/>
    <n v="2760"/>
    <n v="-2.2123893805309734E-3"/>
    <s v="Nov-13"/>
    <x v="6"/>
    <n v="2.5681818181818183"/>
  </r>
  <r>
    <x v="69"/>
    <n v="29"/>
    <x v="5"/>
    <x v="0"/>
    <x v="0"/>
    <x v="18"/>
    <x v="0"/>
    <x v="0"/>
    <x v="10"/>
    <x v="8"/>
    <x v="25"/>
    <x v="18"/>
    <n v="20"/>
    <n v="30"/>
    <n v="60"/>
    <n v="19"/>
    <x v="25"/>
    <x v="8"/>
    <x v="67"/>
    <x v="182"/>
    <n v="1.45"/>
    <n v="7"/>
    <x v="0"/>
    <n v="28.766666666666666"/>
    <x v="207"/>
    <n v="2886"/>
    <n v="152"/>
    <n v="5.9294871794871792E-2"/>
    <s v="Dec-13"/>
    <x v="3"/>
    <n v="2.6896551724137931"/>
  </r>
  <r>
    <x v="93"/>
    <n v="33"/>
    <x v="5"/>
    <x v="0"/>
    <x v="0"/>
    <x v="8"/>
    <x v="0"/>
    <x v="0"/>
    <x v="0"/>
    <x v="58"/>
    <x v="70"/>
    <x v="18"/>
    <n v="30"/>
    <n v="30"/>
    <n v="70"/>
    <n v="20"/>
    <x v="70"/>
    <x v="58"/>
    <x v="100"/>
    <x v="154"/>
    <n v="1.1000000000000001"/>
    <n v="13"/>
    <x v="0"/>
    <n v="28.566666666666666"/>
    <x v="176"/>
    <n v="3741"/>
    <n v="180"/>
    <n v="5.4916985951468711E-2"/>
    <s v="Dec-13"/>
    <x v="1"/>
    <n v="2.6363636363636362"/>
  </r>
  <r>
    <x v="20"/>
    <n v="46"/>
    <x v="5"/>
    <x v="0"/>
    <x v="2"/>
    <x v="1"/>
    <x v="0"/>
    <x v="0"/>
    <x v="0"/>
    <x v="44"/>
    <x v="96"/>
    <x v="15"/>
    <n v="30"/>
    <n v="10"/>
    <n v="70"/>
    <n v="50"/>
    <x v="96"/>
    <x v="44"/>
    <x v="110"/>
    <x v="183"/>
    <n v="1.5333333333333334"/>
    <n v="0"/>
    <x v="0"/>
    <n v="9"/>
    <x v="208"/>
    <n v="1100"/>
    <n v="850"/>
    <n v="5.3475935828877011E-3"/>
    <s v="Dec-13"/>
    <x v="0"/>
    <n v="2.3913043478260869"/>
  </r>
  <r>
    <x v="88"/>
    <n v="30"/>
    <x v="5"/>
    <x v="0"/>
    <x v="2"/>
    <x v="18"/>
    <x v="0"/>
    <x v="1"/>
    <x v="2"/>
    <x v="40"/>
    <x v="81"/>
    <x v="2"/>
    <n v="30"/>
    <n v="30"/>
    <n v="70"/>
    <n v="19"/>
    <x v="81"/>
    <x v="40"/>
    <x v="67"/>
    <x v="184"/>
    <n v="1"/>
    <n v="9"/>
    <x v="0"/>
    <n v="28.7"/>
    <x v="209"/>
    <n v="3120"/>
    <n v="152"/>
    <n v="6.0937499999999999E-2"/>
    <s v="Dec-13"/>
    <x v="1"/>
    <n v="2.6666666666666665"/>
  </r>
  <r>
    <x v="20"/>
    <n v="29"/>
    <x v="5"/>
    <x v="0"/>
    <x v="2"/>
    <x v="18"/>
    <x v="0"/>
    <x v="1"/>
    <x v="3"/>
    <x v="8"/>
    <x v="25"/>
    <x v="15"/>
    <n v="30"/>
    <n v="30"/>
    <n v="70"/>
    <n v="19"/>
    <x v="25"/>
    <x v="8"/>
    <x v="67"/>
    <x v="182"/>
    <n v="0.96666666666666667"/>
    <n v="7"/>
    <x v="0"/>
    <n v="28.766666666666666"/>
    <x v="207"/>
    <n v="2886"/>
    <n v="152"/>
    <n v="5.9294871794871792E-2"/>
    <s v="Dec-13"/>
    <x v="1"/>
    <n v="2.6896551724137931"/>
  </r>
  <r>
    <x v="94"/>
    <n v="24"/>
    <x v="5"/>
    <x v="1"/>
    <x v="0"/>
    <x v="7"/>
    <x v="1"/>
    <x v="2"/>
    <x v="4"/>
    <x v="60"/>
    <x v="94"/>
    <x v="13"/>
    <n v="30"/>
    <n v="30"/>
    <n v="70"/>
    <n v="19"/>
    <x v="94"/>
    <x v="60"/>
    <x v="67"/>
    <x v="21"/>
    <n v="0.8"/>
    <n v="-11"/>
    <x v="0"/>
    <n v="29.366666666666667"/>
    <x v="210"/>
    <n v="1140"/>
    <n v="133"/>
    <n v="4.5238095238095237E-2"/>
    <s v="Dec-13"/>
    <x v="1"/>
    <n v="2.5"/>
  </r>
  <r>
    <x v="8"/>
    <n v="0"/>
    <x v="5"/>
    <x v="1"/>
    <x v="3"/>
    <x v="5"/>
    <x v="1"/>
    <x v="2"/>
    <x v="9"/>
    <x v="43"/>
    <x v="48"/>
    <x v="7"/>
    <n v="0"/>
    <n v="30"/>
    <n v="40"/>
    <n v="12"/>
    <x v="48"/>
    <x v="43"/>
    <x v="55"/>
    <x v="5"/>
    <e v="#DIV/0!"/>
    <n v="16"/>
    <x v="0"/>
    <n v="28.466666666666665"/>
    <x v="69"/>
    <n v="2116"/>
    <e v="#DIV/0!"/>
    <e v="#DIV/0!"/>
    <s v="Dec-13"/>
    <x v="12"/>
    <e v="#DIV/0!"/>
  </r>
  <r>
    <x v="9"/>
    <n v="31"/>
    <x v="5"/>
    <x v="1"/>
    <x v="3"/>
    <x v="18"/>
    <x v="1"/>
    <x v="2"/>
    <x v="9"/>
    <x v="40"/>
    <x v="40"/>
    <x v="8"/>
    <n v="30"/>
    <n v="30"/>
    <n v="70"/>
    <n v="20"/>
    <x v="40"/>
    <x v="40"/>
    <x v="96"/>
    <x v="184"/>
    <n v="1.0333333333333334"/>
    <n v="9"/>
    <x v="0"/>
    <n v="28.7"/>
    <x v="44"/>
    <n v="3198"/>
    <n v="160"/>
    <n v="5.9451219512195119E-2"/>
    <s v="Dec-13"/>
    <x v="1"/>
    <n v="2.6451612903225805"/>
  </r>
  <r>
    <x v="65"/>
    <n v="34"/>
    <x v="5"/>
    <x v="1"/>
    <x v="0"/>
    <x v="8"/>
    <x v="0"/>
    <x v="0"/>
    <x v="0"/>
    <x v="16"/>
    <x v="69"/>
    <x v="13"/>
    <n v="30"/>
    <n v="30"/>
    <n v="70"/>
    <n v="21"/>
    <x v="69"/>
    <x v="16"/>
    <x v="66"/>
    <x v="68"/>
    <n v="1.1333333333333333"/>
    <n v="15"/>
    <x v="0"/>
    <n v="28.5"/>
    <x v="177"/>
    <n v="4095"/>
    <n v="189"/>
    <n v="5.4945054945054944E-2"/>
    <s v="Dec-13"/>
    <x v="1"/>
    <n v="2.6764705882352939"/>
  </r>
  <r>
    <x v="10"/>
    <n v="39"/>
    <x v="5"/>
    <x v="1"/>
    <x v="2"/>
    <x v="10"/>
    <x v="0"/>
    <x v="0"/>
    <x v="0"/>
    <x v="83"/>
    <x v="3"/>
    <x v="9"/>
    <n v="20"/>
    <n v="10"/>
    <n v="60"/>
    <n v="47"/>
    <x v="3"/>
    <x v="83"/>
    <x v="79"/>
    <x v="185"/>
    <n v="1.95"/>
    <n v="-7"/>
    <x v="0"/>
    <n v="9.6999999999999993"/>
    <x v="211"/>
    <n v="282"/>
    <n v="658"/>
    <n v="2.2796352583586625E-3"/>
    <s v="Dec-13"/>
    <x v="2"/>
    <n v="2.4102564102564101"/>
  </r>
  <r>
    <x v="39"/>
    <n v="31"/>
    <x v="5"/>
    <x v="1"/>
    <x v="1"/>
    <x v="8"/>
    <x v="0"/>
    <x v="0"/>
    <x v="0"/>
    <x v="44"/>
    <x v="83"/>
    <x v="17"/>
    <n v="20"/>
    <n v="20"/>
    <n v="60"/>
    <n v="31"/>
    <x v="83"/>
    <x v="44"/>
    <x v="105"/>
    <x v="67"/>
    <n v="1.55"/>
    <n v="-10"/>
    <x v="0"/>
    <n v="19.5"/>
    <x v="212"/>
    <n v="740"/>
    <n v="279"/>
    <n v="1.5015015015015015E-2"/>
    <s v="Dec-13"/>
    <x v="1"/>
    <n v="2.3870967741935485"/>
  </r>
  <r>
    <x v="26"/>
    <n v="38"/>
    <x v="5"/>
    <x v="1"/>
    <x v="0"/>
    <x v="13"/>
    <x v="0"/>
    <x v="1"/>
    <x v="2"/>
    <x v="38"/>
    <x v="104"/>
    <x v="12"/>
    <n v="30"/>
    <n v="10"/>
    <n v="70"/>
    <n v="40"/>
    <x v="104"/>
    <x v="38"/>
    <x v="2"/>
    <x v="155"/>
    <n v="1.2666666666666666"/>
    <n v="6"/>
    <x v="0"/>
    <n v="8.4"/>
    <x v="213"/>
    <n v="1520"/>
    <n v="480"/>
    <n v="1.4035087719298244E-2"/>
    <s v="Dec-13"/>
    <x v="0"/>
    <n v="2.5"/>
  </r>
  <r>
    <x v="95"/>
    <n v="39"/>
    <x v="5"/>
    <x v="1"/>
    <x v="0"/>
    <x v="10"/>
    <x v="0"/>
    <x v="1"/>
    <x v="3"/>
    <x v="83"/>
    <x v="3"/>
    <x v="12"/>
    <n v="30"/>
    <n v="0"/>
    <n v="70"/>
    <n v="47"/>
    <x v="3"/>
    <x v="83"/>
    <x v="79"/>
    <x v="185"/>
    <n v="1.3"/>
    <n v="3"/>
    <x v="0"/>
    <e v="#DIV/0!"/>
    <x v="211"/>
    <n v="282"/>
    <n v="658"/>
    <n v="2.2796352583586625E-3"/>
    <s v="Dec-13"/>
    <x v="7"/>
    <n v="2.4102564102564101"/>
  </r>
  <r>
    <x v="10"/>
    <n v="0"/>
    <x v="5"/>
    <x v="1"/>
    <x v="2"/>
    <x v="5"/>
    <x v="0"/>
    <x v="1"/>
    <x v="3"/>
    <x v="17"/>
    <x v="48"/>
    <x v="9"/>
    <n v="0"/>
    <n v="30"/>
    <n v="40"/>
    <n v="11"/>
    <x v="48"/>
    <x v="17"/>
    <x v="101"/>
    <x v="5"/>
    <e v="#DIV/0!"/>
    <n v="17"/>
    <x v="0"/>
    <n v="28.433333333333334"/>
    <x v="178"/>
    <n v="2162"/>
    <e v="#DIV/0!"/>
    <e v="#DIV/0!"/>
    <s v="Dec-13"/>
    <x v="12"/>
    <e v="#DIV/0!"/>
  </r>
  <r>
    <x v="56"/>
    <n v="41"/>
    <x v="5"/>
    <x v="1"/>
    <x v="3"/>
    <x v="13"/>
    <x v="0"/>
    <x v="1"/>
    <x v="2"/>
    <x v="16"/>
    <x v="11"/>
    <x v="14"/>
    <n v="30"/>
    <n v="20"/>
    <n v="70"/>
    <n v="36"/>
    <x v="11"/>
    <x v="16"/>
    <x v="39"/>
    <x v="110"/>
    <n v="1.3666666666666667"/>
    <n v="25"/>
    <x v="0"/>
    <n v="17.75"/>
    <x v="75"/>
    <n v="5130"/>
    <n v="432"/>
    <n v="3.2894736842105261E-2"/>
    <s v="Dec-13"/>
    <x v="2"/>
    <n v="2.7804878048780486"/>
  </r>
  <r>
    <x v="9"/>
    <n v="38"/>
    <x v="5"/>
    <x v="1"/>
    <x v="3"/>
    <x v="13"/>
    <x v="0"/>
    <x v="1"/>
    <x v="11"/>
    <x v="47"/>
    <x v="104"/>
    <x v="8"/>
    <n v="20"/>
    <n v="10"/>
    <n v="60"/>
    <n v="39"/>
    <x v="104"/>
    <x v="47"/>
    <x v="45"/>
    <x v="186"/>
    <n v="1.9"/>
    <n v="8"/>
    <x v="0"/>
    <n v="8.1999999999999993"/>
    <x v="40"/>
    <n v="1710"/>
    <n v="468"/>
    <n v="1.5789473684210527E-2"/>
    <s v="Dec-13"/>
    <x v="2"/>
    <n v="2.5"/>
  </r>
  <r>
    <x v="56"/>
    <n v="43"/>
    <x v="5"/>
    <x v="1"/>
    <x v="3"/>
    <x v="2"/>
    <x v="0"/>
    <x v="1"/>
    <x v="11"/>
    <x v="41"/>
    <x v="27"/>
    <x v="14"/>
    <n v="30"/>
    <n v="20"/>
    <n v="70"/>
    <n v="35"/>
    <x v="27"/>
    <x v="41"/>
    <x v="37"/>
    <x v="62"/>
    <n v="1.4333333333333333"/>
    <n v="22"/>
    <x v="0"/>
    <n v="17.899999999999999"/>
    <x v="131"/>
    <n v="4746"/>
    <n v="455"/>
    <n v="2.8590878148400271E-2"/>
    <s v="Dec-13"/>
    <x v="2"/>
    <n v="2.6279069767441858"/>
  </r>
  <r>
    <x v="96"/>
    <n v="51"/>
    <x v="0"/>
    <x v="0"/>
    <x v="0"/>
    <x v="0"/>
    <x v="1"/>
    <x v="3"/>
    <x v="5"/>
    <x v="0"/>
    <x v="0"/>
    <x v="18"/>
    <n v="40"/>
    <n v="30"/>
    <n v="110"/>
    <n v="76"/>
    <x v="0"/>
    <x v="0"/>
    <x v="0"/>
    <x v="0"/>
    <n v="1.2749999999999999"/>
    <n v="-35"/>
    <x v="0"/>
    <n v="30.166666666666668"/>
    <x v="0"/>
    <n v="-610"/>
    <n v="3496"/>
    <n v="-8.9094796863863144E-4"/>
    <s v="Oct-12"/>
    <x v="6"/>
    <n v="2.392156862745098"/>
  </r>
  <r>
    <x v="93"/>
    <n v="52"/>
    <x v="0"/>
    <x v="0"/>
    <x v="0"/>
    <x v="1"/>
    <x v="1"/>
    <x v="3"/>
    <x v="6"/>
    <x v="1"/>
    <x v="1"/>
    <x v="18"/>
    <n v="40"/>
    <n v="60"/>
    <n v="110"/>
    <n v="45"/>
    <x v="1"/>
    <x v="1"/>
    <x v="1"/>
    <x v="1"/>
    <n v="1.3"/>
    <n v="-34"/>
    <x v="0"/>
    <n v="59.56666666666667"/>
    <x v="1"/>
    <n v="3198"/>
    <n v="765"/>
    <n v="1.2434241989478718E-2"/>
    <s v="Oct-12"/>
    <x v="2"/>
    <n v="2.3653846153846154"/>
  </r>
  <r>
    <x v="90"/>
    <n v="43"/>
    <x v="0"/>
    <x v="0"/>
    <x v="0"/>
    <x v="2"/>
    <x v="1"/>
    <x v="3"/>
    <x v="7"/>
    <x v="2"/>
    <x v="2"/>
    <x v="18"/>
    <n v="30"/>
    <n v="60"/>
    <n v="100"/>
    <n v="36"/>
    <x v="2"/>
    <x v="2"/>
    <x v="2"/>
    <x v="2"/>
    <n v="1.4333333333333333"/>
    <n v="-32"/>
    <x v="0"/>
    <n v="59.533333333333331"/>
    <x v="2"/>
    <n v="2996"/>
    <n v="468"/>
    <n v="2.0129403306973399E-2"/>
    <s v="Oct-12"/>
    <x v="1"/>
    <n v="2.4883720930232558"/>
  </r>
  <r>
    <x v="20"/>
    <n v="51"/>
    <x v="0"/>
    <x v="0"/>
    <x v="2"/>
    <x v="0"/>
    <x v="1"/>
    <x v="2"/>
    <x v="8"/>
    <x v="84"/>
    <x v="52"/>
    <x v="15"/>
    <n v="30"/>
    <n v="30"/>
    <n v="100"/>
    <n v="76"/>
    <x v="52"/>
    <x v="84"/>
    <x v="0"/>
    <x v="187"/>
    <n v="1.7"/>
    <n v="-41"/>
    <x v="0"/>
    <n v="30.366666666666667"/>
    <x v="214"/>
    <n v="-1276"/>
    <n v="3496"/>
    <n v="-2.0614692653673165E-3"/>
    <s v="Oct-12"/>
    <x v="7"/>
    <n v="2.2745098039215685"/>
  </r>
  <r>
    <x v="97"/>
    <n v="72"/>
    <x v="0"/>
    <x v="0"/>
    <x v="1"/>
    <x v="4"/>
    <x v="1"/>
    <x v="2"/>
    <x v="9"/>
    <x v="45"/>
    <x v="4"/>
    <x v="1"/>
    <n v="40"/>
    <n v="50"/>
    <n v="110"/>
    <n v="55"/>
    <x v="4"/>
    <x v="45"/>
    <x v="0"/>
    <x v="188"/>
    <n v="1.8"/>
    <n v="5"/>
    <x v="0"/>
    <n v="48.9"/>
    <x v="215"/>
    <n v="10010"/>
    <n v="1265"/>
    <n v="1.3139034878165312E-2"/>
    <s v="Oct-12"/>
    <x v="0"/>
    <n v="2.5277777777777777"/>
  </r>
  <r>
    <x v="76"/>
    <n v="48"/>
    <x v="0"/>
    <x v="0"/>
    <x v="2"/>
    <x v="2"/>
    <x v="0"/>
    <x v="1"/>
    <x v="3"/>
    <x v="43"/>
    <x v="15"/>
    <x v="2"/>
    <n v="50"/>
    <n v="60"/>
    <n v="120"/>
    <n v="24"/>
    <x v="15"/>
    <x v="43"/>
    <x v="16"/>
    <x v="189"/>
    <n v="0.96"/>
    <n v="-14"/>
    <x v="0"/>
    <n v="59.233333333333334"/>
    <x v="216"/>
    <n v="5428"/>
    <n v="312"/>
    <n v="2.9986962190352021E-2"/>
    <s v="Oct-12"/>
    <x v="0"/>
    <n v="2.4583333333333335"/>
  </r>
  <r>
    <x v="38"/>
    <n v="60"/>
    <x v="0"/>
    <x v="1"/>
    <x v="1"/>
    <x v="31"/>
    <x v="1"/>
    <x v="2"/>
    <x v="8"/>
    <x v="85"/>
    <x v="80"/>
    <x v="10"/>
    <n v="30"/>
    <n v="70"/>
    <n v="100"/>
    <n v="41"/>
    <x v="80"/>
    <x v="85"/>
    <x v="99"/>
    <x v="134"/>
    <n v="2"/>
    <n v="-12"/>
    <x v="0"/>
    <n v="69.171428571428578"/>
    <x v="217"/>
    <n v="9222"/>
    <n v="738"/>
    <n v="2.026554856743536E-2"/>
    <s v="Oct-12"/>
    <x v="3"/>
    <n v="2.65"/>
  </r>
  <r>
    <x v="17"/>
    <n v="52"/>
    <x v="0"/>
    <x v="1"/>
    <x v="3"/>
    <x v="1"/>
    <x v="1"/>
    <x v="2"/>
    <x v="8"/>
    <x v="22"/>
    <x v="1"/>
    <x v="11"/>
    <n v="30"/>
    <n v="60"/>
    <n v="100"/>
    <n v="44"/>
    <x v="1"/>
    <x v="22"/>
    <x v="27"/>
    <x v="190"/>
    <n v="1.7333333333333334"/>
    <n v="-33"/>
    <x v="0"/>
    <n v="59.55"/>
    <x v="91"/>
    <n v="3321"/>
    <n v="748"/>
    <n v="1.2912482065997129E-2"/>
    <s v="Oct-12"/>
    <x v="1"/>
    <n v="2.3653846153846154"/>
  </r>
  <r>
    <x v="56"/>
    <n v="56"/>
    <x v="0"/>
    <x v="1"/>
    <x v="3"/>
    <x v="28"/>
    <x v="1"/>
    <x v="2"/>
    <x v="8"/>
    <x v="38"/>
    <x v="53"/>
    <x v="14"/>
    <n v="40"/>
    <n v="50"/>
    <n v="110"/>
    <n v="54"/>
    <x v="53"/>
    <x v="38"/>
    <x v="60"/>
    <x v="191"/>
    <n v="1.4"/>
    <n v="-34"/>
    <x v="0"/>
    <n v="49.68"/>
    <x v="51"/>
    <n v="2016"/>
    <n v="1134"/>
    <n v="6.0468631897203319E-3"/>
    <s v="Oct-12"/>
    <x v="0"/>
    <n v="2.25"/>
  </r>
  <r>
    <x v="47"/>
    <n v="56"/>
    <x v="0"/>
    <x v="1"/>
    <x v="1"/>
    <x v="28"/>
    <x v="0"/>
    <x v="0"/>
    <x v="10"/>
    <x v="38"/>
    <x v="53"/>
    <x v="6"/>
    <n v="40"/>
    <n v="50"/>
    <n v="110"/>
    <n v="54"/>
    <x v="53"/>
    <x v="38"/>
    <x v="60"/>
    <x v="191"/>
    <n v="1.4"/>
    <n v="-34"/>
    <x v="0"/>
    <n v="49.68"/>
    <x v="51"/>
    <n v="2016"/>
    <n v="1134"/>
    <n v="6.0468631897203319E-3"/>
    <s v="Oct-12"/>
    <x v="0"/>
    <n v="2.25"/>
  </r>
  <r>
    <x v="9"/>
    <n v="45"/>
    <x v="0"/>
    <x v="1"/>
    <x v="3"/>
    <x v="10"/>
    <x v="0"/>
    <x v="0"/>
    <x v="0"/>
    <x v="34"/>
    <x v="11"/>
    <x v="8"/>
    <n v="20"/>
    <n v="60"/>
    <n v="90"/>
    <n v="46"/>
    <x v="11"/>
    <x v="34"/>
    <x v="79"/>
    <x v="192"/>
    <n v="2.25"/>
    <n v="-37"/>
    <x v="0"/>
    <n v="59.616666666666667"/>
    <x v="218"/>
    <n v="2622"/>
    <n v="644"/>
    <n v="1.4411027568922305E-2"/>
    <s v="Oct-12"/>
    <x v="3"/>
    <n v="2.5333333333333332"/>
  </r>
  <r>
    <x v="98"/>
    <n v="52"/>
    <x v="1"/>
    <x v="0"/>
    <x v="0"/>
    <x v="17"/>
    <x v="1"/>
    <x v="3"/>
    <x v="5"/>
    <x v="37"/>
    <x v="22"/>
    <x v="18"/>
    <n v="50"/>
    <n v="10"/>
    <n v="120"/>
    <n v="76"/>
    <x v="22"/>
    <x v="37"/>
    <x v="23"/>
    <x v="193"/>
    <n v="1.04"/>
    <n v="-13"/>
    <x v="0"/>
    <n v="10.3"/>
    <x v="219"/>
    <n v="-375"/>
    <n v="3572.0000000000005"/>
    <n v="-5.106382978723404E-4"/>
    <s v="Nov-12"/>
    <x v="8"/>
    <n v="2.4038461538461537"/>
  </r>
  <r>
    <x v="69"/>
    <n v="46"/>
    <x v="1"/>
    <x v="0"/>
    <x v="0"/>
    <x v="10"/>
    <x v="1"/>
    <x v="3"/>
    <x v="7"/>
    <x v="71"/>
    <x v="11"/>
    <x v="18"/>
    <n v="40"/>
    <n v="40"/>
    <n v="110"/>
    <n v="36"/>
    <x v="11"/>
    <x v="71"/>
    <x v="90"/>
    <x v="177"/>
    <n v="1.1499999999999999"/>
    <n v="-8"/>
    <x v="0"/>
    <n v="39.200000000000003"/>
    <x v="220"/>
    <n v="3648"/>
    <n v="504"/>
    <n v="2.0050125313283207E-2"/>
    <s v="Nov-12"/>
    <x v="7"/>
    <n v="2.4782608695652173"/>
  </r>
  <r>
    <x v="0"/>
    <n v="52"/>
    <x v="1"/>
    <x v="0"/>
    <x v="0"/>
    <x v="17"/>
    <x v="0"/>
    <x v="0"/>
    <x v="0"/>
    <x v="64"/>
    <x v="22"/>
    <x v="0"/>
    <n v="40"/>
    <n v="10"/>
    <n v="110"/>
    <n v="77"/>
    <x v="22"/>
    <x v="64"/>
    <x v="111"/>
    <x v="194"/>
    <n v="1.3"/>
    <n v="-14"/>
    <x v="0"/>
    <n v="10.4"/>
    <x v="221"/>
    <n v="-500"/>
    <n v="3619"/>
    <n v="-6.8085106382978727E-4"/>
    <s v="Nov-12"/>
    <x v="10"/>
    <n v="2.4038461538461537"/>
  </r>
  <r>
    <x v="43"/>
    <n v="59"/>
    <x v="1"/>
    <x v="0"/>
    <x v="0"/>
    <x v="27"/>
    <x v="0"/>
    <x v="0"/>
    <x v="1"/>
    <x v="71"/>
    <x v="105"/>
    <x v="0"/>
    <n v="50"/>
    <n v="40"/>
    <n v="120"/>
    <n v="47"/>
    <x v="105"/>
    <x v="71"/>
    <x v="112"/>
    <x v="195"/>
    <n v="1.18"/>
    <n v="-8"/>
    <x v="0"/>
    <n v="39.200000000000003"/>
    <x v="222"/>
    <n v="4416"/>
    <n v="893"/>
    <n v="1.2204424103737604E-2"/>
    <s v="Nov-12"/>
    <x v="6"/>
    <n v="2.3389830508474576"/>
  </r>
  <r>
    <x v="99"/>
    <n v="59"/>
    <x v="1"/>
    <x v="0"/>
    <x v="1"/>
    <x v="27"/>
    <x v="0"/>
    <x v="0"/>
    <x v="10"/>
    <x v="71"/>
    <x v="105"/>
    <x v="1"/>
    <n v="50"/>
    <n v="40"/>
    <n v="120"/>
    <n v="47"/>
    <x v="105"/>
    <x v="71"/>
    <x v="112"/>
    <x v="195"/>
    <n v="1.18"/>
    <n v="-8"/>
    <x v="0"/>
    <n v="39.200000000000003"/>
    <x v="222"/>
    <n v="4416"/>
    <n v="893"/>
    <n v="1.2204424103737604E-2"/>
    <s v="Nov-12"/>
    <x v="6"/>
    <n v="2.3389830508474576"/>
  </r>
  <r>
    <x v="100"/>
    <n v="50"/>
    <x v="1"/>
    <x v="0"/>
    <x v="2"/>
    <x v="10"/>
    <x v="0"/>
    <x v="1"/>
    <x v="3"/>
    <x v="17"/>
    <x v="1"/>
    <x v="19"/>
    <n v="50"/>
    <n v="50"/>
    <n v="120"/>
    <n v="26"/>
    <x v="1"/>
    <x v="17"/>
    <x v="82"/>
    <x v="124"/>
    <n v="1"/>
    <n v="-3"/>
    <x v="0"/>
    <n v="49.06"/>
    <x v="136"/>
    <n v="5781"/>
    <n v="364"/>
    <n v="2.72938443670151E-2"/>
    <s v="Nov-12"/>
    <x v="7"/>
    <n v="2.46"/>
  </r>
  <r>
    <x v="6"/>
    <n v="53"/>
    <x v="1"/>
    <x v="1"/>
    <x v="2"/>
    <x v="1"/>
    <x v="1"/>
    <x v="2"/>
    <x v="4"/>
    <x v="1"/>
    <x v="21"/>
    <x v="5"/>
    <n v="50"/>
    <n v="40"/>
    <n v="120"/>
    <n v="45"/>
    <x v="21"/>
    <x v="1"/>
    <x v="42"/>
    <x v="1"/>
    <n v="1.06"/>
    <n v="-14"/>
    <x v="0"/>
    <n v="39.35"/>
    <x v="1"/>
    <n v="3224"/>
    <n v="765"/>
    <n v="1.2333965844402276E-2"/>
    <s v="Nov-12"/>
    <x v="6"/>
    <n v="2.3396226415094339"/>
  </r>
  <r>
    <x v="9"/>
    <n v="54"/>
    <x v="1"/>
    <x v="1"/>
    <x v="3"/>
    <x v="6"/>
    <x v="1"/>
    <x v="2"/>
    <x v="4"/>
    <x v="33"/>
    <x v="57"/>
    <x v="8"/>
    <n v="50"/>
    <n v="50"/>
    <n v="120"/>
    <n v="26"/>
    <x v="57"/>
    <x v="33"/>
    <x v="46"/>
    <x v="41"/>
    <n v="1.08"/>
    <n v="2"/>
    <x v="0"/>
    <n v="48.96"/>
    <x v="223"/>
    <n v="6864"/>
    <n v="390"/>
    <n v="2.6262626262626265E-2"/>
    <s v="Nov-12"/>
    <x v="7"/>
    <n v="2.4444444444444446"/>
  </r>
  <r>
    <x v="39"/>
    <n v="43"/>
    <x v="1"/>
    <x v="1"/>
    <x v="1"/>
    <x v="10"/>
    <x v="1"/>
    <x v="3"/>
    <x v="7"/>
    <x v="30"/>
    <x v="12"/>
    <x v="17"/>
    <n v="50"/>
    <n v="30"/>
    <n v="120"/>
    <n v="46"/>
    <x v="12"/>
    <x v="30"/>
    <x v="34"/>
    <x v="34"/>
    <n v="0.86"/>
    <n v="-10"/>
    <x v="0"/>
    <n v="29.333333333333332"/>
    <x v="37"/>
    <n v="2180"/>
    <n v="644"/>
    <n v="1.3106159895150722E-2"/>
    <s v="Nov-12"/>
    <x v="9"/>
    <n v="2.5348837209302326"/>
  </r>
  <r>
    <x v="27"/>
    <n v="61"/>
    <x v="1"/>
    <x v="1"/>
    <x v="1"/>
    <x v="21"/>
    <x v="1"/>
    <x v="2"/>
    <x v="9"/>
    <x v="12"/>
    <x v="32"/>
    <x v="10"/>
    <n v="40"/>
    <n v="10"/>
    <n v="110"/>
    <n v="85"/>
    <x v="32"/>
    <x v="12"/>
    <x v="38"/>
    <x v="40"/>
    <n v="1.5249999999999999"/>
    <n v="-9"/>
    <x v="0"/>
    <n v="9.9"/>
    <x v="43"/>
    <n v="147"/>
    <n v="4675"/>
    <n v="1.2368583797155226E-4"/>
    <s v="Nov-12"/>
    <x v="10"/>
    <n v="2.4098360655737703"/>
  </r>
  <r>
    <x v="49"/>
    <n v="55"/>
    <x v="1"/>
    <x v="1"/>
    <x v="3"/>
    <x v="14"/>
    <x v="1"/>
    <x v="2"/>
    <x v="9"/>
    <x v="38"/>
    <x v="21"/>
    <x v="11"/>
    <n v="50"/>
    <n v="30"/>
    <n v="120"/>
    <n v="53"/>
    <x v="21"/>
    <x v="38"/>
    <x v="13"/>
    <x v="196"/>
    <n v="1.1000000000000001"/>
    <n v="-14"/>
    <x v="0"/>
    <n v="29.466666666666665"/>
    <x v="224"/>
    <n v="1984"/>
    <n v="1060"/>
    <n v="6.4516129032258064E-3"/>
    <s v="Nov-12"/>
    <x v="9"/>
    <n v="2.2545454545454544"/>
  </r>
  <r>
    <x v="6"/>
    <n v="82"/>
    <x v="1"/>
    <x v="1"/>
    <x v="2"/>
    <x v="33"/>
    <x v="0"/>
    <x v="0"/>
    <x v="0"/>
    <x v="68"/>
    <x v="106"/>
    <x v="5"/>
    <n v="60"/>
    <n v="30"/>
    <n v="130"/>
    <n v="64"/>
    <x v="106"/>
    <x v="68"/>
    <x v="38"/>
    <x v="197"/>
    <n v="1.3666666666666667"/>
    <n v="8"/>
    <x v="0"/>
    <n v="28.733333333333334"/>
    <x v="225"/>
    <n v="6992"/>
    <n v="1984"/>
    <n v="6.6619915848527347E-3"/>
    <s v="Nov-12"/>
    <x v="10"/>
    <n v="2.2439024390243905"/>
  </r>
  <r>
    <x v="65"/>
    <n v="61"/>
    <x v="1"/>
    <x v="1"/>
    <x v="0"/>
    <x v="21"/>
    <x v="0"/>
    <x v="1"/>
    <x v="11"/>
    <x v="80"/>
    <x v="32"/>
    <x v="13"/>
    <n v="50"/>
    <n v="0"/>
    <n v="120"/>
    <n v="84"/>
    <x v="32"/>
    <x v="80"/>
    <x v="113"/>
    <x v="198"/>
    <n v="1.22"/>
    <n v="2"/>
    <x v="0"/>
    <e v="#DIV/0!"/>
    <x v="226"/>
    <n v="294"/>
    <n v="4620"/>
    <n v="2.4737167594310452E-4"/>
    <s v="Nov-12"/>
    <x v="11"/>
    <n v="2.4098360655737703"/>
  </r>
  <r>
    <x v="16"/>
    <n v="53"/>
    <x v="1"/>
    <x v="1"/>
    <x v="3"/>
    <x v="20"/>
    <x v="0"/>
    <x v="1"/>
    <x v="2"/>
    <x v="31"/>
    <x v="29"/>
    <x v="14"/>
    <n v="30"/>
    <n v="50"/>
    <n v="100"/>
    <n v="39"/>
    <x v="29"/>
    <x v="31"/>
    <x v="36"/>
    <x v="36"/>
    <n v="1.7666666666666666"/>
    <n v="-1"/>
    <x v="0"/>
    <n v="49.02"/>
    <x v="39"/>
    <n v="6909"/>
    <n v="624"/>
    <n v="2.1719858156028369E-2"/>
    <s v="Nov-12"/>
    <x v="2"/>
    <n v="2.6603773584905661"/>
  </r>
  <r>
    <x v="83"/>
    <n v="47"/>
    <x v="2"/>
    <x v="0"/>
    <x v="0"/>
    <x v="22"/>
    <x v="1"/>
    <x v="3"/>
    <x v="5"/>
    <x v="15"/>
    <x v="34"/>
    <x v="18"/>
    <n v="40"/>
    <n v="10"/>
    <n v="110"/>
    <n v="71"/>
    <x v="34"/>
    <x v="15"/>
    <x v="41"/>
    <x v="42"/>
    <n v="1.175"/>
    <n v="-16"/>
    <x v="0"/>
    <n v="10.6"/>
    <x v="46"/>
    <n v="-672"/>
    <n v="2982"/>
    <n v="-1.2755102040816326E-3"/>
    <s v="Dec-12"/>
    <x v="10"/>
    <n v="2.3829787234042552"/>
  </r>
  <r>
    <x v="101"/>
    <n v="54"/>
    <x v="2"/>
    <x v="0"/>
    <x v="0"/>
    <x v="1"/>
    <x v="1"/>
    <x v="3"/>
    <x v="6"/>
    <x v="26"/>
    <x v="35"/>
    <x v="18"/>
    <n v="50"/>
    <n v="40"/>
    <n v="120"/>
    <n v="44"/>
    <x v="35"/>
    <x v="26"/>
    <x v="42"/>
    <x v="29"/>
    <n v="1.08"/>
    <n v="-11"/>
    <x v="0"/>
    <n v="39.274999999999999"/>
    <x v="47"/>
    <n v="3683"/>
    <n v="748"/>
    <n v="1.3432144511347846E-2"/>
    <s v="Dec-12"/>
    <x v="6"/>
    <n v="2.3518518518518516"/>
  </r>
  <r>
    <x v="102"/>
    <n v="67"/>
    <x v="2"/>
    <x v="0"/>
    <x v="1"/>
    <x v="34"/>
    <x v="1"/>
    <x v="2"/>
    <x v="9"/>
    <x v="17"/>
    <x v="107"/>
    <x v="1"/>
    <n v="50"/>
    <n v="30"/>
    <n v="120"/>
    <n v="54"/>
    <x v="107"/>
    <x v="17"/>
    <x v="72"/>
    <x v="199"/>
    <n v="1.34"/>
    <n v="17"/>
    <x v="0"/>
    <n v="28.433333333333334"/>
    <x v="227"/>
    <n v="7896"/>
    <n v="1188"/>
    <n v="1.2716450216450216E-2"/>
    <s v="Dec-12"/>
    <x v="9"/>
    <n v="2.5074626865671643"/>
  </r>
  <r>
    <x v="103"/>
    <n v="54"/>
    <x v="2"/>
    <x v="0"/>
    <x v="0"/>
    <x v="6"/>
    <x v="0"/>
    <x v="1"/>
    <x v="2"/>
    <x v="36"/>
    <x v="33"/>
    <x v="16"/>
    <n v="40"/>
    <n v="50"/>
    <n v="110"/>
    <n v="26"/>
    <x v="33"/>
    <x v="36"/>
    <x v="46"/>
    <x v="47"/>
    <n v="1.35"/>
    <n v="3"/>
    <x v="0"/>
    <n v="48.94"/>
    <x v="52"/>
    <n v="7049"/>
    <n v="390"/>
    <n v="2.6566416040100248E-2"/>
    <s v="Dec-12"/>
    <x v="0"/>
    <n v="2.4629629629629628"/>
  </r>
  <r>
    <x v="62"/>
    <n v="63"/>
    <x v="2"/>
    <x v="1"/>
    <x v="0"/>
    <x v="27"/>
    <x v="1"/>
    <x v="3"/>
    <x v="5"/>
    <x v="18"/>
    <x v="44"/>
    <x v="12"/>
    <n v="60"/>
    <n v="40"/>
    <n v="130"/>
    <n v="40"/>
    <x v="44"/>
    <x v="18"/>
    <x v="51"/>
    <x v="58"/>
    <n v="1.05"/>
    <n v="-4"/>
    <x v="0"/>
    <n v="39.1"/>
    <x v="62"/>
    <n v="5004"/>
    <n v="760"/>
    <n v="1.3631200302915562E-2"/>
    <s v="Dec-12"/>
    <x v="9"/>
    <n v="2.2063492063492065"/>
  </r>
  <r>
    <x v="67"/>
    <n v="49"/>
    <x v="2"/>
    <x v="1"/>
    <x v="2"/>
    <x v="20"/>
    <x v="1"/>
    <x v="2"/>
    <x v="4"/>
    <x v="6"/>
    <x v="11"/>
    <x v="5"/>
    <n v="40"/>
    <n v="40"/>
    <n v="110"/>
    <n v="44"/>
    <x v="11"/>
    <x v="6"/>
    <x v="73"/>
    <x v="200"/>
    <n v="1.2250000000000001"/>
    <n v="-19"/>
    <x v="0"/>
    <n v="39.475000000000001"/>
    <x v="228"/>
    <n v="2394"/>
    <n v="704"/>
    <n v="1.1513157894736841E-2"/>
    <s v="Dec-12"/>
    <x v="7"/>
    <n v="2.3265306122448979"/>
  </r>
  <r>
    <x v="9"/>
    <n v="50"/>
    <x v="2"/>
    <x v="1"/>
    <x v="3"/>
    <x v="10"/>
    <x v="1"/>
    <x v="2"/>
    <x v="4"/>
    <x v="17"/>
    <x v="1"/>
    <x v="8"/>
    <n v="40"/>
    <n v="50"/>
    <n v="110"/>
    <n v="26"/>
    <x v="1"/>
    <x v="17"/>
    <x v="82"/>
    <x v="124"/>
    <n v="1.25"/>
    <n v="-3"/>
    <x v="0"/>
    <n v="49.06"/>
    <x v="136"/>
    <n v="5781"/>
    <n v="364"/>
    <n v="2.72938443670151E-2"/>
    <s v="Dec-12"/>
    <x v="0"/>
    <n v="2.46"/>
  </r>
  <r>
    <x v="10"/>
    <n v="52"/>
    <x v="2"/>
    <x v="1"/>
    <x v="2"/>
    <x v="20"/>
    <x v="1"/>
    <x v="3"/>
    <x v="6"/>
    <x v="8"/>
    <x v="35"/>
    <x v="9"/>
    <n v="40"/>
    <n v="50"/>
    <n v="110"/>
    <n v="38"/>
    <x v="35"/>
    <x v="8"/>
    <x v="6"/>
    <x v="201"/>
    <n v="1.3"/>
    <n v="-13"/>
    <x v="0"/>
    <n v="49.26"/>
    <x v="229"/>
    <n v="4699"/>
    <n v="608"/>
    <n v="1.8208661417322834E-2"/>
    <s v="Dec-12"/>
    <x v="0"/>
    <n v="2.4423076923076925"/>
  </r>
  <r>
    <x v="42"/>
    <n v="55"/>
    <x v="2"/>
    <x v="1"/>
    <x v="2"/>
    <x v="24"/>
    <x v="1"/>
    <x v="2"/>
    <x v="8"/>
    <x v="13"/>
    <x v="41"/>
    <x v="5"/>
    <n v="50"/>
    <n v="10"/>
    <n v="120"/>
    <n v="78"/>
    <x v="41"/>
    <x v="13"/>
    <x v="76"/>
    <x v="202"/>
    <n v="1.1000000000000001"/>
    <n v="-12"/>
    <x v="0"/>
    <n v="10.199999999999999"/>
    <x v="230"/>
    <n v="-262"/>
    <n v="3822.0000000000005"/>
    <n v="-3.1157501168406292E-4"/>
    <s v="Dec-12"/>
    <x v="8"/>
    <n v="2.3818181818181818"/>
  </r>
  <r>
    <x v="10"/>
    <n v="49"/>
    <x v="2"/>
    <x v="1"/>
    <x v="2"/>
    <x v="25"/>
    <x v="1"/>
    <x v="2"/>
    <x v="8"/>
    <x v="64"/>
    <x v="15"/>
    <x v="9"/>
    <n v="40"/>
    <n v="10"/>
    <n v="110"/>
    <n v="73"/>
    <x v="15"/>
    <x v="64"/>
    <x v="43"/>
    <x v="138"/>
    <n v="1.2250000000000001"/>
    <n v="-14"/>
    <x v="0"/>
    <n v="10.4"/>
    <x v="152"/>
    <n v="-472"/>
    <n v="3212"/>
    <n v="-7.7041602465331282E-4"/>
    <s v="Dec-12"/>
    <x v="10"/>
    <n v="2.4081632653061225"/>
  </r>
  <r>
    <x v="12"/>
    <n v="41"/>
    <x v="2"/>
    <x v="1"/>
    <x v="3"/>
    <x v="2"/>
    <x v="1"/>
    <x v="3"/>
    <x v="7"/>
    <x v="12"/>
    <x v="55"/>
    <x v="11"/>
    <n v="40"/>
    <n v="20"/>
    <n v="110"/>
    <n v="56"/>
    <x v="55"/>
    <x v="12"/>
    <x v="1"/>
    <x v="203"/>
    <n v="1.0249999999999999"/>
    <n v="-19"/>
    <x v="0"/>
    <n v="19.95"/>
    <x v="231"/>
    <n v="98"/>
    <n v="728"/>
    <n v="7.8492935635792783E-4"/>
    <s v="Dec-12"/>
    <x v="9"/>
    <n v="2.3902439024390243"/>
  </r>
  <r>
    <x v="12"/>
    <n v="54"/>
    <x v="2"/>
    <x v="1"/>
    <x v="3"/>
    <x v="1"/>
    <x v="1"/>
    <x v="2"/>
    <x v="8"/>
    <x v="2"/>
    <x v="35"/>
    <x v="11"/>
    <n v="50"/>
    <n v="40"/>
    <n v="120"/>
    <n v="45"/>
    <x v="35"/>
    <x v="2"/>
    <x v="44"/>
    <x v="45"/>
    <n v="1.08"/>
    <n v="-12"/>
    <x v="0"/>
    <n v="39.299999999999997"/>
    <x v="50"/>
    <n v="3556"/>
    <n v="765"/>
    <n v="1.2968967114404817E-2"/>
    <s v="Dec-12"/>
    <x v="6"/>
    <n v="2.3518518518518516"/>
  </r>
  <r>
    <x v="47"/>
    <n v="65"/>
    <x v="2"/>
    <x v="1"/>
    <x v="1"/>
    <x v="23"/>
    <x v="0"/>
    <x v="0"/>
    <x v="10"/>
    <x v="57"/>
    <x v="36"/>
    <x v="6"/>
    <n v="60"/>
    <n v="20"/>
    <n v="130"/>
    <n v="58"/>
    <x v="36"/>
    <x v="57"/>
    <x v="49"/>
    <x v="173"/>
    <n v="1.0833333333333333"/>
    <n v="2"/>
    <x v="0"/>
    <n v="18.899999999999999"/>
    <x v="47"/>
    <n v="3190"/>
    <n v="1392"/>
    <n v="6.32183908045977E-3"/>
    <s v="Dec-12"/>
    <x v="8"/>
    <n v="2.2307692307692308"/>
  </r>
  <r>
    <x v="9"/>
    <n v="52"/>
    <x v="2"/>
    <x v="1"/>
    <x v="3"/>
    <x v="20"/>
    <x v="0"/>
    <x v="0"/>
    <x v="10"/>
    <x v="18"/>
    <x v="35"/>
    <x v="8"/>
    <n v="40"/>
    <n v="40"/>
    <n v="110"/>
    <n v="39"/>
    <x v="35"/>
    <x v="18"/>
    <x v="79"/>
    <x v="115"/>
    <n v="1.3"/>
    <n v="-4"/>
    <x v="0"/>
    <n v="39.1"/>
    <x v="45"/>
    <n v="4572"/>
    <n v="624"/>
    <n v="1.7716535433070866E-2"/>
    <s v="Dec-12"/>
    <x v="7"/>
    <n v="2.4423076923076925"/>
  </r>
  <r>
    <x v="15"/>
    <n v="48"/>
    <x v="2"/>
    <x v="1"/>
    <x v="3"/>
    <x v="6"/>
    <x v="0"/>
    <x v="0"/>
    <x v="0"/>
    <x v="2"/>
    <x v="0"/>
    <x v="8"/>
    <n v="40"/>
    <n v="40"/>
    <n v="110"/>
    <n v="46"/>
    <x v="0"/>
    <x v="2"/>
    <x v="47"/>
    <x v="51"/>
    <n v="1.2"/>
    <n v="-12"/>
    <x v="0"/>
    <n v="39.299999999999997"/>
    <x v="56"/>
    <n v="3416"/>
    <n v="690"/>
    <n v="1.5300546448087432E-2"/>
    <s v="Dec-12"/>
    <x v="7"/>
    <n v="2.5416666666666665"/>
  </r>
  <r>
    <x v="16"/>
    <n v="49"/>
    <x v="2"/>
    <x v="1"/>
    <x v="3"/>
    <x v="2"/>
    <x v="0"/>
    <x v="0"/>
    <x v="0"/>
    <x v="43"/>
    <x v="10"/>
    <x v="14"/>
    <n v="40"/>
    <n v="50"/>
    <n v="110"/>
    <n v="25"/>
    <x v="10"/>
    <x v="43"/>
    <x v="107"/>
    <x v="189"/>
    <n v="1.2250000000000001"/>
    <n v="-4"/>
    <x v="0"/>
    <n v="49.08"/>
    <x v="232"/>
    <n v="5520"/>
    <n v="325"/>
    <n v="2.9487179487179487E-2"/>
    <s v="Dec-12"/>
    <x v="0"/>
    <n v="2.4489795918367347"/>
  </r>
  <r>
    <x v="6"/>
    <n v="50"/>
    <x v="2"/>
    <x v="1"/>
    <x v="2"/>
    <x v="10"/>
    <x v="0"/>
    <x v="1"/>
    <x v="2"/>
    <x v="17"/>
    <x v="1"/>
    <x v="5"/>
    <n v="50"/>
    <n v="50"/>
    <n v="120"/>
    <n v="26"/>
    <x v="1"/>
    <x v="17"/>
    <x v="82"/>
    <x v="124"/>
    <n v="1"/>
    <n v="-3"/>
    <x v="0"/>
    <n v="49.06"/>
    <x v="136"/>
    <n v="5781"/>
    <n v="364"/>
    <n v="2.72938443670151E-2"/>
    <s v="Dec-12"/>
    <x v="7"/>
    <n v="2.46"/>
  </r>
  <r>
    <x v="104"/>
    <n v="51"/>
    <x v="3"/>
    <x v="0"/>
    <x v="0"/>
    <x v="0"/>
    <x v="1"/>
    <x v="3"/>
    <x v="5"/>
    <x v="11"/>
    <x v="45"/>
    <x v="18"/>
    <n v="40"/>
    <n v="30"/>
    <n v="110"/>
    <n v="76"/>
    <x v="45"/>
    <x v="11"/>
    <x v="52"/>
    <x v="60"/>
    <n v="1.2749999999999999"/>
    <n v="-37"/>
    <x v="0"/>
    <n v="30.233333333333334"/>
    <x v="64"/>
    <n v="-910"/>
    <n v="3496"/>
    <n v="-1.1705685618729098E-3"/>
    <s v="Oct-13"/>
    <x v="6"/>
    <n v="2.5490196078431371"/>
  </r>
  <r>
    <x v="69"/>
    <n v="52"/>
    <x v="3"/>
    <x v="0"/>
    <x v="0"/>
    <x v="1"/>
    <x v="1"/>
    <x v="3"/>
    <x v="6"/>
    <x v="40"/>
    <x v="41"/>
    <x v="18"/>
    <n v="40"/>
    <n v="60"/>
    <n v="110"/>
    <n v="45"/>
    <x v="41"/>
    <x v="40"/>
    <x v="36"/>
    <x v="61"/>
    <n v="1.3"/>
    <n v="-21"/>
    <x v="0"/>
    <n v="59.35"/>
    <x v="65"/>
    <n v="5109"/>
    <n v="765"/>
    <n v="1.7512348450830714E-2"/>
    <s v="Oct-13"/>
    <x v="2"/>
    <n v="2.5192307692307692"/>
  </r>
  <r>
    <x v="90"/>
    <n v="43"/>
    <x v="3"/>
    <x v="0"/>
    <x v="0"/>
    <x v="2"/>
    <x v="1"/>
    <x v="3"/>
    <x v="7"/>
    <x v="41"/>
    <x v="11"/>
    <x v="18"/>
    <n v="30"/>
    <n v="60"/>
    <n v="100"/>
    <n v="36"/>
    <x v="11"/>
    <x v="41"/>
    <x v="16"/>
    <x v="62"/>
    <n v="1.4333333333333333"/>
    <n v="-18"/>
    <x v="0"/>
    <n v="59.3"/>
    <x v="66"/>
    <n v="4788"/>
    <n v="468"/>
    <n v="2.8340080971659919E-2"/>
    <s v="Oct-13"/>
    <x v="1"/>
    <n v="2.6511627906976742"/>
  </r>
  <r>
    <x v="20"/>
    <n v="51"/>
    <x v="3"/>
    <x v="0"/>
    <x v="2"/>
    <x v="0"/>
    <x v="1"/>
    <x v="2"/>
    <x v="8"/>
    <x v="86"/>
    <x v="21"/>
    <x v="15"/>
    <n v="30"/>
    <n v="30"/>
    <n v="100"/>
    <n v="76"/>
    <x v="21"/>
    <x v="86"/>
    <x v="65"/>
    <x v="204"/>
    <n v="1.7"/>
    <n v="-46"/>
    <x v="0"/>
    <n v="30.533333333333335"/>
    <x v="233"/>
    <n v="-1984"/>
    <n v="3496"/>
    <n v="-2.8050490883590462E-3"/>
    <s v="Oct-13"/>
    <x v="7"/>
    <n v="2.4313725490196076"/>
  </r>
  <r>
    <x v="33"/>
    <n v="72"/>
    <x v="3"/>
    <x v="0"/>
    <x v="1"/>
    <x v="4"/>
    <x v="1"/>
    <x v="2"/>
    <x v="9"/>
    <x v="87"/>
    <x v="47"/>
    <x v="1"/>
    <n v="40"/>
    <n v="50"/>
    <n v="110"/>
    <n v="55"/>
    <x v="47"/>
    <x v="87"/>
    <x v="85"/>
    <x v="205"/>
    <n v="1.8"/>
    <n v="32"/>
    <x v="0"/>
    <n v="48.36"/>
    <x v="234"/>
    <n v="15908"/>
    <n v="1265"/>
    <n v="1.8377409233527566E-2"/>
    <s v="Oct-13"/>
    <x v="0"/>
    <n v="2.6944444444444446"/>
  </r>
  <r>
    <x v="105"/>
    <n v="48"/>
    <x v="3"/>
    <x v="0"/>
    <x v="2"/>
    <x v="2"/>
    <x v="0"/>
    <x v="1"/>
    <x v="3"/>
    <x v="88"/>
    <x v="53"/>
    <x v="2"/>
    <n v="50"/>
    <n v="60"/>
    <n v="120"/>
    <n v="24"/>
    <x v="53"/>
    <x v="88"/>
    <x v="31"/>
    <x v="206"/>
    <n v="0.96"/>
    <n v="8"/>
    <x v="0"/>
    <n v="58.866666666666667"/>
    <x v="235"/>
    <n v="8568"/>
    <n v="312"/>
    <n v="4.1514041514041512E-2"/>
    <s v="Oct-13"/>
    <x v="0"/>
    <n v="2.625"/>
  </r>
  <r>
    <x v="29"/>
    <n v="60"/>
    <x v="3"/>
    <x v="1"/>
    <x v="1"/>
    <x v="31"/>
    <x v="1"/>
    <x v="2"/>
    <x v="8"/>
    <x v="89"/>
    <x v="92"/>
    <x v="10"/>
    <n v="30"/>
    <n v="70"/>
    <n v="100"/>
    <n v="41"/>
    <x v="92"/>
    <x v="89"/>
    <x v="25"/>
    <x v="154"/>
    <n v="2"/>
    <n v="16"/>
    <x v="0"/>
    <n v="68.771428571428572"/>
    <x v="236"/>
    <n v="14534"/>
    <n v="738"/>
    <n v="2.827087442472058E-2"/>
    <s v="Oct-13"/>
    <x v="3"/>
    <n v="2.8166666666666669"/>
  </r>
  <r>
    <x v="49"/>
    <n v="52"/>
    <x v="3"/>
    <x v="1"/>
    <x v="3"/>
    <x v="1"/>
    <x v="1"/>
    <x v="2"/>
    <x v="8"/>
    <x v="54"/>
    <x v="41"/>
    <x v="11"/>
    <n v="30"/>
    <n v="60"/>
    <n v="100"/>
    <n v="44"/>
    <x v="41"/>
    <x v="54"/>
    <x v="79"/>
    <x v="207"/>
    <n v="1.7333333333333334"/>
    <n v="-20"/>
    <x v="0"/>
    <n v="59.333333333333336"/>
    <x v="237"/>
    <n v="5240"/>
    <n v="748"/>
    <n v="1.7961383026493041E-2"/>
    <s v="Oct-13"/>
    <x v="1"/>
    <n v="2.5192307692307692"/>
  </r>
  <r>
    <x v="16"/>
    <n v="56"/>
    <x v="3"/>
    <x v="1"/>
    <x v="3"/>
    <x v="28"/>
    <x v="1"/>
    <x v="2"/>
    <x v="8"/>
    <x v="10"/>
    <x v="108"/>
    <x v="14"/>
    <n v="40"/>
    <n v="50"/>
    <n v="110"/>
    <n v="54"/>
    <x v="108"/>
    <x v="10"/>
    <x v="60"/>
    <x v="208"/>
    <n v="1.4"/>
    <n v="-26"/>
    <x v="0"/>
    <n v="49.52"/>
    <x v="112"/>
    <n v="3216"/>
    <n v="1134"/>
    <n v="8.5287846481876331E-3"/>
    <s v="Oct-13"/>
    <x v="0"/>
    <n v="2.3928571428571428"/>
  </r>
  <r>
    <x v="28"/>
    <n v="56"/>
    <x v="3"/>
    <x v="1"/>
    <x v="1"/>
    <x v="28"/>
    <x v="0"/>
    <x v="0"/>
    <x v="10"/>
    <x v="10"/>
    <x v="108"/>
    <x v="6"/>
    <n v="40"/>
    <n v="50"/>
    <n v="110"/>
    <n v="54"/>
    <x v="108"/>
    <x v="10"/>
    <x v="60"/>
    <x v="208"/>
    <n v="1.4"/>
    <n v="-26"/>
    <x v="0"/>
    <n v="49.52"/>
    <x v="112"/>
    <n v="3216"/>
    <n v="1134"/>
    <n v="8.5287846481876331E-3"/>
    <s v="Oct-13"/>
    <x v="0"/>
    <n v="2.3928571428571428"/>
  </r>
  <r>
    <x v="9"/>
    <n v="45"/>
    <x v="3"/>
    <x v="1"/>
    <x v="3"/>
    <x v="10"/>
    <x v="0"/>
    <x v="0"/>
    <x v="0"/>
    <x v="28"/>
    <x v="26"/>
    <x v="8"/>
    <n v="20"/>
    <n v="60"/>
    <n v="90"/>
    <n v="46"/>
    <x v="26"/>
    <x v="28"/>
    <x v="10"/>
    <x v="209"/>
    <n v="2.25"/>
    <n v="-26"/>
    <x v="0"/>
    <n v="59.43333333333333"/>
    <x v="238"/>
    <n v="4114"/>
    <n v="644"/>
    <n v="2.0070838252656435E-2"/>
    <s v="Oct-13"/>
    <x v="3"/>
    <n v="2.6888888888888891"/>
  </r>
  <r>
    <x v="69"/>
    <n v="52"/>
    <x v="4"/>
    <x v="0"/>
    <x v="0"/>
    <x v="17"/>
    <x v="1"/>
    <x v="3"/>
    <x v="5"/>
    <x v="64"/>
    <x v="33"/>
    <x v="18"/>
    <n v="50"/>
    <n v="10"/>
    <n v="120"/>
    <n v="76"/>
    <x v="33"/>
    <x v="64"/>
    <x v="52"/>
    <x v="194"/>
    <n v="1.04"/>
    <n v="-14"/>
    <x v="0"/>
    <n v="10.4"/>
    <x v="239"/>
    <n v="-532"/>
    <n v="3572"/>
    <n v="-6.3989761638137894E-4"/>
    <s v="Nov-13"/>
    <x v="8"/>
    <n v="2.5576923076923075"/>
  </r>
  <r>
    <x v="104"/>
    <n v="46"/>
    <x v="4"/>
    <x v="0"/>
    <x v="0"/>
    <x v="10"/>
    <x v="1"/>
    <x v="3"/>
    <x v="7"/>
    <x v="17"/>
    <x v="26"/>
    <x v="18"/>
    <n v="40"/>
    <n v="40"/>
    <n v="110"/>
    <n v="36"/>
    <x v="26"/>
    <x v="17"/>
    <x v="107"/>
    <x v="124"/>
    <n v="1.1499999999999999"/>
    <n v="7"/>
    <x v="0"/>
    <n v="38.825000000000003"/>
    <x v="240"/>
    <n v="5687"/>
    <n v="504"/>
    <n v="2.7744982290436836E-2"/>
    <s v="Nov-13"/>
    <x v="7"/>
    <n v="2.6304347826086958"/>
  </r>
  <r>
    <x v="1"/>
    <n v="52"/>
    <x v="4"/>
    <x v="0"/>
    <x v="0"/>
    <x v="17"/>
    <x v="0"/>
    <x v="0"/>
    <x v="0"/>
    <x v="15"/>
    <x v="33"/>
    <x v="0"/>
    <n v="40"/>
    <n v="10"/>
    <n v="110"/>
    <n v="77"/>
    <x v="33"/>
    <x v="15"/>
    <x v="92"/>
    <x v="210"/>
    <n v="1.3"/>
    <n v="-16"/>
    <x v="0"/>
    <n v="10.6"/>
    <x v="241"/>
    <n v="-798"/>
    <n v="3619.0000000000005"/>
    <n v="-9.5984642457206835E-4"/>
    <s v="Nov-13"/>
    <x v="10"/>
    <n v="2.5576923076923075"/>
  </r>
  <r>
    <x v="1"/>
    <n v="59"/>
    <x v="4"/>
    <x v="0"/>
    <x v="0"/>
    <x v="27"/>
    <x v="0"/>
    <x v="0"/>
    <x v="1"/>
    <x v="17"/>
    <x v="32"/>
    <x v="0"/>
    <n v="50"/>
    <n v="40"/>
    <n v="120"/>
    <n v="47"/>
    <x v="32"/>
    <x v="17"/>
    <x v="110"/>
    <x v="211"/>
    <n v="1.18"/>
    <n v="7"/>
    <x v="0"/>
    <n v="38.825000000000003"/>
    <x v="242"/>
    <n v="6909"/>
    <n v="893"/>
    <n v="1.6827783745076978E-2"/>
    <s v="Nov-13"/>
    <x v="6"/>
    <n v="2.4915254237288136"/>
  </r>
  <r>
    <x v="22"/>
    <n v="59"/>
    <x v="4"/>
    <x v="0"/>
    <x v="1"/>
    <x v="27"/>
    <x v="0"/>
    <x v="0"/>
    <x v="10"/>
    <x v="17"/>
    <x v="32"/>
    <x v="1"/>
    <n v="50"/>
    <n v="40"/>
    <n v="120"/>
    <n v="47"/>
    <x v="32"/>
    <x v="17"/>
    <x v="110"/>
    <x v="211"/>
    <n v="1.18"/>
    <n v="7"/>
    <x v="0"/>
    <n v="38.825000000000003"/>
    <x v="242"/>
    <n v="6909"/>
    <n v="893"/>
    <n v="1.6827783745076978E-2"/>
    <s v="Nov-13"/>
    <x v="6"/>
    <n v="2.4915254237288136"/>
  </r>
  <r>
    <x v="106"/>
    <n v="50"/>
    <x v="4"/>
    <x v="0"/>
    <x v="2"/>
    <x v="10"/>
    <x v="0"/>
    <x v="1"/>
    <x v="3"/>
    <x v="50"/>
    <x v="41"/>
    <x v="19"/>
    <n v="50"/>
    <n v="50"/>
    <n v="120"/>
    <n v="26"/>
    <x v="41"/>
    <x v="50"/>
    <x v="8"/>
    <x v="68"/>
    <n v="1"/>
    <n v="20"/>
    <x v="0"/>
    <n v="48.6"/>
    <x v="166"/>
    <n v="9170"/>
    <n v="364"/>
    <n v="3.8167938931297711E-2"/>
    <s v="Nov-13"/>
    <x v="7"/>
    <n v="2.62"/>
  </r>
  <r>
    <x v="31"/>
    <n v="53"/>
    <x v="4"/>
    <x v="1"/>
    <x v="2"/>
    <x v="1"/>
    <x v="1"/>
    <x v="2"/>
    <x v="4"/>
    <x v="40"/>
    <x v="57"/>
    <x v="5"/>
    <n v="50"/>
    <n v="40"/>
    <n v="120"/>
    <n v="45"/>
    <x v="57"/>
    <x v="40"/>
    <x v="73"/>
    <x v="61"/>
    <n v="1.06"/>
    <n v="-1"/>
    <x v="0"/>
    <n v="39.024999999999999"/>
    <x v="65"/>
    <n v="5148"/>
    <n v="765"/>
    <n v="1.7379679144385027E-2"/>
    <s v="Nov-13"/>
    <x v="6"/>
    <n v="2.4905660377358489"/>
  </r>
  <r>
    <x v="9"/>
    <n v="54"/>
    <x v="4"/>
    <x v="1"/>
    <x v="3"/>
    <x v="6"/>
    <x v="1"/>
    <x v="2"/>
    <x v="4"/>
    <x v="61"/>
    <x v="29"/>
    <x v="8"/>
    <n v="50"/>
    <n v="50"/>
    <n v="120"/>
    <n v="26"/>
    <x v="29"/>
    <x v="61"/>
    <x v="105"/>
    <x v="98"/>
    <n v="1.08"/>
    <n v="27"/>
    <x v="0"/>
    <n v="48.46"/>
    <x v="243"/>
    <n v="10857"/>
    <n v="389.99999999999994"/>
    <n v="3.6406619385342794E-2"/>
    <s v="Nov-13"/>
    <x v="7"/>
    <n v="2.6111111111111112"/>
  </r>
  <r>
    <x v="39"/>
    <n v="43"/>
    <x v="4"/>
    <x v="1"/>
    <x v="1"/>
    <x v="10"/>
    <x v="1"/>
    <x v="3"/>
    <x v="7"/>
    <x v="27"/>
    <x v="52"/>
    <x v="17"/>
    <n v="50"/>
    <n v="30"/>
    <n v="120"/>
    <n v="46"/>
    <x v="52"/>
    <x v="27"/>
    <x v="32"/>
    <x v="33"/>
    <n v="0.86"/>
    <n v="0"/>
    <x v="0"/>
    <n v="29"/>
    <x v="100"/>
    <n v="3480"/>
    <n v="644"/>
    <n v="1.8472906403940885E-2"/>
    <s v="Nov-13"/>
    <x v="9"/>
    <n v="2.6976744186046511"/>
  </r>
  <r>
    <x v="11"/>
    <n v="61"/>
    <x v="4"/>
    <x v="1"/>
    <x v="1"/>
    <x v="21"/>
    <x v="1"/>
    <x v="2"/>
    <x v="9"/>
    <x v="12"/>
    <x v="63"/>
    <x v="10"/>
    <n v="40"/>
    <n v="10"/>
    <n v="110"/>
    <n v="85"/>
    <x v="63"/>
    <x v="12"/>
    <x v="71"/>
    <x v="40"/>
    <n v="1.5249999999999999"/>
    <n v="-9"/>
    <x v="0"/>
    <n v="9.9"/>
    <x v="43"/>
    <n v="157"/>
    <n v="4675"/>
    <n v="1.1580775911986103E-4"/>
    <s v="Nov-13"/>
    <x v="10"/>
    <n v="2.5737704918032787"/>
  </r>
  <r>
    <x v="12"/>
    <n v="55"/>
    <x v="4"/>
    <x v="1"/>
    <x v="3"/>
    <x v="14"/>
    <x v="1"/>
    <x v="2"/>
    <x v="9"/>
    <x v="10"/>
    <x v="57"/>
    <x v="11"/>
    <n v="50"/>
    <n v="30"/>
    <n v="120"/>
    <n v="53"/>
    <x v="57"/>
    <x v="10"/>
    <x v="13"/>
    <x v="212"/>
    <n v="1.1000000000000001"/>
    <n v="-6"/>
    <x v="0"/>
    <n v="29.2"/>
    <x v="244"/>
    <n v="3168"/>
    <n v="1060"/>
    <n v="9.0909090909090905E-3"/>
    <s v="Nov-13"/>
    <x v="9"/>
    <n v="2.4"/>
  </r>
  <r>
    <x v="42"/>
    <n v="82"/>
    <x v="4"/>
    <x v="1"/>
    <x v="2"/>
    <x v="33"/>
    <x v="0"/>
    <x v="0"/>
    <x v="0"/>
    <x v="4"/>
    <x v="109"/>
    <x v="5"/>
    <n v="60"/>
    <n v="30"/>
    <n v="130"/>
    <n v="64"/>
    <x v="109"/>
    <x v="4"/>
    <x v="65"/>
    <x v="213"/>
    <n v="1.3666666666666667"/>
    <n v="26"/>
    <x v="0"/>
    <n v="28.133333333333333"/>
    <x v="245"/>
    <n v="10976"/>
    <n v="1984"/>
    <n v="9.2165898617511521E-3"/>
    <s v="Nov-13"/>
    <x v="10"/>
    <n v="2.3902439024390243"/>
  </r>
  <r>
    <x v="65"/>
    <n v="61"/>
    <x v="4"/>
    <x v="1"/>
    <x v="0"/>
    <x v="21"/>
    <x v="0"/>
    <x v="1"/>
    <x v="11"/>
    <x v="83"/>
    <x v="63"/>
    <x v="13"/>
    <n v="50"/>
    <n v="0"/>
    <n v="120"/>
    <n v="84"/>
    <x v="63"/>
    <x v="83"/>
    <x v="114"/>
    <x v="214"/>
    <n v="1.22"/>
    <n v="3"/>
    <x v="0"/>
    <e v="#DIV/0!"/>
    <x v="246"/>
    <n v="471"/>
    <n v="4620"/>
    <n v="3.4742327735958308E-4"/>
    <s v="Nov-13"/>
    <x v="11"/>
    <n v="2.5737704918032787"/>
  </r>
  <r>
    <x v="30"/>
    <n v="53"/>
    <x v="4"/>
    <x v="1"/>
    <x v="3"/>
    <x v="20"/>
    <x v="0"/>
    <x v="1"/>
    <x v="2"/>
    <x v="59"/>
    <x v="61"/>
    <x v="14"/>
    <n v="30"/>
    <n v="50"/>
    <n v="100"/>
    <n v="39"/>
    <x v="61"/>
    <x v="59"/>
    <x v="45"/>
    <x v="95"/>
    <n v="1.7666666666666666"/>
    <n v="23"/>
    <x v="0"/>
    <n v="48.54"/>
    <x v="102"/>
    <n v="10950"/>
    <n v="624"/>
    <n v="3.0416666666666668E-2"/>
    <s v="Nov-13"/>
    <x v="2"/>
    <n v="2.8301886792452828"/>
  </r>
  <r>
    <x v="101"/>
    <n v="47"/>
    <x v="5"/>
    <x v="0"/>
    <x v="0"/>
    <x v="22"/>
    <x v="1"/>
    <x v="3"/>
    <x v="5"/>
    <x v="48"/>
    <x v="16"/>
    <x v="18"/>
    <n v="40"/>
    <n v="10"/>
    <n v="110"/>
    <n v="71"/>
    <x v="16"/>
    <x v="48"/>
    <x v="23"/>
    <x v="99"/>
    <n v="1.175"/>
    <n v="-19"/>
    <x v="0"/>
    <n v="10.9"/>
    <x v="107"/>
    <n v="-1071"/>
    <n v="2982"/>
    <n v="-1.8007202881152461E-3"/>
    <s v="Dec-13"/>
    <x v="10"/>
    <n v="2.5319148936170213"/>
  </r>
  <r>
    <x v="104"/>
    <n v="54"/>
    <x v="5"/>
    <x v="0"/>
    <x v="0"/>
    <x v="1"/>
    <x v="1"/>
    <x v="3"/>
    <x v="6"/>
    <x v="58"/>
    <x v="65"/>
    <x v="18"/>
    <n v="50"/>
    <n v="40"/>
    <n v="120"/>
    <n v="44"/>
    <x v="65"/>
    <x v="58"/>
    <x v="36"/>
    <x v="86"/>
    <n v="1.08"/>
    <n v="3"/>
    <x v="0"/>
    <n v="38.924999999999997"/>
    <x v="108"/>
    <n v="5805"/>
    <n v="748"/>
    <n v="1.8736383442265796E-2"/>
    <s v="Dec-13"/>
    <x v="6"/>
    <n v="2.5"/>
  </r>
  <r>
    <x v="107"/>
    <n v="67"/>
    <x v="5"/>
    <x v="0"/>
    <x v="1"/>
    <x v="34"/>
    <x v="1"/>
    <x v="2"/>
    <x v="9"/>
    <x v="50"/>
    <x v="110"/>
    <x v="1"/>
    <n v="50"/>
    <n v="30"/>
    <n v="120"/>
    <n v="54"/>
    <x v="110"/>
    <x v="50"/>
    <x v="26"/>
    <x v="215"/>
    <n v="1.34"/>
    <n v="40"/>
    <x v="0"/>
    <n v="27.666666666666668"/>
    <x v="247"/>
    <n v="12530"/>
    <n v="1188"/>
    <n v="1.7775520568816656E-2"/>
    <s v="Dec-13"/>
    <x v="9"/>
    <n v="2.6716417910447761"/>
  </r>
  <r>
    <x v="89"/>
    <n v="54"/>
    <x v="5"/>
    <x v="0"/>
    <x v="0"/>
    <x v="6"/>
    <x v="0"/>
    <x v="1"/>
    <x v="2"/>
    <x v="63"/>
    <x v="64"/>
    <x v="16"/>
    <n v="40"/>
    <n v="50"/>
    <n v="110"/>
    <n v="26"/>
    <x v="64"/>
    <x v="63"/>
    <x v="17"/>
    <x v="104"/>
    <n v="1.35"/>
    <n v="29"/>
    <x v="0"/>
    <n v="48.42"/>
    <x v="113"/>
    <n v="11218"/>
    <n v="390"/>
    <n v="3.7089201877934269E-2"/>
    <s v="Dec-13"/>
    <x v="0"/>
    <n v="2.6296296296296298"/>
  </r>
  <r>
    <x v="54"/>
    <n v="63"/>
    <x v="5"/>
    <x v="1"/>
    <x v="0"/>
    <x v="27"/>
    <x v="1"/>
    <x v="3"/>
    <x v="5"/>
    <x v="36"/>
    <x v="74"/>
    <x v="12"/>
    <n v="60"/>
    <n v="40"/>
    <n v="130"/>
    <n v="40"/>
    <x v="74"/>
    <x v="36"/>
    <x v="78"/>
    <x v="113"/>
    <n v="1.05"/>
    <n v="13"/>
    <x v="0"/>
    <n v="38.674999999999997"/>
    <x v="121"/>
    <n v="7844"/>
    <n v="760.00000000000011"/>
    <n v="1.8847795163584636E-2"/>
    <s v="Dec-13"/>
    <x v="9"/>
    <n v="2.3492063492063493"/>
  </r>
  <r>
    <x v="31"/>
    <n v="49"/>
    <x v="5"/>
    <x v="1"/>
    <x v="2"/>
    <x v="20"/>
    <x v="1"/>
    <x v="2"/>
    <x v="4"/>
    <x v="5"/>
    <x v="26"/>
    <x v="5"/>
    <n v="40"/>
    <n v="40"/>
    <n v="110"/>
    <n v="44"/>
    <x v="26"/>
    <x v="5"/>
    <x v="6"/>
    <x v="216"/>
    <n v="1.2250000000000001"/>
    <n v="-9"/>
    <x v="0"/>
    <n v="39.225000000000001"/>
    <x v="248"/>
    <n v="3751"/>
    <n v="704"/>
    <n v="1.6012396694214875E-2"/>
    <s v="Dec-13"/>
    <x v="7"/>
    <n v="2.4693877551020407"/>
  </r>
  <r>
    <x v="9"/>
    <n v="50"/>
    <x v="5"/>
    <x v="1"/>
    <x v="3"/>
    <x v="10"/>
    <x v="1"/>
    <x v="2"/>
    <x v="4"/>
    <x v="50"/>
    <x v="41"/>
    <x v="8"/>
    <n v="40"/>
    <n v="50"/>
    <n v="110"/>
    <n v="26"/>
    <x v="41"/>
    <x v="50"/>
    <x v="8"/>
    <x v="68"/>
    <n v="1.25"/>
    <n v="20"/>
    <x v="0"/>
    <n v="48.6"/>
    <x v="166"/>
    <n v="9170"/>
    <n v="364"/>
    <n v="3.8167938931297711E-2"/>
    <s v="Dec-13"/>
    <x v="0"/>
    <n v="2.62"/>
  </r>
  <r>
    <x v="10"/>
    <n v="52"/>
    <x v="5"/>
    <x v="1"/>
    <x v="2"/>
    <x v="20"/>
    <x v="1"/>
    <x v="3"/>
    <x v="6"/>
    <x v="45"/>
    <x v="65"/>
    <x v="9"/>
    <n v="40"/>
    <n v="50"/>
    <n v="110"/>
    <n v="38"/>
    <x v="65"/>
    <x v="45"/>
    <x v="46"/>
    <x v="217"/>
    <n v="1.3"/>
    <n v="5"/>
    <x v="0"/>
    <n v="48.9"/>
    <x v="249"/>
    <n v="7425"/>
    <n v="608"/>
    <n v="2.5462962962962962E-2"/>
    <s v="Dec-13"/>
    <x v="0"/>
    <n v="2.5961538461538463"/>
  </r>
  <r>
    <x v="31"/>
    <n v="55"/>
    <x v="5"/>
    <x v="1"/>
    <x v="2"/>
    <x v="24"/>
    <x v="1"/>
    <x v="2"/>
    <x v="8"/>
    <x v="37"/>
    <x v="71"/>
    <x v="5"/>
    <n v="50"/>
    <n v="10"/>
    <n v="120"/>
    <n v="78"/>
    <x v="71"/>
    <x v="37"/>
    <x v="12"/>
    <x v="52"/>
    <n v="1.1000000000000001"/>
    <n v="-13"/>
    <x v="0"/>
    <n v="10.3"/>
    <x v="250"/>
    <n v="-420"/>
    <n v="3822"/>
    <n v="-4.3731778425655976E-4"/>
    <s v="Dec-13"/>
    <x v="8"/>
    <n v="2.5454545454545454"/>
  </r>
  <r>
    <x v="10"/>
    <n v="49"/>
    <x v="5"/>
    <x v="1"/>
    <x v="2"/>
    <x v="25"/>
    <x v="1"/>
    <x v="2"/>
    <x v="8"/>
    <x v="15"/>
    <x v="53"/>
    <x v="9"/>
    <n v="40"/>
    <n v="10"/>
    <n v="110"/>
    <n v="73"/>
    <x v="53"/>
    <x v="15"/>
    <x v="104"/>
    <x v="158"/>
    <n v="1.2250000000000001"/>
    <n v="-16"/>
    <x v="0"/>
    <n v="10.6"/>
    <x v="182"/>
    <n v="-756"/>
    <n v="3212.0000000000005"/>
    <n v="-1.0822510822510823E-3"/>
    <s v="Dec-13"/>
    <x v="10"/>
    <n v="2.5714285714285716"/>
  </r>
  <r>
    <x v="49"/>
    <n v="41"/>
    <x v="5"/>
    <x v="1"/>
    <x v="3"/>
    <x v="2"/>
    <x v="1"/>
    <x v="3"/>
    <x v="7"/>
    <x v="12"/>
    <x v="111"/>
    <x v="11"/>
    <n v="40"/>
    <n v="20"/>
    <n v="110"/>
    <n v="56"/>
    <x v="111"/>
    <x v="12"/>
    <x v="51"/>
    <x v="203"/>
    <n v="1.0249999999999999"/>
    <n v="-19"/>
    <x v="0"/>
    <n v="19.95"/>
    <x v="231"/>
    <n v="104"/>
    <n v="728"/>
    <n v="7.3964497041420127E-4"/>
    <s v="Dec-13"/>
    <x v="9"/>
    <n v="2.5365853658536586"/>
  </r>
  <r>
    <x v="12"/>
    <n v="54"/>
    <x v="5"/>
    <x v="1"/>
    <x v="3"/>
    <x v="1"/>
    <x v="1"/>
    <x v="2"/>
    <x v="8"/>
    <x v="41"/>
    <x v="65"/>
    <x v="11"/>
    <n v="50"/>
    <n v="40"/>
    <n v="120"/>
    <n v="45"/>
    <x v="65"/>
    <x v="41"/>
    <x v="73"/>
    <x v="102"/>
    <n v="1.08"/>
    <n v="2"/>
    <x v="0"/>
    <n v="38.950000000000003"/>
    <x v="111"/>
    <n v="5670"/>
    <n v="765"/>
    <n v="1.8300653594771243E-2"/>
    <s v="Dec-13"/>
    <x v="6"/>
    <n v="2.5"/>
  </r>
  <r>
    <x v="47"/>
    <n v="65"/>
    <x v="5"/>
    <x v="1"/>
    <x v="1"/>
    <x v="23"/>
    <x v="0"/>
    <x v="0"/>
    <x v="10"/>
    <x v="9"/>
    <x v="66"/>
    <x v="6"/>
    <n v="60"/>
    <n v="20"/>
    <n v="130"/>
    <n v="58"/>
    <x v="66"/>
    <x v="9"/>
    <x v="43"/>
    <x v="218"/>
    <n v="1.0833333333333333"/>
    <n v="13"/>
    <x v="0"/>
    <n v="18.350000000000001"/>
    <x v="251"/>
    <n v="5115"/>
    <n v="1392"/>
    <n v="8.870967741935484E-3"/>
    <s v="Dec-13"/>
    <x v="8"/>
    <n v="2.3846153846153846"/>
  </r>
  <r>
    <x v="9"/>
    <n v="52"/>
    <x v="5"/>
    <x v="1"/>
    <x v="3"/>
    <x v="20"/>
    <x v="0"/>
    <x v="0"/>
    <x v="10"/>
    <x v="36"/>
    <x v="65"/>
    <x v="8"/>
    <n v="40"/>
    <n v="40"/>
    <n v="110"/>
    <n v="39"/>
    <x v="65"/>
    <x v="36"/>
    <x v="90"/>
    <x v="219"/>
    <n v="1.3"/>
    <n v="13"/>
    <x v="0"/>
    <n v="38.674999999999997"/>
    <x v="252"/>
    <n v="7155"/>
    <n v="624"/>
    <n v="2.4537037037037038E-2"/>
    <s v="Dec-13"/>
    <x v="7"/>
    <n v="2.5961538461538463"/>
  </r>
  <r>
    <x v="9"/>
    <n v="48"/>
    <x v="5"/>
    <x v="1"/>
    <x v="3"/>
    <x v="6"/>
    <x v="0"/>
    <x v="0"/>
    <x v="0"/>
    <x v="41"/>
    <x v="45"/>
    <x v="8"/>
    <n v="40"/>
    <n v="40"/>
    <n v="110"/>
    <n v="46"/>
    <x v="45"/>
    <x v="41"/>
    <x v="75"/>
    <x v="107"/>
    <n v="1.2"/>
    <n v="2"/>
    <x v="0"/>
    <n v="38.950000000000003"/>
    <x v="116"/>
    <n v="5460"/>
    <n v="690"/>
    <n v="2.1538461538461538E-2"/>
    <s v="Dec-13"/>
    <x v="7"/>
    <n v="2.7083333333333335"/>
  </r>
  <r>
    <x v="16"/>
    <n v="49"/>
    <x v="5"/>
    <x v="1"/>
    <x v="3"/>
    <x v="2"/>
    <x v="0"/>
    <x v="0"/>
    <x v="0"/>
    <x v="88"/>
    <x v="51"/>
    <x v="14"/>
    <n v="40"/>
    <n v="50"/>
    <n v="110"/>
    <n v="25"/>
    <x v="51"/>
    <x v="88"/>
    <x v="64"/>
    <x v="206"/>
    <n v="1.2250000000000001"/>
    <n v="18"/>
    <x v="0"/>
    <n v="48.64"/>
    <x v="253"/>
    <n v="8704"/>
    <n v="325"/>
    <n v="4.0865384615384616E-2"/>
    <s v="Dec-13"/>
    <x v="0"/>
    <n v="2.6122448979591835"/>
  </r>
  <r>
    <x v="67"/>
    <n v="50"/>
    <x v="5"/>
    <x v="1"/>
    <x v="2"/>
    <x v="10"/>
    <x v="0"/>
    <x v="1"/>
    <x v="2"/>
    <x v="50"/>
    <x v="41"/>
    <x v="5"/>
    <n v="50"/>
    <n v="50"/>
    <n v="120"/>
    <n v="26"/>
    <x v="41"/>
    <x v="50"/>
    <x v="8"/>
    <x v="68"/>
    <n v="1"/>
    <n v="20"/>
    <x v="0"/>
    <n v="48.6"/>
    <x v="166"/>
    <n v="9170"/>
    <n v="364"/>
    <n v="3.8167938931297711E-2"/>
    <s v="Dec-13"/>
    <x v="7"/>
    <n v="2.62"/>
  </r>
  <r>
    <x v="90"/>
    <n v="21"/>
    <x v="0"/>
    <x v="0"/>
    <x v="0"/>
    <x v="35"/>
    <x v="0"/>
    <x v="0"/>
    <x v="10"/>
    <x v="38"/>
    <x v="112"/>
    <x v="18"/>
    <n v="0"/>
    <n v="30"/>
    <n v="30"/>
    <n v="16"/>
    <x v="112"/>
    <x v="38"/>
    <x v="102"/>
    <x v="220"/>
    <e v="#DIV/0!"/>
    <n v="-14"/>
    <x v="0"/>
    <n v="29.466666666666665"/>
    <x v="254"/>
    <n v="848"/>
    <n v="80"/>
    <n v="6.0377358490566038E-2"/>
    <s v="Oct-12"/>
    <x v="4"/>
    <n v="2.5238095238095237"/>
  </r>
  <r>
    <x v="101"/>
    <n v="27"/>
    <x v="0"/>
    <x v="0"/>
    <x v="0"/>
    <x v="7"/>
    <x v="0"/>
    <x v="0"/>
    <x v="0"/>
    <x v="30"/>
    <x v="7"/>
    <x v="18"/>
    <n v="10"/>
    <n v="30"/>
    <n v="40"/>
    <n v="19"/>
    <x v="7"/>
    <x v="30"/>
    <x v="66"/>
    <x v="117"/>
    <n v="2.7"/>
    <n v="-10"/>
    <x v="0"/>
    <n v="29.333333333333332"/>
    <x v="126"/>
    <n v="1320"/>
    <n v="133"/>
    <n v="4.3290043290043288E-2"/>
    <s v="Oct-12"/>
    <x v="12"/>
    <n v="2.4444444444444446"/>
  </r>
  <r>
    <x v="3"/>
    <n v="56"/>
    <x v="0"/>
    <x v="0"/>
    <x v="2"/>
    <x v="28"/>
    <x v="0"/>
    <x v="0"/>
    <x v="0"/>
    <x v="38"/>
    <x v="53"/>
    <x v="2"/>
    <n v="30"/>
    <n v="20"/>
    <n v="60"/>
    <n v="54"/>
    <x v="53"/>
    <x v="38"/>
    <x v="60"/>
    <x v="191"/>
    <n v="1.8666666666666667"/>
    <n v="-4"/>
    <x v="0"/>
    <n v="19.2"/>
    <x v="51"/>
    <n v="2016"/>
    <n v="1134"/>
    <n v="6.0468631897203319E-3"/>
    <s v="Oct-12"/>
    <x v="1"/>
    <n v="2.25"/>
  </r>
  <r>
    <x v="108"/>
    <n v="54"/>
    <x v="0"/>
    <x v="0"/>
    <x v="2"/>
    <x v="14"/>
    <x v="0"/>
    <x v="0"/>
    <x v="0"/>
    <x v="32"/>
    <x v="10"/>
    <x v="15"/>
    <n v="30"/>
    <n v="20"/>
    <n v="60"/>
    <n v="53"/>
    <x v="10"/>
    <x v="32"/>
    <x v="33"/>
    <x v="37"/>
    <n v="1.8"/>
    <n v="-7"/>
    <x v="0"/>
    <n v="19.350000000000001"/>
    <x v="124"/>
    <n v="1560"/>
    <n v="1060"/>
    <n v="5.4166666666666669E-3"/>
    <s v="Oct-12"/>
    <x v="1"/>
    <n v="2.2222222222222223"/>
  </r>
  <r>
    <x v="109"/>
    <n v="21"/>
    <x v="0"/>
    <x v="0"/>
    <x v="2"/>
    <x v="35"/>
    <x v="0"/>
    <x v="1"/>
    <x v="3"/>
    <x v="25"/>
    <x v="112"/>
    <x v="15"/>
    <n v="20"/>
    <n v="30"/>
    <n v="50"/>
    <n v="17"/>
    <x v="112"/>
    <x v="25"/>
    <x v="115"/>
    <x v="7"/>
    <n v="1.05"/>
    <n v="-15"/>
    <x v="0"/>
    <n v="29.5"/>
    <x v="255"/>
    <n v="795"/>
    <n v="85"/>
    <n v="5.6603773584905662E-2"/>
    <s v="Oct-12"/>
    <x v="5"/>
    <n v="2.5238095238095237"/>
  </r>
  <r>
    <x v="39"/>
    <n v="39"/>
    <x v="0"/>
    <x v="1"/>
    <x v="1"/>
    <x v="13"/>
    <x v="1"/>
    <x v="2"/>
    <x v="4"/>
    <x v="29"/>
    <x v="19"/>
    <x v="17"/>
    <n v="20"/>
    <n v="20"/>
    <n v="50"/>
    <n v="39"/>
    <x v="19"/>
    <x v="29"/>
    <x v="69"/>
    <x v="221"/>
    <n v="1.95"/>
    <n v="-6"/>
    <x v="0"/>
    <n v="19.3"/>
    <x v="256"/>
    <n v="1288"/>
    <n v="467.99999999999994"/>
    <n v="1.2681159420289856E-2"/>
    <s v="Oct-12"/>
    <x v="3"/>
    <n v="2.358974358974359"/>
  </r>
  <r>
    <x v="48"/>
    <n v="23"/>
    <x v="0"/>
    <x v="1"/>
    <x v="3"/>
    <x v="29"/>
    <x v="1"/>
    <x v="2"/>
    <x v="4"/>
    <x v="39"/>
    <x v="78"/>
    <x v="7"/>
    <n v="10"/>
    <n v="30"/>
    <n v="40"/>
    <n v="18"/>
    <x v="78"/>
    <x v="39"/>
    <x v="67"/>
    <x v="136"/>
    <n v="2.2999999999999998"/>
    <n v="-13"/>
    <x v="0"/>
    <n v="29.433333333333334"/>
    <x v="129"/>
    <n v="986"/>
    <n v="108"/>
    <n v="4.8850574712643681E-2"/>
    <s v="Oct-12"/>
    <x v="12"/>
    <n v="2.5217391304347827"/>
  </r>
  <r>
    <x v="46"/>
    <n v="21"/>
    <x v="0"/>
    <x v="1"/>
    <x v="0"/>
    <x v="35"/>
    <x v="1"/>
    <x v="3"/>
    <x v="6"/>
    <x v="25"/>
    <x v="97"/>
    <x v="4"/>
    <n v="10"/>
    <n v="30"/>
    <n v="40"/>
    <n v="16"/>
    <x v="97"/>
    <x v="25"/>
    <x v="102"/>
    <x v="7"/>
    <n v="2.1"/>
    <n v="-15"/>
    <x v="0"/>
    <n v="29.5"/>
    <x v="149"/>
    <n v="780"/>
    <n v="80"/>
    <n v="5.7692307692307696E-2"/>
    <s v="Oct-12"/>
    <x v="12"/>
    <n v="2.4761904761904763"/>
  </r>
  <r>
    <x v="10"/>
    <n v="25"/>
    <x v="0"/>
    <x v="1"/>
    <x v="2"/>
    <x v="8"/>
    <x v="1"/>
    <x v="2"/>
    <x v="12"/>
    <x v="55"/>
    <x v="82"/>
    <x v="9"/>
    <n v="10"/>
    <n v="10"/>
    <n v="40"/>
    <n v="43"/>
    <x v="82"/>
    <x v="55"/>
    <x v="103"/>
    <x v="222"/>
    <n v="2.5"/>
    <n v="-22"/>
    <x v="0"/>
    <n v="11.2"/>
    <x v="257"/>
    <n v="-672"/>
    <n v="387"/>
    <n v="-2.3809523809523808E-2"/>
    <s v="Oct-12"/>
    <x v="3"/>
    <n v="2.2400000000000002"/>
  </r>
  <r>
    <x v="47"/>
    <n v="21"/>
    <x v="0"/>
    <x v="1"/>
    <x v="1"/>
    <x v="35"/>
    <x v="1"/>
    <x v="2"/>
    <x v="8"/>
    <x v="25"/>
    <x v="112"/>
    <x v="6"/>
    <n v="0"/>
    <n v="30"/>
    <n v="30"/>
    <n v="17"/>
    <x v="112"/>
    <x v="25"/>
    <x v="115"/>
    <x v="7"/>
    <e v="#DIV/0!"/>
    <n v="-15"/>
    <x v="0"/>
    <n v="29.5"/>
    <x v="255"/>
    <n v="795"/>
    <n v="85"/>
    <n v="5.6603773584905662E-2"/>
    <s v="Oct-12"/>
    <x v="4"/>
    <n v="2.5238095238095237"/>
  </r>
  <r>
    <x v="48"/>
    <n v="0"/>
    <x v="0"/>
    <x v="1"/>
    <x v="3"/>
    <x v="5"/>
    <x v="1"/>
    <x v="2"/>
    <x v="9"/>
    <x v="71"/>
    <x v="5"/>
    <x v="7"/>
    <n v="0"/>
    <n v="30"/>
    <n v="30"/>
    <n v="11"/>
    <x v="5"/>
    <x v="71"/>
    <x v="88"/>
    <x v="5"/>
    <e v="#DIV/0!"/>
    <n v="2"/>
    <x v="0"/>
    <n v="28.933333333333334"/>
    <x v="148"/>
    <n v="1376"/>
    <e v="#DIV/0!"/>
    <e v="#DIV/0!"/>
    <s v="Oct-12"/>
    <x v="4"/>
    <e v="#DIV/0!"/>
  </r>
  <r>
    <x v="10"/>
    <n v="34"/>
    <x v="0"/>
    <x v="1"/>
    <x v="2"/>
    <x v="13"/>
    <x v="0"/>
    <x v="0"/>
    <x v="0"/>
    <x v="37"/>
    <x v="14"/>
    <x v="9"/>
    <n v="10"/>
    <n v="20"/>
    <n v="40"/>
    <n v="46"/>
    <x v="14"/>
    <x v="37"/>
    <x v="46"/>
    <x v="72"/>
    <n v="3.4"/>
    <n v="-23"/>
    <x v="0"/>
    <n v="20.149999999999999"/>
    <x v="258"/>
    <n v="-231"/>
    <n v="552"/>
    <n v="-3.246753246753247E-3"/>
    <s v="Oct-12"/>
    <x v="5"/>
    <n v="2.2647058823529411"/>
  </r>
  <r>
    <x v="39"/>
    <n v="21"/>
    <x v="0"/>
    <x v="1"/>
    <x v="1"/>
    <x v="35"/>
    <x v="0"/>
    <x v="0"/>
    <x v="10"/>
    <x v="29"/>
    <x v="97"/>
    <x v="17"/>
    <n v="10"/>
    <n v="30"/>
    <n v="40"/>
    <n v="17"/>
    <x v="97"/>
    <x v="29"/>
    <x v="115"/>
    <x v="107"/>
    <n v="2.1"/>
    <n v="-16"/>
    <x v="0"/>
    <n v="29.533333333333335"/>
    <x v="259"/>
    <n v="728"/>
    <n v="85"/>
    <n v="5.3846153846153842E-2"/>
    <s v="Oct-12"/>
    <x v="12"/>
    <n v="2.4761904761904763"/>
  </r>
  <r>
    <x v="17"/>
    <n v="25"/>
    <x v="0"/>
    <x v="1"/>
    <x v="3"/>
    <x v="7"/>
    <x v="0"/>
    <x v="0"/>
    <x v="10"/>
    <x v="39"/>
    <x v="113"/>
    <x v="11"/>
    <n v="10"/>
    <n v="30"/>
    <n v="40"/>
    <n v="19"/>
    <x v="113"/>
    <x v="39"/>
    <x v="100"/>
    <x v="209"/>
    <n v="2.5"/>
    <n v="-13"/>
    <x v="0"/>
    <n v="29.433333333333334"/>
    <x v="260"/>
    <n v="1037"/>
    <n v="133"/>
    <n v="3.9812646370023415E-2"/>
    <s v="Oct-12"/>
    <x v="12"/>
    <n v="2.44"/>
  </r>
  <r>
    <x v="26"/>
    <n v="34"/>
    <x v="0"/>
    <x v="1"/>
    <x v="0"/>
    <x v="13"/>
    <x v="0"/>
    <x v="1"/>
    <x v="3"/>
    <x v="37"/>
    <x v="14"/>
    <x v="12"/>
    <n v="10"/>
    <n v="10"/>
    <n v="40"/>
    <n v="46"/>
    <x v="14"/>
    <x v="37"/>
    <x v="46"/>
    <x v="72"/>
    <n v="3.4"/>
    <n v="-13"/>
    <x v="0"/>
    <n v="10.3"/>
    <x v="258"/>
    <n v="-231"/>
    <n v="552"/>
    <n v="-3.246753246753247E-3"/>
    <s v="Oct-12"/>
    <x v="3"/>
    <n v="2.2647058823529411"/>
  </r>
  <r>
    <x v="10"/>
    <n v="21"/>
    <x v="0"/>
    <x v="1"/>
    <x v="2"/>
    <x v="35"/>
    <x v="0"/>
    <x v="1"/>
    <x v="2"/>
    <x v="29"/>
    <x v="97"/>
    <x v="9"/>
    <n v="20"/>
    <n v="30"/>
    <n v="50"/>
    <n v="17"/>
    <x v="97"/>
    <x v="29"/>
    <x v="115"/>
    <x v="107"/>
    <n v="1.05"/>
    <n v="-16"/>
    <x v="0"/>
    <n v="29.533333333333335"/>
    <x v="259"/>
    <n v="728"/>
    <n v="85"/>
    <n v="5.3846153846153842E-2"/>
    <s v="Oct-12"/>
    <x v="5"/>
    <n v="2.4761904761904763"/>
  </r>
  <r>
    <x v="9"/>
    <n v="39"/>
    <x v="0"/>
    <x v="1"/>
    <x v="3"/>
    <x v="13"/>
    <x v="0"/>
    <x v="1"/>
    <x v="11"/>
    <x v="29"/>
    <x v="19"/>
    <x v="8"/>
    <n v="10"/>
    <n v="20"/>
    <n v="40"/>
    <n v="39"/>
    <x v="19"/>
    <x v="29"/>
    <x v="69"/>
    <x v="221"/>
    <n v="3.9"/>
    <n v="-6"/>
    <x v="0"/>
    <n v="19.3"/>
    <x v="256"/>
    <n v="1288"/>
    <n v="467.99999999999994"/>
    <n v="1.2681159420289856E-2"/>
    <s v="Oct-12"/>
    <x v="5"/>
    <n v="2.358974358974359"/>
  </r>
  <r>
    <x v="78"/>
    <n v="46"/>
    <x v="0"/>
    <x v="1"/>
    <x v="3"/>
    <x v="10"/>
    <x v="0"/>
    <x v="1"/>
    <x v="11"/>
    <x v="5"/>
    <x v="27"/>
    <x v="14"/>
    <n v="20"/>
    <n v="30"/>
    <n v="50"/>
    <n v="36"/>
    <x v="27"/>
    <x v="5"/>
    <x v="90"/>
    <x v="27"/>
    <n v="2.2999999999999998"/>
    <n v="1"/>
    <x v="0"/>
    <n v="28.966666666666665"/>
    <x v="261"/>
    <n v="3503"/>
    <n v="503.99999999999994"/>
    <n v="1.9595448798988623E-2"/>
    <s v="Oct-12"/>
    <x v="5"/>
    <n v="2.4565217391304346"/>
  </r>
  <r>
    <x v="8"/>
    <n v="22"/>
    <x v="1"/>
    <x v="1"/>
    <x v="3"/>
    <x v="29"/>
    <x v="1"/>
    <x v="2"/>
    <x v="4"/>
    <x v="39"/>
    <x v="82"/>
    <x v="7"/>
    <n v="20"/>
    <n v="20"/>
    <n v="50"/>
    <n v="17"/>
    <x v="82"/>
    <x v="39"/>
    <x v="56"/>
    <x v="136"/>
    <n v="1.1000000000000001"/>
    <n v="-3"/>
    <x v="0"/>
    <n v="19.149999999999999"/>
    <x v="262"/>
    <n v="952"/>
    <n v="102"/>
    <n v="5.0595238095238096E-2"/>
    <s v="Nov-12"/>
    <x v="3"/>
    <n v="2.5454545454545454"/>
  </r>
  <r>
    <x v="39"/>
    <n v="34"/>
    <x v="1"/>
    <x v="1"/>
    <x v="1"/>
    <x v="13"/>
    <x v="1"/>
    <x v="2"/>
    <x v="9"/>
    <x v="64"/>
    <x v="99"/>
    <x v="17"/>
    <n v="20"/>
    <n v="-10"/>
    <n v="50"/>
    <n v="46"/>
    <x v="99"/>
    <x v="64"/>
    <x v="46"/>
    <x v="128"/>
    <n v="1.7"/>
    <n v="6"/>
    <x v="0"/>
    <n v="-10.4"/>
    <x v="263"/>
    <n v="-304"/>
    <n v="552"/>
    <n v="-4.3859649122807015E-3"/>
    <s v="Nov-12"/>
    <x v="0"/>
    <n v="2.2352941176470589"/>
  </r>
  <r>
    <x v="56"/>
    <n v="22"/>
    <x v="1"/>
    <x v="1"/>
    <x v="3"/>
    <x v="7"/>
    <x v="1"/>
    <x v="2"/>
    <x v="9"/>
    <x v="78"/>
    <x v="97"/>
    <x v="14"/>
    <n v="20"/>
    <n v="20"/>
    <n v="50"/>
    <n v="19"/>
    <x v="97"/>
    <x v="78"/>
    <x v="67"/>
    <x v="163"/>
    <n v="1.1000000000000001"/>
    <n v="-9"/>
    <x v="0"/>
    <n v="19.45"/>
    <x v="188"/>
    <n v="572"/>
    <n v="133"/>
    <n v="3.021978021978022E-2"/>
    <s v="Nov-12"/>
    <x v="3"/>
    <n v="2.3636363636363638"/>
  </r>
  <r>
    <x v="10"/>
    <n v="33"/>
    <x v="1"/>
    <x v="1"/>
    <x v="2"/>
    <x v="13"/>
    <x v="0"/>
    <x v="0"/>
    <x v="0"/>
    <x v="64"/>
    <x v="83"/>
    <x v="9"/>
    <n v="20"/>
    <n v="0"/>
    <n v="50"/>
    <n v="45"/>
    <x v="83"/>
    <x v="64"/>
    <x v="69"/>
    <x v="128"/>
    <n v="1.65"/>
    <n v="-4"/>
    <x v="0"/>
    <e v="#DIV/0!"/>
    <x v="140"/>
    <n v="-296"/>
    <n v="540"/>
    <n v="-4.5045045045045045E-3"/>
    <s v="Nov-12"/>
    <x v="2"/>
    <n v="2.2424242424242422"/>
  </r>
  <r>
    <x v="39"/>
    <n v="29"/>
    <x v="1"/>
    <x v="1"/>
    <x v="1"/>
    <x v="18"/>
    <x v="0"/>
    <x v="0"/>
    <x v="0"/>
    <x v="79"/>
    <x v="98"/>
    <x v="17"/>
    <n v="20"/>
    <n v="10"/>
    <n v="50"/>
    <n v="30"/>
    <x v="98"/>
    <x v="79"/>
    <x v="3"/>
    <x v="165"/>
    <n v="1.45"/>
    <n v="-5"/>
    <x v="0"/>
    <n v="9.5"/>
    <x v="190"/>
    <n v="320"/>
    <n v="240"/>
    <n v="9.765625E-3"/>
    <s v="Nov-12"/>
    <x v="1"/>
    <n v="2.2068965517241379"/>
  </r>
  <r>
    <x v="12"/>
    <n v="25"/>
    <x v="1"/>
    <x v="1"/>
    <x v="3"/>
    <x v="7"/>
    <x v="0"/>
    <x v="0"/>
    <x v="10"/>
    <x v="60"/>
    <x v="114"/>
    <x v="11"/>
    <n v="20"/>
    <n v="20"/>
    <n v="50"/>
    <n v="19"/>
    <x v="114"/>
    <x v="60"/>
    <x v="100"/>
    <x v="21"/>
    <n v="1.25"/>
    <n v="-1"/>
    <x v="0"/>
    <n v="19.05"/>
    <x v="210"/>
    <n v="1197"/>
    <n v="133"/>
    <n v="4.3083900226757371E-2"/>
    <s v="Nov-12"/>
    <x v="3"/>
    <n v="2.52"/>
  </r>
  <r>
    <x v="10"/>
    <n v="15"/>
    <x v="1"/>
    <x v="1"/>
    <x v="2"/>
    <x v="36"/>
    <x v="0"/>
    <x v="1"/>
    <x v="2"/>
    <x v="72"/>
    <x v="115"/>
    <x v="9"/>
    <n v="10"/>
    <n v="20"/>
    <n v="40"/>
    <n v="16"/>
    <x v="115"/>
    <x v="72"/>
    <x v="116"/>
    <x v="22"/>
    <n v="1.5"/>
    <n v="-12"/>
    <x v="0"/>
    <n v="19.600000000000001"/>
    <x v="264"/>
    <n v="312"/>
    <n v="64"/>
    <n v="5.128205128205128E-2"/>
    <s v="Nov-12"/>
    <x v="5"/>
    <n v="2.6"/>
  </r>
  <r>
    <x v="49"/>
    <n v="32"/>
    <x v="1"/>
    <x v="1"/>
    <x v="3"/>
    <x v="18"/>
    <x v="0"/>
    <x v="1"/>
    <x v="2"/>
    <x v="2"/>
    <x v="81"/>
    <x v="11"/>
    <n v="20"/>
    <n v="30"/>
    <n v="50"/>
    <n v="20"/>
    <x v="81"/>
    <x v="2"/>
    <x v="117"/>
    <x v="3"/>
    <n v="1.6"/>
    <n v="-2"/>
    <x v="0"/>
    <n v="29.066666666666666"/>
    <x v="265"/>
    <n v="2240"/>
    <n v="160"/>
    <n v="4.3749999999999997E-2"/>
    <s v="Nov-12"/>
    <x v="5"/>
    <n v="2.5"/>
  </r>
  <r>
    <x v="9"/>
    <n v="35"/>
    <x v="1"/>
    <x v="1"/>
    <x v="3"/>
    <x v="9"/>
    <x v="0"/>
    <x v="1"/>
    <x v="11"/>
    <x v="76"/>
    <x v="40"/>
    <x v="8"/>
    <n v="20"/>
    <n v="10"/>
    <n v="50"/>
    <n v="38"/>
    <x v="40"/>
    <x v="76"/>
    <x v="15"/>
    <x v="167"/>
    <n v="1.75"/>
    <n v="-1"/>
    <x v="0"/>
    <n v="9.1"/>
    <x v="192"/>
    <n v="738"/>
    <n v="418"/>
    <n v="9.977827050997784E-3"/>
    <s v="Nov-12"/>
    <x v="1"/>
    <n v="2.342857142857143"/>
  </r>
  <r>
    <x v="15"/>
    <n v="34"/>
    <x v="1"/>
    <x v="1"/>
    <x v="3"/>
    <x v="13"/>
    <x v="0"/>
    <x v="1"/>
    <x v="3"/>
    <x v="37"/>
    <x v="99"/>
    <x v="8"/>
    <n v="20"/>
    <n v="0"/>
    <n v="50"/>
    <n v="45"/>
    <x v="99"/>
    <x v="37"/>
    <x v="2"/>
    <x v="72"/>
    <n v="1.7"/>
    <n v="-3"/>
    <x v="0"/>
    <e v="#DIV/0!"/>
    <x v="77"/>
    <n v="-228"/>
    <n v="540"/>
    <n v="-3.2894736842105261E-3"/>
    <s v="Nov-12"/>
    <x v="2"/>
    <n v="2.2352941176470589"/>
  </r>
  <r>
    <x v="105"/>
    <n v="24"/>
    <x v="2"/>
    <x v="0"/>
    <x v="2"/>
    <x v="7"/>
    <x v="0"/>
    <x v="0"/>
    <x v="10"/>
    <x v="14"/>
    <x v="82"/>
    <x v="2"/>
    <n v="10"/>
    <n v="20"/>
    <n v="40"/>
    <n v="20"/>
    <x v="82"/>
    <x v="14"/>
    <x v="100"/>
    <x v="11"/>
    <n v="2.4"/>
    <n v="-8"/>
    <x v="0"/>
    <n v="19.399999999999999"/>
    <x v="149"/>
    <n v="672"/>
    <n v="140"/>
    <n v="3.0612244897959183E-2"/>
    <s v="Dec-12"/>
    <x v="5"/>
    <n v="2.3333333333333335"/>
  </r>
  <r>
    <x v="39"/>
    <n v="38"/>
    <x v="2"/>
    <x v="1"/>
    <x v="1"/>
    <x v="13"/>
    <x v="1"/>
    <x v="2"/>
    <x v="4"/>
    <x v="14"/>
    <x v="101"/>
    <x v="17"/>
    <n v="30"/>
    <n v="0"/>
    <n v="60"/>
    <n v="39"/>
    <x v="101"/>
    <x v="14"/>
    <x v="45"/>
    <x v="174"/>
    <n v="1.2666666666666666"/>
    <n v="12"/>
    <x v="0"/>
    <e v="#DIV/0!"/>
    <x v="200"/>
    <n v="1068"/>
    <n v="468"/>
    <n v="1.1235955056179775E-2"/>
    <s v="Dec-12"/>
    <x v="0"/>
    <n v="2.3421052631578947"/>
  </r>
  <r>
    <x v="48"/>
    <n v="23"/>
    <x v="2"/>
    <x v="1"/>
    <x v="3"/>
    <x v="29"/>
    <x v="1"/>
    <x v="2"/>
    <x v="4"/>
    <x v="39"/>
    <x v="78"/>
    <x v="7"/>
    <n v="20"/>
    <n v="20"/>
    <n v="50"/>
    <n v="18"/>
    <x v="78"/>
    <x v="39"/>
    <x v="67"/>
    <x v="136"/>
    <n v="1.1499999999999999"/>
    <n v="-3"/>
    <x v="0"/>
    <n v="19.149999999999999"/>
    <x v="129"/>
    <n v="986"/>
    <n v="108"/>
    <n v="4.8850574712643681E-2"/>
    <s v="Dec-12"/>
    <x v="3"/>
    <n v="2.5217391304347827"/>
  </r>
  <r>
    <x v="77"/>
    <n v="16"/>
    <x v="2"/>
    <x v="1"/>
    <x v="0"/>
    <x v="36"/>
    <x v="1"/>
    <x v="3"/>
    <x v="6"/>
    <x v="44"/>
    <x v="116"/>
    <x v="4"/>
    <n v="10"/>
    <n v="20"/>
    <n v="40"/>
    <n v="15"/>
    <x v="116"/>
    <x v="44"/>
    <x v="116"/>
    <x v="55"/>
    <n v="1.6"/>
    <n v="-10"/>
    <x v="0"/>
    <n v="19.5"/>
    <x v="190"/>
    <n v="410"/>
    <n v="60"/>
    <n v="6.097560975609756E-2"/>
    <s v="Dec-12"/>
    <x v="5"/>
    <n v="2.5625"/>
  </r>
  <r>
    <x v="46"/>
    <n v="31"/>
    <x v="2"/>
    <x v="1"/>
    <x v="0"/>
    <x v="8"/>
    <x v="1"/>
    <x v="3"/>
    <x v="7"/>
    <x v="72"/>
    <x v="85"/>
    <x v="4"/>
    <n v="30"/>
    <n v="10"/>
    <n v="60"/>
    <n v="30"/>
    <x v="85"/>
    <x v="72"/>
    <x v="8"/>
    <x v="135"/>
    <n v="1.0333333333333334"/>
    <n v="-2"/>
    <x v="0"/>
    <n v="9.1999999999999993"/>
    <x v="149"/>
    <n v="552"/>
    <n v="270"/>
    <n v="1.2882447665056361E-2"/>
    <s v="Dec-12"/>
    <x v="2"/>
    <n v="2.225806451612903"/>
  </r>
  <r>
    <x v="10"/>
    <n v="20"/>
    <x v="2"/>
    <x v="1"/>
    <x v="2"/>
    <x v="7"/>
    <x v="1"/>
    <x v="2"/>
    <x v="12"/>
    <x v="86"/>
    <x v="117"/>
    <x v="9"/>
    <n v="10"/>
    <n v="0"/>
    <n v="40"/>
    <n v="41"/>
    <x v="117"/>
    <x v="86"/>
    <x v="8"/>
    <x v="223"/>
    <n v="2"/>
    <n v="-16"/>
    <x v="0"/>
    <e v="#DIV/0!"/>
    <x v="266"/>
    <n v="-720"/>
    <n v="287"/>
    <n v="-5.0793650793650794E-2"/>
    <s v="Dec-12"/>
    <x v="1"/>
    <n v="2.25"/>
  </r>
  <r>
    <x v="28"/>
    <n v="29"/>
    <x v="2"/>
    <x v="1"/>
    <x v="1"/>
    <x v="18"/>
    <x v="1"/>
    <x v="2"/>
    <x v="8"/>
    <x v="10"/>
    <x v="100"/>
    <x v="6"/>
    <n v="20"/>
    <n v="20"/>
    <n v="50"/>
    <n v="20"/>
    <x v="100"/>
    <x v="10"/>
    <x v="68"/>
    <x v="7"/>
    <n v="1.45"/>
    <n v="4"/>
    <x v="0"/>
    <n v="18.8"/>
    <x v="267"/>
    <n v="1752"/>
    <n v="160"/>
    <n v="4.1095890410958902E-2"/>
    <s v="Dec-12"/>
    <x v="3"/>
    <n v="2.5172413793103448"/>
  </r>
  <r>
    <x v="56"/>
    <n v="24"/>
    <x v="2"/>
    <x v="1"/>
    <x v="3"/>
    <x v="7"/>
    <x v="1"/>
    <x v="2"/>
    <x v="9"/>
    <x v="32"/>
    <x v="82"/>
    <x v="14"/>
    <n v="20"/>
    <n v="20"/>
    <n v="50"/>
    <n v="19"/>
    <x v="82"/>
    <x v="32"/>
    <x v="96"/>
    <x v="171"/>
    <n v="1.2"/>
    <n v="-7"/>
    <x v="0"/>
    <n v="19.350000000000001"/>
    <x v="196"/>
    <n v="728"/>
    <n v="133"/>
    <n v="3.3163265306122451E-2"/>
    <s v="Dec-12"/>
    <x v="3"/>
    <n v="2.3333333333333335"/>
  </r>
  <r>
    <x v="49"/>
    <n v="24"/>
    <x v="2"/>
    <x v="1"/>
    <x v="3"/>
    <x v="29"/>
    <x v="0"/>
    <x v="0"/>
    <x v="10"/>
    <x v="60"/>
    <x v="94"/>
    <x v="11"/>
    <n v="20"/>
    <n v="20"/>
    <n v="50"/>
    <n v="17"/>
    <x v="94"/>
    <x v="60"/>
    <x v="67"/>
    <x v="122"/>
    <n v="1.2"/>
    <n v="-1"/>
    <x v="0"/>
    <n v="19.05"/>
    <x v="260"/>
    <n v="1140"/>
    <n v="102"/>
    <n v="5.2777777777777778E-2"/>
    <s v="Dec-12"/>
    <x v="3"/>
    <n v="2.5"/>
  </r>
  <r>
    <x v="10"/>
    <n v="16"/>
    <x v="2"/>
    <x v="1"/>
    <x v="2"/>
    <x v="36"/>
    <x v="0"/>
    <x v="1"/>
    <x v="2"/>
    <x v="44"/>
    <x v="116"/>
    <x v="9"/>
    <n v="10"/>
    <n v="20"/>
    <n v="40"/>
    <n v="15"/>
    <x v="116"/>
    <x v="44"/>
    <x v="116"/>
    <x v="55"/>
    <n v="1.6"/>
    <n v="-10"/>
    <x v="0"/>
    <n v="19.5"/>
    <x v="190"/>
    <n v="410"/>
    <n v="60"/>
    <n v="6.097560975609756E-2"/>
    <s v="Dec-12"/>
    <x v="5"/>
    <n v="2.5625"/>
  </r>
  <r>
    <x v="17"/>
    <n v="29"/>
    <x v="2"/>
    <x v="1"/>
    <x v="3"/>
    <x v="18"/>
    <x v="0"/>
    <x v="1"/>
    <x v="2"/>
    <x v="65"/>
    <x v="100"/>
    <x v="11"/>
    <n v="20"/>
    <n v="30"/>
    <n v="50"/>
    <n v="19"/>
    <x v="100"/>
    <x v="65"/>
    <x v="53"/>
    <x v="168"/>
    <n v="1.45"/>
    <n v="-5"/>
    <x v="0"/>
    <n v="29.166666666666668"/>
    <x v="193"/>
    <n v="1825"/>
    <n v="152"/>
    <n v="4.2808219178082189E-2"/>
    <s v="Dec-12"/>
    <x v="5"/>
    <n v="2.5172413793103448"/>
  </r>
  <r>
    <x v="90"/>
    <n v="21"/>
    <x v="3"/>
    <x v="0"/>
    <x v="0"/>
    <x v="35"/>
    <x v="0"/>
    <x v="0"/>
    <x v="10"/>
    <x v="10"/>
    <x v="82"/>
    <x v="18"/>
    <n v="0"/>
    <n v="30"/>
    <n v="30"/>
    <n v="16"/>
    <x v="82"/>
    <x v="10"/>
    <x v="118"/>
    <x v="224"/>
    <e v="#DIV/0!"/>
    <n v="-6"/>
    <x v="0"/>
    <n v="29.2"/>
    <x v="268"/>
    <n v="1344"/>
    <n v="80"/>
    <n v="8.5714285714285715E-2"/>
    <s v="Oct-13"/>
    <x v="4"/>
    <n v="2.6666666666666665"/>
  </r>
  <r>
    <x v="90"/>
    <n v="27"/>
    <x v="3"/>
    <x v="0"/>
    <x v="0"/>
    <x v="7"/>
    <x v="0"/>
    <x v="0"/>
    <x v="0"/>
    <x v="27"/>
    <x v="49"/>
    <x v="18"/>
    <n v="10"/>
    <n v="30"/>
    <n v="40"/>
    <n v="19"/>
    <x v="49"/>
    <x v="27"/>
    <x v="80"/>
    <x v="140"/>
    <n v="2.7"/>
    <n v="0"/>
    <x v="0"/>
    <n v="29"/>
    <x v="157"/>
    <n v="2100"/>
    <n v="133"/>
    <n v="6.1224489795918366E-2"/>
    <s v="Oct-13"/>
    <x v="12"/>
    <n v="2.5925925925925926"/>
  </r>
  <r>
    <x v="110"/>
    <n v="56"/>
    <x v="3"/>
    <x v="0"/>
    <x v="2"/>
    <x v="28"/>
    <x v="0"/>
    <x v="0"/>
    <x v="0"/>
    <x v="10"/>
    <x v="108"/>
    <x v="2"/>
    <n v="30"/>
    <n v="20"/>
    <n v="60"/>
    <n v="54"/>
    <x v="108"/>
    <x v="10"/>
    <x v="60"/>
    <x v="208"/>
    <n v="1.8666666666666667"/>
    <n v="4"/>
    <x v="0"/>
    <n v="18.8"/>
    <x v="112"/>
    <n v="3216"/>
    <n v="1134"/>
    <n v="8.5287846481876331E-3"/>
    <s v="Oct-13"/>
    <x v="1"/>
    <n v="2.3928571428571428"/>
  </r>
  <r>
    <x v="25"/>
    <n v="54"/>
    <x v="3"/>
    <x v="0"/>
    <x v="2"/>
    <x v="14"/>
    <x v="0"/>
    <x v="0"/>
    <x v="0"/>
    <x v="60"/>
    <x v="51"/>
    <x v="15"/>
    <n v="30"/>
    <n v="20"/>
    <n v="60"/>
    <n v="53"/>
    <x v="51"/>
    <x v="60"/>
    <x v="26"/>
    <x v="96"/>
    <n v="1.8"/>
    <n v="-1"/>
    <x v="0"/>
    <n v="19.05"/>
    <x v="155"/>
    <n v="2432"/>
    <n v="1060"/>
    <n v="7.4218749999999997E-3"/>
    <s v="Oct-13"/>
    <x v="1"/>
    <n v="2.3703703703703702"/>
  </r>
  <r>
    <x v="108"/>
    <n v="21"/>
    <x v="3"/>
    <x v="0"/>
    <x v="2"/>
    <x v="35"/>
    <x v="0"/>
    <x v="1"/>
    <x v="3"/>
    <x v="57"/>
    <x v="82"/>
    <x v="15"/>
    <n v="20"/>
    <n v="30"/>
    <n v="50"/>
    <n v="17"/>
    <x v="82"/>
    <x v="57"/>
    <x v="119"/>
    <x v="225"/>
    <n v="1.05"/>
    <n v="-8"/>
    <x v="0"/>
    <n v="29.266666666666666"/>
    <x v="269"/>
    <n v="1232"/>
    <n v="85"/>
    <n v="7.8571428571428584E-2"/>
    <s v="Oct-13"/>
    <x v="5"/>
    <n v="2.6666666666666665"/>
  </r>
  <r>
    <x v="39"/>
    <n v="39"/>
    <x v="3"/>
    <x v="1"/>
    <x v="1"/>
    <x v="13"/>
    <x v="1"/>
    <x v="2"/>
    <x v="4"/>
    <x v="6"/>
    <x v="55"/>
    <x v="17"/>
    <n v="20"/>
    <n v="20"/>
    <n v="50"/>
    <n v="39"/>
    <x v="55"/>
    <x v="6"/>
    <x v="45"/>
    <x v="120"/>
    <n v="1.95"/>
    <n v="1"/>
    <x v="0"/>
    <n v="18.95"/>
    <x v="270"/>
    <n v="2058"/>
    <n v="468"/>
    <n v="1.7857142857142856E-2"/>
    <s v="Oct-13"/>
    <x v="3"/>
    <n v="2.5128205128205128"/>
  </r>
  <r>
    <x v="8"/>
    <n v="23"/>
    <x v="3"/>
    <x v="1"/>
    <x v="3"/>
    <x v="29"/>
    <x v="1"/>
    <x v="2"/>
    <x v="4"/>
    <x v="65"/>
    <x v="89"/>
    <x v="7"/>
    <n v="10"/>
    <n v="30"/>
    <n v="40"/>
    <n v="18"/>
    <x v="89"/>
    <x v="65"/>
    <x v="102"/>
    <x v="156"/>
    <n v="2.2999999999999998"/>
    <n v="-5"/>
    <x v="0"/>
    <n v="29.166666666666668"/>
    <x v="180"/>
    <n v="1550"/>
    <n v="107.99999999999999"/>
    <n v="6.7204301075268827E-2"/>
    <s v="Oct-13"/>
    <x v="12"/>
    <n v="2.6956521739130435"/>
  </r>
  <r>
    <x v="74"/>
    <n v="21"/>
    <x v="3"/>
    <x v="1"/>
    <x v="0"/>
    <x v="35"/>
    <x v="1"/>
    <x v="3"/>
    <x v="6"/>
    <x v="57"/>
    <x v="103"/>
    <x v="4"/>
    <n v="10"/>
    <n v="30"/>
    <n v="40"/>
    <n v="16"/>
    <x v="103"/>
    <x v="57"/>
    <x v="120"/>
    <x v="225"/>
    <n v="2.1"/>
    <n v="-8"/>
    <x v="0"/>
    <n v="29.266666666666666"/>
    <x v="148"/>
    <n v="1210"/>
    <n v="80"/>
    <n v="0.08"/>
    <s v="Oct-13"/>
    <x v="12"/>
    <n v="2.6190476190476191"/>
  </r>
  <r>
    <x v="10"/>
    <n v="25"/>
    <x v="3"/>
    <x v="1"/>
    <x v="2"/>
    <x v="8"/>
    <x v="1"/>
    <x v="2"/>
    <x v="12"/>
    <x v="90"/>
    <x v="94"/>
    <x v="9"/>
    <n v="10"/>
    <n v="10"/>
    <n v="40"/>
    <n v="43"/>
    <x v="94"/>
    <x v="90"/>
    <x v="69"/>
    <x v="226"/>
    <n v="2.5"/>
    <n v="-28"/>
    <x v="0"/>
    <n v="11.8"/>
    <x v="271"/>
    <n v="-1080"/>
    <n v="387"/>
    <n v="-3.3333333333333333E-2"/>
    <s v="Oct-13"/>
    <x v="3"/>
    <n v="2.4"/>
  </r>
  <r>
    <x v="28"/>
    <n v="21"/>
    <x v="3"/>
    <x v="1"/>
    <x v="1"/>
    <x v="35"/>
    <x v="1"/>
    <x v="2"/>
    <x v="8"/>
    <x v="57"/>
    <x v="82"/>
    <x v="6"/>
    <n v="0"/>
    <n v="30"/>
    <n v="30"/>
    <n v="17"/>
    <x v="82"/>
    <x v="57"/>
    <x v="119"/>
    <x v="225"/>
    <e v="#DIV/0!"/>
    <n v="-8"/>
    <x v="0"/>
    <n v="29.266666666666666"/>
    <x v="269"/>
    <n v="1232"/>
    <n v="85"/>
    <n v="7.8571428571428584E-2"/>
    <s v="Oct-13"/>
    <x v="4"/>
    <n v="2.6666666666666665"/>
  </r>
  <r>
    <x v="48"/>
    <n v="0"/>
    <x v="3"/>
    <x v="1"/>
    <x v="3"/>
    <x v="5"/>
    <x v="1"/>
    <x v="2"/>
    <x v="9"/>
    <x v="17"/>
    <x v="48"/>
    <x v="7"/>
    <n v="0"/>
    <n v="30"/>
    <n v="30"/>
    <n v="11"/>
    <x v="48"/>
    <x v="17"/>
    <x v="101"/>
    <x v="5"/>
    <e v="#DIV/0!"/>
    <n v="17"/>
    <x v="0"/>
    <n v="28.433333333333334"/>
    <x v="178"/>
    <n v="2162"/>
    <e v="#DIV/0!"/>
    <e v="#DIV/0!"/>
    <s v="Oct-13"/>
    <x v="4"/>
    <e v="#DIV/0!"/>
  </r>
  <r>
    <x v="10"/>
    <n v="34"/>
    <x v="3"/>
    <x v="1"/>
    <x v="2"/>
    <x v="13"/>
    <x v="0"/>
    <x v="0"/>
    <x v="0"/>
    <x v="64"/>
    <x v="40"/>
    <x v="9"/>
    <n v="10"/>
    <n v="20"/>
    <n v="40"/>
    <n v="46"/>
    <x v="40"/>
    <x v="64"/>
    <x v="32"/>
    <x v="128"/>
    <n v="3.4"/>
    <n v="-24"/>
    <x v="0"/>
    <n v="20.2"/>
    <x v="263"/>
    <n v="-328"/>
    <n v="552"/>
    <n v="-4.0650406504065036E-3"/>
    <s v="Oct-13"/>
    <x v="5"/>
    <n v="2.4117647058823528"/>
  </r>
  <r>
    <x v="39"/>
    <n v="21"/>
    <x v="3"/>
    <x v="1"/>
    <x v="1"/>
    <x v="35"/>
    <x v="0"/>
    <x v="0"/>
    <x v="10"/>
    <x v="6"/>
    <x v="103"/>
    <x v="17"/>
    <n v="10"/>
    <n v="30"/>
    <n v="40"/>
    <n v="17"/>
    <x v="103"/>
    <x v="6"/>
    <x v="119"/>
    <x v="227"/>
    <n v="2.1"/>
    <n v="-9"/>
    <x v="0"/>
    <n v="29.3"/>
    <x v="272"/>
    <n v="1155"/>
    <n v="85"/>
    <n v="7.636363636363637E-2"/>
    <s v="Oct-13"/>
    <x v="12"/>
    <n v="2.6190476190476191"/>
  </r>
  <r>
    <x v="17"/>
    <n v="25"/>
    <x v="3"/>
    <x v="1"/>
    <x v="3"/>
    <x v="7"/>
    <x v="0"/>
    <x v="0"/>
    <x v="10"/>
    <x v="65"/>
    <x v="118"/>
    <x v="11"/>
    <n v="10"/>
    <n v="30"/>
    <n v="40"/>
    <n v="19"/>
    <x v="118"/>
    <x v="65"/>
    <x v="80"/>
    <x v="228"/>
    <n v="2.5"/>
    <n v="-5"/>
    <x v="0"/>
    <n v="29.166666666666668"/>
    <x v="193"/>
    <n v="1625"/>
    <n v="133"/>
    <n v="5.4945054945054951E-2"/>
    <s v="Oct-13"/>
    <x v="12"/>
    <n v="2.6"/>
  </r>
  <r>
    <x v="26"/>
    <n v="34"/>
    <x v="3"/>
    <x v="1"/>
    <x v="0"/>
    <x v="13"/>
    <x v="0"/>
    <x v="1"/>
    <x v="3"/>
    <x v="64"/>
    <x v="40"/>
    <x v="12"/>
    <n v="10"/>
    <n v="10"/>
    <n v="40"/>
    <n v="46"/>
    <x v="40"/>
    <x v="64"/>
    <x v="32"/>
    <x v="128"/>
    <n v="3.4"/>
    <n v="-14"/>
    <x v="0"/>
    <n v="10.4"/>
    <x v="263"/>
    <n v="-328"/>
    <n v="552"/>
    <n v="-4.0650406504065036E-3"/>
    <s v="Oct-13"/>
    <x v="3"/>
    <n v="2.4117647058823528"/>
  </r>
  <r>
    <x v="10"/>
    <n v="21"/>
    <x v="3"/>
    <x v="1"/>
    <x v="2"/>
    <x v="35"/>
    <x v="0"/>
    <x v="1"/>
    <x v="2"/>
    <x v="6"/>
    <x v="103"/>
    <x v="9"/>
    <n v="20"/>
    <n v="30"/>
    <n v="50"/>
    <n v="17"/>
    <x v="103"/>
    <x v="6"/>
    <x v="119"/>
    <x v="227"/>
    <n v="1.05"/>
    <n v="-9"/>
    <x v="0"/>
    <n v="29.3"/>
    <x v="272"/>
    <n v="1155"/>
    <n v="85"/>
    <n v="7.636363636363637E-2"/>
    <s v="Oct-13"/>
    <x v="5"/>
    <n v="2.6190476190476191"/>
  </r>
  <r>
    <x v="9"/>
    <n v="39"/>
    <x v="3"/>
    <x v="1"/>
    <x v="3"/>
    <x v="13"/>
    <x v="0"/>
    <x v="1"/>
    <x v="11"/>
    <x v="6"/>
    <x v="55"/>
    <x v="8"/>
    <n v="10"/>
    <n v="20"/>
    <n v="40"/>
    <n v="39"/>
    <x v="55"/>
    <x v="6"/>
    <x v="45"/>
    <x v="120"/>
    <n v="3.9"/>
    <n v="1"/>
    <x v="0"/>
    <n v="18.95"/>
    <x v="270"/>
    <n v="2058"/>
    <n v="468"/>
    <n v="1.7857142857142856E-2"/>
    <s v="Oct-13"/>
    <x v="5"/>
    <n v="2.5128205128205128"/>
  </r>
  <r>
    <x v="30"/>
    <n v="46"/>
    <x v="3"/>
    <x v="1"/>
    <x v="3"/>
    <x v="10"/>
    <x v="0"/>
    <x v="1"/>
    <x v="11"/>
    <x v="43"/>
    <x v="10"/>
    <x v="14"/>
    <n v="20"/>
    <n v="30"/>
    <n v="50"/>
    <n v="36"/>
    <x v="10"/>
    <x v="43"/>
    <x v="107"/>
    <x v="84"/>
    <n v="2.2999999999999998"/>
    <n v="16"/>
    <x v="0"/>
    <n v="28.466666666666665"/>
    <x v="273"/>
    <n v="5520"/>
    <n v="504"/>
    <n v="2.7380952380952381E-2"/>
    <s v="Oct-13"/>
    <x v="5"/>
    <n v="2.6086956521739131"/>
  </r>
  <r>
    <x v="8"/>
    <n v="22"/>
    <x v="4"/>
    <x v="1"/>
    <x v="3"/>
    <x v="29"/>
    <x v="1"/>
    <x v="2"/>
    <x v="4"/>
    <x v="65"/>
    <x v="94"/>
    <x v="7"/>
    <n v="20"/>
    <n v="20"/>
    <n v="50"/>
    <n v="17"/>
    <x v="94"/>
    <x v="65"/>
    <x v="91"/>
    <x v="156"/>
    <n v="1.1000000000000001"/>
    <n v="5"/>
    <x v="0"/>
    <n v="18.75"/>
    <x v="274"/>
    <n v="1500"/>
    <n v="101.99999999999999"/>
    <n v="6.9444444444444448E-2"/>
    <s v="Nov-13"/>
    <x v="3"/>
    <n v="2.7272727272727271"/>
  </r>
  <r>
    <x v="39"/>
    <n v="34"/>
    <x v="4"/>
    <x v="1"/>
    <x v="1"/>
    <x v="13"/>
    <x v="1"/>
    <x v="2"/>
    <x v="9"/>
    <x v="15"/>
    <x v="24"/>
    <x v="17"/>
    <n v="20"/>
    <n v="-10"/>
    <n v="50"/>
    <n v="46"/>
    <x v="24"/>
    <x v="15"/>
    <x v="10"/>
    <x v="149"/>
    <n v="1.7"/>
    <n v="4"/>
    <x v="0"/>
    <n v="-10.6"/>
    <x v="275"/>
    <n v="-486"/>
    <n v="552"/>
    <n v="-6.1728395061728392E-3"/>
    <s v="Nov-13"/>
    <x v="0"/>
    <n v="2.3823529411764706"/>
  </r>
  <r>
    <x v="16"/>
    <n v="22"/>
    <x v="4"/>
    <x v="1"/>
    <x v="3"/>
    <x v="7"/>
    <x v="1"/>
    <x v="2"/>
    <x v="9"/>
    <x v="38"/>
    <x v="103"/>
    <x v="14"/>
    <n v="20"/>
    <n v="20"/>
    <n v="50"/>
    <n v="19"/>
    <x v="103"/>
    <x v="38"/>
    <x v="56"/>
    <x v="177"/>
    <n v="1.1000000000000001"/>
    <n v="-4"/>
    <x v="0"/>
    <n v="19.2"/>
    <x v="205"/>
    <n v="880"/>
    <n v="133"/>
    <n v="4.1558441558441558E-2"/>
    <s v="Nov-13"/>
    <x v="3"/>
    <n v="2.5"/>
  </r>
  <r>
    <x v="10"/>
    <n v="33"/>
    <x v="4"/>
    <x v="1"/>
    <x v="2"/>
    <x v="13"/>
    <x v="0"/>
    <x v="0"/>
    <x v="0"/>
    <x v="15"/>
    <x v="95"/>
    <x v="9"/>
    <n v="20"/>
    <n v="0"/>
    <n v="50"/>
    <n v="45"/>
    <x v="95"/>
    <x v="15"/>
    <x v="58"/>
    <x v="149"/>
    <n v="1.65"/>
    <n v="-6"/>
    <x v="0"/>
    <e v="#DIV/0!"/>
    <x v="170"/>
    <n v="-474"/>
    <n v="540"/>
    <n v="-6.3291139240506328E-3"/>
    <s v="Nov-13"/>
    <x v="2"/>
    <n v="2.393939393939394"/>
  </r>
  <r>
    <x v="39"/>
    <n v="29"/>
    <x v="4"/>
    <x v="1"/>
    <x v="1"/>
    <x v="18"/>
    <x v="0"/>
    <x v="0"/>
    <x v="0"/>
    <x v="7"/>
    <x v="8"/>
    <x v="17"/>
    <n v="20"/>
    <n v="10"/>
    <n v="50"/>
    <n v="30"/>
    <x v="8"/>
    <x v="7"/>
    <x v="8"/>
    <x v="179"/>
    <n v="1.45"/>
    <n v="-3"/>
    <x v="0"/>
    <n v="9.3000000000000007"/>
    <x v="8"/>
    <n v="476"/>
    <n v="240"/>
    <n v="1.2867647058823529E-2"/>
    <s v="Nov-13"/>
    <x v="1"/>
    <n v="2.3448275862068964"/>
  </r>
  <r>
    <x v="49"/>
    <n v="25"/>
    <x v="4"/>
    <x v="1"/>
    <x v="3"/>
    <x v="7"/>
    <x v="0"/>
    <x v="0"/>
    <x v="10"/>
    <x v="2"/>
    <x v="119"/>
    <x v="11"/>
    <n v="20"/>
    <n v="20"/>
    <n v="50"/>
    <n v="19"/>
    <x v="119"/>
    <x v="2"/>
    <x v="56"/>
    <x v="148"/>
    <n v="1.25"/>
    <n v="8"/>
    <x v="0"/>
    <n v="18.600000000000001"/>
    <x v="32"/>
    <n v="1876"/>
    <n v="133"/>
    <n v="5.9701492537313432E-2"/>
    <s v="Nov-13"/>
    <x v="3"/>
    <n v="2.68"/>
  </r>
  <r>
    <x v="10"/>
    <n v="15"/>
    <x v="4"/>
    <x v="1"/>
    <x v="2"/>
    <x v="36"/>
    <x v="0"/>
    <x v="1"/>
    <x v="2"/>
    <x v="14"/>
    <x v="120"/>
    <x v="9"/>
    <n v="10"/>
    <n v="20"/>
    <n v="40"/>
    <n v="16"/>
    <x v="120"/>
    <x v="14"/>
    <x v="121"/>
    <x v="7"/>
    <n v="1.5"/>
    <n v="-8"/>
    <x v="0"/>
    <n v="19.399999999999999"/>
    <x v="276"/>
    <n v="504"/>
    <n v="64"/>
    <n v="7.1428571428571425E-2"/>
    <s v="Nov-13"/>
    <x v="5"/>
    <n v="2.8"/>
  </r>
  <r>
    <x v="12"/>
    <n v="32"/>
    <x v="4"/>
    <x v="1"/>
    <x v="3"/>
    <x v="18"/>
    <x v="0"/>
    <x v="1"/>
    <x v="2"/>
    <x v="41"/>
    <x v="39"/>
    <x v="11"/>
    <n v="20"/>
    <n v="30"/>
    <n v="50"/>
    <n v="20"/>
    <x v="39"/>
    <x v="41"/>
    <x v="96"/>
    <x v="89"/>
    <n v="1.6"/>
    <n v="12"/>
    <x v="0"/>
    <n v="28.6"/>
    <x v="94"/>
    <n v="3570"/>
    <n v="160"/>
    <n v="6.1764705882352944E-2"/>
    <s v="Nov-13"/>
    <x v="5"/>
    <n v="2.65625"/>
  </r>
  <r>
    <x v="9"/>
    <n v="35"/>
    <x v="4"/>
    <x v="1"/>
    <x v="3"/>
    <x v="9"/>
    <x v="0"/>
    <x v="1"/>
    <x v="11"/>
    <x v="32"/>
    <x v="70"/>
    <x v="8"/>
    <n v="20"/>
    <n v="10"/>
    <n v="50"/>
    <n v="38"/>
    <x v="70"/>
    <x v="32"/>
    <x v="107"/>
    <x v="181"/>
    <n v="1.75"/>
    <n v="3"/>
    <x v="0"/>
    <n v="8.6999999999999993"/>
    <x v="195"/>
    <n v="1131"/>
    <n v="418"/>
    <n v="1.3584117032392895E-2"/>
    <s v="Nov-13"/>
    <x v="1"/>
    <n v="2.4857142857142858"/>
  </r>
  <r>
    <x v="9"/>
    <n v="34"/>
    <x v="4"/>
    <x v="1"/>
    <x v="3"/>
    <x v="13"/>
    <x v="0"/>
    <x v="1"/>
    <x v="3"/>
    <x v="64"/>
    <x v="24"/>
    <x v="8"/>
    <n v="20"/>
    <n v="0"/>
    <n v="50"/>
    <n v="45"/>
    <x v="24"/>
    <x v="64"/>
    <x v="58"/>
    <x v="128"/>
    <n v="1.7"/>
    <n v="-4"/>
    <x v="0"/>
    <e v="#DIV/0!"/>
    <x v="140"/>
    <n v="-324"/>
    <n v="540"/>
    <n v="-4.1152263374485592E-3"/>
    <s v="Nov-13"/>
    <x v="2"/>
    <n v="2.3823529411764706"/>
  </r>
  <r>
    <x v="79"/>
    <n v="24"/>
    <x v="5"/>
    <x v="0"/>
    <x v="2"/>
    <x v="7"/>
    <x v="0"/>
    <x v="0"/>
    <x v="10"/>
    <x v="47"/>
    <x v="94"/>
    <x v="2"/>
    <n v="10"/>
    <n v="20"/>
    <n v="40"/>
    <n v="20"/>
    <x v="94"/>
    <x v="47"/>
    <x v="74"/>
    <x v="70"/>
    <n v="2.4"/>
    <n v="-2"/>
    <x v="0"/>
    <n v="19.100000000000001"/>
    <x v="179"/>
    <n v="1080"/>
    <n v="140"/>
    <n v="4.2857142857142858E-2"/>
    <s v="Dec-13"/>
    <x v="5"/>
    <n v="2.5"/>
  </r>
  <r>
    <x v="39"/>
    <n v="38"/>
    <x v="5"/>
    <x v="1"/>
    <x v="1"/>
    <x v="13"/>
    <x v="1"/>
    <x v="2"/>
    <x v="4"/>
    <x v="47"/>
    <x v="104"/>
    <x v="17"/>
    <n v="30"/>
    <n v="0"/>
    <n v="60"/>
    <n v="39"/>
    <x v="104"/>
    <x v="47"/>
    <x v="45"/>
    <x v="186"/>
    <n v="1.2666666666666666"/>
    <n v="18"/>
    <x v="0"/>
    <e v="#DIV/0!"/>
    <x v="40"/>
    <n v="1710"/>
    <n v="468"/>
    <n v="1.5789473684210527E-2"/>
    <s v="Dec-13"/>
    <x v="0"/>
    <n v="2.5"/>
  </r>
  <r>
    <x v="8"/>
    <n v="23"/>
    <x v="5"/>
    <x v="1"/>
    <x v="3"/>
    <x v="29"/>
    <x v="1"/>
    <x v="2"/>
    <x v="4"/>
    <x v="65"/>
    <x v="89"/>
    <x v="7"/>
    <n v="20"/>
    <n v="20"/>
    <n v="50"/>
    <n v="18"/>
    <x v="89"/>
    <x v="65"/>
    <x v="102"/>
    <x v="156"/>
    <n v="1.1499999999999999"/>
    <n v="5"/>
    <x v="0"/>
    <n v="18.75"/>
    <x v="180"/>
    <n v="1550"/>
    <n v="107.99999999999999"/>
    <n v="6.7204301075268827E-2"/>
    <s v="Dec-13"/>
    <x v="3"/>
    <n v="2.6956521739130435"/>
  </r>
  <r>
    <x v="46"/>
    <n v="16"/>
    <x v="5"/>
    <x v="1"/>
    <x v="0"/>
    <x v="36"/>
    <x v="1"/>
    <x v="3"/>
    <x v="6"/>
    <x v="25"/>
    <x v="121"/>
    <x v="4"/>
    <n v="10"/>
    <n v="20"/>
    <n v="40"/>
    <n v="15"/>
    <x v="121"/>
    <x v="25"/>
    <x v="122"/>
    <x v="110"/>
    <n v="1.6"/>
    <n v="-5"/>
    <x v="0"/>
    <n v="19.25"/>
    <x v="277"/>
    <n v="660"/>
    <n v="60"/>
    <n v="8.5227272727272721E-2"/>
    <s v="Dec-13"/>
    <x v="5"/>
    <n v="2.75"/>
  </r>
  <r>
    <x v="77"/>
    <n v="31"/>
    <x v="5"/>
    <x v="1"/>
    <x v="0"/>
    <x v="8"/>
    <x v="1"/>
    <x v="3"/>
    <x v="7"/>
    <x v="14"/>
    <x v="83"/>
    <x v="4"/>
    <n v="30"/>
    <n v="10"/>
    <n v="60"/>
    <n v="30"/>
    <x v="83"/>
    <x v="14"/>
    <x v="9"/>
    <x v="155"/>
    <n v="1.0333333333333334"/>
    <n v="2"/>
    <x v="0"/>
    <n v="8.8000000000000007"/>
    <x v="179"/>
    <n v="888"/>
    <n v="270"/>
    <n v="1.8018018018018018E-2"/>
    <s v="Dec-13"/>
    <x v="2"/>
    <n v="2.3870967741935485"/>
  </r>
  <r>
    <x v="10"/>
    <n v="20"/>
    <x v="5"/>
    <x v="1"/>
    <x v="2"/>
    <x v="7"/>
    <x v="1"/>
    <x v="2"/>
    <x v="12"/>
    <x v="91"/>
    <x v="122"/>
    <x v="9"/>
    <n v="10"/>
    <n v="0"/>
    <n v="40"/>
    <n v="41"/>
    <x v="122"/>
    <x v="91"/>
    <x v="16"/>
    <x v="229"/>
    <n v="2"/>
    <n v="-24"/>
    <x v="0"/>
    <e v="#DIV/0!"/>
    <x v="278"/>
    <n v="-1152"/>
    <n v="287"/>
    <n v="-7.1428571428571425E-2"/>
    <s v="Dec-13"/>
    <x v="1"/>
    <n v="2.4"/>
  </r>
  <r>
    <x v="28"/>
    <n v="29"/>
    <x v="5"/>
    <x v="1"/>
    <x v="1"/>
    <x v="18"/>
    <x v="1"/>
    <x v="2"/>
    <x v="8"/>
    <x v="18"/>
    <x v="25"/>
    <x v="6"/>
    <n v="20"/>
    <n v="20"/>
    <n v="50"/>
    <n v="20"/>
    <x v="25"/>
    <x v="18"/>
    <x v="74"/>
    <x v="90"/>
    <n v="1.45"/>
    <n v="16"/>
    <x v="0"/>
    <n v="18.2"/>
    <x v="279"/>
    <n v="2808"/>
    <n v="160"/>
    <n v="5.7692307692307696E-2"/>
    <s v="Dec-13"/>
    <x v="3"/>
    <n v="2.6896551724137931"/>
  </r>
  <r>
    <x v="32"/>
    <n v="24"/>
    <x v="5"/>
    <x v="1"/>
    <x v="3"/>
    <x v="7"/>
    <x v="1"/>
    <x v="2"/>
    <x v="9"/>
    <x v="60"/>
    <x v="94"/>
    <x v="14"/>
    <n v="20"/>
    <n v="20"/>
    <n v="50"/>
    <n v="19"/>
    <x v="94"/>
    <x v="60"/>
    <x v="67"/>
    <x v="21"/>
    <n v="1.2"/>
    <n v="-1"/>
    <x v="0"/>
    <n v="19.05"/>
    <x v="210"/>
    <n v="1140"/>
    <n v="133"/>
    <n v="4.5238095238095237E-2"/>
    <s v="Dec-13"/>
    <x v="3"/>
    <n v="2.5"/>
  </r>
  <r>
    <x v="12"/>
    <n v="24"/>
    <x v="5"/>
    <x v="1"/>
    <x v="3"/>
    <x v="29"/>
    <x v="0"/>
    <x v="0"/>
    <x v="10"/>
    <x v="2"/>
    <x v="98"/>
    <x v="11"/>
    <n v="20"/>
    <n v="20"/>
    <n v="50"/>
    <n v="17"/>
    <x v="98"/>
    <x v="2"/>
    <x v="95"/>
    <x v="106"/>
    <n v="1.2"/>
    <n v="8"/>
    <x v="0"/>
    <n v="18.600000000000001"/>
    <x v="280"/>
    <n v="1792"/>
    <n v="102"/>
    <n v="7.2916666666666671E-2"/>
    <s v="Dec-13"/>
    <x v="3"/>
    <n v="2.6666666666666665"/>
  </r>
  <r>
    <x v="10"/>
    <n v="16"/>
    <x v="5"/>
    <x v="1"/>
    <x v="2"/>
    <x v="36"/>
    <x v="0"/>
    <x v="1"/>
    <x v="2"/>
    <x v="25"/>
    <x v="121"/>
    <x v="9"/>
    <n v="10"/>
    <n v="20"/>
    <n v="40"/>
    <n v="15"/>
    <x v="121"/>
    <x v="25"/>
    <x v="122"/>
    <x v="110"/>
    <n v="1.6"/>
    <n v="-5"/>
    <x v="0"/>
    <n v="19.25"/>
    <x v="277"/>
    <n v="660"/>
    <n v="60"/>
    <n v="8.5227272727272721E-2"/>
    <s v="Dec-13"/>
    <x v="5"/>
    <n v="2.75"/>
  </r>
  <r>
    <x v="49"/>
    <n v="29"/>
    <x v="5"/>
    <x v="1"/>
    <x v="3"/>
    <x v="18"/>
    <x v="0"/>
    <x v="1"/>
    <x v="2"/>
    <x v="8"/>
    <x v="25"/>
    <x v="11"/>
    <n v="20"/>
    <n v="30"/>
    <n v="50"/>
    <n v="19"/>
    <x v="25"/>
    <x v="8"/>
    <x v="67"/>
    <x v="182"/>
    <n v="1.45"/>
    <n v="7"/>
    <x v="0"/>
    <n v="28.766666666666666"/>
    <x v="207"/>
    <n v="2886"/>
    <n v="152"/>
    <n v="5.9294871794871792E-2"/>
    <s v="Dec-13"/>
    <x v="5"/>
    <n v="2.6896551724137931"/>
  </r>
  <r>
    <x v="18"/>
    <n v="76"/>
    <x v="0"/>
    <x v="0"/>
    <x v="1"/>
    <x v="28"/>
    <x v="1"/>
    <x v="2"/>
    <x v="4"/>
    <x v="92"/>
    <x v="76"/>
    <x v="1"/>
    <n v="40"/>
    <n v="80"/>
    <n v="120"/>
    <n v="33"/>
    <x v="76"/>
    <x v="92"/>
    <x v="26"/>
    <x v="230"/>
    <n v="1.9"/>
    <n v="-2"/>
    <x v="0"/>
    <n v="79.025000000000006"/>
    <x v="281"/>
    <n v="14586"/>
    <n v="693"/>
    <n v="1.9862490450725745E-2"/>
    <s v="Oct-12"/>
    <x v="1"/>
    <n v="2.4605263157894739"/>
  </r>
  <r>
    <x v="99"/>
    <n v="52"/>
    <x v="0"/>
    <x v="0"/>
    <x v="1"/>
    <x v="1"/>
    <x v="0"/>
    <x v="0"/>
    <x v="10"/>
    <x v="1"/>
    <x v="1"/>
    <x v="1"/>
    <n v="30"/>
    <n v="70"/>
    <n v="110"/>
    <n v="45"/>
    <x v="1"/>
    <x v="1"/>
    <x v="1"/>
    <x v="1"/>
    <n v="1.7333333333333334"/>
    <n v="-44"/>
    <x v="0"/>
    <n v="69.628571428571433"/>
    <x v="1"/>
    <n v="3198"/>
    <n v="765"/>
    <n v="1.2434241989478718E-2"/>
    <s v="Oct-12"/>
    <x v="1"/>
    <n v="2.3653846153846154"/>
  </r>
  <r>
    <x v="111"/>
    <n v="76"/>
    <x v="0"/>
    <x v="0"/>
    <x v="0"/>
    <x v="28"/>
    <x v="0"/>
    <x v="1"/>
    <x v="2"/>
    <x v="92"/>
    <x v="76"/>
    <x v="16"/>
    <n v="50"/>
    <n v="80"/>
    <n v="130"/>
    <n v="33"/>
    <x v="76"/>
    <x v="92"/>
    <x v="26"/>
    <x v="230"/>
    <n v="1.52"/>
    <n v="-2"/>
    <x v="0"/>
    <n v="79.025000000000006"/>
    <x v="281"/>
    <n v="14586"/>
    <n v="693"/>
    <n v="1.9862490450725745E-2"/>
    <s v="Oct-12"/>
    <x v="2"/>
    <n v="2.4605263157894739"/>
  </r>
  <r>
    <x v="24"/>
    <n v="72"/>
    <x v="0"/>
    <x v="0"/>
    <x v="0"/>
    <x v="4"/>
    <x v="0"/>
    <x v="1"/>
    <x v="11"/>
    <x v="45"/>
    <x v="4"/>
    <x v="16"/>
    <n v="50"/>
    <n v="50"/>
    <n v="130"/>
    <n v="55"/>
    <x v="4"/>
    <x v="45"/>
    <x v="0"/>
    <x v="188"/>
    <n v="1.44"/>
    <n v="5"/>
    <x v="0"/>
    <n v="48.9"/>
    <x v="215"/>
    <n v="10010"/>
    <n v="1265"/>
    <n v="1.3139034878165312E-2"/>
    <s v="Oct-12"/>
    <x v="6"/>
    <n v="2.5277777777777777"/>
  </r>
  <r>
    <x v="95"/>
    <n v="65"/>
    <x v="0"/>
    <x v="1"/>
    <x v="0"/>
    <x v="14"/>
    <x v="1"/>
    <x v="3"/>
    <x v="5"/>
    <x v="3"/>
    <x v="64"/>
    <x v="12"/>
    <n v="50"/>
    <n v="70"/>
    <n v="130"/>
    <n v="42"/>
    <x v="64"/>
    <x v="3"/>
    <x v="33"/>
    <x v="120"/>
    <n v="1.3"/>
    <n v="-35"/>
    <x v="0"/>
    <n v="69.5"/>
    <x v="131"/>
    <n v="4970"/>
    <n v="840"/>
    <n v="1.232394366197183E-2"/>
    <s v="Oct-12"/>
    <x v="0"/>
    <n v="2.1846153846153844"/>
  </r>
  <r>
    <x v="95"/>
    <n v="32"/>
    <x v="0"/>
    <x v="1"/>
    <x v="0"/>
    <x v="18"/>
    <x v="1"/>
    <x v="2"/>
    <x v="4"/>
    <x v="2"/>
    <x v="95"/>
    <x v="12"/>
    <n v="30"/>
    <n v="80"/>
    <n v="110"/>
    <n v="19"/>
    <x v="95"/>
    <x v="2"/>
    <x v="57"/>
    <x v="3"/>
    <n v="1.0666666666666667"/>
    <n v="-52"/>
    <x v="0"/>
    <n v="79.650000000000006"/>
    <x v="32"/>
    <n v="2212"/>
    <n v="152"/>
    <n v="4.4303797468354431E-2"/>
    <s v="Oct-12"/>
    <x v="3"/>
    <n v="2.46875"/>
  </r>
  <r>
    <x v="47"/>
    <n v="82"/>
    <x v="0"/>
    <x v="1"/>
    <x v="1"/>
    <x v="15"/>
    <x v="1"/>
    <x v="2"/>
    <x v="4"/>
    <x v="56"/>
    <x v="17"/>
    <x v="6"/>
    <n v="50"/>
    <n v="60"/>
    <n v="130"/>
    <n v="58"/>
    <x v="17"/>
    <x v="56"/>
    <x v="65"/>
    <x v="231"/>
    <n v="1.64"/>
    <n v="5"/>
    <x v="0"/>
    <n v="58.916666666666664"/>
    <x v="282"/>
    <n v="13325"/>
    <n v="1566"/>
    <n v="1.1743450767841012E-2"/>
    <s v="Oct-12"/>
    <x v="7"/>
    <n v="2.5"/>
  </r>
  <r>
    <x v="65"/>
    <n v="56"/>
    <x v="0"/>
    <x v="1"/>
    <x v="0"/>
    <x v="28"/>
    <x v="1"/>
    <x v="3"/>
    <x v="6"/>
    <x v="25"/>
    <x v="53"/>
    <x v="13"/>
    <n v="40"/>
    <n v="50"/>
    <n v="120"/>
    <n v="55"/>
    <x v="53"/>
    <x v="25"/>
    <x v="54"/>
    <x v="232"/>
    <n v="1.4"/>
    <n v="-35"/>
    <x v="0"/>
    <n v="49.7"/>
    <x v="283"/>
    <n v="1890"/>
    <n v="1155"/>
    <n v="5.6689342403628117E-3"/>
    <s v="Oct-12"/>
    <x v="7"/>
    <n v="2.25"/>
  </r>
  <r>
    <x v="47"/>
    <n v="91"/>
    <x v="0"/>
    <x v="1"/>
    <x v="1"/>
    <x v="16"/>
    <x v="1"/>
    <x v="2"/>
    <x v="9"/>
    <x v="20"/>
    <x v="18"/>
    <x v="6"/>
    <n v="50"/>
    <n v="70"/>
    <n v="130"/>
    <n v="51"/>
    <x v="18"/>
    <x v="20"/>
    <x v="19"/>
    <x v="21"/>
    <n v="1.82"/>
    <n v="6"/>
    <x v="0"/>
    <n v="68.914285714285711"/>
    <x v="21"/>
    <n v="16568"/>
    <n v="1428"/>
    <n v="1.2450851900393186E-2"/>
    <s v="Oct-12"/>
    <x v="0"/>
    <n v="2.3956043956043955"/>
  </r>
  <r>
    <x v="112"/>
    <n v="60"/>
    <x v="0"/>
    <x v="1"/>
    <x v="0"/>
    <x v="31"/>
    <x v="0"/>
    <x v="0"/>
    <x v="10"/>
    <x v="67"/>
    <x v="80"/>
    <x v="13"/>
    <n v="40"/>
    <n v="80"/>
    <n v="120"/>
    <n v="42"/>
    <x v="80"/>
    <x v="67"/>
    <x v="81"/>
    <x v="122"/>
    <n v="1.5"/>
    <n v="-23"/>
    <x v="0"/>
    <n v="79.287499999999994"/>
    <x v="133"/>
    <n v="9063"/>
    <n v="756"/>
    <n v="1.9916142557651992E-2"/>
    <s v="Oct-12"/>
    <x v="1"/>
    <n v="2.65"/>
  </r>
  <r>
    <x v="83"/>
    <n v="55"/>
    <x v="1"/>
    <x v="0"/>
    <x v="0"/>
    <x v="14"/>
    <x v="1"/>
    <x v="2"/>
    <x v="4"/>
    <x v="38"/>
    <x v="21"/>
    <x v="18"/>
    <n v="70"/>
    <n v="40"/>
    <n v="150"/>
    <n v="53"/>
    <x v="21"/>
    <x v="38"/>
    <x v="13"/>
    <x v="196"/>
    <n v="0.7857142857142857"/>
    <n v="-24"/>
    <x v="0"/>
    <n v="39.6"/>
    <x v="224"/>
    <n v="1984"/>
    <n v="1060"/>
    <n v="6.4516129032258064E-3"/>
    <s v="Nov-12"/>
    <x v="8"/>
    <n v="2.2545454545454544"/>
  </r>
  <r>
    <x v="87"/>
    <n v="59"/>
    <x v="1"/>
    <x v="0"/>
    <x v="0"/>
    <x v="27"/>
    <x v="1"/>
    <x v="3"/>
    <x v="6"/>
    <x v="9"/>
    <x v="105"/>
    <x v="18"/>
    <n v="50"/>
    <n v="50"/>
    <n v="130"/>
    <n v="46"/>
    <x v="105"/>
    <x v="9"/>
    <x v="123"/>
    <x v="233"/>
    <n v="1.18"/>
    <n v="-17"/>
    <x v="0"/>
    <n v="49.34"/>
    <x v="284"/>
    <n v="4554"/>
    <n v="874"/>
    <n v="1.2585812356979406E-2"/>
    <s v="Nov-12"/>
    <x v="6"/>
    <n v="2.3389830508474576"/>
  </r>
  <r>
    <x v="73"/>
    <n v="75"/>
    <x v="1"/>
    <x v="0"/>
    <x v="3"/>
    <x v="23"/>
    <x v="0"/>
    <x v="1"/>
    <x v="3"/>
    <x v="93"/>
    <x v="90"/>
    <x v="3"/>
    <n v="50"/>
    <n v="40"/>
    <n v="130"/>
    <n v="55"/>
    <x v="90"/>
    <x v="93"/>
    <x v="83"/>
    <x v="234"/>
    <n v="1.5"/>
    <n v="19"/>
    <x v="0"/>
    <n v="38.524999999999999"/>
    <x v="285"/>
    <n v="11151"/>
    <n v="1320"/>
    <n v="1.3007054673721341E-2"/>
    <s v="Nov-12"/>
    <x v="9"/>
    <n v="2.52"/>
  </r>
  <r>
    <x v="26"/>
    <n v="69"/>
    <x v="1"/>
    <x v="1"/>
    <x v="0"/>
    <x v="28"/>
    <x v="1"/>
    <x v="3"/>
    <x v="5"/>
    <x v="68"/>
    <x v="61"/>
    <x v="12"/>
    <n v="60"/>
    <n v="40"/>
    <n v="140"/>
    <n v="43"/>
    <x v="61"/>
    <x v="68"/>
    <x v="85"/>
    <x v="129"/>
    <n v="1.1499999999999999"/>
    <n v="-2"/>
    <x v="0"/>
    <n v="39.049999999999997"/>
    <x v="142"/>
    <n v="5700"/>
    <n v="903"/>
    <n v="1.2063492063492064E-2"/>
    <s v="Nov-12"/>
    <x v="10"/>
    <n v="2.1739130434782608"/>
  </r>
  <r>
    <x v="12"/>
    <n v="46"/>
    <x v="1"/>
    <x v="1"/>
    <x v="3"/>
    <x v="10"/>
    <x v="1"/>
    <x v="3"/>
    <x v="5"/>
    <x v="71"/>
    <x v="11"/>
    <x v="11"/>
    <n v="50"/>
    <n v="50"/>
    <n v="130"/>
    <n v="36"/>
    <x v="11"/>
    <x v="71"/>
    <x v="90"/>
    <x v="177"/>
    <n v="0.92"/>
    <n v="-18"/>
    <x v="0"/>
    <n v="49.36"/>
    <x v="220"/>
    <n v="3648"/>
    <n v="504"/>
    <n v="2.0050125313283207E-2"/>
    <s v="Nov-12"/>
    <x v="6"/>
    <n v="2.4782608695652173"/>
  </r>
  <r>
    <x v="32"/>
    <n v="75"/>
    <x v="1"/>
    <x v="1"/>
    <x v="3"/>
    <x v="4"/>
    <x v="1"/>
    <x v="2"/>
    <x v="4"/>
    <x v="16"/>
    <x v="20"/>
    <x v="14"/>
    <n v="70"/>
    <n v="40"/>
    <n v="150"/>
    <n v="44"/>
    <x v="20"/>
    <x v="16"/>
    <x v="63"/>
    <x v="235"/>
    <n v="1.0714285714285714"/>
    <n v="5"/>
    <x v="0"/>
    <n v="38.875"/>
    <x v="26"/>
    <n v="7380"/>
    <n v="1012"/>
    <n v="1.193001060445387E-2"/>
    <s v="Nov-12"/>
    <x v="8"/>
    <n v="2.1866666666666665"/>
  </r>
  <r>
    <x v="31"/>
    <n v="61"/>
    <x v="1"/>
    <x v="1"/>
    <x v="2"/>
    <x v="21"/>
    <x v="1"/>
    <x v="2"/>
    <x v="8"/>
    <x v="80"/>
    <x v="32"/>
    <x v="5"/>
    <n v="60"/>
    <n v="10"/>
    <n v="140"/>
    <n v="84"/>
    <x v="32"/>
    <x v="80"/>
    <x v="113"/>
    <x v="198"/>
    <n v="1.0166666666666666"/>
    <n v="-8"/>
    <x v="0"/>
    <n v="9.8000000000000007"/>
    <x v="226"/>
    <n v="294"/>
    <n v="4620"/>
    <n v="2.4737167594310452E-4"/>
    <s v="Nov-12"/>
    <x v="13"/>
    <n v="2.4098360655737703"/>
  </r>
  <r>
    <x v="29"/>
    <n v="47"/>
    <x v="1"/>
    <x v="1"/>
    <x v="1"/>
    <x v="2"/>
    <x v="1"/>
    <x v="3"/>
    <x v="7"/>
    <x v="24"/>
    <x v="30"/>
    <x v="10"/>
    <n v="50"/>
    <n v="60"/>
    <n v="130"/>
    <n v="24"/>
    <x v="30"/>
    <x v="24"/>
    <x v="37"/>
    <x v="38"/>
    <n v="0.94"/>
    <n v="-16"/>
    <x v="0"/>
    <n v="59.266666666666666"/>
    <x v="41"/>
    <n v="5060"/>
    <n v="312"/>
    <n v="2.9431438127090301E-2"/>
    <s v="Nov-12"/>
    <x v="7"/>
    <n v="2.4468085106382977"/>
  </r>
  <r>
    <x v="49"/>
    <n v="52"/>
    <x v="1"/>
    <x v="1"/>
    <x v="3"/>
    <x v="17"/>
    <x v="1"/>
    <x v="3"/>
    <x v="6"/>
    <x v="64"/>
    <x v="22"/>
    <x v="11"/>
    <n v="60"/>
    <n v="10"/>
    <n v="140"/>
    <n v="77"/>
    <x v="22"/>
    <x v="64"/>
    <x v="111"/>
    <x v="194"/>
    <n v="0.8666666666666667"/>
    <n v="-14"/>
    <x v="0"/>
    <n v="10.4"/>
    <x v="221"/>
    <n v="-500"/>
    <n v="3619"/>
    <n v="-6.8085106382978727E-4"/>
    <s v="Nov-12"/>
    <x v="13"/>
    <n v="2.4038461538461537"/>
  </r>
  <r>
    <x v="9"/>
    <n v="53"/>
    <x v="1"/>
    <x v="1"/>
    <x v="3"/>
    <x v="1"/>
    <x v="1"/>
    <x v="3"/>
    <x v="7"/>
    <x v="22"/>
    <x v="21"/>
    <x v="8"/>
    <n v="60"/>
    <n v="50"/>
    <n v="140"/>
    <n v="44"/>
    <x v="21"/>
    <x v="22"/>
    <x v="1"/>
    <x v="190"/>
    <n v="0.8833333333333333"/>
    <n v="-23"/>
    <x v="0"/>
    <n v="49.46"/>
    <x v="91"/>
    <n v="3348"/>
    <n v="748"/>
    <n v="1.2808349146110056E-2"/>
    <s v="Nov-12"/>
    <x v="9"/>
    <n v="2.3396226415094339"/>
  </r>
  <r>
    <x v="12"/>
    <n v="59"/>
    <x v="1"/>
    <x v="1"/>
    <x v="3"/>
    <x v="27"/>
    <x v="1"/>
    <x v="2"/>
    <x v="8"/>
    <x v="9"/>
    <x v="105"/>
    <x v="11"/>
    <n v="50"/>
    <n v="50"/>
    <n v="130"/>
    <n v="46"/>
    <x v="105"/>
    <x v="9"/>
    <x v="123"/>
    <x v="233"/>
    <n v="1.18"/>
    <n v="-17"/>
    <x v="0"/>
    <n v="49.34"/>
    <x v="284"/>
    <n v="4554"/>
    <n v="874"/>
    <n v="1.2585812356979406E-2"/>
    <s v="Nov-12"/>
    <x v="6"/>
    <n v="2.3389830508474576"/>
  </r>
  <r>
    <x v="41"/>
    <n v="53"/>
    <x v="1"/>
    <x v="1"/>
    <x v="0"/>
    <x v="20"/>
    <x v="0"/>
    <x v="0"/>
    <x v="10"/>
    <x v="21"/>
    <x v="29"/>
    <x v="13"/>
    <n v="50"/>
    <n v="50"/>
    <n v="130"/>
    <n v="40"/>
    <x v="29"/>
    <x v="21"/>
    <x v="73"/>
    <x v="7"/>
    <n v="1.06"/>
    <n v="-2"/>
    <x v="0"/>
    <n v="49.04"/>
    <x v="286"/>
    <n v="6768"/>
    <n v="640"/>
    <n v="2.1276595744680851E-2"/>
    <s v="Nov-12"/>
    <x v="6"/>
    <n v="2.6603773584905661"/>
  </r>
  <r>
    <x v="67"/>
    <n v="54"/>
    <x v="1"/>
    <x v="1"/>
    <x v="2"/>
    <x v="6"/>
    <x v="0"/>
    <x v="1"/>
    <x v="2"/>
    <x v="94"/>
    <x v="57"/>
    <x v="5"/>
    <n v="50"/>
    <n v="60"/>
    <n v="130"/>
    <n v="27"/>
    <x v="57"/>
    <x v="94"/>
    <x v="40"/>
    <x v="236"/>
    <n v="1.08"/>
    <n v="-9"/>
    <x v="0"/>
    <n v="59.15"/>
    <x v="287"/>
    <n v="6732"/>
    <n v="405"/>
    <n v="2.5757575757575757E-2"/>
    <s v="Nov-12"/>
    <x v="7"/>
    <n v="2.4444444444444446"/>
  </r>
  <r>
    <x v="113"/>
    <n v="46"/>
    <x v="2"/>
    <x v="0"/>
    <x v="0"/>
    <x v="1"/>
    <x v="1"/>
    <x v="2"/>
    <x v="4"/>
    <x v="70"/>
    <x v="84"/>
    <x v="18"/>
    <n v="50"/>
    <n v="40"/>
    <n v="130"/>
    <n v="51"/>
    <x v="84"/>
    <x v="70"/>
    <x v="1"/>
    <x v="132"/>
    <n v="0.92"/>
    <n v="-34"/>
    <x v="0"/>
    <n v="39.85"/>
    <x v="129"/>
    <n v="618"/>
    <n v="867"/>
    <n v="3.4266133637921191E-3"/>
    <s v="Dec-12"/>
    <x v="9"/>
    <n v="2.2391304347826089"/>
  </r>
  <r>
    <x v="89"/>
    <n v="67"/>
    <x v="2"/>
    <x v="0"/>
    <x v="0"/>
    <x v="34"/>
    <x v="0"/>
    <x v="1"/>
    <x v="11"/>
    <x v="17"/>
    <x v="107"/>
    <x v="16"/>
    <n v="50"/>
    <n v="40"/>
    <n v="130"/>
    <n v="54"/>
    <x v="107"/>
    <x v="17"/>
    <x v="72"/>
    <x v="199"/>
    <n v="1.34"/>
    <n v="7"/>
    <x v="0"/>
    <n v="38.825000000000003"/>
    <x v="227"/>
    <n v="7896"/>
    <n v="1188"/>
    <n v="1.2716450216450216E-2"/>
    <s v="Dec-12"/>
    <x v="9"/>
    <n v="2.5074626865671643"/>
  </r>
  <r>
    <x v="114"/>
    <n v="54"/>
    <x v="2"/>
    <x v="0"/>
    <x v="2"/>
    <x v="6"/>
    <x v="0"/>
    <x v="1"/>
    <x v="3"/>
    <x v="33"/>
    <x v="33"/>
    <x v="19"/>
    <n v="50"/>
    <n v="60"/>
    <n v="130"/>
    <n v="27"/>
    <x v="33"/>
    <x v="33"/>
    <x v="40"/>
    <x v="41"/>
    <n v="1.08"/>
    <n v="-8"/>
    <x v="0"/>
    <n v="59.133333333333333"/>
    <x v="45"/>
    <n v="6916"/>
    <n v="405"/>
    <n v="2.606516290726817E-2"/>
    <s v="Dec-12"/>
    <x v="7"/>
    <n v="2.4629629629629628"/>
  </r>
  <r>
    <x v="115"/>
    <n v="67"/>
    <x v="2"/>
    <x v="0"/>
    <x v="3"/>
    <x v="34"/>
    <x v="0"/>
    <x v="1"/>
    <x v="3"/>
    <x v="17"/>
    <x v="107"/>
    <x v="3"/>
    <n v="40"/>
    <n v="50"/>
    <n v="120"/>
    <n v="54"/>
    <x v="107"/>
    <x v="17"/>
    <x v="72"/>
    <x v="199"/>
    <n v="1.675"/>
    <n v="-3"/>
    <x v="0"/>
    <n v="49.06"/>
    <x v="227"/>
    <n v="7896"/>
    <n v="1188"/>
    <n v="1.2716450216450216E-2"/>
    <s v="Dec-12"/>
    <x v="7"/>
    <n v="2.5074626865671643"/>
  </r>
  <r>
    <x v="12"/>
    <n v="41"/>
    <x v="2"/>
    <x v="1"/>
    <x v="3"/>
    <x v="2"/>
    <x v="1"/>
    <x v="3"/>
    <x v="5"/>
    <x v="65"/>
    <x v="38"/>
    <x v="11"/>
    <n v="40"/>
    <n v="50"/>
    <n v="120"/>
    <n v="35"/>
    <x v="38"/>
    <x v="65"/>
    <x v="82"/>
    <x v="237"/>
    <n v="1.0249999999999999"/>
    <n v="-25"/>
    <x v="0"/>
    <n v="49.5"/>
    <x v="288"/>
    <n v="2525"/>
    <n v="455"/>
    <n v="1.9040365575019039E-2"/>
    <s v="Dec-12"/>
    <x v="7"/>
    <n v="2.4634146341463414"/>
  </r>
  <r>
    <x v="65"/>
    <n v="65"/>
    <x v="2"/>
    <x v="1"/>
    <x v="0"/>
    <x v="23"/>
    <x v="1"/>
    <x v="3"/>
    <x v="6"/>
    <x v="57"/>
    <x v="36"/>
    <x v="13"/>
    <n v="60"/>
    <n v="30"/>
    <n v="140"/>
    <n v="58"/>
    <x v="36"/>
    <x v="57"/>
    <x v="49"/>
    <x v="173"/>
    <n v="1.0833333333333333"/>
    <n v="-8"/>
    <x v="0"/>
    <n v="29.266666666666666"/>
    <x v="47"/>
    <n v="3190"/>
    <n v="1392"/>
    <n v="6.32183908045977E-3"/>
    <s v="Dec-12"/>
    <x v="8"/>
    <n v="2.2307692307692308"/>
  </r>
  <r>
    <x v="12"/>
    <n v="47"/>
    <x v="2"/>
    <x v="1"/>
    <x v="3"/>
    <x v="22"/>
    <x v="1"/>
    <x v="3"/>
    <x v="6"/>
    <x v="11"/>
    <x v="34"/>
    <x v="11"/>
    <n v="50"/>
    <n v="20"/>
    <n v="130"/>
    <n v="72"/>
    <x v="34"/>
    <x v="11"/>
    <x v="63"/>
    <x v="14"/>
    <n v="0.94"/>
    <n v="-27"/>
    <x v="0"/>
    <n v="20.350000000000001"/>
    <x v="289"/>
    <n v="-784"/>
    <n v="3024"/>
    <n v="-1.488095238095238E-3"/>
    <s v="Dec-12"/>
    <x v="8"/>
    <n v="2.3829787234042552"/>
  </r>
  <r>
    <x v="15"/>
    <n v="49"/>
    <x v="2"/>
    <x v="1"/>
    <x v="3"/>
    <x v="20"/>
    <x v="1"/>
    <x v="3"/>
    <x v="7"/>
    <x v="6"/>
    <x v="11"/>
    <x v="8"/>
    <n v="50"/>
    <n v="50"/>
    <n v="130"/>
    <n v="44"/>
    <x v="11"/>
    <x v="6"/>
    <x v="73"/>
    <x v="200"/>
    <n v="0.98"/>
    <n v="-29"/>
    <x v="0"/>
    <n v="49.58"/>
    <x v="228"/>
    <n v="2394"/>
    <n v="704"/>
    <n v="1.1513157894736841E-2"/>
    <s v="Dec-12"/>
    <x v="6"/>
    <n v="2.3265306122448979"/>
  </r>
  <r>
    <x v="30"/>
    <n v="65"/>
    <x v="2"/>
    <x v="1"/>
    <x v="3"/>
    <x v="23"/>
    <x v="1"/>
    <x v="2"/>
    <x v="8"/>
    <x v="34"/>
    <x v="36"/>
    <x v="14"/>
    <n v="60"/>
    <n v="30"/>
    <n v="140"/>
    <n v="57"/>
    <x v="36"/>
    <x v="34"/>
    <x v="43"/>
    <x v="43"/>
    <n v="1.0833333333333333"/>
    <n v="-7"/>
    <x v="0"/>
    <n v="29.233333333333334"/>
    <x v="48"/>
    <n v="3335"/>
    <n v="1368"/>
    <n v="6.6091954022988505E-3"/>
    <s v="Dec-12"/>
    <x v="8"/>
    <n v="2.2307692307692308"/>
  </r>
  <r>
    <x v="38"/>
    <n v="68"/>
    <x v="2"/>
    <x v="1"/>
    <x v="1"/>
    <x v="26"/>
    <x v="0"/>
    <x v="0"/>
    <x v="0"/>
    <x v="1"/>
    <x v="43"/>
    <x v="10"/>
    <n v="60"/>
    <n v="30"/>
    <n v="140"/>
    <n v="59"/>
    <x v="43"/>
    <x v="1"/>
    <x v="0"/>
    <x v="238"/>
    <n v="1.1333333333333333"/>
    <n v="-4"/>
    <x v="0"/>
    <n v="29.133333333333333"/>
    <x v="290"/>
    <n v="3978"/>
    <n v="1475"/>
    <n v="6.7973856209150333E-3"/>
    <s v="Dec-12"/>
    <x v="8"/>
    <n v="2.25"/>
  </r>
  <r>
    <x v="116"/>
    <n v="76"/>
    <x v="3"/>
    <x v="0"/>
    <x v="1"/>
    <x v="28"/>
    <x v="1"/>
    <x v="2"/>
    <x v="4"/>
    <x v="95"/>
    <x v="87"/>
    <x v="1"/>
    <n v="40"/>
    <n v="80"/>
    <n v="120"/>
    <n v="33"/>
    <x v="87"/>
    <x v="95"/>
    <x v="25"/>
    <x v="239"/>
    <n v="1.9"/>
    <n v="36"/>
    <x v="0"/>
    <n v="78.55"/>
    <x v="291"/>
    <n v="23084"/>
    <n v="693"/>
    <n v="2.7757836803062933E-2"/>
    <s v="Oct-13"/>
    <x v="1"/>
    <n v="2.6184210526315788"/>
  </r>
  <r>
    <x v="60"/>
    <n v="52"/>
    <x v="3"/>
    <x v="0"/>
    <x v="1"/>
    <x v="1"/>
    <x v="0"/>
    <x v="0"/>
    <x v="10"/>
    <x v="40"/>
    <x v="41"/>
    <x v="1"/>
    <n v="30"/>
    <n v="70"/>
    <n v="110"/>
    <n v="45"/>
    <x v="41"/>
    <x v="40"/>
    <x v="36"/>
    <x v="61"/>
    <n v="1.7333333333333334"/>
    <n v="-31"/>
    <x v="0"/>
    <n v="69.442857142857136"/>
    <x v="65"/>
    <n v="5109"/>
    <n v="765"/>
    <n v="1.7512348450830714E-2"/>
    <s v="Oct-13"/>
    <x v="1"/>
    <n v="2.5192307692307692"/>
  </r>
  <r>
    <x v="117"/>
    <n v="76"/>
    <x v="3"/>
    <x v="0"/>
    <x v="0"/>
    <x v="28"/>
    <x v="0"/>
    <x v="1"/>
    <x v="2"/>
    <x v="95"/>
    <x v="87"/>
    <x v="16"/>
    <n v="50"/>
    <n v="80"/>
    <n v="130"/>
    <n v="33"/>
    <x v="87"/>
    <x v="95"/>
    <x v="25"/>
    <x v="239"/>
    <n v="1.52"/>
    <n v="36"/>
    <x v="0"/>
    <n v="78.55"/>
    <x v="291"/>
    <n v="23084"/>
    <n v="693"/>
    <n v="2.7757836803062933E-2"/>
    <s v="Oct-13"/>
    <x v="2"/>
    <n v="2.6184210526315788"/>
  </r>
  <r>
    <x v="117"/>
    <n v="72"/>
    <x v="3"/>
    <x v="0"/>
    <x v="0"/>
    <x v="4"/>
    <x v="0"/>
    <x v="1"/>
    <x v="11"/>
    <x v="87"/>
    <x v="47"/>
    <x v="16"/>
    <n v="50"/>
    <n v="50"/>
    <n v="130"/>
    <n v="55"/>
    <x v="47"/>
    <x v="87"/>
    <x v="85"/>
    <x v="205"/>
    <n v="1.44"/>
    <n v="32"/>
    <x v="0"/>
    <n v="48.36"/>
    <x v="234"/>
    <n v="15908"/>
    <n v="1265"/>
    <n v="1.8377409233527566E-2"/>
    <s v="Oct-13"/>
    <x v="6"/>
    <n v="2.6944444444444446"/>
  </r>
  <r>
    <x v="54"/>
    <n v="65"/>
    <x v="3"/>
    <x v="1"/>
    <x v="0"/>
    <x v="14"/>
    <x v="1"/>
    <x v="3"/>
    <x v="5"/>
    <x v="33"/>
    <x v="91"/>
    <x v="12"/>
    <n v="50"/>
    <n v="70"/>
    <n v="130"/>
    <n v="42"/>
    <x v="91"/>
    <x v="33"/>
    <x v="44"/>
    <x v="143"/>
    <n v="1.3"/>
    <n v="-18"/>
    <x v="0"/>
    <n v="69.257142857142853"/>
    <x v="162"/>
    <n v="7852"/>
    <n v="840"/>
    <n v="1.7218543046357615E-2"/>
    <s v="Oct-13"/>
    <x v="0"/>
    <n v="2.3230769230769233"/>
  </r>
  <r>
    <x v="40"/>
    <n v="32"/>
    <x v="3"/>
    <x v="1"/>
    <x v="0"/>
    <x v="18"/>
    <x v="1"/>
    <x v="2"/>
    <x v="4"/>
    <x v="41"/>
    <x v="102"/>
    <x v="12"/>
    <n v="30"/>
    <n v="80"/>
    <n v="110"/>
    <n v="19"/>
    <x v="102"/>
    <x v="41"/>
    <x v="74"/>
    <x v="89"/>
    <n v="1.0666666666666667"/>
    <n v="-38"/>
    <x v="0"/>
    <n v="79.474999999999994"/>
    <x v="95"/>
    <n v="3528"/>
    <n v="152"/>
    <n v="6.25E-2"/>
    <s v="Oct-13"/>
    <x v="3"/>
    <n v="2.625"/>
  </r>
  <r>
    <x v="47"/>
    <n v="82"/>
    <x v="3"/>
    <x v="1"/>
    <x v="1"/>
    <x v="15"/>
    <x v="1"/>
    <x v="2"/>
    <x v="4"/>
    <x v="96"/>
    <x v="18"/>
    <x v="6"/>
    <n v="50"/>
    <n v="60"/>
    <n v="130"/>
    <n v="58"/>
    <x v="18"/>
    <x v="96"/>
    <x v="43"/>
    <x v="240"/>
    <n v="1.64"/>
    <n v="36"/>
    <x v="0"/>
    <n v="58.4"/>
    <x v="292"/>
    <n v="20928"/>
    <n v="1566"/>
    <n v="1.6309887869520895E-2"/>
    <s v="Oct-13"/>
    <x v="7"/>
    <n v="2.6585365853658538"/>
  </r>
  <r>
    <x v="112"/>
    <n v="56"/>
    <x v="3"/>
    <x v="1"/>
    <x v="0"/>
    <x v="28"/>
    <x v="1"/>
    <x v="3"/>
    <x v="6"/>
    <x v="57"/>
    <x v="108"/>
    <x v="13"/>
    <n v="40"/>
    <n v="50"/>
    <n v="120"/>
    <n v="55"/>
    <x v="108"/>
    <x v="57"/>
    <x v="85"/>
    <x v="241"/>
    <n v="1.4"/>
    <n v="-28"/>
    <x v="0"/>
    <n v="49.56"/>
    <x v="73"/>
    <n v="2948"/>
    <n v="1155"/>
    <n v="7.818052594171997E-3"/>
    <s v="Oct-13"/>
    <x v="7"/>
    <n v="2.3928571428571428"/>
  </r>
  <r>
    <x v="47"/>
    <n v="91"/>
    <x v="3"/>
    <x v="1"/>
    <x v="1"/>
    <x v="16"/>
    <x v="1"/>
    <x v="2"/>
    <x v="9"/>
    <x v="52"/>
    <x v="54"/>
    <x v="6"/>
    <n v="50"/>
    <n v="70"/>
    <n v="130"/>
    <n v="51"/>
    <x v="54"/>
    <x v="52"/>
    <x v="63"/>
    <x v="79"/>
    <n v="1.82"/>
    <n v="43"/>
    <x v="0"/>
    <n v="68.385714285714286"/>
    <x v="84"/>
    <n v="26216"/>
    <n v="1428"/>
    <n v="1.7395320197044335E-2"/>
    <s v="Oct-13"/>
    <x v="0"/>
    <n v="2.5494505494505493"/>
  </r>
  <r>
    <x v="65"/>
    <n v="60"/>
    <x v="3"/>
    <x v="1"/>
    <x v="0"/>
    <x v="31"/>
    <x v="0"/>
    <x v="0"/>
    <x v="10"/>
    <x v="74"/>
    <x v="92"/>
    <x v="13"/>
    <n v="40"/>
    <n v="80"/>
    <n v="120"/>
    <n v="42"/>
    <x v="92"/>
    <x v="74"/>
    <x v="94"/>
    <x v="144"/>
    <n v="1.5"/>
    <n v="5"/>
    <x v="0"/>
    <n v="78.9375"/>
    <x v="163"/>
    <n v="14365"/>
    <n v="756"/>
    <n v="2.7942143326758713E-2"/>
    <s v="Oct-13"/>
    <x v="1"/>
    <n v="2.8166666666666669"/>
  </r>
  <r>
    <x v="90"/>
    <n v="55"/>
    <x v="4"/>
    <x v="0"/>
    <x v="0"/>
    <x v="14"/>
    <x v="1"/>
    <x v="2"/>
    <x v="4"/>
    <x v="10"/>
    <x v="57"/>
    <x v="18"/>
    <n v="70"/>
    <n v="40"/>
    <n v="150"/>
    <n v="53"/>
    <x v="57"/>
    <x v="10"/>
    <x v="13"/>
    <x v="212"/>
    <n v="0.7857142857142857"/>
    <n v="-16"/>
    <x v="0"/>
    <n v="39.4"/>
    <x v="244"/>
    <n v="3168"/>
    <n v="1060"/>
    <n v="9.0909090909090905E-3"/>
    <s v="Nov-13"/>
    <x v="8"/>
    <n v="2.4"/>
  </r>
  <r>
    <x v="104"/>
    <n v="59"/>
    <x v="4"/>
    <x v="0"/>
    <x v="0"/>
    <x v="27"/>
    <x v="1"/>
    <x v="3"/>
    <x v="6"/>
    <x v="31"/>
    <x v="32"/>
    <x v="18"/>
    <n v="50"/>
    <n v="50"/>
    <n v="130"/>
    <n v="46"/>
    <x v="32"/>
    <x v="31"/>
    <x v="42"/>
    <x v="242"/>
    <n v="1.18"/>
    <n v="-1"/>
    <x v="0"/>
    <n v="49.02"/>
    <x v="293"/>
    <n v="7203"/>
    <n v="874"/>
    <n v="1.7543859649122806E-2"/>
    <s v="Nov-13"/>
    <x v="6"/>
    <n v="2.4915254237288136"/>
  </r>
  <r>
    <x v="64"/>
    <n v="75"/>
    <x v="4"/>
    <x v="0"/>
    <x v="3"/>
    <x v="23"/>
    <x v="0"/>
    <x v="1"/>
    <x v="3"/>
    <x v="97"/>
    <x v="123"/>
    <x v="3"/>
    <n v="50"/>
    <n v="40"/>
    <n v="130"/>
    <n v="55"/>
    <x v="123"/>
    <x v="97"/>
    <x v="84"/>
    <x v="243"/>
    <n v="1.5"/>
    <n v="48"/>
    <x v="0"/>
    <n v="37.799999999999997"/>
    <x v="294"/>
    <n v="17688"/>
    <n v="1320"/>
    <n v="1.824212271973466E-2"/>
    <s v="Nov-13"/>
    <x v="9"/>
    <n v="2.68"/>
  </r>
  <r>
    <x v="40"/>
    <n v="69"/>
    <x v="4"/>
    <x v="1"/>
    <x v="0"/>
    <x v="28"/>
    <x v="1"/>
    <x v="3"/>
    <x v="5"/>
    <x v="4"/>
    <x v="42"/>
    <x v="12"/>
    <n v="60"/>
    <n v="40"/>
    <n v="140"/>
    <n v="43"/>
    <x v="42"/>
    <x v="4"/>
    <x v="97"/>
    <x v="126"/>
    <n v="1.1499999999999999"/>
    <n v="16"/>
    <x v="0"/>
    <n v="38.6"/>
    <x v="172"/>
    <n v="8960"/>
    <n v="903"/>
    <n v="1.6666666666666666E-2"/>
    <s v="Nov-13"/>
    <x v="10"/>
    <n v="2.318840579710145"/>
  </r>
  <r>
    <x v="12"/>
    <n v="46"/>
    <x v="4"/>
    <x v="1"/>
    <x v="3"/>
    <x v="10"/>
    <x v="1"/>
    <x v="3"/>
    <x v="5"/>
    <x v="17"/>
    <x v="26"/>
    <x v="11"/>
    <n v="50"/>
    <n v="50"/>
    <n v="130"/>
    <n v="36"/>
    <x v="26"/>
    <x v="17"/>
    <x v="107"/>
    <x v="124"/>
    <n v="0.92"/>
    <n v="-3"/>
    <x v="0"/>
    <n v="49.06"/>
    <x v="240"/>
    <n v="5687"/>
    <n v="504"/>
    <n v="2.7744982290436836E-2"/>
    <s v="Nov-13"/>
    <x v="6"/>
    <n v="2.6304347826086958"/>
  </r>
  <r>
    <x v="16"/>
    <n v="75"/>
    <x v="4"/>
    <x v="1"/>
    <x v="3"/>
    <x v="4"/>
    <x v="1"/>
    <x v="2"/>
    <x v="4"/>
    <x v="49"/>
    <x v="56"/>
    <x v="14"/>
    <n v="70"/>
    <n v="40"/>
    <n v="150"/>
    <n v="44"/>
    <x v="56"/>
    <x v="49"/>
    <x v="13"/>
    <x v="244"/>
    <n v="1.0714285714285714"/>
    <n v="27"/>
    <x v="0"/>
    <n v="38.325000000000003"/>
    <x v="295"/>
    <n v="11725"/>
    <n v="1012"/>
    <n v="1.6645962732919253E-2"/>
    <s v="Nov-13"/>
    <x v="8"/>
    <n v="2.3333333333333335"/>
  </r>
  <r>
    <x v="42"/>
    <n v="61"/>
    <x v="4"/>
    <x v="1"/>
    <x v="2"/>
    <x v="21"/>
    <x v="1"/>
    <x v="2"/>
    <x v="8"/>
    <x v="83"/>
    <x v="63"/>
    <x v="5"/>
    <n v="60"/>
    <n v="10"/>
    <n v="140"/>
    <n v="84"/>
    <x v="63"/>
    <x v="83"/>
    <x v="114"/>
    <x v="214"/>
    <n v="1.0166666666666666"/>
    <n v="-7"/>
    <x v="0"/>
    <n v="9.6999999999999993"/>
    <x v="246"/>
    <n v="471"/>
    <n v="4620"/>
    <n v="3.4742327735958308E-4"/>
    <s v="Nov-13"/>
    <x v="13"/>
    <n v="2.5737704918032787"/>
  </r>
  <r>
    <x v="11"/>
    <n v="47"/>
    <x v="4"/>
    <x v="1"/>
    <x v="1"/>
    <x v="2"/>
    <x v="1"/>
    <x v="3"/>
    <x v="7"/>
    <x v="56"/>
    <x v="1"/>
    <x v="10"/>
    <n v="50"/>
    <n v="60"/>
    <n v="130"/>
    <n v="24"/>
    <x v="1"/>
    <x v="56"/>
    <x v="31"/>
    <x v="68"/>
    <n v="0.94"/>
    <n v="5"/>
    <x v="0"/>
    <n v="58.916666666666664"/>
    <x v="104"/>
    <n v="7995"/>
    <n v="312"/>
    <n v="4.065040650406504E-2"/>
    <s v="Nov-13"/>
    <x v="7"/>
    <n v="2.6170212765957448"/>
  </r>
  <r>
    <x v="17"/>
    <n v="52"/>
    <x v="4"/>
    <x v="1"/>
    <x v="3"/>
    <x v="17"/>
    <x v="1"/>
    <x v="3"/>
    <x v="6"/>
    <x v="15"/>
    <x v="33"/>
    <x v="11"/>
    <n v="60"/>
    <n v="10"/>
    <n v="140"/>
    <n v="77"/>
    <x v="33"/>
    <x v="15"/>
    <x v="92"/>
    <x v="210"/>
    <n v="0.8666666666666667"/>
    <n v="-16"/>
    <x v="0"/>
    <n v="10.6"/>
    <x v="241"/>
    <n v="-798"/>
    <n v="3619.0000000000005"/>
    <n v="-9.5984642457206835E-4"/>
    <s v="Nov-13"/>
    <x v="13"/>
    <n v="2.5576923076923075"/>
  </r>
  <r>
    <x v="9"/>
    <n v="53"/>
    <x v="4"/>
    <x v="1"/>
    <x v="3"/>
    <x v="1"/>
    <x v="1"/>
    <x v="3"/>
    <x v="7"/>
    <x v="54"/>
    <x v="57"/>
    <x v="8"/>
    <n v="60"/>
    <n v="50"/>
    <n v="140"/>
    <n v="44"/>
    <x v="57"/>
    <x v="54"/>
    <x v="36"/>
    <x v="207"/>
    <n v="0.8833333333333333"/>
    <n v="-10"/>
    <x v="0"/>
    <n v="49.2"/>
    <x v="237"/>
    <n v="5280"/>
    <n v="748"/>
    <n v="1.7825311942959002E-2"/>
    <s v="Nov-13"/>
    <x v="9"/>
    <n v="2.4905660377358489"/>
  </r>
  <r>
    <x v="49"/>
    <n v="59"/>
    <x v="4"/>
    <x v="1"/>
    <x v="3"/>
    <x v="27"/>
    <x v="1"/>
    <x v="2"/>
    <x v="8"/>
    <x v="31"/>
    <x v="32"/>
    <x v="11"/>
    <n v="50"/>
    <n v="50"/>
    <n v="130"/>
    <n v="46"/>
    <x v="32"/>
    <x v="31"/>
    <x v="42"/>
    <x v="242"/>
    <n v="1.18"/>
    <n v="-1"/>
    <x v="0"/>
    <n v="49.02"/>
    <x v="293"/>
    <n v="7203"/>
    <n v="874"/>
    <n v="1.7543859649122806E-2"/>
    <s v="Nov-13"/>
    <x v="6"/>
    <n v="2.4915254237288136"/>
  </r>
  <r>
    <x v="14"/>
    <n v="53"/>
    <x v="4"/>
    <x v="1"/>
    <x v="0"/>
    <x v="20"/>
    <x v="0"/>
    <x v="0"/>
    <x v="10"/>
    <x v="53"/>
    <x v="61"/>
    <x v="13"/>
    <n v="50"/>
    <n v="50"/>
    <n v="130"/>
    <n v="40"/>
    <x v="61"/>
    <x v="53"/>
    <x v="2"/>
    <x v="245"/>
    <n v="1.06"/>
    <n v="21"/>
    <x v="0"/>
    <n v="48.58"/>
    <x v="296"/>
    <n v="10650"/>
    <n v="640"/>
    <n v="2.9583333333333333E-2"/>
    <s v="Nov-13"/>
    <x v="6"/>
    <n v="2.8301886792452828"/>
  </r>
  <r>
    <x v="6"/>
    <n v="54"/>
    <x v="4"/>
    <x v="1"/>
    <x v="2"/>
    <x v="6"/>
    <x v="0"/>
    <x v="1"/>
    <x v="2"/>
    <x v="20"/>
    <x v="29"/>
    <x v="5"/>
    <n v="50"/>
    <n v="60"/>
    <n v="130"/>
    <n v="27"/>
    <x v="29"/>
    <x v="20"/>
    <x v="22"/>
    <x v="246"/>
    <n v="1.08"/>
    <n v="16"/>
    <x v="0"/>
    <n v="58.733333333333334"/>
    <x v="297"/>
    <n v="10716"/>
    <n v="405"/>
    <n v="3.59338061465721E-2"/>
    <s v="Nov-13"/>
    <x v="7"/>
    <n v="2.6111111111111112"/>
  </r>
  <r>
    <x v="83"/>
    <n v="46"/>
    <x v="5"/>
    <x v="0"/>
    <x v="0"/>
    <x v="1"/>
    <x v="1"/>
    <x v="2"/>
    <x v="4"/>
    <x v="76"/>
    <x v="96"/>
    <x v="18"/>
    <n v="50"/>
    <n v="40"/>
    <n v="130"/>
    <n v="51"/>
    <x v="96"/>
    <x v="76"/>
    <x v="99"/>
    <x v="152"/>
    <n v="0.92"/>
    <n v="-31"/>
    <x v="0"/>
    <n v="39.774999999999999"/>
    <x v="160"/>
    <n v="990"/>
    <n v="867"/>
    <n v="4.8128342245989308E-3"/>
    <s v="Dec-13"/>
    <x v="9"/>
    <n v="2.3913043478260869"/>
  </r>
  <r>
    <x v="52"/>
    <n v="67"/>
    <x v="5"/>
    <x v="0"/>
    <x v="0"/>
    <x v="34"/>
    <x v="0"/>
    <x v="1"/>
    <x v="11"/>
    <x v="50"/>
    <x v="110"/>
    <x v="16"/>
    <n v="50"/>
    <n v="40"/>
    <n v="130"/>
    <n v="54"/>
    <x v="110"/>
    <x v="50"/>
    <x v="26"/>
    <x v="215"/>
    <n v="1.34"/>
    <n v="30"/>
    <x v="0"/>
    <n v="38.25"/>
    <x v="247"/>
    <n v="12530"/>
    <n v="1188"/>
    <n v="1.7775520568816656E-2"/>
    <s v="Dec-13"/>
    <x v="9"/>
    <n v="2.6716417910447761"/>
  </r>
  <r>
    <x v="118"/>
    <n v="54"/>
    <x v="5"/>
    <x v="0"/>
    <x v="2"/>
    <x v="6"/>
    <x v="0"/>
    <x v="1"/>
    <x v="3"/>
    <x v="61"/>
    <x v="64"/>
    <x v="19"/>
    <n v="50"/>
    <n v="60"/>
    <n v="130"/>
    <n v="27"/>
    <x v="64"/>
    <x v="61"/>
    <x v="22"/>
    <x v="98"/>
    <n v="1.08"/>
    <n v="17"/>
    <x v="0"/>
    <n v="58.716666666666669"/>
    <x v="106"/>
    <n v="10934"/>
    <n v="404.99999999999994"/>
    <n v="3.615023474178404E-2"/>
    <s v="Dec-13"/>
    <x v="7"/>
    <n v="2.6296296296296298"/>
  </r>
  <r>
    <x v="45"/>
    <n v="67"/>
    <x v="5"/>
    <x v="0"/>
    <x v="3"/>
    <x v="34"/>
    <x v="0"/>
    <x v="1"/>
    <x v="3"/>
    <x v="50"/>
    <x v="110"/>
    <x v="3"/>
    <n v="40"/>
    <n v="50"/>
    <n v="120"/>
    <n v="54"/>
    <x v="110"/>
    <x v="50"/>
    <x v="26"/>
    <x v="215"/>
    <n v="1.675"/>
    <n v="20"/>
    <x v="0"/>
    <n v="48.6"/>
    <x v="247"/>
    <n v="12530"/>
    <n v="1188"/>
    <n v="1.7775520568816656E-2"/>
    <s v="Dec-13"/>
    <x v="7"/>
    <n v="2.6716417910447761"/>
  </r>
  <r>
    <x v="49"/>
    <n v="41"/>
    <x v="5"/>
    <x v="1"/>
    <x v="3"/>
    <x v="2"/>
    <x v="1"/>
    <x v="3"/>
    <x v="5"/>
    <x v="8"/>
    <x v="68"/>
    <x v="11"/>
    <n v="40"/>
    <n v="50"/>
    <n v="120"/>
    <n v="35"/>
    <x v="68"/>
    <x v="8"/>
    <x v="37"/>
    <x v="247"/>
    <n v="1.0249999999999999"/>
    <n v="-13"/>
    <x v="0"/>
    <n v="49.26"/>
    <x v="298"/>
    <n v="3996"/>
    <n v="455"/>
    <n v="2.6353276353276354E-2"/>
    <s v="Dec-13"/>
    <x v="7"/>
    <n v="2.6341463414634148"/>
  </r>
  <r>
    <x v="41"/>
    <n v="65"/>
    <x v="5"/>
    <x v="1"/>
    <x v="0"/>
    <x v="23"/>
    <x v="1"/>
    <x v="3"/>
    <x v="6"/>
    <x v="9"/>
    <x v="66"/>
    <x v="13"/>
    <n v="60"/>
    <n v="30"/>
    <n v="140"/>
    <n v="58"/>
    <x v="66"/>
    <x v="9"/>
    <x v="43"/>
    <x v="218"/>
    <n v="1.0833333333333333"/>
    <n v="3"/>
    <x v="0"/>
    <n v="28.9"/>
    <x v="251"/>
    <n v="5115"/>
    <n v="1392"/>
    <n v="8.870967741935484E-3"/>
    <s v="Dec-13"/>
    <x v="8"/>
    <n v="2.3846153846153846"/>
  </r>
  <r>
    <x v="49"/>
    <n v="47"/>
    <x v="5"/>
    <x v="1"/>
    <x v="3"/>
    <x v="22"/>
    <x v="1"/>
    <x v="3"/>
    <x v="6"/>
    <x v="46"/>
    <x v="16"/>
    <x v="11"/>
    <n v="50"/>
    <n v="20"/>
    <n v="130"/>
    <n v="72"/>
    <x v="16"/>
    <x v="46"/>
    <x v="111"/>
    <x v="248"/>
    <n v="0.94"/>
    <n v="-30"/>
    <x v="0"/>
    <n v="20.5"/>
    <x v="299"/>
    <n v="-1190"/>
    <n v="3024"/>
    <n v="-2.0008003201280513E-3"/>
    <s v="Dec-13"/>
    <x v="8"/>
    <n v="2.5319148936170213"/>
  </r>
  <r>
    <x v="9"/>
    <n v="49"/>
    <x v="5"/>
    <x v="1"/>
    <x v="3"/>
    <x v="20"/>
    <x v="1"/>
    <x v="3"/>
    <x v="7"/>
    <x v="5"/>
    <x v="26"/>
    <x v="8"/>
    <n v="50"/>
    <n v="50"/>
    <n v="130"/>
    <n v="44"/>
    <x v="26"/>
    <x v="5"/>
    <x v="6"/>
    <x v="216"/>
    <n v="0.98"/>
    <n v="-19"/>
    <x v="0"/>
    <n v="49.38"/>
    <x v="248"/>
    <n v="3751"/>
    <n v="704"/>
    <n v="1.6012396694214875E-2"/>
    <s v="Dec-13"/>
    <x v="6"/>
    <n v="2.4693877551020407"/>
  </r>
  <r>
    <x v="30"/>
    <n v="65"/>
    <x v="5"/>
    <x v="1"/>
    <x v="3"/>
    <x v="23"/>
    <x v="1"/>
    <x v="2"/>
    <x v="8"/>
    <x v="28"/>
    <x v="66"/>
    <x v="14"/>
    <n v="60"/>
    <n v="30"/>
    <n v="140"/>
    <n v="57"/>
    <x v="66"/>
    <x v="28"/>
    <x v="72"/>
    <x v="100"/>
    <n v="1.0833333333333333"/>
    <n v="4"/>
    <x v="0"/>
    <n v="28.866666666666667"/>
    <x v="109"/>
    <n v="5270"/>
    <n v="1368"/>
    <n v="9.1397849462365593E-3"/>
    <s v="Dec-13"/>
    <x v="8"/>
    <n v="2.3846153846153846"/>
  </r>
  <r>
    <x v="11"/>
    <n v="68"/>
    <x v="5"/>
    <x v="1"/>
    <x v="1"/>
    <x v="26"/>
    <x v="0"/>
    <x v="0"/>
    <x v="0"/>
    <x v="40"/>
    <x v="73"/>
    <x v="10"/>
    <n v="60"/>
    <n v="30"/>
    <n v="140"/>
    <n v="59"/>
    <x v="73"/>
    <x v="40"/>
    <x v="124"/>
    <x v="249"/>
    <n v="1.1333333333333333"/>
    <n v="9"/>
    <x v="0"/>
    <n v="28.7"/>
    <x v="300"/>
    <n v="6357"/>
    <n v="1475"/>
    <n v="9.5705521472392637E-3"/>
    <s v="Dec-13"/>
    <x v="8"/>
    <n v="2.3970588235294117"/>
  </r>
  <r>
    <x v="34"/>
    <n v="39"/>
    <x v="0"/>
    <x v="0"/>
    <x v="1"/>
    <x v="13"/>
    <x v="1"/>
    <x v="3"/>
    <x v="5"/>
    <x v="1"/>
    <x v="31"/>
    <x v="1"/>
    <n v="40"/>
    <n v="80"/>
    <n v="130"/>
    <n v="25"/>
    <x v="31"/>
    <x v="1"/>
    <x v="105"/>
    <x v="159"/>
    <n v="0.97499999999999998"/>
    <n v="-54"/>
    <x v="0"/>
    <n v="79.674999999999997"/>
    <x v="183"/>
    <n v="2340"/>
    <n v="300"/>
    <n v="2.4074074074074074E-2"/>
    <s v="Oct-12"/>
    <x v="2"/>
    <n v="2.3076923076923075"/>
  </r>
  <r>
    <x v="22"/>
    <n v="239"/>
    <x v="0"/>
    <x v="0"/>
    <x v="1"/>
    <x v="37"/>
    <x v="1"/>
    <x v="3"/>
    <x v="7"/>
    <x v="98"/>
    <x v="124"/>
    <x v="1"/>
    <n v="350"/>
    <n v="340"/>
    <n v="770"/>
    <n v="96"/>
    <x v="124"/>
    <x v="98"/>
    <x v="125"/>
    <x v="55"/>
    <n v="0.68285714285714283"/>
    <n v="-155"/>
    <x v="0"/>
    <n v="339.45588235294116"/>
    <x v="301"/>
    <n v="96200"/>
    <n v="7104"/>
    <n v="4.807692307692308E-3"/>
    <s v="Oct-12"/>
    <x v="15"/>
    <n v="2.1757322175732217"/>
  </r>
  <r>
    <x v="19"/>
    <n v="123"/>
    <x v="0"/>
    <x v="0"/>
    <x v="1"/>
    <x v="38"/>
    <x v="1"/>
    <x v="2"/>
    <x v="8"/>
    <x v="99"/>
    <x v="125"/>
    <x v="1"/>
    <n v="70"/>
    <n v="100"/>
    <n v="190"/>
    <n v="46"/>
    <x v="125"/>
    <x v="99"/>
    <x v="126"/>
    <x v="250"/>
    <n v="1.7571428571428571"/>
    <n v="33"/>
    <x v="0"/>
    <n v="98.67"/>
    <x v="302"/>
    <n v="40166"/>
    <n v="1564"/>
    <n v="1.2952863264511102E-2"/>
    <s v="Oct-12"/>
    <x v="9"/>
    <n v="2.4552845528455283"/>
  </r>
  <r>
    <x v="29"/>
    <n v="48"/>
    <x v="0"/>
    <x v="1"/>
    <x v="1"/>
    <x v="2"/>
    <x v="1"/>
    <x v="3"/>
    <x v="5"/>
    <x v="16"/>
    <x v="15"/>
    <x v="10"/>
    <n v="70"/>
    <n v="80"/>
    <n v="160"/>
    <n v="25"/>
    <x v="15"/>
    <x v="16"/>
    <x v="15"/>
    <x v="17"/>
    <n v="0.68571428571428572"/>
    <n v="-35"/>
    <x v="0"/>
    <n v="79.4375"/>
    <x v="17"/>
    <n v="5310"/>
    <n v="325"/>
    <n v="2.9335071707953065E-2"/>
    <s v="Oct-12"/>
    <x v="6"/>
    <n v="2.4583333333333335"/>
  </r>
  <r>
    <x v="29"/>
    <n v="48"/>
    <x v="0"/>
    <x v="1"/>
    <x v="1"/>
    <x v="2"/>
    <x v="1"/>
    <x v="3"/>
    <x v="7"/>
    <x v="17"/>
    <x v="16"/>
    <x v="10"/>
    <n v="70"/>
    <n v="80"/>
    <n v="160"/>
    <n v="24"/>
    <x v="16"/>
    <x v="17"/>
    <x v="16"/>
    <x v="18"/>
    <n v="0.68571428571428572"/>
    <n v="-33"/>
    <x v="0"/>
    <n v="79.412499999999994"/>
    <x v="18"/>
    <n v="5593"/>
    <n v="312"/>
    <n v="3.0381383322559793E-2"/>
    <s v="Oct-12"/>
    <x v="6"/>
    <n v="2.4791666666666665"/>
  </r>
  <r>
    <x v="39"/>
    <n v="45"/>
    <x v="0"/>
    <x v="1"/>
    <x v="1"/>
    <x v="10"/>
    <x v="1"/>
    <x v="3"/>
    <x v="7"/>
    <x v="34"/>
    <x v="11"/>
    <x v="17"/>
    <n v="50"/>
    <n v="80"/>
    <n v="160"/>
    <n v="46"/>
    <x v="11"/>
    <x v="34"/>
    <x v="79"/>
    <x v="192"/>
    <n v="0.9"/>
    <n v="-57"/>
    <x v="0"/>
    <n v="79.712500000000006"/>
    <x v="218"/>
    <n v="2622"/>
    <n v="644"/>
    <n v="1.4411027568922305E-2"/>
    <s v="Oct-12"/>
    <x v="6"/>
    <n v="2.5333333333333332"/>
  </r>
  <r>
    <x v="7"/>
    <n v="90"/>
    <x v="0"/>
    <x v="1"/>
    <x v="1"/>
    <x v="39"/>
    <x v="1"/>
    <x v="3"/>
    <x v="7"/>
    <x v="62"/>
    <x v="17"/>
    <x v="6"/>
    <n v="130"/>
    <n v="140"/>
    <n v="290"/>
    <n v="41"/>
    <x v="17"/>
    <x v="62"/>
    <x v="108"/>
    <x v="251"/>
    <n v="0.69230769230769229"/>
    <n v="-66"/>
    <x v="0"/>
    <n v="139.47142857142856"/>
    <x v="303"/>
    <n v="15170"/>
    <n v="1189"/>
    <n v="1.244743481917578E-2"/>
    <s v="Oct-12"/>
    <x v="16"/>
    <n v="2.2777777777777777"/>
  </r>
  <r>
    <x v="39"/>
    <n v="25"/>
    <x v="0"/>
    <x v="1"/>
    <x v="1"/>
    <x v="8"/>
    <x v="1"/>
    <x v="2"/>
    <x v="9"/>
    <x v="55"/>
    <x v="82"/>
    <x v="17"/>
    <n v="10"/>
    <n v="10"/>
    <n v="30"/>
    <n v="43"/>
    <x v="82"/>
    <x v="55"/>
    <x v="103"/>
    <x v="222"/>
    <n v="2.5"/>
    <n v="-22"/>
    <x v="0"/>
    <n v="11.2"/>
    <x v="257"/>
    <n v="-672"/>
    <n v="387"/>
    <n v="-2.3809523809523808E-2"/>
    <s v="Oct-12"/>
    <x v="5"/>
    <n v="2.2400000000000002"/>
  </r>
  <r>
    <x v="29"/>
    <n v="103"/>
    <x v="0"/>
    <x v="1"/>
    <x v="1"/>
    <x v="40"/>
    <x v="0"/>
    <x v="0"/>
    <x v="10"/>
    <x v="100"/>
    <x v="126"/>
    <x v="10"/>
    <n v="80"/>
    <n v="110"/>
    <n v="210"/>
    <n v="46"/>
    <x v="126"/>
    <x v="100"/>
    <x v="127"/>
    <x v="252"/>
    <n v="1.2875000000000001"/>
    <n v="-23"/>
    <x v="0"/>
    <n v="109.2090909090909"/>
    <x v="304"/>
    <n v="20532"/>
    <n v="1518"/>
    <n v="1.1171032357473035E-2"/>
    <s v="Oct-12"/>
    <x v="10"/>
    <n v="2.29126213592233"/>
  </r>
  <r>
    <x v="27"/>
    <n v="79"/>
    <x v="0"/>
    <x v="1"/>
    <x v="1"/>
    <x v="30"/>
    <x v="0"/>
    <x v="0"/>
    <x v="0"/>
    <x v="28"/>
    <x v="79"/>
    <x v="10"/>
    <n v="60"/>
    <n v="60"/>
    <n v="150"/>
    <n v="64"/>
    <x v="79"/>
    <x v="28"/>
    <x v="12"/>
    <x v="119"/>
    <n v="1.3166666666666667"/>
    <n v="-26"/>
    <x v="0"/>
    <n v="59.43333333333333"/>
    <x v="130"/>
    <n v="6018"/>
    <n v="1920"/>
    <n v="6.4030131826741995E-3"/>
    <s v="Oct-12"/>
    <x v="9"/>
    <n v="2.240506329113924"/>
  </r>
  <r>
    <x v="47"/>
    <n v="96"/>
    <x v="0"/>
    <x v="1"/>
    <x v="1"/>
    <x v="41"/>
    <x v="0"/>
    <x v="0"/>
    <x v="0"/>
    <x v="39"/>
    <x v="127"/>
    <x v="6"/>
    <n v="80"/>
    <n v="40"/>
    <n v="200"/>
    <n v="117"/>
    <x v="127"/>
    <x v="39"/>
    <x v="128"/>
    <x v="253"/>
    <n v="1.2"/>
    <n v="-23"/>
    <x v="0"/>
    <n v="39.575000000000003"/>
    <x v="305"/>
    <n v="3910"/>
    <n v="10179"/>
    <n v="8.4957521239380316E-4"/>
    <s v="Oct-12"/>
    <x v="17"/>
    <n v="2.3958333333333335"/>
  </r>
  <r>
    <x v="57"/>
    <n v="225"/>
    <x v="1"/>
    <x v="0"/>
    <x v="1"/>
    <x v="42"/>
    <x v="1"/>
    <x v="3"/>
    <x v="7"/>
    <x v="101"/>
    <x v="128"/>
    <x v="1"/>
    <n v="260"/>
    <n v="230"/>
    <n v="580"/>
    <n v="91"/>
    <x v="128"/>
    <x v="101"/>
    <x v="129"/>
    <x v="254"/>
    <n v="0.86538461538461542"/>
    <n v="-56"/>
    <x v="0"/>
    <n v="229.24347826086955"/>
    <x v="306"/>
    <n v="85260"/>
    <n v="6279"/>
    <n v="5.1464063886424135E-3"/>
    <s v="Nov-12"/>
    <x v="18"/>
    <n v="2.1777777777777776"/>
  </r>
  <r>
    <x v="119"/>
    <n v="75"/>
    <x v="1"/>
    <x v="0"/>
    <x v="1"/>
    <x v="23"/>
    <x v="1"/>
    <x v="2"/>
    <x v="9"/>
    <x v="93"/>
    <x v="90"/>
    <x v="1"/>
    <n v="50"/>
    <n v="40"/>
    <n v="140"/>
    <n v="55"/>
    <x v="90"/>
    <x v="93"/>
    <x v="83"/>
    <x v="234"/>
    <n v="1.5"/>
    <n v="19"/>
    <x v="0"/>
    <n v="38.524999999999999"/>
    <x v="285"/>
    <n v="11151"/>
    <n v="1320"/>
    <n v="1.3007054673721341E-2"/>
    <s v="Nov-12"/>
    <x v="10"/>
    <n v="2.52"/>
  </r>
  <r>
    <x v="2"/>
    <n v="118"/>
    <x v="1"/>
    <x v="0"/>
    <x v="1"/>
    <x v="40"/>
    <x v="1"/>
    <x v="2"/>
    <x v="8"/>
    <x v="102"/>
    <x v="129"/>
    <x v="1"/>
    <n v="90"/>
    <n v="100"/>
    <n v="220"/>
    <n v="45"/>
    <x v="129"/>
    <x v="102"/>
    <x v="130"/>
    <x v="255"/>
    <n v="1.3111111111111111"/>
    <n v="27"/>
    <x v="0"/>
    <n v="98.73"/>
    <x v="307"/>
    <n v="36830"/>
    <n v="1485"/>
    <n v="1.3270637408568443E-2"/>
    <s v="Nov-12"/>
    <x v="11"/>
    <n v="2.4576271186440679"/>
  </r>
  <r>
    <x v="7"/>
    <n v="78"/>
    <x v="1"/>
    <x v="1"/>
    <x v="1"/>
    <x v="26"/>
    <x v="1"/>
    <x v="2"/>
    <x v="4"/>
    <x v="103"/>
    <x v="130"/>
    <x v="6"/>
    <n v="60"/>
    <n v="40"/>
    <n v="150"/>
    <n v="57"/>
    <x v="130"/>
    <x v="103"/>
    <x v="106"/>
    <x v="256"/>
    <n v="1.3"/>
    <n v="22"/>
    <x v="0"/>
    <n v="38.450000000000003"/>
    <x v="308"/>
    <n v="12214"/>
    <n v="1425"/>
    <n v="1.2588832487309645E-2"/>
    <s v="Nov-12"/>
    <x v="8"/>
    <n v="2.5256410256410255"/>
  </r>
  <r>
    <x v="7"/>
    <n v="88"/>
    <x v="1"/>
    <x v="1"/>
    <x v="1"/>
    <x v="39"/>
    <x v="1"/>
    <x v="3"/>
    <x v="7"/>
    <x v="53"/>
    <x v="131"/>
    <x v="6"/>
    <n v="100"/>
    <n v="90"/>
    <n v="230"/>
    <n v="41"/>
    <x v="131"/>
    <x v="53"/>
    <x v="111"/>
    <x v="257"/>
    <n v="0.88"/>
    <n v="-19"/>
    <x v="0"/>
    <n v="89.211111111111109"/>
    <x v="309"/>
    <n v="14200"/>
    <n v="1189"/>
    <n v="1.2241379310344826E-2"/>
    <s v="Nov-12"/>
    <x v="14"/>
    <n v="2.2727272727272729"/>
  </r>
  <r>
    <x v="7"/>
    <n v="102"/>
    <x v="1"/>
    <x v="1"/>
    <x v="1"/>
    <x v="33"/>
    <x v="1"/>
    <x v="2"/>
    <x v="9"/>
    <x v="104"/>
    <x v="132"/>
    <x v="6"/>
    <n v="80"/>
    <n v="60"/>
    <n v="180"/>
    <n v="54"/>
    <x v="132"/>
    <x v="104"/>
    <x v="71"/>
    <x v="258"/>
    <n v="1.2749999999999999"/>
    <n v="29"/>
    <x v="0"/>
    <n v="58.516666666666666"/>
    <x v="310"/>
    <n v="21805"/>
    <n v="1674"/>
    <n v="1.1718235681369323E-2"/>
    <s v="Nov-12"/>
    <x v="11"/>
    <n v="2.4019607843137254"/>
  </r>
  <r>
    <x v="55"/>
    <n v="101"/>
    <x v="1"/>
    <x v="1"/>
    <x v="1"/>
    <x v="40"/>
    <x v="0"/>
    <x v="0"/>
    <x v="10"/>
    <x v="74"/>
    <x v="133"/>
    <x v="10"/>
    <n v="90"/>
    <n v="80"/>
    <n v="210"/>
    <n v="45"/>
    <x v="133"/>
    <x v="74"/>
    <x v="38"/>
    <x v="259"/>
    <n v="1.1222222222222222"/>
    <n v="5"/>
    <x v="0"/>
    <n v="78.9375"/>
    <x v="311"/>
    <n v="19635"/>
    <n v="1485"/>
    <n v="1.1150465695920242E-2"/>
    <s v="Nov-12"/>
    <x v="13"/>
    <n v="2.2871287128712869"/>
  </r>
  <r>
    <x v="39"/>
    <n v="15"/>
    <x v="1"/>
    <x v="1"/>
    <x v="1"/>
    <x v="36"/>
    <x v="0"/>
    <x v="0"/>
    <x v="10"/>
    <x v="76"/>
    <x v="115"/>
    <x v="17"/>
    <n v="10"/>
    <n v="10"/>
    <n v="30"/>
    <n v="15"/>
    <x v="115"/>
    <x v="76"/>
    <x v="121"/>
    <x v="115"/>
    <n v="1.5"/>
    <n v="-1"/>
    <x v="0"/>
    <n v="9.1"/>
    <x v="312"/>
    <n v="351"/>
    <n v="60"/>
    <n v="5.7692307692307696E-2"/>
    <s v="Nov-12"/>
    <x v="5"/>
    <n v="2.6"/>
  </r>
  <r>
    <x v="55"/>
    <n v="82"/>
    <x v="1"/>
    <x v="1"/>
    <x v="1"/>
    <x v="33"/>
    <x v="0"/>
    <x v="0"/>
    <x v="0"/>
    <x v="68"/>
    <x v="106"/>
    <x v="10"/>
    <n v="70"/>
    <n v="40"/>
    <n v="170"/>
    <n v="64"/>
    <x v="106"/>
    <x v="68"/>
    <x v="38"/>
    <x v="197"/>
    <n v="1.1714285714285715"/>
    <n v="-2"/>
    <x v="0"/>
    <n v="39.049999999999997"/>
    <x v="225"/>
    <n v="6992"/>
    <n v="1984"/>
    <n v="6.6619915848527347E-3"/>
    <s v="Nov-12"/>
    <x v="13"/>
    <n v="2.2439024390243905"/>
  </r>
  <r>
    <x v="28"/>
    <n v="94"/>
    <x v="1"/>
    <x v="1"/>
    <x v="1"/>
    <x v="43"/>
    <x v="0"/>
    <x v="0"/>
    <x v="0"/>
    <x v="25"/>
    <x v="134"/>
    <x v="6"/>
    <n v="80"/>
    <n v="20"/>
    <n v="200"/>
    <n v="115"/>
    <x v="134"/>
    <x v="25"/>
    <x v="131"/>
    <x v="260"/>
    <n v="1.175"/>
    <n v="-5"/>
    <x v="0"/>
    <n v="19.25"/>
    <x v="313"/>
    <n v="3360"/>
    <n v="9775"/>
    <n v="7.8781512605042019E-4"/>
    <s v="Nov-12"/>
    <x v="19"/>
    <n v="2.3829787234042552"/>
  </r>
  <r>
    <x v="120"/>
    <n v="241"/>
    <x v="2"/>
    <x v="0"/>
    <x v="1"/>
    <x v="37"/>
    <x v="1"/>
    <x v="3"/>
    <x v="7"/>
    <x v="105"/>
    <x v="135"/>
    <x v="1"/>
    <n v="280"/>
    <n v="240"/>
    <n v="620"/>
    <n v="96"/>
    <x v="135"/>
    <x v="105"/>
    <x v="132"/>
    <x v="261"/>
    <n v="0.86071428571428577"/>
    <n v="-52"/>
    <x v="0"/>
    <n v="239.21666666666667"/>
    <x v="314"/>
    <n v="98700"/>
    <n v="7104.0000000000009"/>
    <n v="4.8391248391248384E-3"/>
    <s v="Dec-12"/>
    <x v="20"/>
    <n v="2.1784232365145226"/>
  </r>
  <r>
    <x v="120"/>
    <n v="123"/>
    <x v="2"/>
    <x v="0"/>
    <x v="1"/>
    <x v="38"/>
    <x v="1"/>
    <x v="2"/>
    <x v="8"/>
    <x v="99"/>
    <x v="125"/>
    <x v="1"/>
    <n v="90"/>
    <n v="110"/>
    <n v="230"/>
    <n v="46"/>
    <x v="125"/>
    <x v="99"/>
    <x v="126"/>
    <x v="250"/>
    <n v="1.3666666666666667"/>
    <n v="23"/>
    <x v="0"/>
    <n v="108.7909090909091"/>
    <x v="302"/>
    <n v="40166"/>
    <n v="1564"/>
    <n v="1.2952863264511102E-2"/>
    <s v="Dec-12"/>
    <x v="11"/>
    <n v="2.4552845528455283"/>
  </r>
  <r>
    <x v="39"/>
    <n v="92"/>
    <x v="2"/>
    <x v="1"/>
    <x v="1"/>
    <x v="16"/>
    <x v="1"/>
    <x v="3"/>
    <x v="5"/>
    <x v="38"/>
    <x v="42"/>
    <x v="17"/>
    <n v="100"/>
    <n v="40"/>
    <n v="190"/>
    <n v="52"/>
    <x v="42"/>
    <x v="38"/>
    <x v="50"/>
    <x v="56"/>
    <n v="0.92"/>
    <n v="-24"/>
    <x v="0"/>
    <n v="39.6"/>
    <x v="60"/>
    <n v="2560"/>
    <n v="1456"/>
    <n v="3.5714285714285713E-3"/>
    <s v="Dec-12"/>
    <x v="16"/>
    <n v="1.7391304347826086"/>
  </r>
  <r>
    <x v="47"/>
    <n v="88"/>
    <x v="2"/>
    <x v="1"/>
    <x v="1"/>
    <x v="39"/>
    <x v="1"/>
    <x v="2"/>
    <x v="4"/>
    <x v="106"/>
    <x v="136"/>
    <x v="6"/>
    <n v="60"/>
    <n v="60"/>
    <n v="170"/>
    <n v="61"/>
    <x v="136"/>
    <x v="106"/>
    <x v="127"/>
    <x v="262"/>
    <n v="1.4666666666666666"/>
    <n v="12"/>
    <x v="0"/>
    <n v="58.8"/>
    <x v="315"/>
    <n v="15912"/>
    <n v="1769"/>
    <n v="1.1234201903573101E-2"/>
    <s v="Dec-12"/>
    <x v="8"/>
    <n v="2.5113636363636362"/>
  </r>
  <r>
    <x v="11"/>
    <n v="49"/>
    <x v="2"/>
    <x v="1"/>
    <x v="1"/>
    <x v="2"/>
    <x v="1"/>
    <x v="3"/>
    <x v="7"/>
    <x v="43"/>
    <x v="10"/>
    <x v="10"/>
    <n v="50"/>
    <n v="70"/>
    <n v="140"/>
    <n v="25"/>
    <x v="10"/>
    <x v="43"/>
    <x v="107"/>
    <x v="189"/>
    <n v="0.98"/>
    <n v="-24"/>
    <x v="0"/>
    <n v="69.342857142857142"/>
    <x v="232"/>
    <n v="5520"/>
    <n v="325"/>
    <n v="2.9487179487179487E-2"/>
    <s v="Dec-12"/>
    <x v="7"/>
    <n v="2.4489795918367347"/>
  </r>
  <r>
    <x v="39"/>
    <n v="48"/>
    <x v="2"/>
    <x v="1"/>
    <x v="1"/>
    <x v="6"/>
    <x v="1"/>
    <x v="3"/>
    <x v="7"/>
    <x v="22"/>
    <x v="0"/>
    <x v="17"/>
    <n v="50"/>
    <n v="50"/>
    <n v="140"/>
    <n v="47"/>
    <x v="0"/>
    <x v="22"/>
    <x v="78"/>
    <x v="263"/>
    <n v="0.96"/>
    <n v="-23"/>
    <x v="0"/>
    <n v="49.46"/>
    <x v="316"/>
    <n v="3294"/>
    <n v="705"/>
    <n v="1.4754098360655738E-2"/>
    <s v="Dec-12"/>
    <x v="9"/>
    <n v="2.5416666666666665"/>
  </r>
  <r>
    <x v="47"/>
    <n v="81"/>
    <x v="2"/>
    <x v="1"/>
    <x v="1"/>
    <x v="32"/>
    <x v="1"/>
    <x v="3"/>
    <x v="7"/>
    <x v="107"/>
    <x v="86"/>
    <x v="6"/>
    <n v="90"/>
    <n v="100"/>
    <n v="220"/>
    <n v="38"/>
    <x v="86"/>
    <x v="107"/>
    <x v="63"/>
    <x v="264"/>
    <n v="0.9"/>
    <n v="-34"/>
    <x v="0"/>
    <n v="99.34"/>
    <x v="317"/>
    <n v="12210"/>
    <n v="988"/>
    <n v="1.372141372141372E-2"/>
    <s v="Dec-12"/>
    <x v="11"/>
    <n v="2.2839506172839505"/>
  </r>
  <r>
    <x v="39"/>
    <n v="20"/>
    <x v="2"/>
    <x v="1"/>
    <x v="1"/>
    <x v="7"/>
    <x v="1"/>
    <x v="2"/>
    <x v="9"/>
    <x v="108"/>
    <x v="117"/>
    <x v="17"/>
    <n v="10"/>
    <n v="-10"/>
    <n v="30"/>
    <n v="40"/>
    <x v="117"/>
    <x v="108"/>
    <x v="64"/>
    <x v="265"/>
    <n v="2"/>
    <n v="-5"/>
    <x v="0"/>
    <n v="-11.5"/>
    <x v="318"/>
    <n v="-675"/>
    <n v="280"/>
    <n v="-4.7619047619047616E-2"/>
    <s v="Dec-12"/>
    <x v="1"/>
    <n v="2.25"/>
  </r>
  <r>
    <x v="7"/>
    <n v="134"/>
    <x v="2"/>
    <x v="1"/>
    <x v="1"/>
    <x v="11"/>
    <x v="1"/>
    <x v="2"/>
    <x v="9"/>
    <x v="109"/>
    <x v="137"/>
    <x v="6"/>
    <n v="100"/>
    <n v="90"/>
    <n v="240"/>
    <n v="65"/>
    <x v="137"/>
    <x v="109"/>
    <x v="133"/>
    <x v="266"/>
    <n v="1.34"/>
    <n v="31"/>
    <x v="0"/>
    <n v="88.655555555555551"/>
    <x v="319"/>
    <n v="38720"/>
    <n v="2665"/>
    <n v="9.2225609756097556E-3"/>
    <s v="Dec-12"/>
    <x v="16"/>
    <n v="2.3880597014925371"/>
  </r>
  <r>
    <x v="29"/>
    <n v="94"/>
    <x v="2"/>
    <x v="1"/>
    <x v="1"/>
    <x v="33"/>
    <x v="0"/>
    <x v="0"/>
    <x v="10"/>
    <x v="61"/>
    <x v="138"/>
    <x v="10"/>
    <n v="80"/>
    <n v="70"/>
    <n v="190"/>
    <n v="43"/>
    <x v="138"/>
    <x v="61"/>
    <x v="52"/>
    <x v="267"/>
    <n v="1.175"/>
    <n v="7"/>
    <x v="0"/>
    <n v="68.900000000000006"/>
    <x v="320"/>
    <n v="16478"/>
    <n v="1333"/>
    <n v="1.1606873681037081E-2"/>
    <s v="Dec-12"/>
    <x v="11"/>
    <n v="2.2765957446808511"/>
  </r>
  <r>
    <x v="39"/>
    <n v="16"/>
    <x v="2"/>
    <x v="1"/>
    <x v="1"/>
    <x v="36"/>
    <x v="0"/>
    <x v="0"/>
    <x v="10"/>
    <x v="76"/>
    <x v="116"/>
    <x v="17"/>
    <n v="10"/>
    <n v="10"/>
    <n v="30"/>
    <n v="16"/>
    <x v="116"/>
    <x v="76"/>
    <x v="118"/>
    <x v="115"/>
    <n v="1.6"/>
    <n v="-1"/>
    <x v="0"/>
    <n v="9.1"/>
    <x v="321"/>
    <n v="369"/>
    <n v="64"/>
    <n v="5.4878048780487805E-2"/>
    <s v="Dec-12"/>
    <x v="5"/>
    <n v="2.5625"/>
  </r>
  <r>
    <x v="28"/>
    <n v="105"/>
    <x v="2"/>
    <x v="1"/>
    <x v="1"/>
    <x v="44"/>
    <x v="0"/>
    <x v="0"/>
    <x v="0"/>
    <x v="30"/>
    <x v="139"/>
    <x v="6"/>
    <n v="90"/>
    <n v="30"/>
    <n v="230"/>
    <n v="125"/>
    <x v="139"/>
    <x v="30"/>
    <x v="134"/>
    <x v="268"/>
    <n v="1.1666666666666667"/>
    <n v="-10"/>
    <x v="0"/>
    <n v="29.333333333333332"/>
    <x v="322"/>
    <n v="5000"/>
    <n v="11875"/>
    <n v="8.4210526315789467E-4"/>
    <s v="Dec-12"/>
    <x v="21"/>
    <n v="2.3809523809523809"/>
  </r>
  <r>
    <x v="121"/>
    <n v="39"/>
    <x v="3"/>
    <x v="0"/>
    <x v="1"/>
    <x v="13"/>
    <x v="1"/>
    <x v="3"/>
    <x v="5"/>
    <x v="40"/>
    <x v="62"/>
    <x v="1"/>
    <n v="40"/>
    <n v="80"/>
    <n v="130"/>
    <n v="25"/>
    <x v="62"/>
    <x v="40"/>
    <x v="28"/>
    <x v="170"/>
    <n v="0.97499999999999998"/>
    <n v="-41"/>
    <x v="0"/>
    <n v="79.512500000000003"/>
    <x v="201"/>
    <n v="3744"/>
    <n v="300"/>
    <n v="3.3854166666666664E-2"/>
    <s v="Oct-13"/>
    <x v="2"/>
    <n v="2.4615384615384617"/>
  </r>
  <r>
    <x v="116"/>
    <n v="239"/>
    <x v="3"/>
    <x v="0"/>
    <x v="1"/>
    <x v="37"/>
    <x v="1"/>
    <x v="3"/>
    <x v="7"/>
    <x v="110"/>
    <x v="140"/>
    <x v="1"/>
    <n v="350"/>
    <n v="340"/>
    <n v="770"/>
    <n v="96"/>
    <x v="140"/>
    <x v="110"/>
    <x v="135"/>
    <x v="269"/>
    <n v="0.68285714285714283"/>
    <n v="-65"/>
    <x v="0"/>
    <n v="339.19117647058823"/>
    <x v="323"/>
    <n v="152350"/>
    <n v="7104"/>
    <n v="6.7079715094155523E-3"/>
    <s v="Oct-13"/>
    <x v="15"/>
    <n v="2.3179916317991633"/>
  </r>
  <r>
    <x v="119"/>
    <n v="123"/>
    <x v="3"/>
    <x v="0"/>
    <x v="1"/>
    <x v="38"/>
    <x v="1"/>
    <x v="2"/>
    <x v="8"/>
    <x v="111"/>
    <x v="141"/>
    <x v="1"/>
    <n v="70"/>
    <n v="100"/>
    <n v="190"/>
    <n v="46"/>
    <x v="141"/>
    <x v="111"/>
    <x v="61"/>
    <x v="270"/>
    <n v="1.7571428571428571"/>
    <n v="97"/>
    <x v="0"/>
    <n v="98.03"/>
    <x v="324"/>
    <n v="63434"/>
    <n v="1564"/>
    <n v="1.7994154183412495E-2"/>
    <s v="Oct-13"/>
    <x v="9"/>
    <n v="2.6178861788617884"/>
  </r>
  <r>
    <x v="38"/>
    <n v="48"/>
    <x v="3"/>
    <x v="1"/>
    <x v="1"/>
    <x v="2"/>
    <x v="1"/>
    <x v="3"/>
    <x v="5"/>
    <x v="49"/>
    <x v="53"/>
    <x v="10"/>
    <n v="70"/>
    <n v="80"/>
    <n v="160"/>
    <n v="25"/>
    <x v="53"/>
    <x v="49"/>
    <x v="3"/>
    <x v="75"/>
    <n v="0.68571428571428572"/>
    <n v="-13"/>
    <x v="0"/>
    <n v="79.162499999999994"/>
    <x v="80"/>
    <n v="8442"/>
    <n v="325"/>
    <n v="4.0903540903540904E-2"/>
    <s v="Oct-13"/>
    <x v="6"/>
    <n v="2.625"/>
  </r>
  <r>
    <x v="55"/>
    <n v="48"/>
    <x v="3"/>
    <x v="1"/>
    <x v="1"/>
    <x v="2"/>
    <x v="1"/>
    <x v="3"/>
    <x v="7"/>
    <x v="50"/>
    <x v="35"/>
    <x v="10"/>
    <n v="70"/>
    <n v="80"/>
    <n v="160"/>
    <n v="24"/>
    <x v="35"/>
    <x v="50"/>
    <x v="28"/>
    <x v="76"/>
    <n v="0.68571428571428572"/>
    <n v="-10"/>
    <x v="0"/>
    <n v="79.125"/>
    <x v="81"/>
    <n v="8890"/>
    <n v="312"/>
    <n v="4.2398546335554212E-2"/>
    <s v="Oct-13"/>
    <x v="6"/>
    <n v="2.6458333333333335"/>
  </r>
  <r>
    <x v="39"/>
    <n v="45"/>
    <x v="3"/>
    <x v="1"/>
    <x v="1"/>
    <x v="10"/>
    <x v="1"/>
    <x v="3"/>
    <x v="7"/>
    <x v="28"/>
    <x v="26"/>
    <x v="17"/>
    <n v="50"/>
    <n v="80"/>
    <n v="160"/>
    <n v="46"/>
    <x v="26"/>
    <x v="28"/>
    <x v="10"/>
    <x v="209"/>
    <n v="0.9"/>
    <n v="-46"/>
    <x v="0"/>
    <n v="79.575000000000003"/>
    <x v="238"/>
    <n v="4114"/>
    <n v="644"/>
    <n v="2.0070838252656435E-2"/>
    <s v="Oct-13"/>
    <x v="6"/>
    <n v="2.6888888888888891"/>
  </r>
  <r>
    <x v="7"/>
    <n v="90"/>
    <x v="3"/>
    <x v="1"/>
    <x v="1"/>
    <x v="39"/>
    <x v="1"/>
    <x v="3"/>
    <x v="7"/>
    <x v="112"/>
    <x v="18"/>
    <x v="6"/>
    <n v="130"/>
    <n v="140"/>
    <n v="290"/>
    <n v="41"/>
    <x v="18"/>
    <x v="112"/>
    <x v="13"/>
    <x v="271"/>
    <n v="0.69230769230769229"/>
    <n v="-30"/>
    <x v="0"/>
    <n v="139.21428571428572"/>
    <x v="234"/>
    <n v="23980"/>
    <n v="1189"/>
    <n v="1.7399557102182852E-2"/>
    <s v="Oct-13"/>
    <x v="16"/>
    <n v="2.4222222222222221"/>
  </r>
  <r>
    <x v="39"/>
    <n v="25"/>
    <x v="3"/>
    <x v="1"/>
    <x v="1"/>
    <x v="8"/>
    <x v="1"/>
    <x v="2"/>
    <x v="9"/>
    <x v="90"/>
    <x v="94"/>
    <x v="17"/>
    <n v="10"/>
    <n v="10"/>
    <n v="30"/>
    <n v="43"/>
    <x v="94"/>
    <x v="90"/>
    <x v="69"/>
    <x v="226"/>
    <n v="2.5"/>
    <n v="-28"/>
    <x v="0"/>
    <n v="11.8"/>
    <x v="271"/>
    <n v="-1080"/>
    <n v="387"/>
    <n v="-3.3333333333333333E-2"/>
    <s v="Oct-13"/>
    <x v="5"/>
    <n v="2.4"/>
  </r>
  <r>
    <x v="11"/>
    <n v="103"/>
    <x v="3"/>
    <x v="1"/>
    <x v="1"/>
    <x v="40"/>
    <x v="0"/>
    <x v="0"/>
    <x v="10"/>
    <x v="113"/>
    <x v="142"/>
    <x v="10"/>
    <n v="80"/>
    <n v="110"/>
    <n v="210"/>
    <n v="46"/>
    <x v="142"/>
    <x v="113"/>
    <x v="43"/>
    <x v="272"/>
    <n v="1.2875000000000001"/>
    <n v="19"/>
    <x v="0"/>
    <n v="108.82727272727273"/>
    <x v="325"/>
    <n v="32379"/>
    <n v="1518"/>
    <n v="1.5574067366896052E-2"/>
    <s v="Oct-13"/>
    <x v="10"/>
    <n v="2.436893203883495"/>
  </r>
  <r>
    <x v="29"/>
    <n v="79"/>
    <x v="3"/>
    <x v="1"/>
    <x v="1"/>
    <x v="30"/>
    <x v="0"/>
    <x v="0"/>
    <x v="0"/>
    <x v="35"/>
    <x v="90"/>
    <x v="10"/>
    <n v="60"/>
    <n v="60"/>
    <n v="150"/>
    <n v="64"/>
    <x v="90"/>
    <x v="35"/>
    <x v="92"/>
    <x v="142"/>
    <n v="1.3166666666666667"/>
    <n v="-10"/>
    <x v="0"/>
    <n v="59.166666666666664"/>
    <x v="161"/>
    <n v="9450"/>
    <n v="1920"/>
    <n v="8.8183421516754863E-3"/>
    <s v="Oct-13"/>
    <x v="9"/>
    <n v="2.3924050632911391"/>
  </r>
  <r>
    <x v="7"/>
    <n v="96"/>
    <x v="3"/>
    <x v="1"/>
    <x v="1"/>
    <x v="41"/>
    <x v="0"/>
    <x v="0"/>
    <x v="0"/>
    <x v="65"/>
    <x v="132"/>
    <x v="6"/>
    <n v="80"/>
    <n v="40"/>
    <n v="200"/>
    <n v="117"/>
    <x v="132"/>
    <x v="65"/>
    <x v="136"/>
    <x v="273"/>
    <n v="1.2"/>
    <n v="-15"/>
    <x v="0"/>
    <n v="39.375"/>
    <x v="89"/>
    <n v="6125"/>
    <n v="10179"/>
    <n v="1.1728829462819611E-3"/>
    <s v="Oct-13"/>
    <x v="17"/>
    <n v="2.5520833333333335"/>
  </r>
  <r>
    <x v="116"/>
    <n v="225"/>
    <x v="4"/>
    <x v="0"/>
    <x v="1"/>
    <x v="42"/>
    <x v="1"/>
    <x v="3"/>
    <x v="7"/>
    <x v="114"/>
    <x v="143"/>
    <x v="1"/>
    <n v="260"/>
    <n v="230"/>
    <n v="580"/>
    <n v="91"/>
    <x v="143"/>
    <x v="114"/>
    <x v="137"/>
    <x v="274"/>
    <n v="0.86538461538461542"/>
    <n v="28"/>
    <x v="0"/>
    <n v="228.87826086956522"/>
    <x v="326"/>
    <n v="134676"/>
    <n v="6279"/>
    <n v="7.1630851241046151E-3"/>
    <s v="Nov-13"/>
    <x v="18"/>
    <n v="2.3199999999999998"/>
  </r>
  <r>
    <x v="51"/>
    <n v="75"/>
    <x v="4"/>
    <x v="0"/>
    <x v="1"/>
    <x v="23"/>
    <x v="1"/>
    <x v="2"/>
    <x v="9"/>
    <x v="97"/>
    <x v="123"/>
    <x v="1"/>
    <n v="50"/>
    <n v="40"/>
    <n v="140"/>
    <n v="55"/>
    <x v="123"/>
    <x v="97"/>
    <x v="84"/>
    <x v="243"/>
    <n v="1.5"/>
    <n v="48"/>
    <x v="0"/>
    <n v="37.799999999999997"/>
    <x v="294"/>
    <n v="17688"/>
    <n v="1320"/>
    <n v="1.824212271973466E-2"/>
    <s v="Nov-13"/>
    <x v="10"/>
    <n v="2.68"/>
  </r>
  <r>
    <x v="18"/>
    <n v="118"/>
    <x v="4"/>
    <x v="0"/>
    <x v="1"/>
    <x v="40"/>
    <x v="1"/>
    <x v="2"/>
    <x v="8"/>
    <x v="105"/>
    <x v="144"/>
    <x v="1"/>
    <n v="90"/>
    <n v="100"/>
    <n v="220"/>
    <n v="45"/>
    <x v="144"/>
    <x v="105"/>
    <x v="72"/>
    <x v="275"/>
    <n v="1.3111111111111111"/>
    <n v="88"/>
    <x v="0"/>
    <n v="98.12"/>
    <x v="327"/>
    <n v="58092"/>
    <n v="1485"/>
    <n v="1.8436795135824264E-2"/>
    <s v="Nov-13"/>
    <x v="11"/>
    <n v="2.6186440677966103"/>
  </r>
  <r>
    <x v="28"/>
    <n v="78"/>
    <x v="4"/>
    <x v="1"/>
    <x v="1"/>
    <x v="26"/>
    <x v="1"/>
    <x v="2"/>
    <x v="4"/>
    <x v="115"/>
    <x v="145"/>
    <x v="6"/>
    <n v="60"/>
    <n v="40"/>
    <n v="150"/>
    <n v="57"/>
    <x v="145"/>
    <x v="115"/>
    <x v="41"/>
    <x v="276"/>
    <n v="1.3"/>
    <n v="52"/>
    <x v="0"/>
    <n v="37.700000000000003"/>
    <x v="328"/>
    <n v="19320"/>
    <n v="1425"/>
    <n v="1.7523809523809525E-2"/>
    <s v="Nov-13"/>
    <x v="8"/>
    <n v="2.6923076923076925"/>
  </r>
  <r>
    <x v="7"/>
    <n v="88"/>
    <x v="4"/>
    <x v="1"/>
    <x v="1"/>
    <x v="39"/>
    <x v="1"/>
    <x v="3"/>
    <x v="7"/>
    <x v="116"/>
    <x v="146"/>
    <x v="6"/>
    <n v="100"/>
    <n v="90"/>
    <n v="230"/>
    <n v="41"/>
    <x v="146"/>
    <x v="116"/>
    <x v="13"/>
    <x v="277"/>
    <n v="0.88"/>
    <n v="15"/>
    <x v="0"/>
    <n v="88.833333333333329"/>
    <x v="329"/>
    <n v="22365"/>
    <n v="1189"/>
    <n v="1.6998542982030112E-2"/>
    <s v="Nov-13"/>
    <x v="14"/>
    <n v="2.4204545454545454"/>
  </r>
  <r>
    <x v="47"/>
    <n v="102"/>
    <x v="4"/>
    <x v="1"/>
    <x v="1"/>
    <x v="33"/>
    <x v="1"/>
    <x v="2"/>
    <x v="9"/>
    <x v="117"/>
    <x v="147"/>
    <x v="6"/>
    <n v="80"/>
    <n v="60"/>
    <n v="180"/>
    <n v="54"/>
    <x v="147"/>
    <x v="117"/>
    <x v="111"/>
    <x v="278"/>
    <n v="1.2749999999999999"/>
    <n v="72"/>
    <x v="0"/>
    <n v="57.8"/>
    <x v="330"/>
    <n v="34452"/>
    <n v="1674"/>
    <n v="1.6314423433444566E-2"/>
    <s v="Nov-13"/>
    <x v="11"/>
    <n v="2.5588235294117645"/>
  </r>
  <r>
    <x v="38"/>
    <n v="101"/>
    <x v="4"/>
    <x v="1"/>
    <x v="1"/>
    <x v="40"/>
    <x v="0"/>
    <x v="0"/>
    <x v="10"/>
    <x v="118"/>
    <x v="148"/>
    <x v="10"/>
    <n v="90"/>
    <n v="80"/>
    <n v="210"/>
    <n v="45"/>
    <x v="148"/>
    <x v="118"/>
    <x v="24"/>
    <x v="279"/>
    <n v="1.1222222222222222"/>
    <n v="46"/>
    <x v="0"/>
    <n v="78.424999999999997"/>
    <x v="331"/>
    <n v="30996"/>
    <n v="1485"/>
    <n v="1.5521064301552107E-2"/>
    <s v="Nov-13"/>
    <x v="13"/>
    <n v="2.4356435643564356"/>
  </r>
  <r>
    <x v="39"/>
    <n v="15"/>
    <x v="4"/>
    <x v="1"/>
    <x v="1"/>
    <x v="36"/>
    <x v="0"/>
    <x v="0"/>
    <x v="10"/>
    <x v="32"/>
    <x v="120"/>
    <x v="17"/>
    <n v="10"/>
    <n v="10"/>
    <n v="30"/>
    <n v="15"/>
    <x v="120"/>
    <x v="32"/>
    <x v="122"/>
    <x v="170"/>
    <n v="1.5"/>
    <n v="3"/>
    <x v="0"/>
    <n v="8.6999999999999993"/>
    <x v="332"/>
    <n v="546"/>
    <n v="60"/>
    <n v="7.7380952380952384E-2"/>
    <s v="Nov-13"/>
    <x v="5"/>
    <n v="2.8"/>
  </r>
  <r>
    <x v="55"/>
    <n v="82"/>
    <x v="4"/>
    <x v="1"/>
    <x v="1"/>
    <x v="33"/>
    <x v="0"/>
    <x v="0"/>
    <x v="0"/>
    <x v="4"/>
    <x v="109"/>
    <x v="10"/>
    <n v="70"/>
    <n v="40"/>
    <n v="170"/>
    <n v="64"/>
    <x v="109"/>
    <x v="4"/>
    <x v="65"/>
    <x v="213"/>
    <n v="1.1714285714285715"/>
    <n v="16"/>
    <x v="0"/>
    <n v="38.6"/>
    <x v="245"/>
    <n v="10976"/>
    <n v="1984"/>
    <n v="9.2165898617511521E-3"/>
    <s v="Nov-13"/>
    <x v="13"/>
    <n v="2.3902439024390243"/>
  </r>
  <r>
    <x v="47"/>
    <n v="94"/>
    <x v="4"/>
    <x v="1"/>
    <x v="1"/>
    <x v="43"/>
    <x v="0"/>
    <x v="0"/>
    <x v="0"/>
    <x v="57"/>
    <x v="149"/>
    <x v="6"/>
    <n v="80"/>
    <n v="20"/>
    <n v="200"/>
    <n v="115"/>
    <x v="149"/>
    <x v="57"/>
    <x v="138"/>
    <x v="280"/>
    <n v="1.175"/>
    <n v="2"/>
    <x v="0"/>
    <n v="18.899999999999999"/>
    <x v="333"/>
    <n v="5258"/>
    <n v="9774.9999999999982"/>
    <n v="1.0829436377061286E-3"/>
    <s v="Nov-13"/>
    <x v="19"/>
    <n v="2.5425531914893615"/>
  </r>
  <r>
    <x v="2"/>
    <n v="241"/>
    <x v="5"/>
    <x v="0"/>
    <x v="1"/>
    <x v="37"/>
    <x v="1"/>
    <x v="3"/>
    <x v="7"/>
    <x v="119"/>
    <x v="150"/>
    <x v="1"/>
    <n v="280"/>
    <n v="240"/>
    <n v="620"/>
    <n v="96"/>
    <x v="150"/>
    <x v="119"/>
    <x v="139"/>
    <x v="281"/>
    <n v="0.86071428571428577"/>
    <n v="39"/>
    <x v="0"/>
    <n v="238.83750000000001"/>
    <x v="334"/>
    <n v="155961"/>
    <n v="7104"/>
    <n v="6.7446695353672098E-3"/>
    <s v="Dec-13"/>
    <x v="20"/>
    <n v="2.3195020746887969"/>
  </r>
  <r>
    <x v="50"/>
    <n v="123"/>
    <x v="5"/>
    <x v="0"/>
    <x v="1"/>
    <x v="38"/>
    <x v="1"/>
    <x v="2"/>
    <x v="8"/>
    <x v="111"/>
    <x v="141"/>
    <x v="1"/>
    <n v="90"/>
    <n v="110"/>
    <n v="230"/>
    <n v="46"/>
    <x v="141"/>
    <x v="111"/>
    <x v="61"/>
    <x v="270"/>
    <n v="1.3666666666666667"/>
    <n v="87"/>
    <x v="0"/>
    <n v="108.2090909090909"/>
    <x v="324"/>
    <n v="63434"/>
    <n v="1564"/>
    <n v="1.7994154183412495E-2"/>
    <s v="Dec-13"/>
    <x v="11"/>
    <n v="2.6178861788617884"/>
  </r>
  <r>
    <x v="39"/>
    <n v="92"/>
    <x v="5"/>
    <x v="1"/>
    <x v="1"/>
    <x v="16"/>
    <x v="1"/>
    <x v="3"/>
    <x v="5"/>
    <x v="10"/>
    <x v="72"/>
    <x v="17"/>
    <n v="100"/>
    <n v="40"/>
    <n v="190"/>
    <n v="52"/>
    <x v="72"/>
    <x v="10"/>
    <x v="77"/>
    <x v="111"/>
    <n v="0.92"/>
    <n v="-16"/>
    <x v="0"/>
    <n v="39.4"/>
    <x v="119"/>
    <n v="4104"/>
    <n v="1456"/>
    <n v="5.0125313283208017E-3"/>
    <s v="Dec-13"/>
    <x v="16"/>
    <n v="1.8586956521739131"/>
  </r>
  <r>
    <x v="7"/>
    <n v="88"/>
    <x v="5"/>
    <x v="1"/>
    <x v="1"/>
    <x v="39"/>
    <x v="1"/>
    <x v="2"/>
    <x v="4"/>
    <x v="120"/>
    <x v="126"/>
    <x v="6"/>
    <n v="60"/>
    <n v="60"/>
    <n v="170"/>
    <n v="61"/>
    <x v="126"/>
    <x v="120"/>
    <x v="111"/>
    <x v="282"/>
    <n v="1.4666666666666666"/>
    <n v="47"/>
    <x v="0"/>
    <n v="58.216666666666669"/>
    <x v="335"/>
    <n v="25252"/>
    <n v="1769"/>
    <n v="1.5634132086499122E-2"/>
    <s v="Dec-13"/>
    <x v="8"/>
    <n v="2.6818181818181817"/>
  </r>
  <r>
    <x v="38"/>
    <n v="49"/>
    <x v="5"/>
    <x v="1"/>
    <x v="1"/>
    <x v="2"/>
    <x v="1"/>
    <x v="3"/>
    <x v="7"/>
    <x v="88"/>
    <x v="51"/>
    <x v="10"/>
    <n v="50"/>
    <n v="70"/>
    <n v="140"/>
    <n v="25"/>
    <x v="51"/>
    <x v="88"/>
    <x v="64"/>
    <x v="206"/>
    <n v="0.98"/>
    <n v="-2"/>
    <x v="0"/>
    <n v="69.028571428571425"/>
    <x v="253"/>
    <n v="8704"/>
    <n v="325"/>
    <n v="4.0865384615384616E-2"/>
    <s v="Dec-13"/>
    <x v="7"/>
    <n v="2.6122448979591835"/>
  </r>
  <r>
    <x v="39"/>
    <n v="48"/>
    <x v="5"/>
    <x v="1"/>
    <x v="1"/>
    <x v="6"/>
    <x v="1"/>
    <x v="3"/>
    <x v="7"/>
    <x v="54"/>
    <x v="45"/>
    <x v="17"/>
    <n v="50"/>
    <n v="50"/>
    <n v="140"/>
    <n v="47"/>
    <x v="45"/>
    <x v="54"/>
    <x v="6"/>
    <x v="126"/>
    <n v="0.96"/>
    <n v="-10"/>
    <x v="0"/>
    <n v="49.2"/>
    <x v="336"/>
    <n v="5200"/>
    <n v="705"/>
    <n v="2.0512820512820513E-2"/>
    <s v="Dec-13"/>
    <x v="9"/>
    <n v="2.7083333333333335"/>
  </r>
  <r>
    <x v="28"/>
    <n v="81"/>
    <x v="5"/>
    <x v="1"/>
    <x v="1"/>
    <x v="32"/>
    <x v="1"/>
    <x v="3"/>
    <x v="7"/>
    <x v="121"/>
    <x v="130"/>
    <x v="6"/>
    <n v="90"/>
    <n v="100"/>
    <n v="220"/>
    <n v="38"/>
    <x v="130"/>
    <x v="121"/>
    <x v="44"/>
    <x v="283"/>
    <n v="0.9"/>
    <n v="-2"/>
    <x v="0"/>
    <n v="99.02"/>
    <x v="337"/>
    <n v="19306"/>
    <n v="988"/>
    <n v="1.9133151112846546E-2"/>
    <s v="Dec-13"/>
    <x v="11"/>
    <n v="2.4320987654320989"/>
  </r>
  <r>
    <x v="39"/>
    <n v="20"/>
    <x v="5"/>
    <x v="1"/>
    <x v="1"/>
    <x v="7"/>
    <x v="1"/>
    <x v="2"/>
    <x v="9"/>
    <x v="122"/>
    <x v="122"/>
    <x v="17"/>
    <n v="10"/>
    <n v="-10"/>
    <n v="30"/>
    <n v="40"/>
    <x v="122"/>
    <x v="122"/>
    <x v="86"/>
    <x v="284"/>
    <n v="2"/>
    <n v="-12"/>
    <x v="0"/>
    <n v="-12.2"/>
    <x v="338"/>
    <n v="-1056"/>
    <n v="280"/>
    <n v="-6.5476190476190479E-2"/>
    <s v="Dec-13"/>
    <x v="1"/>
    <n v="2.4"/>
  </r>
  <r>
    <x v="7"/>
    <n v="134"/>
    <x v="5"/>
    <x v="1"/>
    <x v="1"/>
    <x v="11"/>
    <x v="1"/>
    <x v="2"/>
    <x v="9"/>
    <x v="123"/>
    <x v="151"/>
    <x v="6"/>
    <n v="100"/>
    <n v="90"/>
    <n v="240"/>
    <n v="65"/>
    <x v="151"/>
    <x v="123"/>
    <x v="140"/>
    <x v="285"/>
    <n v="1.34"/>
    <n v="90"/>
    <x v="0"/>
    <n v="88"/>
    <x v="339"/>
    <n v="61380"/>
    <n v="2665"/>
    <n v="1.287461554967456E-2"/>
    <s v="Dec-13"/>
    <x v="16"/>
    <n v="2.544776119402985"/>
  </r>
  <r>
    <x v="38"/>
    <n v="94"/>
    <x v="5"/>
    <x v="1"/>
    <x v="1"/>
    <x v="33"/>
    <x v="0"/>
    <x v="0"/>
    <x v="10"/>
    <x v="124"/>
    <x v="152"/>
    <x v="10"/>
    <n v="80"/>
    <n v="70"/>
    <n v="190"/>
    <n v="43"/>
    <x v="152"/>
    <x v="124"/>
    <x v="35"/>
    <x v="286"/>
    <n v="1.175"/>
    <n v="44"/>
    <x v="0"/>
    <n v="68.371428571428567"/>
    <x v="340"/>
    <n v="25992"/>
    <n v="1333"/>
    <n v="1.6129032258064516E-2"/>
    <s v="Dec-13"/>
    <x v="11"/>
    <n v="2.4255319148936172"/>
  </r>
  <r>
    <x v="39"/>
    <n v="16"/>
    <x v="5"/>
    <x v="1"/>
    <x v="1"/>
    <x v="36"/>
    <x v="0"/>
    <x v="0"/>
    <x v="10"/>
    <x v="32"/>
    <x v="121"/>
    <x v="17"/>
    <n v="10"/>
    <n v="10"/>
    <n v="30"/>
    <n v="16"/>
    <x v="121"/>
    <x v="32"/>
    <x v="116"/>
    <x v="170"/>
    <n v="1.6"/>
    <n v="3"/>
    <x v="0"/>
    <n v="8.6999999999999993"/>
    <x v="341"/>
    <n v="572"/>
    <n v="64"/>
    <n v="7.3863636363636367E-2"/>
    <s v="Dec-13"/>
    <x v="5"/>
    <n v="2.75"/>
  </r>
  <r>
    <x v="28"/>
    <n v="105"/>
    <x v="5"/>
    <x v="1"/>
    <x v="1"/>
    <x v="44"/>
    <x v="0"/>
    <x v="0"/>
    <x v="0"/>
    <x v="27"/>
    <x v="153"/>
    <x v="6"/>
    <n v="90"/>
    <n v="30"/>
    <n v="230"/>
    <n v="125"/>
    <x v="153"/>
    <x v="27"/>
    <x v="141"/>
    <x v="287"/>
    <n v="1.1666666666666667"/>
    <n v="0"/>
    <x v="0"/>
    <n v="29"/>
    <x v="342"/>
    <n v="7980"/>
    <n v="11875"/>
    <n v="1.1871784724970321E-3"/>
    <s v="Dec-13"/>
    <x v="21"/>
    <n v="2.5333333333333332"/>
  </r>
  <r>
    <x v="6"/>
    <n v="125"/>
    <x v="0"/>
    <x v="1"/>
    <x v="2"/>
    <x v="11"/>
    <x v="1"/>
    <x v="3"/>
    <x v="7"/>
    <x v="125"/>
    <x v="154"/>
    <x v="5"/>
    <n v="100"/>
    <n v="130"/>
    <n v="260"/>
    <n v="73"/>
    <x v="154"/>
    <x v="125"/>
    <x v="142"/>
    <x v="288"/>
    <n v="1.25"/>
    <n v="-15"/>
    <x v="0"/>
    <n v="129.11538461538461"/>
    <x v="343"/>
    <n v="35995"/>
    <n v="2993"/>
    <n v="8.9612717213434102E-3"/>
    <s v="Oct-12"/>
    <x v="13"/>
    <n v="2.504"/>
  </r>
  <r>
    <x v="31"/>
    <n v="60"/>
    <x v="0"/>
    <x v="1"/>
    <x v="2"/>
    <x v="12"/>
    <x v="1"/>
    <x v="2"/>
    <x v="8"/>
    <x v="12"/>
    <x v="13"/>
    <x v="5"/>
    <n v="40"/>
    <n v="40"/>
    <n v="130"/>
    <n v="83"/>
    <x v="13"/>
    <x v="12"/>
    <x v="12"/>
    <x v="13"/>
    <n v="1.5"/>
    <n v="-39"/>
    <x v="0"/>
    <n v="39.975000000000001"/>
    <x v="13"/>
    <n v="144"/>
    <n v="4482"/>
    <n v="1.2860082304526747E-4"/>
    <s v="Oct-12"/>
    <x v="9"/>
    <n v="2.4"/>
  </r>
  <r>
    <x v="31"/>
    <n v="130"/>
    <x v="1"/>
    <x v="1"/>
    <x v="2"/>
    <x v="22"/>
    <x v="1"/>
    <x v="3"/>
    <x v="7"/>
    <x v="126"/>
    <x v="155"/>
    <x v="5"/>
    <n v="110"/>
    <n v="130"/>
    <n v="290"/>
    <n v="73"/>
    <x v="155"/>
    <x v="126"/>
    <x v="143"/>
    <x v="289"/>
    <n v="1.1818181818181819"/>
    <n v="-8"/>
    <x v="0"/>
    <n v="129.06153846153848"/>
    <x v="344"/>
    <n v="39650"/>
    <n v="3066"/>
    <n v="8.9377289377289369E-3"/>
    <s v="Nov-12"/>
    <x v="17"/>
    <n v="2.5"/>
  </r>
  <r>
    <x v="31"/>
    <n v="115"/>
    <x v="2"/>
    <x v="1"/>
    <x v="2"/>
    <x v="45"/>
    <x v="1"/>
    <x v="3"/>
    <x v="7"/>
    <x v="116"/>
    <x v="156"/>
    <x v="5"/>
    <n v="100"/>
    <n v="110"/>
    <n v="260"/>
    <n v="69"/>
    <x v="156"/>
    <x v="116"/>
    <x v="144"/>
    <x v="290"/>
    <n v="1.1499999999999999"/>
    <n v="-5"/>
    <x v="0"/>
    <n v="109.04545454545455"/>
    <x v="345"/>
    <n v="30345"/>
    <n v="2553"/>
    <n v="9.819508089404282E-3"/>
    <s v="Dec-12"/>
    <x v="16"/>
    <n v="2.5130434782608697"/>
  </r>
  <r>
    <x v="31"/>
    <n v="125"/>
    <x v="3"/>
    <x v="1"/>
    <x v="2"/>
    <x v="11"/>
    <x v="1"/>
    <x v="3"/>
    <x v="7"/>
    <x v="127"/>
    <x v="157"/>
    <x v="5"/>
    <n v="100"/>
    <n v="130"/>
    <n v="260"/>
    <n v="73"/>
    <x v="157"/>
    <x v="127"/>
    <x v="130"/>
    <x v="291"/>
    <n v="1.25"/>
    <n v="41"/>
    <x v="0"/>
    <n v="128.6846153846154"/>
    <x v="346"/>
    <n v="57114"/>
    <n v="2993"/>
    <n v="1.2487220680590039E-2"/>
    <s v="Oct-13"/>
    <x v="13"/>
    <n v="2.6720000000000002"/>
  </r>
  <r>
    <x v="67"/>
    <n v="60"/>
    <x v="3"/>
    <x v="1"/>
    <x v="2"/>
    <x v="12"/>
    <x v="1"/>
    <x v="2"/>
    <x v="8"/>
    <x v="12"/>
    <x v="43"/>
    <x v="5"/>
    <n v="40"/>
    <n v="40"/>
    <n v="130"/>
    <n v="83"/>
    <x v="43"/>
    <x v="12"/>
    <x v="59"/>
    <x v="13"/>
    <n v="1.5"/>
    <n v="-39"/>
    <x v="0"/>
    <n v="39.975000000000001"/>
    <x v="13"/>
    <n v="153"/>
    <n v="4482"/>
    <n v="1.2103606874848704E-4"/>
    <s v="Oct-13"/>
    <x v="9"/>
    <n v="2.5499999999999998"/>
  </r>
  <r>
    <x v="31"/>
    <n v="130"/>
    <x v="4"/>
    <x v="1"/>
    <x v="2"/>
    <x v="22"/>
    <x v="1"/>
    <x v="3"/>
    <x v="7"/>
    <x v="128"/>
    <x v="158"/>
    <x v="5"/>
    <n v="110"/>
    <n v="130"/>
    <n v="290"/>
    <n v="73"/>
    <x v="158"/>
    <x v="128"/>
    <x v="145"/>
    <x v="292"/>
    <n v="1.1818181818181819"/>
    <n v="51"/>
    <x v="0"/>
    <n v="128.6076923076923"/>
    <x v="347"/>
    <n v="62626"/>
    <n v="3066"/>
    <n v="1.2455271125791357E-2"/>
    <s v="Nov-13"/>
    <x v="17"/>
    <n v="2.6615384615384614"/>
  </r>
  <r>
    <x v="67"/>
    <n v="115"/>
    <x v="5"/>
    <x v="1"/>
    <x v="2"/>
    <x v="45"/>
    <x v="1"/>
    <x v="3"/>
    <x v="7"/>
    <x v="129"/>
    <x v="159"/>
    <x v="5"/>
    <n v="100"/>
    <n v="110"/>
    <n v="260"/>
    <n v="69"/>
    <x v="159"/>
    <x v="129"/>
    <x v="59"/>
    <x v="293"/>
    <n v="1.1499999999999999"/>
    <n v="46"/>
    <x v="0"/>
    <n v="108.58181818181818"/>
    <x v="348"/>
    <n v="48048"/>
    <n v="2553.0000000000005"/>
    <n v="1.3689013689013688E-2"/>
    <s v="Dec-13"/>
    <x v="16"/>
    <n v="2.6782608695652175"/>
  </r>
  <r>
    <x v="35"/>
    <n v="91"/>
    <x v="0"/>
    <x v="0"/>
    <x v="2"/>
    <x v="16"/>
    <x v="1"/>
    <x v="3"/>
    <x v="5"/>
    <x v="20"/>
    <x v="18"/>
    <x v="2"/>
    <n v="70"/>
    <n v="90"/>
    <n v="180"/>
    <n v="51"/>
    <x v="18"/>
    <x v="20"/>
    <x v="19"/>
    <x v="21"/>
    <n v="1.3"/>
    <n v="-14"/>
    <x v="0"/>
    <n v="89.155555555555551"/>
    <x v="21"/>
    <n v="16568"/>
    <n v="1428"/>
    <n v="1.2450851900393186E-2"/>
    <s v="Oct-12"/>
    <x v="9"/>
    <n v="2.3956043956043955"/>
  </r>
  <r>
    <x v="122"/>
    <n v="86"/>
    <x v="0"/>
    <x v="0"/>
    <x v="2"/>
    <x v="16"/>
    <x v="1"/>
    <x v="2"/>
    <x v="4"/>
    <x v="130"/>
    <x v="160"/>
    <x v="2"/>
    <n v="70"/>
    <n v="90"/>
    <n v="180"/>
    <n v="56"/>
    <x v="160"/>
    <x v="130"/>
    <x v="19"/>
    <x v="33"/>
    <n v="1.2285714285714286"/>
    <n v="-30"/>
    <x v="0"/>
    <n v="89.333333333333329"/>
    <x v="349"/>
    <n v="12120"/>
    <n v="1568"/>
    <n v="1.0608203677510608E-2"/>
    <s v="Oct-12"/>
    <x v="9"/>
    <n v="2.3488372093023258"/>
  </r>
  <r>
    <x v="59"/>
    <n v="82"/>
    <x v="0"/>
    <x v="0"/>
    <x v="2"/>
    <x v="15"/>
    <x v="1"/>
    <x v="3"/>
    <x v="7"/>
    <x v="19"/>
    <x v="17"/>
    <x v="2"/>
    <n v="60"/>
    <n v="90"/>
    <n v="170"/>
    <n v="59"/>
    <x v="17"/>
    <x v="19"/>
    <x v="18"/>
    <x v="20"/>
    <n v="1.3666666666666667"/>
    <n v="-26"/>
    <x v="0"/>
    <n v="89.288888888888891"/>
    <x v="20"/>
    <n v="13120"/>
    <n v="1593"/>
    <n v="1.156278229448961E-2"/>
    <s v="Oct-12"/>
    <x v="6"/>
    <n v="2.5"/>
  </r>
  <r>
    <x v="84"/>
    <n v="72"/>
    <x v="0"/>
    <x v="0"/>
    <x v="2"/>
    <x v="4"/>
    <x v="1"/>
    <x v="3"/>
    <x v="7"/>
    <x v="131"/>
    <x v="161"/>
    <x v="15"/>
    <n v="50"/>
    <n v="330"/>
    <n v="400"/>
    <n v="54"/>
    <x v="161"/>
    <x v="131"/>
    <x v="4"/>
    <x v="294"/>
    <n v="1.44"/>
    <n v="18"/>
    <x v="0"/>
    <n v="328.94545454545454"/>
    <x v="350"/>
    <n v="164952"/>
    <n v="1242"/>
    <n v="3.1920748486516236E-2"/>
    <s v="Oct-12"/>
    <x v="7"/>
    <n v="6.583333333333333"/>
  </r>
  <r>
    <x v="123"/>
    <n v="260"/>
    <x v="0"/>
    <x v="0"/>
    <x v="2"/>
    <x v="46"/>
    <x v="1"/>
    <x v="3"/>
    <x v="7"/>
    <x v="132"/>
    <x v="162"/>
    <x v="19"/>
    <n v="210"/>
    <n v="230"/>
    <n v="540"/>
    <n v="143"/>
    <x v="162"/>
    <x v="132"/>
    <x v="146"/>
    <x v="21"/>
    <n v="1.2380952380952381"/>
    <n v="17"/>
    <x v="0"/>
    <n v="228.92608695652174"/>
    <x v="351"/>
    <n v="160550"/>
    <n v="13013"/>
    <n v="4.1758241758241763E-3"/>
    <s v="Oct-12"/>
    <x v="22"/>
    <n v="2.5"/>
  </r>
  <r>
    <x v="122"/>
    <n v="96"/>
    <x v="0"/>
    <x v="0"/>
    <x v="2"/>
    <x v="41"/>
    <x v="1"/>
    <x v="2"/>
    <x v="8"/>
    <x v="47"/>
    <x v="127"/>
    <x v="2"/>
    <n v="80"/>
    <n v="50"/>
    <n v="210"/>
    <n v="116"/>
    <x v="127"/>
    <x v="47"/>
    <x v="147"/>
    <x v="295"/>
    <n v="1.2"/>
    <n v="-32"/>
    <x v="0"/>
    <n v="49.64"/>
    <x v="352"/>
    <n v="4140"/>
    <n v="10092"/>
    <n v="8.9955022488755621E-4"/>
    <s v="Oct-12"/>
    <x v="17"/>
    <n v="2.3958333333333335"/>
  </r>
  <r>
    <x v="124"/>
    <n v="125"/>
    <x v="0"/>
    <x v="0"/>
    <x v="2"/>
    <x v="47"/>
    <x v="1"/>
    <x v="2"/>
    <x v="8"/>
    <x v="133"/>
    <x v="85"/>
    <x v="19"/>
    <n v="110"/>
    <n v="-170"/>
    <n v="50"/>
    <n v="146"/>
    <x v="85"/>
    <x v="133"/>
    <x v="148"/>
    <x v="296"/>
    <n v="1.1363636363636365"/>
    <n v="-32"/>
    <x v="0"/>
    <n v="-171.18823529411765"/>
    <x v="353"/>
    <n v="-13938"/>
    <n v="16498"/>
    <n v="-2.5907400282159803E-2"/>
    <s v="Oct-12"/>
    <x v="23"/>
    <n v="0.55200000000000005"/>
  </r>
  <r>
    <x v="108"/>
    <n v="161"/>
    <x v="0"/>
    <x v="0"/>
    <x v="2"/>
    <x v="48"/>
    <x v="1"/>
    <x v="2"/>
    <x v="12"/>
    <x v="115"/>
    <x v="141"/>
    <x v="15"/>
    <n v="140"/>
    <n v="120"/>
    <n v="300"/>
    <n v="69"/>
    <x v="141"/>
    <x v="115"/>
    <x v="134"/>
    <x v="297"/>
    <n v="1.1499999999999999"/>
    <n v="-28"/>
    <x v="0"/>
    <n v="119.23333333333333"/>
    <x v="354"/>
    <n v="29624"/>
    <n v="3105.0000000000005"/>
    <n v="6.3492063492063483E-3"/>
    <s v="Oct-12"/>
    <x v="19"/>
    <n v="2"/>
  </r>
  <r>
    <x v="100"/>
    <n v="239"/>
    <x v="0"/>
    <x v="0"/>
    <x v="2"/>
    <x v="49"/>
    <x v="1"/>
    <x v="2"/>
    <x v="12"/>
    <x v="134"/>
    <x v="163"/>
    <x v="19"/>
    <n v="210"/>
    <n v="450"/>
    <n v="720"/>
    <n v="91"/>
    <x v="163"/>
    <x v="134"/>
    <x v="149"/>
    <x v="298"/>
    <n v="1.138095238095238"/>
    <n v="-15"/>
    <x v="0"/>
    <n v="449.03333333333336"/>
    <x v="355"/>
    <n v="332775"/>
    <n v="6006"/>
    <n v="8.6155674390968502E-3"/>
    <s v="Oct-12"/>
    <x v="24"/>
    <n v="3.2008368200836821"/>
  </r>
  <r>
    <x v="125"/>
    <n v="22"/>
    <x v="0"/>
    <x v="0"/>
    <x v="2"/>
    <x v="7"/>
    <x v="0"/>
    <x v="0"/>
    <x v="10"/>
    <x v="44"/>
    <x v="77"/>
    <x v="2"/>
    <n v="0"/>
    <n v="20"/>
    <n v="20"/>
    <n v="19"/>
    <x v="77"/>
    <x v="44"/>
    <x v="67"/>
    <x v="34"/>
    <e v="#DIV/0!"/>
    <n v="-10"/>
    <x v="0"/>
    <n v="19.5"/>
    <x v="128"/>
    <n v="510"/>
    <n v="133"/>
    <n v="2.8011204481792718E-2"/>
    <s v="Oct-12"/>
    <x v="4"/>
    <n v="2.3181818181818183"/>
  </r>
  <r>
    <x v="124"/>
    <n v="255"/>
    <x v="0"/>
    <x v="0"/>
    <x v="2"/>
    <x v="50"/>
    <x v="0"/>
    <x v="0"/>
    <x v="0"/>
    <x v="113"/>
    <x v="164"/>
    <x v="19"/>
    <n v="140"/>
    <n v="70"/>
    <n v="290"/>
    <n v="129"/>
    <x v="164"/>
    <x v="113"/>
    <x v="150"/>
    <x v="299"/>
    <n v="1.8214285714285714"/>
    <n v="59"/>
    <x v="0"/>
    <n v="68.157142857142858"/>
    <x v="356"/>
    <n v="66177"/>
    <n v="12384"/>
    <n v="2.6193957115009745E-3"/>
    <s v="Oct-12"/>
    <x v="23"/>
    <n v="2.0117647058823529"/>
  </r>
  <r>
    <x v="123"/>
    <n v="239"/>
    <x v="0"/>
    <x v="0"/>
    <x v="2"/>
    <x v="37"/>
    <x v="0"/>
    <x v="0"/>
    <x v="1"/>
    <x v="135"/>
    <x v="20"/>
    <x v="19"/>
    <n v="130"/>
    <n v="-100"/>
    <n v="80"/>
    <n v="95"/>
    <x v="20"/>
    <x v="135"/>
    <x v="151"/>
    <x v="300"/>
    <n v="1.8384615384615384"/>
    <n v="-70"/>
    <x v="0"/>
    <n v="-101.7"/>
    <x v="357"/>
    <n v="-27880"/>
    <n v="7030"/>
    <n v="-1.4007910349373764E-2"/>
    <s v="Oct-12"/>
    <x v="19"/>
    <n v="0.68619246861924688"/>
  </r>
  <r>
    <x v="126"/>
    <n v="108"/>
    <x v="0"/>
    <x v="0"/>
    <x v="2"/>
    <x v="30"/>
    <x v="0"/>
    <x v="1"/>
    <x v="2"/>
    <x v="125"/>
    <x v="165"/>
    <x v="19"/>
    <n v="110"/>
    <n v="140"/>
    <n v="280"/>
    <n v="42"/>
    <x v="165"/>
    <x v="125"/>
    <x v="152"/>
    <x v="157"/>
    <n v="0.98181818181818181"/>
    <n v="-25"/>
    <x v="0"/>
    <n v="139.17857142857142"/>
    <x v="358"/>
    <n v="30475"/>
    <n v="1260"/>
    <n v="1.4465408805031447E-2"/>
    <s v="Oct-12"/>
    <x v="14"/>
    <n v="2.4537037037037037"/>
  </r>
  <r>
    <x v="127"/>
    <n v="123"/>
    <x v="0"/>
    <x v="0"/>
    <x v="2"/>
    <x v="38"/>
    <x v="0"/>
    <x v="1"/>
    <x v="11"/>
    <x v="136"/>
    <x v="125"/>
    <x v="19"/>
    <n v="130"/>
    <n v="160"/>
    <n v="320"/>
    <n v="45"/>
    <x v="125"/>
    <x v="136"/>
    <x v="153"/>
    <x v="301"/>
    <n v="0.94615384615384612"/>
    <n v="-26"/>
    <x v="0"/>
    <n v="159.16249999999999"/>
    <x v="359"/>
    <n v="40468"/>
    <n v="1530"/>
    <n v="1.3050253213868329E-2"/>
    <s v="Oct-12"/>
    <x v="17"/>
    <n v="2.4552845528455283"/>
  </r>
  <r>
    <x v="114"/>
    <n v="76"/>
    <x v="0"/>
    <x v="0"/>
    <x v="2"/>
    <x v="28"/>
    <x v="0"/>
    <x v="1"/>
    <x v="3"/>
    <x v="92"/>
    <x v="76"/>
    <x v="19"/>
    <n v="80"/>
    <n v="100"/>
    <n v="200"/>
    <n v="33"/>
    <x v="76"/>
    <x v="92"/>
    <x v="26"/>
    <x v="230"/>
    <n v="0.95"/>
    <n v="-22"/>
    <x v="0"/>
    <n v="99.22"/>
    <x v="281"/>
    <n v="14586"/>
    <n v="693"/>
    <n v="1.9862490450725745E-2"/>
    <s v="Oct-12"/>
    <x v="10"/>
    <n v="2.4605263157894739"/>
  </r>
  <r>
    <x v="105"/>
    <n v="102"/>
    <x v="1"/>
    <x v="0"/>
    <x v="2"/>
    <x v="33"/>
    <x v="1"/>
    <x v="3"/>
    <x v="5"/>
    <x v="104"/>
    <x v="132"/>
    <x v="2"/>
    <n v="90"/>
    <n v="90"/>
    <n v="220"/>
    <n v="54"/>
    <x v="132"/>
    <x v="104"/>
    <x v="71"/>
    <x v="258"/>
    <n v="1.1333333333333333"/>
    <n v="-1"/>
    <x v="0"/>
    <n v="89.011111111111106"/>
    <x v="310"/>
    <n v="21805"/>
    <n v="1674"/>
    <n v="1.1718235681369323E-2"/>
    <s v="Nov-12"/>
    <x v="13"/>
    <n v="2.4019607843137254"/>
  </r>
  <r>
    <x v="35"/>
    <n v="77"/>
    <x v="1"/>
    <x v="0"/>
    <x v="2"/>
    <x v="26"/>
    <x v="1"/>
    <x v="2"/>
    <x v="4"/>
    <x v="94"/>
    <x v="166"/>
    <x v="2"/>
    <n v="70"/>
    <n v="60"/>
    <n v="170"/>
    <n v="52"/>
    <x v="166"/>
    <x v="94"/>
    <x v="111"/>
    <x v="302"/>
    <n v="1.1000000000000001"/>
    <n v="-9"/>
    <x v="0"/>
    <n v="59.15"/>
    <x v="360"/>
    <n v="9180"/>
    <n v="1300"/>
    <n v="1.1333333333333334E-2"/>
    <s v="Nov-12"/>
    <x v="8"/>
    <n v="2.3376623376623376"/>
  </r>
  <r>
    <x v="128"/>
    <n v="78"/>
    <x v="1"/>
    <x v="0"/>
    <x v="2"/>
    <x v="26"/>
    <x v="1"/>
    <x v="3"/>
    <x v="7"/>
    <x v="137"/>
    <x v="130"/>
    <x v="2"/>
    <n v="70"/>
    <n v="60"/>
    <n v="170"/>
    <n v="56"/>
    <x v="130"/>
    <x v="137"/>
    <x v="48"/>
    <x v="303"/>
    <n v="1.1142857142857143"/>
    <n v="3"/>
    <x v="0"/>
    <n v="58.95"/>
    <x v="361"/>
    <n v="12411"/>
    <n v="1400"/>
    <n v="1.2791878172588833E-2"/>
    <s v="Nov-12"/>
    <x v="8"/>
    <n v="2.5256410256410255"/>
  </r>
  <r>
    <x v="80"/>
    <n v="75"/>
    <x v="1"/>
    <x v="0"/>
    <x v="2"/>
    <x v="23"/>
    <x v="1"/>
    <x v="3"/>
    <x v="7"/>
    <x v="138"/>
    <x v="167"/>
    <x v="15"/>
    <n v="60"/>
    <n v="300"/>
    <n v="400"/>
    <n v="55"/>
    <x v="167"/>
    <x v="138"/>
    <x v="83"/>
    <x v="304"/>
    <n v="1.25"/>
    <n v="24"/>
    <x v="0"/>
    <n v="298.92"/>
    <x v="362"/>
    <n v="147096"/>
    <n v="1320"/>
    <n v="2.9735682819383259E-2"/>
    <s v="Nov-12"/>
    <x v="10"/>
    <n v="6.0533333333333337"/>
  </r>
  <r>
    <x v="129"/>
    <n v="249"/>
    <x v="1"/>
    <x v="0"/>
    <x v="2"/>
    <x v="41"/>
    <x v="1"/>
    <x v="3"/>
    <x v="7"/>
    <x v="139"/>
    <x v="168"/>
    <x v="19"/>
    <n v="220"/>
    <n v="230"/>
    <n v="560"/>
    <n v="138"/>
    <x v="168"/>
    <x v="139"/>
    <x v="154"/>
    <x v="305"/>
    <n v="1.1318181818181818"/>
    <n v="6"/>
    <x v="0"/>
    <n v="228.97391304347826"/>
    <x v="363"/>
    <n v="147028"/>
    <n v="12006"/>
    <n v="4.3541632073208977E-3"/>
    <s v="Nov-12"/>
    <x v="25"/>
    <n v="2.5020080321285141"/>
  </r>
  <r>
    <x v="128"/>
    <n v="94"/>
    <x v="1"/>
    <x v="0"/>
    <x v="2"/>
    <x v="43"/>
    <x v="1"/>
    <x v="2"/>
    <x v="8"/>
    <x v="25"/>
    <x v="134"/>
    <x v="2"/>
    <n v="90"/>
    <n v="20"/>
    <n v="210"/>
    <n v="115"/>
    <x v="134"/>
    <x v="25"/>
    <x v="131"/>
    <x v="260"/>
    <n v="1.0444444444444445"/>
    <n v="-5"/>
    <x v="0"/>
    <n v="19.25"/>
    <x v="313"/>
    <n v="3360"/>
    <n v="9775"/>
    <n v="7.8781512605042019E-4"/>
    <s v="Nov-12"/>
    <x v="26"/>
    <n v="2.3829787234042552"/>
  </r>
  <r>
    <x v="129"/>
    <n v="121"/>
    <x v="1"/>
    <x v="0"/>
    <x v="2"/>
    <x v="51"/>
    <x v="1"/>
    <x v="2"/>
    <x v="8"/>
    <x v="133"/>
    <x v="113"/>
    <x v="19"/>
    <n v="110"/>
    <n v="-190"/>
    <n v="50"/>
    <n v="142"/>
    <x v="113"/>
    <x v="133"/>
    <x v="155"/>
    <x v="306"/>
    <n v="1.1000000000000001"/>
    <n v="-12"/>
    <x v="0"/>
    <n v="-191.06315789473683"/>
    <x v="364"/>
    <n v="-12322"/>
    <n v="15478"/>
    <n v="-3.0380508347119868E-2"/>
    <s v="Nov-12"/>
    <x v="27"/>
    <n v="0.50413223140495866"/>
  </r>
  <r>
    <x v="63"/>
    <n v="181"/>
    <x v="1"/>
    <x v="0"/>
    <x v="2"/>
    <x v="52"/>
    <x v="1"/>
    <x v="2"/>
    <x v="12"/>
    <x v="140"/>
    <x v="169"/>
    <x v="15"/>
    <n v="170"/>
    <n v="120"/>
    <n v="350"/>
    <n v="74"/>
    <x v="169"/>
    <x v="140"/>
    <x v="156"/>
    <x v="307"/>
    <n v="1.0647058823529412"/>
    <n v="-12"/>
    <x v="0"/>
    <n v="119.1"/>
    <x v="365"/>
    <n v="39204"/>
    <n v="3699.9999999999995"/>
    <n v="5.9504132231404964E-3"/>
    <s v="Nov-12"/>
    <x v="28"/>
    <n v="2.0055248618784529"/>
  </r>
  <r>
    <x v="130"/>
    <n v="211"/>
    <x v="1"/>
    <x v="0"/>
    <x v="2"/>
    <x v="53"/>
    <x v="1"/>
    <x v="2"/>
    <x v="12"/>
    <x v="141"/>
    <x v="170"/>
    <x v="19"/>
    <n v="200"/>
    <n v="390"/>
    <n v="660"/>
    <n v="83"/>
    <x v="170"/>
    <x v="141"/>
    <x v="157"/>
    <x v="308"/>
    <n v="1.0549999999999999"/>
    <n v="-9"/>
    <x v="0"/>
    <n v="389.02307692307693"/>
    <x v="366"/>
    <n v="257175"/>
    <n v="4897"/>
    <n v="9.5668549905838039E-3"/>
    <s v="Nov-12"/>
    <x v="24"/>
    <n v="3.1990521327014219"/>
  </r>
  <r>
    <x v="35"/>
    <n v="22"/>
    <x v="1"/>
    <x v="0"/>
    <x v="2"/>
    <x v="7"/>
    <x v="0"/>
    <x v="0"/>
    <x v="10"/>
    <x v="78"/>
    <x v="97"/>
    <x v="2"/>
    <n v="10"/>
    <n v="10"/>
    <n v="30"/>
    <n v="19"/>
    <x v="97"/>
    <x v="78"/>
    <x v="67"/>
    <x v="163"/>
    <n v="2.2000000000000002"/>
    <n v="1"/>
    <x v="0"/>
    <n v="8.9"/>
    <x v="188"/>
    <n v="572"/>
    <n v="133"/>
    <n v="3.021978021978022E-2"/>
    <s v="Nov-12"/>
    <x v="5"/>
    <n v="2.3636363636363638"/>
  </r>
  <r>
    <x v="131"/>
    <n v="245"/>
    <x v="1"/>
    <x v="0"/>
    <x v="2"/>
    <x v="54"/>
    <x v="0"/>
    <x v="0"/>
    <x v="0"/>
    <x v="142"/>
    <x v="171"/>
    <x v="19"/>
    <n v="180"/>
    <n v="140"/>
    <n v="420"/>
    <n v="127"/>
    <x v="171"/>
    <x v="142"/>
    <x v="158"/>
    <x v="309"/>
    <n v="1.3611111111111112"/>
    <n v="64"/>
    <x v="0"/>
    <n v="138.54285714285714"/>
    <x v="367"/>
    <n v="117504"/>
    <n v="11811.000000000002"/>
    <n v="3.8082437275985658E-3"/>
    <s v="Nov-12"/>
    <x v="29"/>
    <n v="2.3510204081632655"/>
  </r>
  <r>
    <x v="106"/>
    <n v="225"/>
    <x v="1"/>
    <x v="0"/>
    <x v="2"/>
    <x v="42"/>
    <x v="0"/>
    <x v="0"/>
    <x v="1"/>
    <x v="143"/>
    <x v="42"/>
    <x v="19"/>
    <n v="160"/>
    <n v="-120"/>
    <n v="110"/>
    <n v="91"/>
    <x v="42"/>
    <x v="143"/>
    <x v="129"/>
    <x v="310"/>
    <n v="1.40625"/>
    <n v="-36"/>
    <x v="0"/>
    <n v="-121.3"/>
    <x v="368"/>
    <n v="-24960"/>
    <n v="6279.0000000000009"/>
    <n v="-1.4130434782608694E-2"/>
    <s v="Nov-12"/>
    <x v="28"/>
    <n v="0.71111111111111114"/>
  </r>
  <r>
    <x v="114"/>
    <n v="81"/>
    <x v="1"/>
    <x v="0"/>
    <x v="2"/>
    <x v="34"/>
    <x v="0"/>
    <x v="1"/>
    <x v="2"/>
    <x v="144"/>
    <x v="172"/>
    <x v="19"/>
    <n v="80"/>
    <n v="90"/>
    <n v="200"/>
    <n v="33"/>
    <x v="172"/>
    <x v="144"/>
    <x v="35"/>
    <x v="279"/>
    <n v="1.0125"/>
    <n v="-6"/>
    <x v="0"/>
    <n v="89.066666666666663"/>
    <x v="369"/>
    <n v="16632"/>
    <n v="726"/>
    <n v="1.928374655647383E-2"/>
    <s v="Nov-12"/>
    <x v="8"/>
    <n v="2.4444444444444446"/>
  </r>
  <r>
    <x v="123"/>
    <n v="118"/>
    <x v="1"/>
    <x v="0"/>
    <x v="2"/>
    <x v="40"/>
    <x v="0"/>
    <x v="1"/>
    <x v="11"/>
    <x v="102"/>
    <x v="129"/>
    <x v="19"/>
    <n v="120"/>
    <n v="130"/>
    <n v="290"/>
    <n v="45"/>
    <x v="129"/>
    <x v="102"/>
    <x v="130"/>
    <x v="255"/>
    <n v="0.98333333333333328"/>
    <n v="-3"/>
    <x v="0"/>
    <n v="129.02307692307693"/>
    <x v="307"/>
    <n v="36830"/>
    <n v="1485"/>
    <n v="1.3270637408568443E-2"/>
    <s v="Nov-12"/>
    <x v="17"/>
    <n v="2.4576271186440679"/>
  </r>
  <r>
    <x v="91"/>
    <n v="134"/>
    <x v="2"/>
    <x v="0"/>
    <x v="2"/>
    <x v="11"/>
    <x v="1"/>
    <x v="3"/>
    <x v="5"/>
    <x v="126"/>
    <x v="137"/>
    <x v="2"/>
    <n v="120"/>
    <n v="110"/>
    <n v="280"/>
    <n v="64"/>
    <x v="137"/>
    <x v="126"/>
    <x v="142"/>
    <x v="311"/>
    <n v="1.1166666666666667"/>
    <n v="12"/>
    <x v="0"/>
    <n v="108.89090909090909"/>
    <x v="370"/>
    <n v="39040"/>
    <n v="2624"/>
    <n v="9.2987804878048776E-3"/>
    <s v="Dec-12"/>
    <x v="30"/>
    <n v="2.3880597014925371"/>
  </r>
  <r>
    <x v="59"/>
    <n v="83"/>
    <x v="2"/>
    <x v="0"/>
    <x v="2"/>
    <x v="15"/>
    <x v="1"/>
    <x v="2"/>
    <x v="4"/>
    <x v="85"/>
    <x v="173"/>
    <x v="2"/>
    <n v="80"/>
    <n v="70"/>
    <n v="190"/>
    <n v="54"/>
    <x v="173"/>
    <x v="85"/>
    <x v="52"/>
    <x v="312"/>
    <n v="1.0375000000000001"/>
    <n v="-12"/>
    <x v="0"/>
    <n v="69.171428571428578"/>
    <x v="371"/>
    <n v="11310"/>
    <n v="1457.9999999999998"/>
    <n v="1.1016144349477683E-2"/>
    <s v="Dec-12"/>
    <x v="11"/>
    <n v="2.3493975903614457"/>
  </r>
  <r>
    <x v="128"/>
    <n v="88"/>
    <x v="2"/>
    <x v="0"/>
    <x v="2"/>
    <x v="39"/>
    <x v="1"/>
    <x v="3"/>
    <x v="7"/>
    <x v="59"/>
    <x v="136"/>
    <x v="2"/>
    <n v="70"/>
    <n v="80"/>
    <n v="190"/>
    <n v="60"/>
    <x v="136"/>
    <x v="59"/>
    <x v="159"/>
    <x v="313"/>
    <n v="1.2571428571428571"/>
    <n v="-7"/>
    <x v="0"/>
    <n v="79.087500000000006"/>
    <x v="372"/>
    <n v="16133"/>
    <n v="1740"/>
    <n v="1.1390232485567172E-2"/>
    <s v="Dec-12"/>
    <x v="8"/>
    <n v="2.5113636363636362"/>
  </r>
  <r>
    <x v="53"/>
    <n v="67"/>
    <x v="2"/>
    <x v="0"/>
    <x v="2"/>
    <x v="34"/>
    <x v="1"/>
    <x v="3"/>
    <x v="7"/>
    <x v="145"/>
    <x v="174"/>
    <x v="15"/>
    <n v="60"/>
    <n v="360"/>
    <n v="450"/>
    <n v="53"/>
    <x v="174"/>
    <x v="145"/>
    <x v="24"/>
    <x v="314"/>
    <n v="1.1166666666666667"/>
    <n v="30"/>
    <x v="0"/>
    <n v="358.91666666666669"/>
    <x v="373"/>
    <n v="198900"/>
    <n v="1166"/>
    <n v="3.4759358288770054E-2"/>
    <s v="Dec-12"/>
    <x v="9"/>
    <n v="7.6119402985074629"/>
  </r>
  <r>
    <x v="124"/>
    <n v="279"/>
    <x v="2"/>
    <x v="0"/>
    <x v="2"/>
    <x v="55"/>
    <x v="1"/>
    <x v="3"/>
    <x v="7"/>
    <x v="146"/>
    <x v="175"/>
    <x v="19"/>
    <n v="250"/>
    <n v="250"/>
    <n v="620"/>
    <n v="149"/>
    <x v="175"/>
    <x v="146"/>
    <x v="160"/>
    <x v="315"/>
    <n v="1.1160000000000001"/>
    <n v="21"/>
    <x v="0"/>
    <n v="248.916"/>
    <x v="374"/>
    <n v="189429"/>
    <n v="14453"/>
    <n v="3.9968732946919754E-3"/>
    <s v="Dec-12"/>
    <x v="31"/>
    <n v="2.5053763440860215"/>
  </r>
  <r>
    <x v="58"/>
    <n v="105"/>
    <x v="2"/>
    <x v="0"/>
    <x v="2"/>
    <x v="44"/>
    <x v="1"/>
    <x v="2"/>
    <x v="8"/>
    <x v="6"/>
    <x v="139"/>
    <x v="2"/>
    <n v="100"/>
    <n v="30"/>
    <n v="240"/>
    <n v="124"/>
    <x v="139"/>
    <x v="6"/>
    <x v="161"/>
    <x v="316"/>
    <n v="1.05"/>
    <n v="-9"/>
    <x v="0"/>
    <n v="29.3"/>
    <x v="375"/>
    <n v="5250"/>
    <n v="11780"/>
    <n v="8.8421052631578942E-4"/>
    <s v="Dec-12"/>
    <x v="32"/>
    <n v="2.3809523809523809"/>
  </r>
  <r>
    <x v="132"/>
    <n v="135"/>
    <x v="2"/>
    <x v="0"/>
    <x v="2"/>
    <x v="56"/>
    <x v="1"/>
    <x v="2"/>
    <x v="8"/>
    <x v="147"/>
    <x v="7"/>
    <x v="19"/>
    <n v="130"/>
    <n v="-210"/>
    <n v="60"/>
    <n v="155"/>
    <x v="7"/>
    <x v="147"/>
    <x v="162"/>
    <x v="317"/>
    <n v="1.0384615384615385"/>
    <n v="-14"/>
    <x v="0"/>
    <n v="-211.06666666666666"/>
    <x v="376"/>
    <n v="-14784"/>
    <n v="18910"/>
    <n v="-2.7819175360158967E-2"/>
    <s v="Dec-12"/>
    <x v="24"/>
    <n v="0.48888888888888887"/>
  </r>
  <r>
    <x v="53"/>
    <n v="153"/>
    <x v="2"/>
    <x v="0"/>
    <x v="2"/>
    <x v="22"/>
    <x v="1"/>
    <x v="2"/>
    <x v="12"/>
    <x v="100"/>
    <x v="176"/>
    <x v="15"/>
    <n v="150"/>
    <n v="80"/>
    <n v="290"/>
    <n v="66"/>
    <x v="176"/>
    <x v="100"/>
    <x v="163"/>
    <x v="130"/>
    <n v="1.02"/>
    <n v="7"/>
    <x v="0"/>
    <n v="78.912499999999994"/>
    <x v="377"/>
    <n v="26622"/>
    <n v="2771.9999999999995"/>
    <n v="6.7693744164332402E-3"/>
    <s v="Dec-12"/>
    <x v="32"/>
    <n v="2"/>
  </r>
  <r>
    <x v="100"/>
    <n v="250"/>
    <x v="2"/>
    <x v="0"/>
    <x v="2"/>
    <x v="57"/>
    <x v="1"/>
    <x v="2"/>
    <x v="12"/>
    <x v="148"/>
    <x v="177"/>
    <x v="19"/>
    <n v="240"/>
    <n v="320"/>
    <n v="640"/>
    <n v="95"/>
    <x v="177"/>
    <x v="148"/>
    <x v="164"/>
    <x v="318"/>
    <n v="1.0416666666666667"/>
    <n v="-8"/>
    <x v="0"/>
    <n v="319.02499999999998"/>
    <x v="378"/>
    <n v="204984"/>
    <n v="6650"/>
    <n v="6.7840834964122635E-3"/>
    <s v="Dec-12"/>
    <x v="33"/>
    <n v="2.6280000000000001"/>
  </r>
  <r>
    <x v="133"/>
    <n v="294"/>
    <x v="2"/>
    <x v="0"/>
    <x v="2"/>
    <x v="58"/>
    <x v="0"/>
    <x v="0"/>
    <x v="0"/>
    <x v="149"/>
    <x v="178"/>
    <x v="19"/>
    <n v="220"/>
    <n v="210"/>
    <n v="540"/>
    <n v="144"/>
    <x v="178"/>
    <x v="149"/>
    <x v="165"/>
    <x v="319"/>
    <n v="1.3363636363636364"/>
    <n v="99"/>
    <x v="0"/>
    <n v="208.52857142857144"/>
    <x v="379"/>
    <n v="230823"/>
    <n v="15984"/>
    <n v="3.7266181844495096E-3"/>
    <s v="Dec-12"/>
    <x v="25"/>
    <n v="2.5408163265306123"/>
  </r>
  <r>
    <x v="127"/>
    <n v="241"/>
    <x v="2"/>
    <x v="0"/>
    <x v="2"/>
    <x v="37"/>
    <x v="0"/>
    <x v="0"/>
    <x v="1"/>
    <x v="150"/>
    <x v="74"/>
    <x v="19"/>
    <n v="180"/>
    <n v="-150"/>
    <n v="100"/>
    <n v="96"/>
    <x v="74"/>
    <x v="150"/>
    <x v="132"/>
    <x v="320"/>
    <n v="1.3388888888888888"/>
    <n v="-39"/>
    <x v="0"/>
    <n v="-151.26"/>
    <x v="380"/>
    <n v="-27972"/>
    <n v="7104"/>
    <n v="-1.7257121986851715E-2"/>
    <s v="Dec-12"/>
    <x v="34"/>
    <n v="0.61410788381742742"/>
  </r>
  <r>
    <x v="127"/>
    <n v="86"/>
    <x v="2"/>
    <x v="0"/>
    <x v="2"/>
    <x v="23"/>
    <x v="0"/>
    <x v="1"/>
    <x v="2"/>
    <x v="104"/>
    <x v="145"/>
    <x v="19"/>
    <n v="90"/>
    <n v="90"/>
    <n v="210"/>
    <n v="35"/>
    <x v="145"/>
    <x v="104"/>
    <x v="72"/>
    <x v="321"/>
    <n v="0.9555555555555556"/>
    <n v="-1"/>
    <x v="0"/>
    <n v="89.011111111111106"/>
    <x v="381"/>
    <n v="18690"/>
    <n v="840"/>
    <n v="1.7658730158730158E-2"/>
    <s v="Dec-12"/>
    <x v="11"/>
    <n v="2.441860465116279"/>
  </r>
  <r>
    <x v="100"/>
    <n v="123"/>
    <x v="2"/>
    <x v="0"/>
    <x v="2"/>
    <x v="38"/>
    <x v="0"/>
    <x v="1"/>
    <x v="11"/>
    <x v="99"/>
    <x v="125"/>
    <x v="19"/>
    <n v="120"/>
    <n v="150"/>
    <n v="310"/>
    <n v="46"/>
    <x v="125"/>
    <x v="99"/>
    <x v="126"/>
    <x v="250"/>
    <n v="1.0249999999999999"/>
    <n v="-17"/>
    <x v="0"/>
    <n v="149.11333333333334"/>
    <x v="302"/>
    <n v="40166"/>
    <n v="1564"/>
    <n v="1.2952863264511102E-2"/>
    <s v="Dec-12"/>
    <x v="17"/>
    <n v="2.4552845528455283"/>
  </r>
  <r>
    <x v="105"/>
    <n v="91"/>
    <x v="3"/>
    <x v="0"/>
    <x v="2"/>
    <x v="16"/>
    <x v="1"/>
    <x v="3"/>
    <x v="5"/>
    <x v="52"/>
    <x v="54"/>
    <x v="2"/>
    <n v="70"/>
    <n v="90"/>
    <n v="180"/>
    <n v="51"/>
    <x v="54"/>
    <x v="52"/>
    <x v="63"/>
    <x v="79"/>
    <n v="1.3"/>
    <n v="23"/>
    <x v="0"/>
    <n v="88.74444444444444"/>
    <x v="84"/>
    <n v="26216"/>
    <n v="1428"/>
    <n v="1.7395320197044335E-2"/>
    <s v="Oct-13"/>
    <x v="9"/>
    <n v="2.5494505494505493"/>
  </r>
  <r>
    <x v="88"/>
    <n v="86"/>
    <x v="3"/>
    <x v="0"/>
    <x v="2"/>
    <x v="16"/>
    <x v="1"/>
    <x v="2"/>
    <x v="4"/>
    <x v="104"/>
    <x v="179"/>
    <x v="2"/>
    <n v="70"/>
    <n v="90"/>
    <n v="180"/>
    <n v="56"/>
    <x v="179"/>
    <x v="104"/>
    <x v="4"/>
    <x v="322"/>
    <n v="1.2285714285714286"/>
    <n v="-1"/>
    <x v="0"/>
    <n v="89.011111111111106"/>
    <x v="382"/>
    <n v="19135"/>
    <n v="1568"/>
    <n v="1.4784053156146178E-2"/>
    <s v="Oct-13"/>
    <x v="9"/>
    <n v="2.5"/>
  </r>
  <r>
    <x v="21"/>
    <n v="82"/>
    <x v="3"/>
    <x v="0"/>
    <x v="2"/>
    <x v="15"/>
    <x v="1"/>
    <x v="3"/>
    <x v="7"/>
    <x v="51"/>
    <x v="18"/>
    <x v="2"/>
    <n v="60"/>
    <n v="90"/>
    <n v="170"/>
    <n v="59"/>
    <x v="18"/>
    <x v="51"/>
    <x v="49"/>
    <x v="78"/>
    <n v="1.3666666666666667"/>
    <n v="5"/>
    <x v="0"/>
    <n v="88.944444444444443"/>
    <x v="83"/>
    <n v="20710"/>
    <n v="1593"/>
    <n v="1.6139993204213388E-2"/>
    <s v="Oct-13"/>
    <x v="6"/>
    <n v="2.6585365853658538"/>
  </r>
  <r>
    <x v="84"/>
    <n v="72"/>
    <x v="3"/>
    <x v="0"/>
    <x v="2"/>
    <x v="4"/>
    <x v="1"/>
    <x v="3"/>
    <x v="7"/>
    <x v="151"/>
    <x v="180"/>
    <x v="15"/>
    <n v="50"/>
    <n v="330"/>
    <n v="400"/>
    <n v="54"/>
    <x v="180"/>
    <x v="151"/>
    <x v="166"/>
    <x v="323"/>
    <n v="1.44"/>
    <n v="186"/>
    <x v="0"/>
    <n v="328.43636363636364"/>
    <x v="383"/>
    <n v="260580"/>
    <n v="1242"/>
    <n v="4.4425312096427035E-2"/>
    <s v="Oct-13"/>
    <x v="7"/>
    <n v="7.0138888888888893"/>
  </r>
  <r>
    <x v="127"/>
    <n v="260"/>
    <x v="3"/>
    <x v="0"/>
    <x v="2"/>
    <x v="46"/>
    <x v="1"/>
    <x v="3"/>
    <x v="7"/>
    <x v="152"/>
    <x v="181"/>
    <x v="19"/>
    <n v="210"/>
    <n v="230"/>
    <n v="540"/>
    <n v="143"/>
    <x v="181"/>
    <x v="152"/>
    <x v="167"/>
    <x v="324"/>
    <n v="1.2380952380952381"/>
    <n v="137"/>
    <x v="1"/>
    <n v="228.40434782608696"/>
    <x v="384"/>
    <n v="254331"/>
    <n v="13013"/>
    <n v="5.8195772481486763E-3"/>
    <s v="Oct-13"/>
    <x v="22"/>
    <n v="2.6653846153846152"/>
  </r>
  <r>
    <x v="134"/>
    <n v="96"/>
    <x v="3"/>
    <x v="0"/>
    <x v="2"/>
    <x v="41"/>
    <x v="1"/>
    <x v="2"/>
    <x v="8"/>
    <x v="22"/>
    <x v="132"/>
    <x v="2"/>
    <n v="80"/>
    <n v="50"/>
    <n v="210"/>
    <n v="116"/>
    <x v="132"/>
    <x v="22"/>
    <x v="168"/>
    <x v="325"/>
    <n v="1.2"/>
    <n v="-23"/>
    <x v="0"/>
    <n v="49.46"/>
    <x v="371"/>
    <n v="6615"/>
    <n v="10092"/>
    <n v="1.2667135819845179E-3"/>
    <s v="Oct-13"/>
    <x v="17"/>
    <n v="2.5520833333333335"/>
  </r>
  <r>
    <x v="106"/>
    <n v="125"/>
    <x v="3"/>
    <x v="0"/>
    <x v="2"/>
    <x v="47"/>
    <x v="1"/>
    <x v="2"/>
    <x v="8"/>
    <x v="153"/>
    <x v="83"/>
    <x v="19"/>
    <n v="110"/>
    <n v="-170"/>
    <n v="50"/>
    <n v="146"/>
    <x v="83"/>
    <x v="153"/>
    <x v="169"/>
    <x v="326"/>
    <n v="1.1363636363636365"/>
    <n v="-130"/>
    <x v="0"/>
    <n v="-171.76470588235293"/>
    <x v="385"/>
    <n v="-22200"/>
    <n v="16498"/>
    <n v="-3.5876584549150922E-2"/>
    <s v="Oct-13"/>
    <x v="23"/>
    <n v="0.59199999999999997"/>
  </r>
  <r>
    <x v="63"/>
    <n v="161"/>
    <x v="3"/>
    <x v="0"/>
    <x v="2"/>
    <x v="48"/>
    <x v="1"/>
    <x v="2"/>
    <x v="12"/>
    <x v="154"/>
    <x v="182"/>
    <x v="15"/>
    <n v="140"/>
    <n v="120"/>
    <n v="300"/>
    <n v="69"/>
    <x v="182"/>
    <x v="154"/>
    <x v="170"/>
    <x v="327"/>
    <n v="1.1499999999999999"/>
    <n v="17"/>
    <x v="0"/>
    <n v="118.85833333333333"/>
    <x v="386"/>
    <n v="46991"/>
    <n v="3105"/>
    <n v="8.875931324910916E-3"/>
    <s v="Oct-13"/>
    <x v="19"/>
    <n v="2.1304347826086958"/>
  </r>
  <r>
    <x v="132"/>
    <n v="239"/>
    <x v="3"/>
    <x v="0"/>
    <x v="2"/>
    <x v="49"/>
    <x v="1"/>
    <x v="2"/>
    <x v="12"/>
    <x v="155"/>
    <x v="183"/>
    <x v="19"/>
    <n v="210"/>
    <n v="450"/>
    <n v="720"/>
    <n v="91"/>
    <x v="183"/>
    <x v="155"/>
    <x v="126"/>
    <x v="328"/>
    <n v="1.138095238095238"/>
    <n v="196"/>
    <x v="1"/>
    <n v="448.56444444444446"/>
    <x v="387"/>
    <n v="526490"/>
    <n v="6006"/>
    <n v="1.200966722439115E-2"/>
    <s v="Oct-13"/>
    <x v="24"/>
    <n v="3.4100418410041842"/>
  </r>
  <r>
    <x v="79"/>
    <n v="22"/>
    <x v="3"/>
    <x v="0"/>
    <x v="2"/>
    <x v="7"/>
    <x v="0"/>
    <x v="0"/>
    <x v="10"/>
    <x v="25"/>
    <x v="88"/>
    <x v="2"/>
    <n v="0"/>
    <n v="20"/>
    <n v="20"/>
    <n v="19"/>
    <x v="88"/>
    <x v="25"/>
    <x v="56"/>
    <x v="33"/>
    <e v="#DIV/0!"/>
    <n v="-5"/>
    <x v="0"/>
    <n v="19.25"/>
    <x v="159"/>
    <n v="810"/>
    <n v="133"/>
    <n v="3.968253968253968E-2"/>
    <s v="Oct-13"/>
    <x v="4"/>
    <n v="2.4545454545454546"/>
  </r>
  <r>
    <x v="118"/>
    <n v="255"/>
    <x v="3"/>
    <x v="0"/>
    <x v="2"/>
    <x v="50"/>
    <x v="0"/>
    <x v="0"/>
    <x v="0"/>
    <x v="156"/>
    <x v="184"/>
    <x v="19"/>
    <n v="140"/>
    <n v="70"/>
    <n v="290"/>
    <n v="129"/>
    <x v="184"/>
    <x v="156"/>
    <x v="171"/>
    <x v="329"/>
    <n v="1.8214285714285714"/>
    <n v="121"/>
    <x v="0"/>
    <n v="67.271428571428572"/>
    <x v="388"/>
    <n v="104477"/>
    <n v="12384"/>
    <n v="3.6372638634978669E-3"/>
    <s v="Oct-13"/>
    <x v="23"/>
    <n v="2.1450980392156862"/>
  </r>
  <r>
    <x v="131"/>
    <n v="239"/>
    <x v="3"/>
    <x v="0"/>
    <x v="2"/>
    <x v="37"/>
    <x v="0"/>
    <x v="0"/>
    <x v="1"/>
    <x v="157"/>
    <x v="56"/>
    <x v="19"/>
    <n v="130"/>
    <n v="-100"/>
    <n v="80"/>
    <n v="95"/>
    <x v="56"/>
    <x v="157"/>
    <x v="172"/>
    <x v="330"/>
    <n v="1.8384615384615384"/>
    <n v="-152"/>
    <x v="0"/>
    <n v="-102.52"/>
    <x v="389"/>
    <n v="-44100"/>
    <n v="7030"/>
    <n v="-1.9459459459459458E-2"/>
    <s v="Oct-13"/>
    <x v="19"/>
    <n v="0.73221757322175729"/>
  </r>
  <r>
    <x v="118"/>
    <n v="108"/>
    <x v="3"/>
    <x v="0"/>
    <x v="2"/>
    <x v="30"/>
    <x v="0"/>
    <x v="1"/>
    <x v="2"/>
    <x v="127"/>
    <x v="185"/>
    <x v="19"/>
    <n v="110"/>
    <n v="140"/>
    <n v="280"/>
    <n v="42"/>
    <x v="185"/>
    <x v="127"/>
    <x v="54"/>
    <x v="331"/>
    <n v="0.98181818181818181"/>
    <n v="31"/>
    <x v="0"/>
    <n v="138.77857142857144"/>
    <x v="390"/>
    <n v="48222"/>
    <n v="1260"/>
    <n v="2.021276595744681E-2"/>
    <s v="Oct-13"/>
    <x v="14"/>
    <n v="2.6111111111111112"/>
  </r>
  <r>
    <x v="100"/>
    <n v="123"/>
    <x v="3"/>
    <x v="0"/>
    <x v="2"/>
    <x v="38"/>
    <x v="0"/>
    <x v="1"/>
    <x v="11"/>
    <x v="158"/>
    <x v="141"/>
    <x v="19"/>
    <n v="130"/>
    <n v="160"/>
    <n v="320"/>
    <n v="45"/>
    <x v="141"/>
    <x v="158"/>
    <x v="49"/>
    <x v="332"/>
    <n v="0.94615384615384612"/>
    <n v="39"/>
    <x v="0"/>
    <n v="158.75624999999999"/>
    <x v="391"/>
    <n v="64078"/>
    <n v="1530"/>
    <n v="1.8176835951772011E-2"/>
    <s v="Oct-13"/>
    <x v="17"/>
    <n v="2.6178861788617884"/>
  </r>
  <r>
    <x v="133"/>
    <n v="76"/>
    <x v="3"/>
    <x v="0"/>
    <x v="2"/>
    <x v="28"/>
    <x v="0"/>
    <x v="1"/>
    <x v="3"/>
    <x v="95"/>
    <x v="87"/>
    <x v="19"/>
    <n v="80"/>
    <n v="100"/>
    <n v="200"/>
    <n v="33"/>
    <x v="87"/>
    <x v="95"/>
    <x v="25"/>
    <x v="239"/>
    <n v="0.95"/>
    <n v="16"/>
    <x v="0"/>
    <n v="98.84"/>
    <x v="291"/>
    <n v="23084"/>
    <n v="693"/>
    <n v="2.7757836803062933E-2"/>
    <s v="Oct-13"/>
    <x v="10"/>
    <n v="2.6184210526315788"/>
  </r>
  <r>
    <x v="79"/>
    <n v="102"/>
    <x v="4"/>
    <x v="0"/>
    <x v="2"/>
    <x v="33"/>
    <x v="1"/>
    <x v="3"/>
    <x v="5"/>
    <x v="117"/>
    <x v="147"/>
    <x v="2"/>
    <n v="90"/>
    <n v="90"/>
    <n v="220"/>
    <n v="54"/>
    <x v="147"/>
    <x v="117"/>
    <x v="111"/>
    <x v="278"/>
    <n v="1.1333333333333333"/>
    <n v="42"/>
    <x v="0"/>
    <n v="88.533333333333331"/>
    <x v="330"/>
    <n v="34452"/>
    <n v="1674"/>
    <n v="1.6314423433444566E-2"/>
    <s v="Nov-13"/>
    <x v="13"/>
    <n v="2.5588235294117645"/>
  </r>
  <r>
    <x v="105"/>
    <n v="77"/>
    <x v="4"/>
    <x v="0"/>
    <x v="2"/>
    <x v="26"/>
    <x v="1"/>
    <x v="2"/>
    <x v="4"/>
    <x v="20"/>
    <x v="186"/>
    <x v="2"/>
    <n v="70"/>
    <n v="60"/>
    <n v="170"/>
    <n v="52"/>
    <x v="186"/>
    <x v="20"/>
    <x v="11"/>
    <x v="333"/>
    <n v="1.1000000000000001"/>
    <n v="16"/>
    <x v="0"/>
    <n v="58.733333333333334"/>
    <x v="392"/>
    <n v="14592"/>
    <n v="1300"/>
    <n v="1.5833333333333335E-2"/>
    <s v="Nov-13"/>
    <x v="8"/>
    <n v="2.4935064935064934"/>
  </r>
  <r>
    <x v="110"/>
    <n v="78"/>
    <x v="4"/>
    <x v="0"/>
    <x v="2"/>
    <x v="26"/>
    <x v="1"/>
    <x v="3"/>
    <x v="7"/>
    <x v="159"/>
    <x v="145"/>
    <x v="2"/>
    <n v="70"/>
    <n v="60"/>
    <n v="170"/>
    <n v="56"/>
    <x v="145"/>
    <x v="159"/>
    <x v="173"/>
    <x v="334"/>
    <n v="1.1142857142857143"/>
    <n v="33"/>
    <x v="0"/>
    <n v="58.45"/>
    <x v="393"/>
    <n v="19530"/>
    <n v="1400"/>
    <n v="1.7714285714285714E-2"/>
    <s v="Nov-13"/>
    <x v="8"/>
    <n v="2.6923076923076925"/>
  </r>
  <r>
    <x v="84"/>
    <n v="75"/>
    <x v="4"/>
    <x v="0"/>
    <x v="2"/>
    <x v="23"/>
    <x v="1"/>
    <x v="3"/>
    <x v="7"/>
    <x v="160"/>
    <x v="187"/>
    <x v="15"/>
    <n v="60"/>
    <n v="300"/>
    <n v="400"/>
    <n v="55"/>
    <x v="187"/>
    <x v="160"/>
    <x v="174"/>
    <x v="335"/>
    <n v="1.25"/>
    <n v="181"/>
    <x v="0"/>
    <n v="298.39666666666665"/>
    <x v="394"/>
    <n v="232804"/>
    <n v="1320"/>
    <n v="4.1408402203856755E-2"/>
    <s v="Nov-13"/>
    <x v="10"/>
    <n v="6.4533333333333331"/>
  </r>
  <r>
    <x v="133"/>
    <n v="249"/>
    <x v="4"/>
    <x v="0"/>
    <x v="2"/>
    <x v="41"/>
    <x v="1"/>
    <x v="3"/>
    <x v="7"/>
    <x v="161"/>
    <x v="188"/>
    <x v="19"/>
    <n v="220"/>
    <n v="230"/>
    <n v="560"/>
    <n v="138"/>
    <x v="188"/>
    <x v="161"/>
    <x v="175"/>
    <x v="336"/>
    <n v="1.1318181818181818"/>
    <n v="120"/>
    <x v="0"/>
    <n v="228.47826086956522"/>
    <x v="395"/>
    <n v="232400"/>
    <n v="12006"/>
    <n v="6.0587176291372388E-3"/>
    <s v="Nov-13"/>
    <x v="25"/>
    <n v="2.6666666666666665"/>
  </r>
  <r>
    <x v="91"/>
    <n v="94"/>
    <x v="4"/>
    <x v="0"/>
    <x v="2"/>
    <x v="43"/>
    <x v="1"/>
    <x v="2"/>
    <x v="8"/>
    <x v="57"/>
    <x v="149"/>
    <x v="2"/>
    <n v="90"/>
    <n v="20"/>
    <n v="210"/>
    <n v="115"/>
    <x v="149"/>
    <x v="57"/>
    <x v="138"/>
    <x v="280"/>
    <n v="1.0444444444444445"/>
    <n v="2"/>
    <x v="0"/>
    <n v="18.899999999999999"/>
    <x v="333"/>
    <n v="5258"/>
    <n v="9774.9999999999982"/>
    <n v="1.0829436377061286E-3"/>
    <s v="Nov-13"/>
    <x v="26"/>
    <n v="2.5425531914893615"/>
  </r>
  <r>
    <x v="106"/>
    <n v="121"/>
    <x v="4"/>
    <x v="0"/>
    <x v="2"/>
    <x v="51"/>
    <x v="1"/>
    <x v="2"/>
    <x v="8"/>
    <x v="153"/>
    <x v="118"/>
    <x v="19"/>
    <n v="110"/>
    <n v="-190"/>
    <n v="50"/>
    <n v="142"/>
    <x v="118"/>
    <x v="153"/>
    <x v="176"/>
    <x v="337"/>
    <n v="1.1000000000000001"/>
    <n v="-110"/>
    <x v="0"/>
    <n v="-191.57894736842104"/>
    <x v="396"/>
    <n v="-19500"/>
    <n v="15478"/>
    <n v="-4.2342978122794639E-2"/>
    <s v="Nov-13"/>
    <x v="27"/>
    <n v="0.53719008264462809"/>
  </r>
  <r>
    <x v="70"/>
    <n v="181"/>
    <x v="4"/>
    <x v="0"/>
    <x v="2"/>
    <x v="52"/>
    <x v="1"/>
    <x v="2"/>
    <x v="12"/>
    <x v="162"/>
    <x v="189"/>
    <x v="15"/>
    <n v="170"/>
    <n v="120"/>
    <n v="350"/>
    <n v="74"/>
    <x v="189"/>
    <x v="162"/>
    <x v="177"/>
    <x v="220"/>
    <n v="1.0647058823529412"/>
    <n v="40"/>
    <x v="0"/>
    <n v="118.66666666666667"/>
    <x v="397"/>
    <n v="61920"/>
    <n v="3700"/>
    <n v="8.2687338501292E-3"/>
    <s v="Nov-13"/>
    <x v="28"/>
    <n v="2.1381215469613259"/>
  </r>
  <r>
    <x v="135"/>
    <n v="211"/>
    <x v="4"/>
    <x v="0"/>
    <x v="2"/>
    <x v="53"/>
    <x v="1"/>
    <x v="2"/>
    <x v="12"/>
    <x v="163"/>
    <x v="190"/>
    <x v="19"/>
    <n v="200"/>
    <n v="390"/>
    <n v="660"/>
    <n v="83"/>
    <x v="190"/>
    <x v="163"/>
    <x v="114"/>
    <x v="338"/>
    <n v="1.0549999999999999"/>
    <n v="175"/>
    <x v="0"/>
    <n v="388.55128205128204"/>
    <x v="398"/>
    <n v="406235"/>
    <n v="4897"/>
    <n v="1.331887508545296E-2"/>
    <s v="Nov-13"/>
    <x v="24"/>
    <n v="3.4075829383886256"/>
  </r>
  <r>
    <x v="134"/>
    <n v="22"/>
    <x v="4"/>
    <x v="0"/>
    <x v="2"/>
    <x v="7"/>
    <x v="0"/>
    <x v="0"/>
    <x v="10"/>
    <x v="38"/>
    <x v="103"/>
    <x v="2"/>
    <n v="10"/>
    <n v="10"/>
    <n v="30"/>
    <n v="19"/>
    <x v="103"/>
    <x v="38"/>
    <x v="56"/>
    <x v="177"/>
    <n v="2.2000000000000002"/>
    <n v="6"/>
    <x v="0"/>
    <n v="8.4"/>
    <x v="205"/>
    <n v="880"/>
    <n v="133"/>
    <n v="4.1558441558441558E-2"/>
    <s v="Nov-13"/>
    <x v="5"/>
    <n v="2.5"/>
  </r>
  <r>
    <x v="118"/>
    <n v="245"/>
    <x v="4"/>
    <x v="0"/>
    <x v="2"/>
    <x v="54"/>
    <x v="0"/>
    <x v="0"/>
    <x v="0"/>
    <x v="164"/>
    <x v="191"/>
    <x v="19"/>
    <n v="180"/>
    <n v="140"/>
    <n v="420"/>
    <n v="127"/>
    <x v="191"/>
    <x v="164"/>
    <x v="178"/>
    <x v="339"/>
    <n v="1.3611111111111112"/>
    <n v="163"/>
    <x v="0"/>
    <n v="137.83571428571429"/>
    <x v="399"/>
    <n v="186042"/>
    <n v="11811"/>
    <n v="5.3062940002101509E-3"/>
    <s v="Nov-13"/>
    <x v="29"/>
    <n v="2.5061224489795917"/>
  </r>
  <r>
    <x v="114"/>
    <n v="225"/>
    <x v="4"/>
    <x v="0"/>
    <x v="2"/>
    <x v="42"/>
    <x v="0"/>
    <x v="0"/>
    <x v="1"/>
    <x v="165"/>
    <x v="72"/>
    <x v="19"/>
    <n v="160"/>
    <n v="-120"/>
    <n v="110"/>
    <n v="91"/>
    <x v="72"/>
    <x v="165"/>
    <x v="146"/>
    <x v="340"/>
    <n v="1.40625"/>
    <n v="-112"/>
    <x v="0"/>
    <n v="-121.93333333333334"/>
    <x v="400"/>
    <n v="-39672"/>
    <n v="6279"/>
    <n v="-1.9662683278243918E-2"/>
    <s v="Nov-13"/>
    <x v="28"/>
    <n v="0.76"/>
  </r>
  <r>
    <x v="126"/>
    <n v="81"/>
    <x v="4"/>
    <x v="0"/>
    <x v="2"/>
    <x v="34"/>
    <x v="0"/>
    <x v="1"/>
    <x v="2"/>
    <x v="166"/>
    <x v="192"/>
    <x v="19"/>
    <n v="80"/>
    <n v="90"/>
    <n v="200"/>
    <n v="33"/>
    <x v="192"/>
    <x v="166"/>
    <x v="32"/>
    <x v="341"/>
    <n v="1.0125"/>
    <n v="35"/>
    <x v="0"/>
    <n v="88.611111111111114"/>
    <x v="401"/>
    <n v="26375"/>
    <n v="726"/>
    <n v="2.6928048255062471E-2"/>
    <s v="Nov-13"/>
    <x v="8"/>
    <n v="2.6049382716049383"/>
  </r>
  <r>
    <x v="106"/>
    <n v="118"/>
    <x v="4"/>
    <x v="0"/>
    <x v="2"/>
    <x v="40"/>
    <x v="0"/>
    <x v="1"/>
    <x v="11"/>
    <x v="105"/>
    <x v="144"/>
    <x v="19"/>
    <n v="120"/>
    <n v="130"/>
    <n v="290"/>
    <n v="45"/>
    <x v="144"/>
    <x v="105"/>
    <x v="72"/>
    <x v="275"/>
    <n v="0.98333333333333328"/>
    <n v="58"/>
    <x v="0"/>
    <n v="128.55384615384617"/>
    <x v="327"/>
    <n v="58092"/>
    <n v="1485"/>
    <n v="1.8436795135824264E-2"/>
    <s v="Nov-13"/>
    <x v="17"/>
    <n v="2.6186440677966103"/>
  </r>
  <r>
    <x v="134"/>
    <n v="134"/>
    <x v="5"/>
    <x v="0"/>
    <x v="2"/>
    <x v="11"/>
    <x v="1"/>
    <x v="3"/>
    <x v="5"/>
    <x v="128"/>
    <x v="151"/>
    <x v="2"/>
    <n v="120"/>
    <n v="110"/>
    <n v="280"/>
    <n v="64"/>
    <x v="151"/>
    <x v="128"/>
    <x v="179"/>
    <x v="342"/>
    <n v="1.1166666666666667"/>
    <n v="71"/>
    <x v="0"/>
    <n v="108.35454545454546"/>
    <x v="402"/>
    <n v="61721"/>
    <n v="2624"/>
    <n v="1.2946141191617196E-2"/>
    <s v="Dec-13"/>
    <x v="30"/>
    <n v="2.544776119402985"/>
  </r>
  <r>
    <x v="125"/>
    <n v="83"/>
    <x v="5"/>
    <x v="0"/>
    <x v="2"/>
    <x v="15"/>
    <x v="1"/>
    <x v="2"/>
    <x v="4"/>
    <x v="89"/>
    <x v="193"/>
    <x v="2"/>
    <n v="80"/>
    <n v="70"/>
    <n v="190"/>
    <n v="54"/>
    <x v="193"/>
    <x v="89"/>
    <x v="43"/>
    <x v="343"/>
    <n v="1.0375000000000001"/>
    <n v="16"/>
    <x v="0"/>
    <n v="68.771428571428572"/>
    <x v="403"/>
    <n v="17888"/>
    <n v="1458"/>
    <n v="1.5313390313390313E-2"/>
    <s v="Dec-13"/>
    <x v="11"/>
    <n v="2.5060240963855422"/>
  </r>
  <r>
    <x v="59"/>
    <n v="88"/>
    <x v="5"/>
    <x v="0"/>
    <x v="2"/>
    <x v="39"/>
    <x v="1"/>
    <x v="3"/>
    <x v="7"/>
    <x v="140"/>
    <x v="126"/>
    <x v="2"/>
    <n v="70"/>
    <n v="80"/>
    <n v="190"/>
    <n v="60"/>
    <x v="126"/>
    <x v="140"/>
    <x v="23"/>
    <x v="344"/>
    <n v="1.2571428571428571"/>
    <n v="28"/>
    <x v="0"/>
    <n v="78.650000000000006"/>
    <x v="404"/>
    <n v="25488"/>
    <n v="1740"/>
    <n v="1.5780245470485097E-2"/>
    <s v="Dec-13"/>
    <x v="8"/>
    <n v="2.6818181818181817"/>
  </r>
  <r>
    <x v="53"/>
    <n v="67"/>
    <x v="5"/>
    <x v="0"/>
    <x v="2"/>
    <x v="34"/>
    <x v="1"/>
    <x v="3"/>
    <x v="7"/>
    <x v="167"/>
    <x v="194"/>
    <x v="15"/>
    <n v="60"/>
    <n v="360"/>
    <n v="450"/>
    <n v="53"/>
    <x v="194"/>
    <x v="167"/>
    <x v="180"/>
    <x v="345"/>
    <n v="1.1166666666666667"/>
    <n v="219"/>
    <x v="0"/>
    <n v="358.39166666666665"/>
    <x v="405"/>
    <n v="314397"/>
    <n v="1166"/>
    <n v="4.8468106479156198E-2"/>
    <s v="Dec-13"/>
    <x v="9"/>
    <n v="8.1044776119402986"/>
  </r>
  <r>
    <x v="123"/>
    <n v="279"/>
    <x v="5"/>
    <x v="0"/>
    <x v="2"/>
    <x v="55"/>
    <x v="1"/>
    <x v="3"/>
    <x v="7"/>
    <x v="168"/>
    <x v="195"/>
    <x v="19"/>
    <n v="250"/>
    <n v="250"/>
    <n v="620"/>
    <n v="149"/>
    <x v="195"/>
    <x v="168"/>
    <x v="181"/>
    <x v="346"/>
    <n v="1.1160000000000001"/>
    <n v="152"/>
    <x v="1"/>
    <n v="248.392"/>
    <x v="406"/>
    <n v="299490"/>
    <n v="14452.999999999998"/>
    <n v="5.5628589220231102E-3"/>
    <s v="Dec-13"/>
    <x v="31"/>
    <n v="2.6702508960573477"/>
  </r>
  <r>
    <x v="58"/>
    <n v="105"/>
    <x v="5"/>
    <x v="0"/>
    <x v="2"/>
    <x v="44"/>
    <x v="1"/>
    <x v="2"/>
    <x v="8"/>
    <x v="5"/>
    <x v="153"/>
    <x v="2"/>
    <n v="100"/>
    <n v="30"/>
    <n v="240"/>
    <n v="124"/>
    <x v="153"/>
    <x v="5"/>
    <x v="182"/>
    <x v="347"/>
    <n v="1.05"/>
    <n v="1"/>
    <x v="0"/>
    <n v="28.966666666666665"/>
    <x v="407"/>
    <n v="8246"/>
    <n v="11780"/>
    <n v="1.2267510882469331E-3"/>
    <s v="Dec-13"/>
    <x v="32"/>
    <n v="2.5333333333333332"/>
  </r>
  <r>
    <x v="124"/>
    <n v="135"/>
    <x v="5"/>
    <x v="0"/>
    <x v="2"/>
    <x v="56"/>
    <x v="1"/>
    <x v="2"/>
    <x v="8"/>
    <x v="169"/>
    <x v="49"/>
    <x v="19"/>
    <n v="130"/>
    <n v="-210"/>
    <n v="60"/>
    <n v="155"/>
    <x v="49"/>
    <x v="169"/>
    <x v="183"/>
    <x v="348"/>
    <n v="1.0384615384615385"/>
    <n v="-122"/>
    <x v="0"/>
    <n v="-211.58095238095237"/>
    <x v="408"/>
    <n v="-23240"/>
    <n v="18910"/>
    <n v="-3.8875878220140513E-2"/>
    <s v="Dec-13"/>
    <x v="24"/>
    <n v="0.51851851851851849"/>
  </r>
  <r>
    <x v="84"/>
    <n v="153"/>
    <x v="5"/>
    <x v="0"/>
    <x v="2"/>
    <x v="22"/>
    <x v="1"/>
    <x v="2"/>
    <x v="12"/>
    <x v="113"/>
    <x v="196"/>
    <x v="15"/>
    <n v="150"/>
    <n v="80"/>
    <n v="290"/>
    <n v="66"/>
    <x v="196"/>
    <x v="113"/>
    <x v="184"/>
    <x v="150"/>
    <n v="1.02"/>
    <n v="49"/>
    <x v="0"/>
    <n v="78.387500000000003"/>
    <x v="409"/>
    <n v="42054"/>
    <n v="2772"/>
    <n v="9.4215600350569684E-3"/>
    <s v="Dec-13"/>
    <x v="32"/>
    <n v="2.130718954248366"/>
  </r>
  <r>
    <x v="114"/>
    <n v="250"/>
    <x v="5"/>
    <x v="0"/>
    <x v="2"/>
    <x v="57"/>
    <x v="1"/>
    <x v="2"/>
    <x v="12"/>
    <x v="170"/>
    <x v="197"/>
    <x v="19"/>
    <n v="240"/>
    <n v="320"/>
    <n v="640"/>
    <n v="95"/>
    <x v="197"/>
    <x v="170"/>
    <x v="185"/>
    <x v="349"/>
    <n v="1.0416666666666667"/>
    <n v="143"/>
    <x v="0"/>
    <n v="318.55312500000002"/>
    <x v="410"/>
    <n v="324100"/>
    <n v="6650"/>
    <n v="9.4489795918367338E-3"/>
    <s v="Dec-13"/>
    <x v="33"/>
    <n v="2.8"/>
  </r>
  <r>
    <x v="131"/>
    <n v="294"/>
    <x v="5"/>
    <x v="0"/>
    <x v="2"/>
    <x v="58"/>
    <x v="0"/>
    <x v="0"/>
    <x v="0"/>
    <x v="171"/>
    <x v="198"/>
    <x v="19"/>
    <n v="220"/>
    <n v="210"/>
    <n v="540"/>
    <n v="144"/>
    <x v="198"/>
    <x v="171"/>
    <x v="132"/>
    <x v="350"/>
    <n v="1.3363636363636364"/>
    <n v="249"/>
    <x v="1"/>
    <n v="207.81428571428572"/>
    <x v="411"/>
    <n v="365364"/>
    <n v="15984"/>
    <n v="5.1948933858481598E-3"/>
    <s v="Dec-13"/>
    <x v="25"/>
    <n v="2.7074829931972788"/>
  </r>
  <r>
    <x v="127"/>
    <n v="241"/>
    <x v="5"/>
    <x v="0"/>
    <x v="2"/>
    <x v="37"/>
    <x v="0"/>
    <x v="0"/>
    <x v="1"/>
    <x v="172"/>
    <x v="199"/>
    <x v="19"/>
    <n v="180"/>
    <n v="-150"/>
    <n v="100"/>
    <n v="96"/>
    <x v="199"/>
    <x v="172"/>
    <x v="165"/>
    <x v="351"/>
    <n v="1.3388888888888888"/>
    <n v="-130"/>
    <x v="0"/>
    <n v="-151.86666666666667"/>
    <x v="412"/>
    <n v="-44240"/>
    <n v="7104"/>
    <n v="-2.3947998631542934E-2"/>
    <s v="Dec-13"/>
    <x v="34"/>
    <n v="0.65560165975103735"/>
  </r>
  <r>
    <x v="100"/>
    <n v="86"/>
    <x v="5"/>
    <x v="0"/>
    <x v="2"/>
    <x v="23"/>
    <x v="0"/>
    <x v="1"/>
    <x v="2"/>
    <x v="117"/>
    <x v="134"/>
    <x v="19"/>
    <n v="90"/>
    <n v="90"/>
    <n v="210"/>
    <n v="35"/>
    <x v="134"/>
    <x v="117"/>
    <x v="36"/>
    <x v="352"/>
    <n v="0.9555555555555556"/>
    <n v="42"/>
    <x v="0"/>
    <n v="88.533333333333331"/>
    <x v="413"/>
    <n v="29568"/>
    <n v="840"/>
    <n v="2.4553571428571428E-2"/>
    <s v="Dec-13"/>
    <x v="11"/>
    <n v="2.6046511627906979"/>
  </r>
  <r>
    <x v="114"/>
    <n v="123"/>
    <x v="5"/>
    <x v="0"/>
    <x v="2"/>
    <x v="38"/>
    <x v="0"/>
    <x v="1"/>
    <x v="11"/>
    <x v="111"/>
    <x v="141"/>
    <x v="19"/>
    <n v="120"/>
    <n v="150"/>
    <n v="310"/>
    <n v="46"/>
    <x v="141"/>
    <x v="111"/>
    <x v="61"/>
    <x v="270"/>
    <n v="1.0249999999999999"/>
    <n v="47"/>
    <x v="0"/>
    <n v="148.68666666666667"/>
    <x v="324"/>
    <n v="63434"/>
    <n v="1564"/>
    <n v="1.7994154183412495E-2"/>
    <s v="Dec-13"/>
    <x v="17"/>
    <n v="2.6178861788617884"/>
  </r>
  <r>
    <x v="23"/>
    <n v="108"/>
    <x v="0"/>
    <x v="0"/>
    <x v="0"/>
    <x v="30"/>
    <x v="1"/>
    <x v="3"/>
    <x v="5"/>
    <x v="95"/>
    <x v="165"/>
    <x v="0"/>
    <n v="100"/>
    <n v="150"/>
    <n v="260"/>
    <n v="41"/>
    <x v="165"/>
    <x v="95"/>
    <x v="127"/>
    <x v="353"/>
    <n v="1.08"/>
    <n v="-34"/>
    <x v="0"/>
    <n v="149.22666666666666"/>
    <x v="414"/>
    <n v="30740"/>
    <n v="1230"/>
    <n v="1.459119496855346E-2"/>
    <s v="Oct-12"/>
    <x v="8"/>
    <n v="2.4537037037037037"/>
  </r>
  <r>
    <x v="117"/>
    <n v="122"/>
    <x v="0"/>
    <x v="0"/>
    <x v="0"/>
    <x v="59"/>
    <x v="1"/>
    <x v="3"/>
    <x v="5"/>
    <x v="125"/>
    <x v="200"/>
    <x v="16"/>
    <n v="110"/>
    <n v="160"/>
    <n v="300"/>
    <n v="61"/>
    <x v="200"/>
    <x v="125"/>
    <x v="186"/>
    <x v="354"/>
    <n v="1.1090909090909091"/>
    <n v="-45"/>
    <x v="0"/>
    <n v="159.28125"/>
    <x v="415"/>
    <n v="34270"/>
    <n v="2379"/>
    <n v="9.8950266735501648E-3"/>
    <s v="Oct-12"/>
    <x v="14"/>
    <n v="2.442622950819672"/>
  </r>
  <r>
    <x v="0"/>
    <n v="72"/>
    <x v="0"/>
    <x v="0"/>
    <x v="0"/>
    <x v="4"/>
    <x v="1"/>
    <x v="2"/>
    <x v="4"/>
    <x v="4"/>
    <x v="4"/>
    <x v="0"/>
    <n v="100"/>
    <n v="130"/>
    <n v="260"/>
    <n v="54"/>
    <x v="4"/>
    <x v="4"/>
    <x v="4"/>
    <x v="4"/>
    <n v="0.72"/>
    <n v="-74"/>
    <x v="0"/>
    <n v="129.56923076923076"/>
    <x v="4"/>
    <n v="10192"/>
    <n v="1242"/>
    <n v="1.3377926421404684E-2"/>
    <s v="Oct-12"/>
    <x v="13"/>
    <n v="2.5277777777777777"/>
  </r>
  <r>
    <x v="82"/>
    <n v="239"/>
    <x v="0"/>
    <x v="0"/>
    <x v="0"/>
    <x v="49"/>
    <x v="1"/>
    <x v="2"/>
    <x v="4"/>
    <x v="173"/>
    <x v="201"/>
    <x v="16"/>
    <n v="340"/>
    <n v="300"/>
    <n v="710"/>
    <n v="90"/>
    <x v="201"/>
    <x v="173"/>
    <x v="187"/>
    <x v="355"/>
    <n v="0.70294117647058818"/>
    <n v="-151"/>
    <x v="0"/>
    <n v="299.50333333333333"/>
    <x v="416"/>
    <n v="71222"/>
    <n v="5939.9999999999991"/>
    <n v="4.7229618359325475E-3"/>
    <s v="Oct-12"/>
    <x v="35"/>
    <n v="2"/>
  </r>
  <r>
    <x v="69"/>
    <n v="54"/>
    <x v="0"/>
    <x v="0"/>
    <x v="0"/>
    <x v="14"/>
    <x v="1"/>
    <x v="2"/>
    <x v="4"/>
    <x v="14"/>
    <x v="10"/>
    <x v="18"/>
    <n v="70"/>
    <n v="70"/>
    <n v="170"/>
    <n v="54"/>
    <x v="10"/>
    <x v="14"/>
    <x v="13"/>
    <x v="15"/>
    <n v="0.77142857142857146"/>
    <n v="-58"/>
    <x v="0"/>
    <n v="69.828571428571422"/>
    <x v="15"/>
    <n v="1440"/>
    <n v="1080"/>
    <n v="5.0000000000000001E-3"/>
    <s v="Oct-12"/>
    <x v="10"/>
    <n v="2.2222222222222223"/>
  </r>
  <r>
    <x v="1"/>
    <n v="123"/>
    <x v="0"/>
    <x v="0"/>
    <x v="0"/>
    <x v="38"/>
    <x v="1"/>
    <x v="3"/>
    <x v="6"/>
    <x v="99"/>
    <x v="125"/>
    <x v="0"/>
    <n v="120"/>
    <n v="160"/>
    <n v="300"/>
    <n v="46"/>
    <x v="125"/>
    <x v="99"/>
    <x v="126"/>
    <x v="250"/>
    <n v="1.0249999999999999"/>
    <n v="-27"/>
    <x v="0"/>
    <n v="159.16874999999999"/>
    <x v="302"/>
    <n v="40166"/>
    <n v="1564"/>
    <n v="1.2952863264511102E-2"/>
    <s v="Oct-12"/>
    <x v="14"/>
    <n v="2.4552845528455283"/>
  </r>
  <r>
    <x v="117"/>
    <n v="154"/>
    <x v="0"/>
    <x v="0"/>
    <x v="0"/>
    <x v="52"/>
    <x v="1"/>
    <x v="3"/>
    <x v="7"/>
    <x v="174"/>
    <x v="202"/>
    <x v="16"/>
    <n v="150"/>
    <n v="160"/>
    <n v="370"/>
    <n v="93"/>
    <x v="202"/>
    <x v="174"/>
    <x v="188"/>
    <x v="356"/>
    <n v="1.0266666666666666"/>
    <n v="-40"/>
    <x v="0"/>
    <n v="159.25"/>
    <x v="417"/>
    <n v="44040"/>
    <n v="4650"/>
    <n v="6.5395095367847406E-3"/>
    <s v="Oct-12"/>
    <x v="32"/>
    <n v="2.383116883116883"/>
  </r>
  <r>
    <x v="0"/>
    <n v="76"/>
    <x v="0"/>
    <x v="0"/>
    <x v="0"/>
    <x v="28"/>
    <x v="1"/>
    <x v="2"/>
    <x v="8"/>
    <x v="63"/>
    <x v="76"/>
    <x v="0"/>
    <n v="100"/>
    <n v="170"/>
    <n v="280"/>
    <n v="32"/>
    <x v="76"/>
    <x v="63"/>
    <x v="13"/>
    <x v="118"/>
    <n v="0.76"/>
    <n v="-91"/>
    <x v="0"/>
    <n v="169.53529411764706"/>
    <x v="127"/>
    <n v="14773"/>
    <n v="672"/>
    <n v="2.0117137764196588E-2"/>
    <s v="Oct-12"/>
    <x v="8"/>
    <n v="2.4605263157894739"/>
  </r>
  <r>
    <x v="117"/>
    <n v="257"/>
    <x v="0"/>
    <x v="0"/>
    <x v="0"/>
    <x v="60"/>
    <x v="1"/>
    <x v="2"/>
    <x v="8"/>
    <x v="175"/>
    <x v="203"/>
    <x v="16"/>
    <n v="370"/>
    <n v="420"/>
    <n v="890"/>
    <n v="117"/>
    <x v="203"/>
    <x v="175"/>
    <x v="169"/>
    <x v="126"/>
    <n v="0.69459459459459461"/>
    <n v="-196"/>
    <x v="0"/>
    <n v="419.46666666666664"/>
    <x v="418"/>
    <n v="133952"/>
    <n v="9828"/>
    <n v="4.459308807134894E-3"/>
    <s v="Oct-12"/>
    <x v="36"/>
    <n v="2.3268482490272375"/>
  </r>
  <r>
    <x v="98"/>
    <n v="161"/>
    <x v="0"/>
    <x v="0"/>
    <x v="0"/>
    <x v="48"/>
    <x v="1"/>
    <x v="2"/>
    <x v="8"/>
    <x v="115"/>
    <x v="141"/>
    <x v="18"/>
    <n v="230"/>
    <n v="190"/>
    <n v="470"/>
    <n v="69"/>
    <x v="141"/>
    <x v="115"/>
    <x v="134"/>
    <x v="297"/>
    <n v="0.7"/>
    <n v="-98"/>
    <x v="0"/>
    <n v="189.51578947368421"/>
    <x v="354"/>
    <n v="29624"/>
    <n v="3105.0000000000005"/>
    <n v="6.3492063492063483E-3"/>
    <s v="Oct-12"/>
    <x v="29"/>
    <n v="2"/>
  </r>
  <r>
    <x v="23"/>
    <n v="161"/>
    <x v="0"/>
    <x v="0"/>
    <x v="0"/>
    <x v="48"/>
    <x v="0"/>
    <x v="0"/>
    <x v="10"/>
    <x v="115"/>
    <x v="141"/>
    <x v="0"/>
    <n v="120"/>
    <n v="110"/>
    <n v="260"/>
    <n v="69"/>
    <x v="141"/>
    <x v="115"/>
    <x v="134"/>
    <x v="297"/>
    <n v="1.3416666666666666"/>
    <n v="-18"/>
    <x v="0"/>
    <n v="109.16363636363636"/>
    <x v="354"/>
    <n v="29624"/>
    <n v="3105.0000000000005"/>
    <n v="6.3492063492063483E-3"/>
    <s v="Oct-12"/>
    <x v="16"/>
    <n v="2"/>
  </r>
  <r>
    <x v="52"/>
    <n v="123"/>
    <x v="0"/>
    <x v="0"/>
    <x v="0"/>
    <x v="38"/>
    <x v="0"/>
    <x v="0"/>
    <x v="10"/>
    <x v="99"/>
    <x v="125"/>
    <x v="16"/>
    <n v="90"/>
    <n v="140"/>
    <n v="240"/>
    <n v="46"/>
    <x v="125"/>
    <x v="99"/>
    <x v="126"/>
    <x v="250"/>
    <n v="1.3666666666666667"/>
    <n v="-7"/>
    <x v="0"/>
    <n v="139.05000000000001"/>
    <x v="302"/>
    <n v="40166"/>
    <n v="1564"/>
    <n v="1.2952863264511102E-2"/>
    <s v="Oct-12"/>
    <x v="10"/>
    <n v="2.4552845528455283"/>
  </r>
  <r>
    <x v="117"/>
    <n v="108"/>
    <x v="0"/>
    <x v="0"/>
    <x v="0"/>
    <x v="30"/>
    <x v="0"/>
    <x v="0"/>
    <x v="1"/>
    <x v="95"/>
    <x v="165"/>
    <x v="16"/>
    <n v="80"/>
    <n v="120"/>
    <n v="210"/>
    <n v="41"/>
    <x v="165"/>
    <x v="95"/>
    <x v="127"/>
    <x v="353"/>
    <n v="1.35"/>
    <n v="-4"/>
    <x v="0"/>
    <n v="119.03333333333333"/>
    <x v="414"/>
    <n v="30740"/>
    <n v="1230"/>
    <n v="1.459119496855346E-2"/>
    <s v="Oct-12"/>
    <x v="9"/>
    <n v="2.4537037037037037"/>
  </r>
  <r>
    <x v="104"/>
    <n v="82"/>
    <x v="0"/>
    <x v="0"/>
    <x v="0"/>
    <x v="15"/>
    <x v="0"/>
    <x v="1"/>
    <x v="2"/>
    <x v="56"/>
    <x v="17"/>
    <x v="18"/>
    <n v="50"/>
    <n v="60"/>
    <n v="140"/>
    <n v="58"/>
    <x v="17"/>
    <x v="56"/>
    <x v="65"/>
    <x v="231"/>
    <n v="1.64"/>
    <n v="5"/>
    <x v="0"/>
    <n v="58.916666666666664"/>
    <x v="282"/>
    <n v="13325"/>
    <n v="1566"/>
    <n v="1.1743450767841012E-2"/>
    <s v="Oct-12"/>
    <x v="6"/>
    <n v="2.5"/>
  </r>
  <r>
    <x v="69"/>
    <n v="91"/>
    <x v="0"/>
    <x v="0"/>
    <x v="0"/>
    <x v="16"/>
    <x v="0"/>
    <x v="1"/>
    <x v="11"/>
    <x v="20"/>
    <x v="18"/>
    <x v="18"/>
    <n v="50"/>
    <n v="80"/>
    <n v="150"/>
    <n v="51"/>
    <x v="18"/>
    <x v="20"/>
    <x v="19"/>
    <x v="21"/>
    <n v="1.82"/>
    <n v="-4"/>
    <x v="0"/>
    <n v="79.05"/>
    <x v="21"/>
    <n v="16568"/>
    <n v="1428"/>
    <n v="1.2450851900393186E-2"/>
    <s v="Oct-12"/>
    <x v="7"/>
    <n v="2.3956043956043955"/>
  </r>
  <r>
    <x v="43"/>
    <n v="90"/>
    <x v="0"/>
    <x v="0"/>
    <x v="0"/>
    <x v="39"/>
    <x v="0"/>
    <x v="1"/>
    <x v="3"/>
    <x v="62"/>
    <x v="17"/>
    <x v="0"/>
    <n v="50"/>
    <n v="80"/>
    <n v="140"/>
    <n v="41"/>
    <x v="17"/>
    <x v="62"/>
    <x v="108"/>
    <x v="251"/>
    <n v="1.8"/>
    <n v="-6"/>
    <x v="0"/>
    <n v="79.075000000000003"/>
    <x v="303"/>
    <n v="15170"/>
    <n v="1189"/>
    <n v="1.244743481917578E-2"/>
    <s v="Oct-12"/>
    <x v="0"/>
    <n v="2.2777777777777777"/>
  </r>
  <r>
    <x v="77"/>
    <n v="10"/>
    <x v="0"/>
    <x v="1"/>
    <x v="0"/>
    <x v="61"/>
    <x v="1"/>
    <x v="3"/>
    <x v="5"/>
    <x v="13"/>
    <x v="204"/>
    <x v="4"/>
    <n v="0"/>
    <n v="10"/>
    <n v="10"/>
    <n v="15"/>
    <x v="204"/>
    <x v="13"/>
    <x v="189"/>
    <x v="357"/>
    <e v="#DIV/0!"/>
    <n v="-12"/>
    <x v="0"/>
    <n v="10.199999999999999"/>
    <x v="419"/>
    <n v="-46"/>
    <n v="45"/>
    <n v="-2.8985507246376808E-2"/>
    <s v="Oct-12"/>
    <x v="4"/>
    <n v="2.2999999999999998"/>
  </r>
  <r>
    <x v="65"/>
    <n v="86"/>
    <x v="0"/>
    <x v="1"/>
    <x v="0"/>
    <x v="16"/>
    <x v="1"/>
    <x v="3"/>
    <x v="5"/>
    <x v="176"/>
    <x v="160"/>
    <x v="13"/>
    <n v="80"/>
    <n v="100"/>
    <n v="200"/>
    <n v="55"/>
    <x v="160"/>
    <x v="176"/>
    <x v="18"/>
    <x v="358"/>
    <n v="1.075"/>
    <n v="-39"/>
    <x v="0"/>
    <n v="99.39"/>
    <x v="420"/>
    <n v="12322"/>
    <n v="1540.0000000000002"/>
    <n v="1.0785007072135784E-2"/>
    <s v="Oct-12"/>
    <x v="10"/>
    <n v="2.3488372093023258"/>
  </r>
  <r>
    <x v="62"/>
    <n v="79"/>
    <x v="0"/>
    <x v="1"/>
    <x v="0"/>
    <x v="30"/>
    <x v="1"/>
    <x v="3"/>
    <x v="7"/>
    <x v="3"/>
    <x v="79"/>
    <x v="12"/>
    <n v="70"/>
    <n v="70"/>
    <n v="170"/>
    <n v="63"/>
    <x v="79"/>
    <x v="3"/>
    <x v="19"/>
    <x v="221"/>
    <n v="1.1285714285714286"/>
    <n v="-35"/>
    <x v="0"/>
    <n v="69.5"/>
    <x v="421"/>
    <n v="6195"/>
    <n v="1889.9999999999998"/>
    <n v="6.5913370998116763E-3"/>
    <s v="Oct-12"/>
    <x v="10"/>
    <n v="2.240506329113924"/>
  </r>
  <r>
    <x v="65"/>
    <n v="96"/>
    <x v="0"/>
    <x v="1"/>
    <x v="0"/>
    <x v="41"/>
    <x v="1"/>
    <x v="3"/>
    <x v="7"/>
    <x v="47"/>
    <x v="127"/>
    <x v="13"/>
    <n v="90"/>
    <n v="60"/>
    <n v="230"/>
    <n v="116"/>
    <x v="127"/>
    <x v="47"/>
    <x v="147"/>
    <x v="295"/>
    <n v="1.0666666666666667"/>
    <n v="-42"/>
    <x v="0"/>
    <n v="59.7"/>
    <x v="352"/>
    <n v="4140"/>
    <n v="10092"/>
    <n v="8.9955022488755621E-4"/>
    <s v="Oct-12"/>
    <x v="30"/>
    <n v="2.3958333333333335"/>
  </r>
  <r>
    <x v="26"/>
    <n v="40"/>
    <x v="0"/>
    <x v="1"/>
    <x v="0"/>
    <x v="9"/>
    <x v="1"/>
    <x v="2"/>
    <x v="8"/>
    <x v="18"/>
    <x v="9"/>
    <x v="12"/>
    <n v="50"/>
    <n v="90"/>
    <n v="140"/>
    <n v="23"/>
    <x v="9"/>
    <x v="18"/>
    <x v="17"/>
    <x v="19"/>
    <n v="0.8"/>
    <n v="-54"/>
    <x v="0"/>
    <n v="89.6"/>
    <x v="19"/>
    <n v="3564"/>
    <n v="252.99999999999997"/>
    <n v="3.3057851239669422E-2"/>
    <s v="Oct-12"/>
    <x v="2"/>
    <n v="2.4750000000000001"/>
  </r>
  <r>
    <x v="94"/>
    <n v="80"/>
    <x v="0"/>
    <x v="1"/>
    <x v="0"/>
    <x v="23"/>
    <x v="1"/>
    <x v="2"/>
    <x v="8"/>
    <x v="21"/>
    <x v="75"/>
    <x v="13"/>
    <n v="110"/>
    <n v="120"/>
    <n v="250"/>
    <n v="46"/>
    <x v="75"/>
    <x v="21"/>
    <x v="4"/>
    <x v="22"/>
    <n v="0.72727272727272729"/>
    <n v="-72"/>
    <x v="0"/>
    <n v="119.6"/>
    <x v="123"/>
    <n v="8352"/>
    <n v="1104"/>
    <n v="1.1494252873563218E-2"/>
    <s v="Oct-12"/>
    <x v="13"/>
    <n v="2.1749999999999998"/>
  </r>
  <r>
    <x v="5"/>
    <n v="257"/>
    <x v="0"/>
    <x v="1"/>
    <x v="0"/>
    <x v="60"/>
    <x v="0"/>
    <x v="0"/>
    <x v="10"/>
    <x v="175"/>
    <x v="203"/>
    <x v="4"/>
    <n v="200"/>
    <n v="210"/>
    <n v="480"/>
    <n v="117"/>
    <x v="203"/>
    <x v="175"/>
    <x v="169"/>
    <x v="126"/>
    <n v="1.2849999999999999"/>
    <n v="14"/>
    <x v="0"/>
    <n v="208.93333333333334"/>
    <x v="418"/>
    <n v="133952"/>
    <n v="9828"/>
    <n v="4.459308807134894E-3"/>
    <s v="Oct-12"/>
    <x v="24"/>
    <n v="2.3268482490272375"/>
  </r>
  <r>
    <x v="77"/>
    <n v="122"/>
    <x v="0"/>
    <x v="1"/>
    <x v="0"/>
    <x v="59"/>
    <x v="0"/>
    <x v="0"/>
    <x v="0"/>
    <x v="124"/>
    <x v="200"/>
    <x v="4"/>
    <n v="90"/>
    <n v="130"/>
    <n v="240"/>
    <n v="62"/>
    <x v="200"/>
    <x v="124"/>
    <x v="144"/>
    <x v="359"/>
    <n v="1.3555555555555556"/>
    <n v="-16"/>
    <x v="0"/>
    <n v="129.12307692307692"/>
    <x v="422"/>
    <n v="33972"/>
    <n v="2418"/>
    <n v="9.8089829633453782E-3"/>
    <s v="Oct-12"/>
    <x v="8"/>
    <n v="2.442622950819672"/>
  </r>
  <r>
    <x v="13"/>
    <n v="86"/>
    <x v="0"/>
    <x v="1"/>
    <x v="0"/>
    <x v="32"/>
    <x v="0"/>
    <x v="0"/>
    <x v="0"/>
    <x v="77"/>
    <x v="12"/>
    <x v="12"/>
    <n v="60"/>
    <n v="10"/>
    <n v="80"/>
    <n v="49"/>
    <x v="12"/>
    <x v="77"/>
    <x v="106"/>
    <x v="160"/>
    <n v="1.4333333333333333"/>
    <n v="-36"/>
    <x v="0"/>
    <n v="12.6"/>
    <x v="184"/>
    <n v="-2834"/>
    <n v="1274"/>
    <n v="-9.1743119266055051E-3"/>
    <s v="Oct-12"/>
    <x v="7"/>
    <n v="1.2674418604651163"/>
  </r>
  <r>
    <x v="46"/>
    <n v="239"/>
    <x v="0"/>
    <x v="1"/>
    <x v="0"/>
    <x v="49"/>
    <x v="0"/>
    <x v="1"/>
    <x v="2"/>
    <x v="173"/>
    <x v="201"/>
    <x v="4"/>
    <n v="170"/>
    <n v="110"/>
    <n v="340"/>
    <n v="90"/>
    <x v="201"/>
    <x v="173"/>
    <x v="187"/>
    <x v="355"/>
    <n v="1.4058823529411764"/>
    <n v="39"/>
    <x v="0"/>
    <n v="108.64545454545454"/>
    <x v="416"/>
    <n v="71222"/>
    <n v="5939.9999999999991"/>
    <n v="4.7229618359325475E-3"/>
    <s v="Oct-12"/>
    <x v="28"/>
    <n v="2"/>
  </r>
  <r>
    <x v="46"/>
    <n v="255"/>
    <x v="0"/>
    <x v="1"/>
    <x v="0"/>
    <x v="50"/>
    <x v="0"/>
    <x v="1"/>
    <x v="11"/>
    <x v="177"/>
    <x v="205"/>
    <x v="4"/>
    <n v="170"/>
    <n v="130"/>
    <n v="400"/>
    <n v="129"/>
    <x v="205"/>
    <x v="177"/>
    <x v="150"/>
    <x v="360"/>
    <n v="1.5"/>
    <n v="53"/>
    <x v="0"/>
    <n v="128.59230769230768"/>
    <x v="423"/>
    <n v="103761"/>
    <n v="12384"/>
    <n v="3.3619929453262785E-3"/>
    <s v="Oct-12"/>
    <x v="24"/>
    <n v="2.223529411764706"/>
  </r>
  <r>
    <x v="40"/>
    <n v="25"/>
    <x v="0"/>
    <x v="1"/>
    <x v="0"/>
    <x v="8"/>
    <x v="0"/>
    <x v="1"/>
    <x v="11"/>
    <x v="84"/>
    <x v="82"/>
    <x v="12"/>
    <n v="10"/>
    <n v="0"/>
    <n v="30"/>
    <n v="42"/>
    <x v="82"/>
    <x v="84"/>
    <x v="190"/>
    <x v="361"/>
    <n v="2.5"/>
    <n v="-11"/>
    <x v="0"/>
    <e v="#DIV/0!"/>
    <x v="241"/>
    <n v="-616"/>
    <n v="377.99999999999994"/>
    <n v="-2.1825396825396828E-2"/>
    <s v="Oct-12"/>
    <x v="3"/>
    <n v="2.2400000000000002"/>
  </r>
  <r>
    <x v="1"/>
    <n v="81"/>
    <x v="1"/>
    <x v="0"/>
    <x v="0"/>
    <x v="34"/>
    <x v="1"/>
    <x v="3"/>
    <x v="5"/>
    <x v="144"/>
    <x v="172"/>
    <x v="0"/>
    <n v="80"/>
    <n v="80"/>
    <n v="190"/>
    <n v="33"/>
    <x v="172"/>
    <x v="144"/>
    <x v="35"/>
    <x v="279"/>
    <n v="1.0125"/>
    <n v="4"/>
    <x v="0"/>
    <n v="78.95"/>
    <x v="369"/>
    <n v="16632"/>
    <n v="726"/>
    <n v="1.928374655647383E-2"/>
    <s v="Nov-12"/>
    <x v="8"/>
    <n v="2.4444444444444446"/>
  </r>
  <r>
    <x v="117"/>
    <n v="113"/>
    <x v="1"/>
    <x v="0"/>
    <x v="0"/>
    <x v="62"/>
    <x v="1"/>
    <x v="3"/>
    <x v="5"/>
    <x v="178"/>
    <x v="206"/>
    <x v="16"/>
    <n v="110"/>
    <n v="110"/>
    <n v="270"/>
    <n v="59"/>
    <x v="206"/>
    <x v="178"/>
    <x v="191"/>
    <x v="362"/>
    <n v="1.0272727272727273"/>
    <n v="-4"/>
    <x v="0"/>
    <n v="109.03636363636363"/>
    <x v="424"/>
    <n v="29468"/>
    <n v="2124"/>
    <n v="1.0591526778577139E-2"/>
    <s v="Nov-12"/>
    <x v="17"/>
    <n v="2.4601769911504423"/>
  </r>
  <r>
    <x v="0"/>
    <n v="75"/>
    <x v="1"/>
    <x v="0"/>
    <x v="0"/>
    <x v="23"/>
    <x v="1"/>
    <x v="2"/>
    <x v="4"/>
    <x v="85"/>
    <x v="90"/>
    <x v="0"/>
    <n v="90"/>
    <n v="100"/>
    <n v="240"/>
    <n v="56"/>
    <x v="90"/>
    <x v="85"/>
    <x v="108"/>
    <x v="363"/>
    <n v="0.83333333333333337"/>
    <n v="-42"/>
    <x v="0"/>
    <n v="99.42"/>
    <x v="425"/>
    <n v="10962"/>
    <n v="1344"/>
    <n v="1.2786596119929453E-2"/>
    <s v="Nov-12"/>
    <x v="14"/>
    <n v="2.52"/>
  </r>
  <r>
    <x v="24"/>
    <n v="211"/>
    <x v="1"/>
    <x v="0"/>
    <x v="0"/>
    <x v="53"/>
    <x v="1"/>
    <x v="2"/>
    <x v="4"/>
    <x v="113"/>
    <x v="207"/>
    <x v="16"/>
    <n v="270"/>
    <n v="200"/>
    <n v="540"/>
    <n v="83"/>
    <x v="207"/>
    <x v="113"/>
    <x v="157"/>
    <x v="364"/>
    <n v="0.78148148148148144"/>
    <n v="-71"/>
    <x v="0"/>
    <n v="199.35499999999999"/>
    <x v="426"/>
    <n v="54567"/>
    <n v="4897"/>
    <n v="5.1688904916456302E-3"/>
    <s v="Nov-12"/>
    <x v="37"/>
    <n v="2.0047393364928912"/>
  </r>
  <r>
    <x v="1"/>
    <n v="118"/>
    <x v="1"/>
    <x v="0"/>
    <x v="0"/>
    <x v="40"/>
    <x v="1"/>
    <x v="3"/>
    <x v="6"/>
    <x v="179"/>
    <x v="129"/>
    <x v="0"/>
    <n v="110"/>
    <n v="130"/>
    <n v="280"/>
    <n v="44"/>
    <x v="129"/>
    <x v="179"/>
    <x v="192"/>
    <x v="365"/>
    <n v="1.0727272727272728"/>
    <n v="-2"/>
    <x v="0"/>
    <n v="129.01538461538462"/>
    <x v="427"/>
    <n v="37120"/>
    <n v="1452"/>
    <n v="1.3375130616509927E-2"/>
    <s v="Nov-12"/>
    <x v="16"/>
    <n v="2.4576271186440679"/>
  </r>
  <r>
    <x v="117"/>
    <n v="173"/>
    <x v="1"/>
    <x v="0"/>
    <x v="0"/>
    <x v="63"/>
    <x v="1"/>
    <x v="3"/>
    <x v="7"/>
    <x v="180"/>
    <x v="208"/>
    <x v="16"/>
    <n v="170"/>
    <n v="140"/>
    <n v="400"/>
    <n v="100"/>
    <x v="208"/>
    <x v="180"/>
    <x v="193"/>
    <x v="366"/>
    <n v="1.0176470588235293"/>
    <n v="-1"/>
    <x v="0"/>
    <n v="139.00714285714287"/>
    <x v="428"/>
    <n v="57268"/>
    <n v="5700"/>
    <n v="5.9189235223982284E-3"/>
    <s v="Nov-12"/>
    <x v="38"/>
    <n v="2.3815028901734103"/>
  </r>
  <r>
    <x v="0"/>
    <n v="50"/>
    <x v="1"/>
    <x v="0"/>
    <x v="0"/>
    <x v="10"/>
    <x v="1"/>
    <x v="2"/>
    <x v="8"/>
    <x v="21"/>
    <x v="1"/>
    <x v="0"/>
    <n v="60"/>
    <n v="70"/>
    <n v="150"/>
    <n v="25"/>
    <x v="1"/>
    <x v="21"/>
    <x v="21"/>
    <x v="23"/>
    <n v="0.83333333333333337"/>
    <n v="-22"/>
    <x v="0"/>
    <n v="69.314285714285717"/>
    <x v="23"/>
    <n v="5904"/>
    <n v="350"/>
    <n v="2.7874564459930314E-2"/>
    <s v="Nov-12"/>
    <x v="6"/>
    <n v="2.46"/>
  </r>
  <r>
    <x v="136"/>
    <n v="228"/>
    <x v="1"/>
    <x v="0"/>
    <x v="0"/>
    <x v="64"/>
    <x v="1"/>
    <x v="2"/>
    <x v="8"/>
    <x v="181"/>
    <x v="209"/>
    <x v="16"/>
    <n v="290"/>
    <n v="290"/>
    <n v="680"/>
    <n v="108"/>
    <x v="209"/>
    <x v="181"/>
    <x v="194"/>
    <x v="367"/>
    <n v="0.78620689655172415"/>
    <n v="-94"/>
    <x v="0"/>
    <n v="289.3241379310345"/>
    <x v="429"/>
    <n v="104272"/>
    <n v="8100"/>
    <n v="4.9122807017543861E-3"/>
    <s v="Nov-12"/>
    <x v="39"/>
    <n v="2.3333333333333335"/>
  </r>
  <r>
    <x v="93"/>
    <n v="181"/>
    <x v="1"/>
    <x v="0"/>
    <x v="0"/>
    <x v="52"/>
    <x v="1"/>
    <x v="2"/>
    <x v="8"/>
    <x v="120"/>
    <x v="169"/>
    <x v="18"/>
    <n v="230"/>
    <n v="170"/>
    <n v="460"/>
    <n v="75"/>
    <x v="169"/>
    <x v="120"/>
    <x v="195"/>
    <x v="368"/>
    <n v="0.78695652173913044"/>
    <n v="-63"/>
    <x v="0"/>
    <n v="169.37058823529412"/>
    <x v="430"/>
    <n v="38841"/>
    <n v="3750"/>
    <n v="5.8953168044077135E-3"/>
    <s v="Nov-12"/>
    <x v="40"/>
    <n v="2.0055248618784529"/>
  </r>
  <r>
    <x v="1"/>
    <n v="181"/>
    <x v="1"/>
    <x v="0"/>
    <x v="0"/>
    <x v="52"/>
    <x v="0"/>
    <x v="0"/>
    <x v="10"/>
    <x v="120"/>
    <x v="169"/>
    <x v="0"/>
    <n v="170"/>
    <n v="100"/>
    <n v="330"/>
    <n v="75"/>
    <x v="169"/>
    <x v="120"/>
    <x v="195"/>
    <x v="368"/>
    <n v="1.0647058823529412"/>
    <n v="7"/>
    <x v="0"/>
    <n v="98.93"/>
    <x v="430"/>
    <n v="38841"/>
    <n v="3750"/>
    <n v="5.8953168044077135E-3"/>
    <s v="Nov-12"/>
    <x v="28"/>
    <n v="2.0055248618784529"/>
  </r>
  <r>
    <x v="82"/>
    <n v="118"/>
    <x v="1"/>
    <x v="0"/>
    <x v="0"/>
    <x v="40"/>
    <x v="0"/>
    <x v="0"/>
    <x v="10"/>
    <x v="102"/>
    <x v="129"/>
    <x v="16"/>
    <n v="110"/>
    <n v="110"/>
    <n v="260"/>
    <n v="45"/>
    <x v="129"/>
    <x v="102"/>
    <x v="130"/>
    <x v="255"/>
    <n v="1.0727272727272728"/>
    <n v="17"/>
    <x v="0"/>
    <n v="108.84545454545454"/>
    <x v="307"/>
    <n v="36830"/>
    <n v="1485"/>
    <n v="1.3270637408568443E-2"/>
    <s v="Nov-12"/>
    <x v="16"/>
    <n v="2.4576271186440679"/>
  </r>
  <r>
    <x v="89"/>
    <n v="81"/>
    <x v="1"/>
    <x v="0"/>
    <x v="0"/>
    <x v="34"/>
    <x v="0"/>
    <x v="0"/>
    <x v="1"/>
    <x v="144"/>
    <x v="172"/>
    <x v="16"/>
    <n v="70"/>
    <n v="80"/>
    <n v="180"/>
    <n v="33"/>
    <x v="172"/>
    <x v="144"/>
    <x v="35"/>
    <x v="279"/>
    <n v="1.1571428571428573"/>
    <n v="4"/>
    <x v="0"/>
    <n v="78.95"/>
    <x v="369"/>
    <n v="16632"/>
    <n v="726"/>
    <n v="1.928374655647383E-2"/>
    <s v="Nov-12"/>
    <x v="10"/>
    <n v="2.4444444444444446"/>
  </r>
  <r>
    <x v="87"/>
    <n v="78"/>
    <x v="1"/>
    <x v="0"/>
    <x v="0"/>
    <x v="26"/>
    <x v="0"/>
    <x v="1"/>
    <x v="2"/>
    <x v="103"/>
    <x v="130"/>
    <x v="18"/>
    <n v="60"/>
    <n v="60"/>
    <n v="160"/>
    <n v="57"/>
    <x v="130"/>
    <x v="103"/>
    <x v="106"/>
    <x v="256"/>
    <n v="1.3"/>
    <n v="2"/>
    <x v="0"/>
    <n v="58.966666666666669"/>
    <x v="308"/>
    <n v="12214"/>
    <n v="1425"/>
    <n v="1.2588832487309645E-2"/>
    <s v="Nov-12"/>
    <x v="10"/>
    <n v="2.5256410256410255"/>
  </r>
  <r>
    <x v="89"/>
    <n v="75"/>
    <x v="1"/>
    <x v="0"/>
    <x v="0"/>
    <x v="23"/>
    <x v="0"/>
    <x v="1"/>
    <x v="11"/>
    <x v="93"/>
    <x v="90"/>
    <x v="16"/>
    <n v="60"/>
    <n v="50"/>
    <n v="150"/>
    <n v="55"/>
    <x v="90"/>
    <x v="93"/>
    <x v="83"/>
    <x v="234"/>
    <n v="1.25"/>
    <n v="9"/>
    <x v="0"/>
    <n v="48.82"/>
    <x v="285"/>
    <n v="11151"/>
    <n v="1320"/>
    <n v="1.3007054673721341E-2"/>
    <s v="Nov-12"/>
    <x v="10"/>
    <n v="2.52"/>
  </r>
  <r>
    <x v="83"/>
    <n v="102"/>
    <x v="1"/>
    <x v="0"/>
    <x v="0"/>
    <x v="33"/>
    <x v="0"/>
    <x v="1"/>
    <x v="11"/>
    <x v="104"/>
    <x v="132"/>
    <x v="18"/>
    <n v="80"/>
    <n v="70"/>
    <n v="200"/>
    <n v="54"/>
    <x v="132"/>
    <x v="104"/>
    <x v="71"/>
    <x v="258"/>
    <n v="1.2749999999999999"/>
    <n v="19"/>
    <x v="0"/>
    <n v="68.728571428571428"/>
    <x v="310"/>
    <n v="21805"/>
    <n v="1674"/>
    <n v="1.1718235681369323E-2"/>
    <s v="Nov-12"/>
    <x v="13"/>
    <n v="2.4019607843137254"/>
  </r>
  <r>
    <x v="23"/>
    <n v="88"/>
    <x v="1"/>
    <x v="0"/>
    <x v="0"/>
    <x v="39"/>
    <x v="0"/>
    <x v="1"/>
    <x v="3"/>
    <x v="50"/>
    <x v="131"/>
    <x v="0"/>
    <n v="70"/>
    <n v="60"/>
    <n v="160"/>
    <n v="42"/>
    <x v="131"/>
    <x v="50"/>
    <x v="83"/>
    <x v="369"/>
    <n v="1.2571428571428571"/>
    <n v="10"/>
    <x v="0"/>
    <n v="58.833333333333336"/>
    <x v="431"/>
    <n v="14000"/>
    <n v="1218"/>
    <n v="1.2068965517241379E-2"/>
    <s v="Nov-12"/>
    <x v="10"/>
    <n v="2.2727272727272729"/>
  </r>
  <r>
    <x v="77"/>
    <n v="10"/>
    <x v="1"/>
    <x v="1"/>
    <x v="0"/>
    <x v="61"/>
    <x v="1"/>
    <x v="3"/>
    <x v="5"/>
    <x v="37"/>
    <x v="204"/>
    <x v="4"/>
    <n v="0"/>
    <n v="10"/>
    <n v="20"/>
    <n v="16"/>
    <x v="204"/>
    <x v="37"/>
    <x v="196"/>
    <x v="160"/>
    <e v="#DIV/0!"/>
    <n v="-13"/>
    <x v="0"/>
    <n v="10.3"/>
    <x v="432"/>
    <n v="-69"/>
    <n v="48"/>
    <n v="-4.3478260869565216E-2"/>
    <s v="Nov-12"/>
    <x v="12"/>
    <n v="2.2999999999999998"/>
  </r>
  <r>
    <x v="14"/>
    <n v="77"/>
    <x v="1"/>
    <x v="1"/>
    <x v="0"/>
    <x v="26"/>
    <x v="1"/>
    <x v="3"/>
    <x v="5"/>
    <x v="94"/>
    <x v="166"/>
    <x v="13"/>
    <n v="70"/>
    <n v="60"/>
    <n v="170"/>
    <n v="52"/>
    <x v="166"/>
    <x v="94"/>
    <x v="111"/>
    <x v="302"/>
    <n v="1.1000000000000001"/>
    <n v="-9"/>
    <x v="0"/>
    <n v="59.15"/>
    <x v="360"/>
    <n v="9180"/>
    <n v="1300"/>
    <n v="1.1333333333333334E-2"/>
    <s v="Nov-12"/>
    <x v="8"/>
    <n v="2.3376623376623376"/>
  </r>
  <r>
    <x v="46"/>
    <n v="15"/>
    <x v="1"/>
    <x v="1"/>
    <x v="0"/>
    <x v="36"/>
    <x v="1"/>
    <x v="3"/>
    <x v="6"/>
    <x v="72"/>
    <x v="115"/>
    <x v="4"/>
    <n v="10"/>
    <n v="10"/>
    <n v="30"/>
    <n v="16"/>
    <x v="115"/>
    <x v="72"/>
    <x v="116"/>
    <x v="22"/>
    <n v="1.5"/>
    <n v="-2"/>
    <x v="0"/>
    <n v="9.1999999999999993"/>
    <x v="264"/>
    <n v="312"/>
    <n v="64"/>
    <n v="5.128205128205128E-2"/>
    <s v="Nov-12"/>
    <x v="5"/>
    <n v="2.6"/>
  </r>
  <r>
    <x v="13"/>
    <n v="82"/>
    <x v="1"/>
    <x v="1"/>
    <x v="0"/>
    <x v="33"/>
    <x v="1"/>
    <x v="3"/>
    <x v="7"/>
    <x v="68"/>
    <x v="106"/>
    <x v="12"/>
    <n v="80"/>
    <n v="40"/>
    <n v="180"/>
    <n v="64"/>
    <x v="106"/>
    <x v="68"/>
    <x v="38"/>
    <x v="197"/>
    <n v="1.0249999999999999"/>
    <n v="-2"/>
    <x v="0"/>
    <n v="39.049999999999997"/>
    <x v="225"/>
    <n v="6992"/>
    <n v="1984"/>
    <n v="6.6619915848527347E-3"/>
    <s v="Nov-12"/>
    <x v="14"/>
    <n v="2.2439024390243905"/>
  </r>
  <r>
    <x v="14"/>
    <n v="94"/>
    <x v="1"/>
    <x v="1"/>
    <x v="0"/>
    <x v="43"/>
    <x v="1"/>
    <x v="3"/>
    <x v="7"/>
    <x v="38"/>
    <x v="134"/>
    <x v="13"/>
    <n v="90"/>
    <n v="30"/>
    <n v="220"/>
    <n v="114"/>
    <x v="134"/>
    <x v="38"/>
    <x v="197"/>
    <x v="370"/>
    <n v="1.0444444444444445"/>
    <n v="-14"/>
    <x v="0"/>
    <n v="29.466666666666665"/>
    <x v="433"/>
    <n v="3584"/>
    <n v="9690"/>
    <n v="8.4033613445378145E-4"/>
    <s v="Nov-12"/>
    <x v="26"/>
    <n v="2.3829787234042552"/>
  </r>
  <r>
    <x v="26"/>
    <n v="54"/>
    <x v="1"/>
    <x v="1"/>
    <x v="0"/>
    <x v="6"/>
    <x v="1"/>
    <x v="2"/>
    <x v="8"/>
    <x v="94"/>
    <x v="57"/>
    <x v="12"/>
    <n v="60"/>
    <n v="80"/>
    <n v="160"/>
    <n v="27"/>
    <x v="57"/>
    <x v="94"/>
    <x v="40"/>
    <x v="236"/>
    <n v="0.9"/>
    <n v="-29"/>
    <x v="0"/>
    <n v="79.362499999999997"/>
    <x v="287"/>
    <n v="6732"/>
    <n v="405"/>
    <n v="2.5757575757575757E-2"/>
    <s v="Nov-12"/>
    <x v="6"/>
    <n v="2.4444444444444446"/>
  </r>
  <r>
    <x v="41"/>
    <n v="75"/>
    <x v="1"/>
    <x v="1"/>
    <x v="0"/>
    <x v="4"/>
    <x v="1"/>
    <x v="2"/>
    <x v="8"/>
    <x v="16"/>
    <x v="20"/>
    <x v="13"/>
    <n v="90"/>
    <n v="70"/>
    <n v="200"/>
    <n v="44"/>
    <x v="20"/>
    <x v="16"/>
    <x v="63"/>
    <x v="235"/>
    <n v="0.83333333333333337"/>
    <n v="-25"/>
    <x v="0"/>
    <n v="69.357142857142861"/>
    <x v="26"/>
    <n v="7380"/>
    <n v="1012"/>
    <n v="1.193001060445387E-2"/>
    <s v="Nov-12"/>
    <x v="13"/>
    <n v="2.1866666666666665"/>
  </r>
  <r>
    <x v="5"/>
    <n v="228"/>
    <x v="1"/>
    <x v="1"/>
    <x v="0"/>
    <x v="64"/>
    <x v="0"/>
    <x v="0"/>
    <x v="10"/>
    <x v="181"/>
    <x v="209"/>
    <x v="4"/>
    <n v="210"/>
    <n v="180"/>
    <n v="490"/>
    <n v="108"/>
    <x v="209"/>
    <x v="181"/>
    <x v="194"/>
    <x v="367"/>
    <n v="1.0857142857142856"/>
    <n v="16"/>
    <x v="0"/>
    <n v="178.9111111111111"/>
    <x v="429"/>
    <n v="104272"/>
    <n v="8100"/>
    <n v="4.9122807017543861E-3"/>
    <s v="Nov-12"/>
    <x v="22"/>
    <n v="2.3333333333333335"/>
  </r>
  <r>
    <x v="5"/>
    <n v="113"/>
    <x v="1"/>
    <x v="1"/>
    <x v="0"/>
    <x v="62"/>
    <x v="0"/>
    <x v="0"/>
    <x v="0"/>
    <x v="120"/>
    <x v="206"/>
    <x v="4"/>
    <n v="100"/>
    <n v="100"/>
    <n v="250"/>
    <n v="58"/>
    <x v="206"/>
    <x v="120"/>
    <x v="198"/>
    <x v="371"/>
    <n v="1.1299999999999999"/>
    <n v="7"/>
    <x v="0"/>
    <n v="98.93"/>
    <x v="434"/>
    <n v="29746"/>
    <n v="2088"/>
    <n v="1.069144684252598E-2"/>
    <s v="Nov-12"/>
    <x v="16"/>
    <n v="2.4601769911504423"/>
  </r>
  <r>
    <x v="5"/>
    <n v="211"/>
    <x v="1"/>
    <x v="1"/>
    <x v="0"/>
    <x v="53"/>
    <x v="0"/>
    <x v="1"/>
    <x v="2"/>
    <x v="113"/>
    <x v="207"/>
    <x v="4"/>
    <n v="170"/>
    <n v="110"/>
    <n v="350"/>
    <n v="83"/>
    <x v="207"/>
    <x v="113"/>
    <x v="157"/>
    <x v="364"/>
    <n v="1.2411764705882353"/>
    <n v="19"/>
    <x v="0"/>
    <n v="108.82727272727273"/>
    <x v="426"/>
    <n v="54567"/>
    <n v="4897"/>
    <n v="5.1688904916456302E-3"/>
    <s v="Nov-12"/>
    <x v="27"/>
    <n v="2.0047393364928912"/>
  </r>
  <r>
    <x v="66"/>
    <n v="245"/>
    <x v="1"/>
    <x v="1"/>
    <x v="0"/>
    <x v="54"/>
    <x v="0"/>
    <x v="1"/>
    <x v="11"/>
    <x v="182"/>
    <x v="210"/>
    <x v="4"/>
    <n v="200"/>
    <n v="130"/>
    <n v="450"/>
    <n v="127"/>
    <x v="210"/>
    <x v="182"/>
    <x v="158"/>
    <x v="372"/>
    <n v="1.2250000000000001"/>
    <n v="43"/>
    <x v="0"/>
    <n v="128.66923076923078"/>
    <x v="435"/>
    <n v="94285"/>
    <n v="11811"/>
    <n v="3.4132386307586071E-3"/>
    <s v="Nov-12"/>
    <x v="33"/>
    <n v="2.2244897959183674"/>
  </r>
  <r>
    <x v="43"/>
    <n v="86"/>
    <x v="2"/>
    <x v="0"/>
    <x v="0"/>
    <x v="23"/>
    <x v="1"/>
    <x v="3"/>
    <x v="5"/>
    <x v="97"/>
    <x v="145"/>
    <x v="0"/>
    <n v="80"/>
    <n v="90"/>
    <n v="200"/>
    <n v="36"/>
    <x v="145"/>
    <x v="97"/>
    <x v="43"/>
    <x v="243"/>
    <n v="1.075"/>
    <n v="-2"/>
    <x v="0"/>
    <n v="89.022222222222226"/>
    <x v="436"/>
    <n v="18480"/>
    <n v="864"/>
    <n v="1.7460317460317461E-2"/>
    <s v="Dec-12"/>
    <x v="8"/>
    <n v="2.441860465116279"/>
  </r>
  <r>
    <x v="89"/>
    <n v="127"/>
    <x v="2"/>
    <x v="0"/>
    <x v="0"/>
    <x v="19"/>
    <x v="1"/>
    <x v="3"/>
    <x v="5"/>
    <x v="126"/>
    <x v="211"/>
    <x v="16"/>
    <n v="120"/>
    <n v="130"/>
    <n v="300"/>
    <n v="63"/>
    <x v="211"/>
    <x v="126"/>
    <x v="199"/>
    <x v="373"/>
    <n v="1.0583333333333333"/>
    <n v="-8"/>
    <x v="0"/>
    <n v="129.06153846153848"/>
    <x v="437"/>
    <n v="38064"/>
    <n v="2520"/>
    <n v="9.7756410256410256E-3"/>
    <s v="Dec-12"/>
    <x v="30"/>
    <n v="2.4566929133858268"/>
  </r>
  <r>
    <x v="1"/>
    <n v="67"/>
    <x v="2"/>
    <x v="0"/>
    <x v="0"/>
    <x v="34"/>
    <x v="1"/>
    <x v="2"/>
    <x v="4"/>
    <x v="17"/>
    <x v="107"/>
    <x v="0"/>
    <n v="80"/>
    <n v="80"/>
    <n v="210"/>
    <n v="54"/>
    <x v="107"/>
    <x v="17"/>
    <x v="72"/>
    <x v="199"/>
    <n v="0.83750000000000002"/>
    <n v="-33"/>
    <x v="0"/>
    <n v="79.412499999999994"/>
    <x v="227"/>
    <n v="7896"/>
    <n v="1188"/>
    <n v="1.2716450216450216E-2"/>
    <s v="Dec-12"/>
    <x v="13"/>
    <n v="2.5074626865671643"/>
  </r>
  <r>
    <x v="89"/>
    <n v="250"/>
    <x v="2"/>
    <x v="0"/>
    <x v="0"/>
    <x v="57"/>
    <x v="1"/>
    <x v="2"/>
    <x v="4"/>
    <x v="183"/>
    <x v="212"/>
    <x v="16"/>
    <n v="320"/>
    <n v="240"/>
    <n v="640"/>
    <n v="94"/>
    <x v="212"/>
    <x v="183"/>
    <x v="200"/>
    <x v="374"/>
    <n v="0.78125"/>
    <n v="-83"/>
    <x v="0"/>
    <n v="239.34583333333333"/>
    <x v="438"/>
    <n v="78657"/>
    <n v="6580"/>
    <n v="4.476760764185914E-3"/>
    <s v="Dec-12"/>
    <x v="41"/>
    <n v="2.004"/>
  </r>
  <r>
    <x v="23"/>
    <n v="123"/>
    <x v="2"/>
    <x v="0"/>
    <x v="0"/>
    <x v="38"/>
    <x v="1"/>
    <x v="3"/>
    <x v="6"/>
    <x v="136"/>
    <x v="125"/>
    <x v="0"/>
    <n v="120"/>
    <n v="130"/>
    <n v="290"/>
    <n v="45"/>
    <x v="125"/>
    <x v="136"/>
    <x v="153"/>
    <x v="301"/>
    <n v="1.0249999999999999"/>
    <n v="4"/>
    <x v="0"/>
    <n v="128.96923076923076"/>
    <x v="359"/>
    <n v="40468"/>
    <n v="1530"/>
    <n v="1.3050253213868329E-2"/>
    <s v="Dec-12"/>
    <x v="17"/>
    <n v="2.4552845528455283"/>
  </r>
  <r>
    <x v="24"/>
    <n v="224"/>
    <x v="2"/>
    <x v="0"/>
    <x v="0"/>
    <x v="65"/>
    <x v="1"/>
    <x v="3"/>
    <x v="7"/>
    <x v="184"/>
    <x v="213"/>
    <x v="16"/>
    <n v="220"/>
    <n v="190"/>
    <n v="520"/>
    <n v="116"/>
    <x v="213"/>
    <x v="184"/>
    <x v="201"/>
    <x v="375"/>
    <n v="1.0181818181818181"/>
    <n v="4"/>
    <x v="0"/>
    <n v="188.97894736842105"/>
    <x v="439"/>
    <n v="103596"/>
    <n v="8468"/>
    <n v="4.9766558924631884E-3"/>
    <s v="Dec-12"/>
    <x v="25"/>
    <n v="2.3839285714285716"/>
  </r>
  <r>
    <x v="1"/>
    <n v="54"/>
    <x v="2"/>
    <x v="0"/>
    <x v="0"/>
    <x v="6"/>
    <x v="1"/>
    <x v="2"/>
    <x v="8"/>
    <x v="36"/>
    <x v="33"/>
    <x v="0"/>
    <n v="60"/>
    <n v="90"/>
    <n v="170"/>
    <n v="26"/>
    <x v="33"/>
    <x v="36"/>
    <x v="46"/>
    <x v="47"/>
    <n v="0.9"/>
    <n v="-37"/>
    <x v="0"/>
    <n v="89.411111111111111"/>
    <x v="52"/>
    <n v="7049"/>
    <n v="390"/>
    <n v="2.6566416040100248E-2"/>
    <s v="Dec-12"/>
    <x v="6"/>
    <n v="2.4629629629629628"/>
  </r>
  <r>
    <x v="117"/>
    <n v="247"/>
    <x v="2"/>
    <x v="0"/>
    <x v="0"/>
    <x v="66"/>
    <x v="1"/>
    <x v="2"/>
    <x v="8"/>
    <x v="185"/>
    <x v="171"/>
    <x v="16"/>
    <n v="310"/>
    <n v="320"/>
    <n v="730"/>
    <n v="113"/>
    <x v="171"/>
    <x v="185"/>
    <x v="202"/>
    <x v="126"/>
    <n v="0.79677419354838708"/>
    <n v="-104"/>
    <x v="0"/>
    <n v="319.32499999999999"/>
    <x v="440"/>
    <n v="124416"/>
    <n v="9153"/>
    <n v="4.6296296296296294E-3"/>
    <s v="Dec-12"/>
    <x v="35"/>
    <n v="2.331983805668016"/>
  </r>
  <r>
    <x v="113"/>
    <n v="153"/>
    <x v="2"/>
    <x v="0"/>
    <x v="0"/>
    <x v="22"/>
    <x v="1"/>
    <x v="2"/>
    <x v="8"/>
    <x v="100"/>
    <x v="176"/>
    <x v="18"/>
    <n v="190"/>
    <n v="140"/>
    <n v="390"/>
    <n v="66"/>
    <x v="176"/>
    <x v="100"/>
    <x v="163"/>
    <x v="130"/>
    <n v="0.80526315789473679"/>
    <n v="-53"/>
    <x v="0"/>
    <n v="139.37857142857143"/>
    <x v="377"/>
    <n v="26622"/>
    <n v="2771.9999999999995"/>
    <n v="6.7693744164332402E-3"/>
    <s v="Dec-12"/>
    <x v="34"/>
    <n v="2"/>
  </r>
  <r>
    <x v="0"/>
    <n v="153"/>
    <x v="2"/>
    <x v="0"/>
    <x v="0"/>
    <x v="22"/>
    <x v="0"/>
    <x v="0"/>
    <x v="10"/>
    <x v="100"/>
    <x v="176"/>
    <x v="0"/>
    <n v="140"/>
    <n v="80"/>
    <n v="280"/>
    <n v="66"/>
    <x v="176"/>
    <x v="100"/>
    <x v="163"/>
    <x v="130"/>
    <n v="1.0928571428571427"/>
    <n v="7"/>
    <x v="0"/>
    <n v="78.912499999999994"/>
    <x v="377"/>
    <n v="26622"/>
    <n v="2771.9999999999995"/>
    <n v="6.7693744164332402E-3"/>
    <s v="Dec-12"/>
    <x v="21"/>
    <n v="2"/>
  </r>
  <r>
    <x v="103"/>
    <n v="123"/>
    <x v="2"/>
    <x v="0"/>
    <x v="0"/>
    <x v="38"/>
    <x v="0"/>
    <x v="0"/>
    <x v="10"/>
    <x v="99"/>
    <x v="125"/>
    <x v="16"/>
    <n v="110"/>
    <n v="130"/>
    <n v="280"/>
    <n v="46"/>
    <x v="125"/>
    <x v="99"/>
    <x v="126"/>
    <x v="250"/>
    <n v="1.1181818181818182"/>
    <n v="3"/>
    <x v="0"/>
    <n v="128.97692307692307"/>
    <x v="302"/>
    <n v="40166"/>
    <n v="1564"/>
    <n v="1.2952863264511102E-2"/>
    <s v="Dec-12"/>
    <x v="16"/>
    <n v="2.4552845528455283"/>
  </r>
  <r>
    <x v="89"/>
    <n v="86"/>
    <x v="2"/>
    <x v="0"/>
    <x v="0"/>
    <x v="23"/>
    <x v="0"/>
    <x v="0"/>
    <x v="1"/>
    <x v="97"/>
    <x v="145"/>
    <x v="16"/>
    <n v="80"/>
    <n v="80"/>
    <n v="190"/>
    <n v="36"/>
    <x v="145"/>
    <x v="97"/>
    <x v="43"/>
    <x v="243"/>
    <n v="1.075"/>
    <n v="8"/>
    <x v="0"/>
    <n v="78.900000000000006"/>
    <x v="436"/>
    <n v="18480"/>
    <n v="864"/>
    <n v="1.7460317460317461E-2"/>
    <s v="Dec-12"/>
    <x v="8"/>
    <n v="2.441860465116279"/>
  </r>
  <r>
    <x v="101"/>
    <n v="88"/>
    <x v="2"/>
    <x v="0"/>
    <x v="0"/>
    <x v="39"/>
    <x v="0"/>
    <x v="1"/>
    <x v="2"/>
    <x v="106"/>
    <x v="136"/>
    <x v="18"/>
    <n v="70"/>
    <n v="70"/>
    <n v="180"/>
    <n v="61"/>
    <x v="136"/>
    <x v="106"/>
    <x v="127"/>
    <x v="262"/>
    <n v="1.2571428571428571"/>
    <n v="2"/>
    <x v="0"/>
    <n v="68.971428571428575"/>
    <x v="315"/>
    <n v="15912"/>
    <n v="1769"/>
    <n v="1.1234201903573101E-2"/>
    <s v="Dec-12"/>
    <x v="8"/>
    <n v="2.5113636363636362"/>
  </r>
  <r>
    <x v="113"/>
    <n v="134"/>
    <x v="2"/>
    <x v="0"/>
    <x v="0"/>
    <x v="11"/>
    <x v="0"/>
    <x v="1"/>
    <x v="11"/>
    <x v="109"/>
    <x v="137"/>
    <x v="18"/>
    <n v="110"/>
    <n v="90"/>
    <n v="260"/>
    <n v="65"/>
    <x v="137"/>
    <x v="109"/>
    <x v="133"/>
    <x v="266"/>
    <n v="1.2181818181818183"/>
    <n v="31"/>
    <x v="0"/>
    <n v="88.655555555555551"/>
    <x v="319"/>
    <n v="38720"/>
    <n v="2665"/>
    <n v="9.2225609756097556E-3"/>
    <s v="Dec-12"/>
    <x v="30"/>
    <n v="2.3880597014925371"/>
  </r>
  <r>
    <x v="23"/>
    <n v="81"/>
    <x v="2"/>
    <x v="0"/>
    <x v="0"/>
    <x v="32"/>
    <x v="0"/>
    <x v="1"/>
    <x v="3"/>
    <x v="107"/>
    <x v="86"/>
    <x v="0"/>
    <n v="60"/>
    <n v="60"/>
    <n v="150"/>
    <n v="38"/>
    <x v="86"/>
    <x v="107"/>
    <x v="63"/>
    <x v="264"/>
    <n v="1.35"/>
    <n v="6"/>
    <x v="0"/>
    <n v="58.9"/>
    <x v="317"/>
    <n v="12210"/>
    <n v="988"/>
    <n v="1.372141372141372E-2"/>
    <s v="Dec-12"/>
    <x v="9"/>
    <n v="2.2839506172839505"/>
  </r>
  <r>
    <x v="66"/>
    <n v="10"/>
    <x v="2"/>
    <x v="1"/>
    <x v="0"/>
    <x v="61"/>
    <x v="1"/>
    <x v="3"/>
    <x v="5"/>
    <x v="186"/>
    <x v="214"/>
    <x v="4"/>
    <n v="0"/>
    <n v="10"/>
    <n v="20"/>
    <n v="15"/>
    <x v="214"/>
    <x v="186"/>
    <x v="189"/>
    <x v="128"/>
    <e v="#DIV/0!"/>
    <n v="-11"/>
    <x v="0"/>
    <n v="10.1"/>
    <x v="441"/>
    <n v="-24"/>
    <n v="45"/>
    <n v="-1.3888888888888888E-2"/>
    <s v="Dec-12"/>
    <x v="12"/>
    <n v="2.4"/>
  </r>
  <r>
    <x v="65"/>
    <n v="83"/>
    <x v="2"/>
    <x v="1"/>
    <x v="0"/>
    <x v="15"/>
    <x v="1"/>
    <x v="3"/>
    <x v="5"/>
    <x v="67"/>
    <x v="173"/>
    <x v="13"/>
    <n v="80"/>
    <n v="70"/>
    <n v="190"/>
    <n v="55"/>
    <x v="173"/>
    <x v="67"/>
    <x v="203"/>
    <x v="376"/>
    <n v="1.0375000000000001"/>
    <n v="-13"/>
    <x v="0"/>
    <n v="69.185714285714283"/>
    <x v="442"/>
    <n v="11115"/>
    <n v="1485"/>
    <n v="1.0826210826210826E-2"/>
    <s v="Dec-12"/>
    <x v="11"/>
    <n v="2.3493975903614457"/>
  </r>
  <r>
    <x v="13"/>
    <n v="68"/>
    <x v="2"/>
    <x v="1"/>
    <x v="0"/>
    <x v="26"/>
    <x v="1"/>
    <x v="3"/>
    <x v="7"/>
    <x v="1"/>
    <x v="43"/>
    <x v="12"/>
    <n v="60"/>
    <n v="40"/>
    <n v="150"/>
    <n v="59"/>
    <x v="43"/>
    <x v="1"/>
    <x v="0"/>
    <x v="238"/>
    <n v="1.1333333333333333"/>
    <n v="-14"/>
    <x v="0"/>
    <n v="39.35"/>
    <x v="290"/>
    <n v="3978"/>
    <n v="1475"/>
    <n v="6.7973856209150333E-3"/>
    <s v="Dec-12"/>
    <x v="8"/>
    <n v="2.25"/>
  </r>
  <r>
    <x v="65"/>
    <n v="105"/>
    <x v="2"/>
    <x v="1"/>
    <x v="0"/>
    <x v="44"/>
    <x v="1"/>
    <x v="3"/>
    <x v="7"/>
    <x v="30"/>
    <x v="139"/>
    <x v="13"/>
    <n v="100"/>
    <n v="30"/>
    <n v="240"/>
    <n v="125"/>
    <x v="139"/>
    <x v="30"/>
    <x v="134"/>
    <x v="268"/>
    <n v="1.05"/>
    <n v="-10"/>
    <x v="0"/>
    <n v="29.333333333333332"/>
    <x v="322"/>
    <n v="5000"/>
    <n v="11875"/>
    <n v="8.4210526315789467E-4"/>
    <s v="Dec-12"/>
    <x v="32"/>
    <n v="2.3809523809523809"/>
  </r>
  <r>
    <x v="26"/>
    <n v="50"/>
    <x v="2"/>
    <x v="1"/>
    <x v="0"/>
    <x v="10"/>
    <x v="1"/>
    <x v="2"/>
    <x v="8"/>
    <x v="21"/>
    <x v="1"/>
    <x v="12"/>
    <n v="60"/>
    <n v="70"/>
    <n v="150"/>
    <n v="25"/>
    <x v="1"/>
    <x v="21"/>
    <x v="21"/>
    <x v="23"/>
    <n v="0.83333333333333337"/>
    <n v="-22"/>
    <x v="0"/>
    <n v="69.314285714285717"/>
    <x v="23"/>
    <n v="5904"/>
    <n v="350"/>
    <n v="2.7874564459930314E-2"/>
    <s v="Dec-12"/>
    <x v="6"/>
    <n v="2.46"/>
  </r>
  <r>
    <x v="65"/>
    <n v="80"/>
    <x v="2"/>
    <x v="1"/>
    <x v="0"/>
    <x v="23"/>
    <x v="1"/>
    <x v="2"/>
    <x v="8"/>
    <x v="35"/>
    <x v="37"/>
    <x v="13"/>
    <n v="100"/>
    <n v="80"/>
    <n v="220"/>
    <n v="46"/>
    <x v="37"/>
    <x v="35"/>
    <x v="4"/>
    <x v="44"/>
    <n v="0.8"/>
    <n v="-30"/>
    <x v="0"/>
    <n v="79.375"/>
    <x v="49"/>
    <n v="8800"/>
    <n v="1104"/>
    <n v="1.1837121212121214E-2"/>
    <s v="Dec-12"/>
    <x v="14"/>
    <n v="2.2000000000000002"/>
  </r>
  <r>
    <x v="77"/>
    <n v="247"/>
    <x v="2"/>
    <x v="1"/>
    <x v="0"/>
    <x v="66"/>
    <x v="0"/>
    <x v="0"/>
    <x v="10"/>
    <x v="185"/>
    <x v="171"/>
    <x v="4"/>
    <n v="230"/>
    <n v="200"/>
    <n v="530"/>
    <n v="113"/>
    <x v="171"/>
    <x v="185"/>
    <x v="202"/>
    <x v="126"/>
    <n v="1.0739130434782609"/>
    <n v="16"/>
    <x v="0"/>
    <n v="198.92"/>
    <x v="440"/>
    <n v="124416"/>
    <n v="9153"/>
    <n v="4.6296296296296294E-3"/>
    <s v="Dec-12"/>
    <x v="25"/>
    <n v="2.331983805668016"/>
  </r>
  <r>
    <x v="66"/>
    <n v="127"/>
    <x v="2"/>
    <x v="1"/>
    <x v="0"/>
    <x v="19"/>
    <x v="0"/>
    <x v="0"/>
    <x v="0"/>
    <x v="187"/>
    <x v="211"/>
    <x v="4"/>
    <n v="120"/>
    <n v="120"/>
    <n v="290"/>
    <n v="62"/>
    <x v="211"/>
    <x v="187"/>
    <x v="204"/>
    <x v="377"/>
    <n v="1.0583333333333333"/>
    <n v="3"/>
    <x v="0"/>
    <n v="118.97499999999999"/>
    <x v="443"/>
    <n v="38376"/>
    <n v="2480"/>
    <n v="9.8557692307692322E-3"/>
    <s v="Dec-12"/>
    <x v="30"/>
    <n v="2.4566929133858268"/>
  </r>
  <r>
    <x v="77"/>
    <n v="250"/>
    <x v="2"/>
    <x v="1"/>
    <x v="0"/>
    <x v="57"/>
    <x v="0"/>
    <x v="1"/>
    <x v="2"/>
    <x v="129"/>
    <x v="212"/>
    <x v="4"/>
    <n v="210"/>
    <n v="120"/>
    <n v="410"/>
    <n v="95"/>
    <x v="212"/>
    <x v="129"/>
    <x v="164"/>
    <x v="378"/>
    <n v="1.1904761904761905"/>
    <n v="36"/>
    <x v="0"/>
    <n v="118.7"/>
    <x v="444"/>
    <n v="78156"/>
    <n v="6650"/>
    <n v="4.4482463644140297E-3"/>
    <s v="Dec-12"/>
    <x v="40"/>
    <n v="2.004"/>
  </r>
  <r>
    <x v="77"/>
    <n v="294"/>
    <x v="2"/>
    <x v="1"/>
    <x v="0"/>
    <x v="58"/>
    <x v="0"/>
    <x v="1"/>
    <x v="11"/>
    <x v="185"/>
    <x v="215"/>
    <x v="4"/>
    <n v="240"/>
    <n v="170"/>
    <n v="540"/>
    <n v="144"/>
    <x v="215"/>
    <x v="185"/>
    <x v="165"/>
    <x v="379"/>
    <n v="1.2250000000000001"/>
    <n v="46"/>
    <x v="0"/>
    <n v="168.72941176470587"/>
    <x v="445"/>
    <n v="141264"/>
    <n v="15984"/>
    <n v="2.9754525167369206E-3"/>
    <s v="Dec-12"/>
    <x v="31"/>
    <n v="2.2244897959183674"/>
  </r>
  <r>
    <x v="13"/>
    <n v="20"/>
    <x v="2"/>
    <x v="1"/>
    <x v="0"/>
    <x v="7"/>
    <x v="0"/>
    <x v="1"/>
    <x v="11"/>
    <x v="86"/>
    <x v="117"/>
    <x v="12"/>
    <n v="10"/>
    <n v="-10"/>
    <n v="30"/>
    <n v="41"/>
    <x v="117"/>
    <x v="86"/>
    <x v="8"/>
    <x v="223"/>
    <n v="2"/>
    <n v="-6"/>
    <x v="0"/>
    <n v="-11.6"/>
    <x v="266"/>
    <n v="-720"/>
    <n v="287"/>
    <n v="-5.0793650793650794E-2"/>
    <s v="Dec-12"/>
    <x v="1"/>
    <n v="2.25"/>
  </r>
  <r>
    <x v="23"/>
    <n v="108"/>
    <x v="3"/>
    <x v="0"/>
    <x v="0"/>
    <x v="30"/>
    <x v="1"/>
    <x v="3"/>
    <x v="5"/>
    <x v="188"/>
    <x v="185"/>
    <x v="0"/>
    <n v="100"/>
    <n v="150"/>
    <n v="260"/>
    <n v="41"/>
    <x v="185"/>
    <x v="188"/>
    <x v="60"/>
    <x v="380"/>
    <n v="1.08"/>
    <n v="22"/>
    <x v="0"/>
    <n v="148.85333333333332"/>
    <x v="446"/>
    <n v="48504"/>
    <n v="1230"/>
    <n v="2.0330969267139481E-2"/>
    <s v="Oct-13"/>
    <x v="8"/>
    <n v="2.6111111111111112"/>
  </r>
  <r>
    <x v="117"/>
    <n v="122"/>
    <x v="3"/>
    <x v="0"/>
    <x v="0"/>
    <x v="59"/>
    <x v="1"/>
    <x v="3"/>
    <x v="5"/>
    <x v="127"/>
    <x v="216"/>
    <x v="16"/>
    <n v="110"/>
    <n v="160"/>
    <n v="300"/>
    <n v="61"/>
    <x v="216"/>
    <x v="127"/>
    <x v="77"/>
    <x v="381"/>
    <n v="1.1090909090909091"/>
    <n v="11"/>
    <x v="0"/>
    <n v="158.93125000000001"/>
    <x v="447"/>
    <n v="54378"/>
    <n v="2379"/>
    <n v="1.3788098693759073E-2"/>
    <s v="Oct-13"/>
    <x v="14"/>
    <n v="2.6065573770491803"/>
  </r>
  <r>
    <x v="1"/>
    <n v="72"/>
    <x v="3"/>
    <x v="0"/>
    <x v="0"/>
    <x v="4"/>
    <x v="1"/>
    <x v="2"/>
    <x v="4"/>
    <x v="42"/>
    <x v="47"/>
    <x v="0"/>
    <n v="100"/>
    <n v="130"/>
    <n v="260"/>
    <n v="54"/>
    <x v="47"/>
    <x v="42"/>
    <x v="54"/>
    <x v="64"/>
    <n v="0.72"/>
    <n v="-47"/>
    <x v="0"/>
    <n v="129.36153846153846"/>
    <x v="68"/>
    <n v="16102"/>
    <n v="1242"/>
    <n v="1.8601523980277902E-2"/>
    <s v="Oct-13"/>
    <x v="13"/>
    <n v="2.6944444444444446"/>
  </r>
  <r>
    <x v="68"/>
    <n v="239"/>
    <x v="3"/>
    <x v="0"/>
    <x v="0"/>
    <x v="49"/>
    <x v="1"/>
    <x v="2"/>
    <x v="4"/>
    <x v="189"/>
    <x v="217"/>
    <x v="16"/>
    <n v="340"/>
    <n v="300"/>
    <n v="710"/>
    <n v="90"/>
    <x v="217"/>
    <x v="189"/>
    <x v="205"/>
    <x v="382"/>
    <n v="0.70294117647058818"/>
    <n v="-79"/>
    <x v="0"/>
    <n v="299.26333333333332"/>
    <x v="448"/>
    <n v="112489"/>
    <n v="5940"/>
    <n v="6.578555694469251E-3"/>
    <s v="Oct-13"/>
    <x v="35"/>
    <n v="2.1297071129707112"/>
  </r>
  <r>
    <x v="83"/>
    <n v="54"/>
    <x v="3"/>
    <x v="0"/>
    <x v="0"/>
    <x v="14"/>
    <x v="1"/>
    <x v="2"/>
    <x v="4"/>
    <x v="47"/>
    <x v="51"/>
    <x v="18"/>
    <n v="70"/>
    <n v="70"/>
    <n v="170"/>
    <n v="54"/>
    <x v="51"/>
    <x v="47"/>
    <x v="60"/>
    <x v="73"/>
    <n v="0.77142857142857146"/>
    <n v="-52"/>
    <x v="0"/>
    <n v="69.742857142857147"/>
    <x v="78"/>
    <n v="2304"/>
    <n v="1080"/>
    <n v="7.0312500000000002E-3"/>
    <s v="Oct-13"/>
    <x v="10"/>
    <n v="2.3703703703703702"/>
  </r>
  <r>
    <x v="23"/>
    <n v="123"/>
    <x v="3"/>
    <x v="0"/>
    <x v="0"/>
    <x v="38"/>
    <x v="1"/>
    <x v="3"/>
    <x v="6"/>
    <x v="111"/>
    <x v="141"/>
    <x v="0"/>
    <n v="120"/>
    <n v="160"/>
    <n v="300"/>
    <n v="46"/>
    <x v="141"/>
    <x v="111"/>
    <x v="61"/>
    <x v="270"/>
    <n v="1.0249999999999999"/>
    <n v="37"/>
    <x v="0"/>
    <n v="158.76875000000001"/>
    <x v="324"/>
    <n v="63434"/>
    <n v="1564"/>
    <n v="1.7994154183412495E-2"/>
    <s v="Oct-13"/>
    <x v="14"/>
    <n v="2.6178861788617884"/>
  </r>
  <r>
    <x v="117"/>
    <n v="154"/>
    <x v="3"/>
    <x v="0"/>
    <x v="0"/>
    <x v="52"/>
    <x v="1"/>
    <x v="3"/>
    <x v="7"/>
    <x v="190"/>
    <x v="218"/>
    <x v="16"/>
    <n v="150"/>
    <n v="160"/>
    <n v="370"/>
    <n v="93"/>
    <x v="218"/>
    <x v="190"/>
    <x v="128"/>
    <x v="383"/>
    <n v="1.0266666666666666"/>
    <n v="18"/>
    <x v="0"/>
    <n v="158.88749999999999"/>
    <x v="449"/>
    <n v="69598"/>
    <n v="4650"/>
    <n v="9.1048593350383632E-3"/>
    <s v="Oct-13"/>
    <x v="32"/>
    <n v="2.5389610389610389"/>
  </r>
  <r>
    <x v="1"/>
    <n v="76"/>
    <x v="3"/>
    <x v="0"/>
    <x v="0"/>
    <x v="28"/>
    <x v="1"/>
    <x v="2"/>
    <x v="8"/>
    <x v="73"/>
    <x v="87"/>
    <x v="0"/>
    <n v="100"/>
    <n v="170"/>
    <n v="280"/>
    <n v="32"/>
    <x v="87"/>
    <x v="73"/>
    <x v="90"/>
    <x v="141"/>
    <n v="0.76"/>
    <n v="-53"/>
    <x v="0"/>
    <n v="169.31176470588235"/>
    <x v="158"/>
    <n v="23283"/>
    <n v="672"/>
    <n v="2.7997128499641061E-2"/>
    <s v="Oct-13"/>
    <x v="8"/>
    <n v="2.6184210526315788"/>
  </r>
  <r>
    <x v="82"/>
    <n v="257"/>
    <x v="3"/>
    <x v="0"/>
    <x v="0"/>
    <x v="60"/>
    <x v="1"/>
    <x v="2"/>
    <x v="8"/>
    <x v="191"/>
    <x v="219"/>
    <x v="16"/>
    <n v="370"/>
    <n v="420"/>
    <n v="890"/>
    <n v="117"/>
    <x v="219"/>
    <x v="191"/>
    <x v="206"/>
    <x v="384"/>
    <n v="0.69459459459459461"/>
    <n v="-88"/>
    <x v="0"/>
    <n v="419.20952380952383"/>
    <x v="450"/>
    <n v="211484"/>
    <n v="9828"/>
    <n v="6.2046796740674297E-3"/>
    <s v="Oct-13"/>
    <x v="36"/>
    <n v="2.4785992217898833"/>
  </r>
  <r>
    <x v="101"/>
    <n v="161"/>
    <x v="3"/>
    <x v="0"/>
    <x v="0"/>
    <x v="48"/>
    <x v="1"/>
    <x v="2"/>
    <x v="8"/>
    <x v="154"/>
    <x v="182"/>
    <x v="18"/>
    <n v="230"/>
    <n v="190"/>
    <n v="470"/>
    <n v="69"/>
    <x v="182"/>
    <x v="154"/>
    <x v="170"/>
    <x v="327"/>
    <n v="0.7"/>
    <n v="-53"/>
    <x v="0"/>
    <n v="189.27894736842106"/>
    <x v="386"/>
    <n v="46991"/>
    <n v="3105"/>
    <n v="8.875931324910916E-3"/>
    <s v="Oct-13"/>
    <x v="29"/>
    <n v="2.1304347826086958"/>
  </r>
  <r>
    <x v="43"/>
    <n v="161"/>
    <x v="3"/>
    <x v="0"/>
    <x v="0"/>
    <x v="48"/>
    <x v="0"/>
    <x v="0"/>
    <x v="10"/>
    <x v="154"/>
    <x v="182"/>
    <x v="0"/>
    <n v="120"/>
    <n v="110"/>
    <n v="260"/>
    <n v="69"/>
    <x v="182"/>
    <x v="154"/>
    <x v="170"/>
    <x v="327"/>
    <n v="1.3416666666666666"/>
    <n v="27"/>
    <x v="0"/>
    <n v="108.75454545454545"/>
    <x v="386"/>
    <n v="46991"/>
    <n v="3105"/>
    <n v="8.875931324910916E-3"/>
    <s v="Oct-13"/>
    <x v="16"/>
    <n v="2.1304347826086958"/>
  </r>
  <r>
    <x v="52"/>
    <n v="123"/>
    <x v="3"/>
    <x v="0"/>
    <x v="0"/>
    <x v="38"/>
    <x v="0"/>
    <x v="0"/>
    <x v="10"/>
    <x v="111"/>
    <x v="141"/>
    <x v="16"/>
    <n v="90"/>
    <n v="140"/>
    <n v="240"/>
    <n v="46"/>
    <x v="141"/>
    <x v="111"/>
    <x v="61"/>
    <x v="270"/>
    <n v="1.3666666666666667"/>
    <n v="57"/>
    <x v="0"/>
    <n v="138.59285714285716"/>
    <x v="324"/>
    <n v="63434"/>
    <n v="1564"/>
    <n v="1.7994154183412495E-2"/>
    <s v="Oct-13"/>
    <x v="10"/>
    <n v="2.6178861788617884"/>
  </r>
  <r>
    <x v="117"/>
    <n v="108"/>
    <x v="3"/>
    <x v="0"/>
    <x v="0"/>
    <x v="30"/>
    <x v="0"/>
    <x v="0"/>
    <x v="1"/>
    <x v="188"/>
    <x v="185"/>
    <x v="16"/>
    <n v="80"/>
    <n v="120"/>
    <n v="210"/>
    <n v="41"/>
    <x v="185"/>
    <x v="188"/>
    <x v="60"/>
    <x v="380"/>
    <n v="1.35"/>
    <n v="52"/>
    <x v="0"/>
    <n v="118.56666666666666"/>
    <x v="446"/>
    <n v="48504"/>
    <n v="1230"/>
    <n v="2.0330969267139481E-2"/>
    <s v="Oct-13"/>
    <x v="9"/>
    <n v="2.6111111111111112"/>
  </r>
  <r>
    <x v="83"/>
    <n v="82"/>
    <x v="3"/>
    <x v="0"/>
    <x v="0"/>
    <x v="15"/>
    <x v="0"/>
    <x v="1"/>
    <x v="2"/>
    <x v="96"/>
    <x v="18"/>
    <x v="18"/>
    <n v="50"/>
    <n v="60"/>
    <n v="140"/>
    <n v="58"/>
    <x v="18"/>
    <x v="96"/>
    <x v="43"/>
    <x v="240"/>
    <n v="1.64"/>
    <n v="36"/>
    <x v="0"/>
    <n v="58.4"/>
    <x v="292"/>
    <n v="20928"/>
    <n v="1566"/>
    <n v="1.6309887869520895E-2"/>
    <s v="Oct-13"/>
    <x v="6"/>
    <n v="2.6585365853658538"/>
  </r>
  <r>
    <x v="83"/>
    <n v="91"/>
    <x v="3"/>
    <x v="0"/>
    <x v="0"/>
    <x v="16"/>
    <x v="0"/>
    <x v="1"/>
    <x v="11"/>
    <x v="52"/>
    <x v="54"/>
    <x v="18"/>
    <n v="50"/>
    <n v="80"/>
    <n v="150"/>
    <n v="51"/>
    <x v="54"/>
    <x v="52"/>
    <x v="63"/>
    <x v="79"/>
    <n v="1.82"/>
    <n v="33"/>
    <x v="0"/>
    <n v="78.587500000000006"/>
    <x v="84"/>
    <n v="26216"/>
    <n v="1428"/>
    <n v="1.7395320197044335E-2"/>
    <s v="Oct-13"/>
    <x v="7"/>
    <n v="2.5494505494505493"/>
  </r>
  <r>
    <x v="1"/>
    <n v="90"/>
    <x v="3"/>
    <x v="0"/>
    <x v="0"/>
    <x v="39"/>
    <x v="0"/>
    <x v="1"/>
    <x v="3"/>
    <x v="112"/>
    <x v="18"/>
    <x v="0"/>
    <n v="50"/>
    <n v="80"/>
    <n v="140"/>
    <n v="41"/>
    <x v="18"/>
    <x v="112"/>
    <x v="13"/>
    <x v="271"/>
    <n v="1.8"/>
    <n v="30"/>
    <x v="0"/>
    <n v="78.625"/>
    <x v="234"/>
    <n v="23980"/>
    <n v="1189"/>
    <n v="1.7399557102182852E-2"/>
    <s v="Oct-13"/>
    <x v="0"/>
    <n v="2.4222222222222221"/>
  </r>
  <r>
    <x v="77"/>
    <n v="10"/>
    <x v="3"/>
    <x v="1"/>
    <x v="0"/>
    <x v="61"/>
    <x v="1"/>
    <x v="3"/>
    <x v="5"/>
    <x v="37"/>
    <x v="220"/>
    <x v="4"/>
    <n v="0"/>
    <n v="10"/>
    <n v="10"/>
    <n v="15"/>
    <x v="220"/>
    <x v="37"/>
    <x v="207"/>
    <x v="160"/>
    <e v="#DIV/0!"/>
    <n v="-13"/>
    <x v="0"/>
    <n v="10.3"/>
    <x v="451"/>
    <n v="-75"/>
    <n v="45"/>
    <n v="-0.04"/>
    <s v="Oct-13"/>
    <x v="4"/>
    <n v="2.5"/>
  </r>
  <r>
    <x v="41"/>
    <n v="86"/>
    <x v="3"/>
    <x v="1"/>
    <x v="0"/>
    <x v="16"/>
    <x v="1"/>
    <x v="3"/>
    <x v="5"/>
    <x v="192"/>
    <x v="179"/>
    <x v="13"/>
    <n v="80"/>
    <n v="100"/>
    <n v="200"/>
    <n v="55"/>
    <x v="179"/>
    <x v="192"/>
    <x v="124"/>
    <x v="170"/>
    <n v="1.075"/>
    <n v="-9"/>
    <x v="0"/>
    <n v="99.09"/>
    <x v="452"/>
    <n v="19565"/>
    <n v="1540"/>
    <n v="1.5116279069767442E-2"/>
    <s v="Oct-13"/>
    <x v="10"/>
    <n v="2.5"/>
  </r>
  <r>
    <x v="13"/>
    <n v="79"/>
    <x v="3"/>
    <x v="1"/>
    <x v="0"/>
    <x v="30"/>
    <x v="1"/>
    <x v="3"/>
    <x v="7"/>
    <x v="33"/>
    <x v="90"/>
    <x v="12"/>
    <n v="70"/>
    <n v="70"/>
    <n v="170"/>
    <n v="63"/>
    <x v="90"/>
    <x v="33"/>
    <x v="52"/>
    <x v="385"/>
    <n v="1.1285714285714286"/>
    <n v="-18"/>
    <x v="0"/>
    <n v="69.257142857142853"/>
    <x v="453"/>
    <n v="9828"/>
    <n v="1890"/>
    <n v="9.1710758377425046E-3"/>
    <s v="Oct-13"/>
    <x v="10"/>
    <n v="2.3924050632911391"/>
  </r>
  <r>
    <x v="112"/>
    <n v="96"/>
    <x v="3"/>
    <x v="1"/>
    <x v="0"/>
    <x v="41"/>
    <x v="1"/>
    <x v="3"/>
    <x v="7"/>
    <x v="22"/>
    <x v="132"/>
    <x v="13"/>
    <n v="90"/>
    <n v="60"/>
    <n v="230"/>
    <n v="116"/>
    <x v="132"/>
    <x v="22"/>
    <x v="168"/>
    <x v="325"/>
    <n v="1.0666666666666667"/>
    <n v="-33"/>
    <x v="0"/>
    <n v="59.55"/>
    <x v="371"/>
    <n v="6615"/>
    <n v="10092"/>
    <n v="1.2667135819845179E-3"/>
    <s v="Oct-13"/>
    <x v="30"/>
    <n v="2.5520833333333335"/>
  </r>
  <r>
    <x v="13"/>
    <n v="40"/>
    <x v="3"/>
    <x v="1"/>
    <x v="0"/>
    <x v="9"/>
    <x v="1"/>
    <x v="2"/>
    <x v="8"/>
    <x v="36"/>
    <x v="28"/>
    <x v="12"/>
    <n v="50"/>
    <n v="90"/>
    <n v="140"/>
    <n v="23"/>
    <x v="28"/>
    <x v="36"/>
    <x v="62"/>
    <x v="77"/>
    <n v="0.8"/>
    <n v="-37"/>
    <x v="0"/>
    <n v="89.411111111111111"/>
    <x v="82"/>
    <n v="5618"/>
    <n v="253"/>
    <n v="4.5454545454545456E-2"/>
    <s v="Oct-13"/>
    <x v="2"/>
    <n v="2.65"/>
  </r>
  <r>
    <x v="14"/>
    <n v="80"/>
    <x v="3"/>
    <x v="1"/>
    <x v="0"/>
    <x v="23"/>
    <x v="1"/>
    <x v="2"/>
    <x v="8"/>
    <x v="53"/>
    <x v="86"/>
    <x v="13"/>
    <n v="110"/>
    <n v="120"/>
    <n v="250"/>
    <n v="46"/>
    <x v="86"/>
    <x v="53"/>
    <x v="35"/>
    <x v="139"/>
    <n v="0.72727272727272729"/>
    <n v="-49"/>
    <x v="0"/>
    <n v="119.40833333333333"/>
    <x v="154"/>
    <n v="13135"/>
    <n v="1104"/>
    <n v="1.5990990990990991E-2"/>
    <s v="Oct-13"/>
    <x v="13"/>
    <n v="2.3125"/>
  </r>
  <r>
    <x v="66"/>
    <n v="257"/>
    <x v="3"/>
    <x v="1"/>
    <x v="0"/>
    <x v="60"/>
    <x v="0"/>
    <x v="0"/>
    <x v="10"/>
    <x v="191"/>
    <x v="219"/>
    <x v="4"/>
    <n v="200"/>
    <n v="210"/>
    <n v="480"/>
    <n v="117"/>
    <x v="219"/>
    <x v="191"/>
    <x v="206"/>
    <x v="384"/>
    <n v="1.2849999999999999"/>
    <n v="122"/>
    <x v="0"/>
    <n v="208.41904761904763"/>
    <x v="450"/>
    <n v="211484"/>
    <n v="9828"/>
    <n v="6.2046796740674297E-3"/>
    <s v="Oct-13"/>
    <x v="24"/>
    <n v="2.4785992217898833"/>
  </r>
  <r>
    <x v="74"/>
    <n v="122"/>
    <x v="3"/>
    <x v="1"/>
    <x v="0"/>
    <x v="59"/>
    <x v="0"/>
    <x v="0"/>
    <x v="0"/>
    <x v="193"/>
    <x v="216"/>
    <x v="4"/>
    <n v="90"/>
    <n v="130"/>
    <n v="240"/>
    <n v="62"/>
    <x v="216"/>
    <x v="193"/>
    <x v="127"/>
    <x v="386"/>
    <n v="1.3555555555555556"/>
    <n v="39"/>
    <x v="0"/>
    <n v="128.69999999999999"/>
    <x v="454"/>
    <n v="53742"/>
    <n v="2418"/>
    <n v="1.3626834381551363E-2"/>
    <s v="Oct-13"/>
    <x v="8"/>
    <n v="2.6065573770491803"/>
  </r>
  <r>
    <x v="40"/>
    <n v="86"/>
    <x v="3"/>
    <x v="1"/>
    <x v="0"/>
    <x v="32"/>
    <x v="0"/>
    <x v="0"/>
    <x v="0"/>
    <x v="81"/>
    <x v="52"/>
    <x v="12"/>
    <n v="60"/>
    <n v="10"/>
    <n v="80"/>
    <n v="49"/>
    <x v="52"/>
    <x v="81"/>
    <x v="109"/>
    <x v="175"/>
    <n v="1.4333333333333333"/>
    <n v="-49"/>
    <x v="0"/>
    <n v="13.9"/>
    <x v="202"/>
    <n v="-4524"/>
    <n v="1274"/>
    <n v="-1.2931034482758621E-2"/>
    <s v="Oct-13"/>
    <x v="7"/>
    <n v="1.3488372093023255"/>
  </r>
  <r>
    <x v="74"/>
    <n v="239"/>
    <x v="3"/>
    <x v="1"/>
    <x v="0"/>
    <x v="49"/>
    <x v="0"/>
    <x v="1"/>
    <x v="2"/>
    <x v="189"/>
    <x v="217"/>
    <x v="4"/>
    <n v="170"/>
    <n v="110"/>
    <n v="340"/>
    <n v="90"/>
    <x v="217"/>
    <x v="189"/>
    <x v="205"/>
    <x v="382"/>
    <n v="1.4058823529411764"/>
    <n v="111"/>
    <x v="0"/>
    <n v="107.99090909090908"/>
    <x v="448"/>
    <n v="112489"/>
    <n v="5940"/>
    <n v="6.578555694469251E-3"/>
    <s v="Oct-13"/>
    <x v="28"/>
    <n v="2.1297071129707112"/>
  </r>
  <r>
    <x v="74"/>
    <n v="255"/>
    <x v="3"/>
    <x v="1"/>
    <x v="0"/>
    <x v="50"/>
    <x v="0"/>
    <x v="1"/>
    <x v="11"/>
    <x v="194"/>
    <x v="221"/>
    <x v="4"/>
    <n v="170"/>
    <n v="130"/>
    <n v="400"/>
    <n v="129"/>
    <x v="221"/>
    <x v="194"/>
    <x v="208"/>
    <x v="136"/>
    <n v="1.5"/>
    <n v="142"/>
    <x v="0"/>
    <n v="127.9076923076923"/>
    <x v="455"/>
    <n v="164288"/>
    <n v="12384"/>
    <n v="4.690949227373069E-3"/>
    <s v="Oct-13"/>
    <x v="24"/>
    <n v="2.3686274509803922"/>
  </r>
  <r>
    <x v="13"/>
    <n v="25"/>
    <x v="3"/>
    <x v="1"/>
    <x v="0"/>
    <x v="8"/>
    <x v="0"/>
    <x v="1"/>
    <x v="11"/>
    <x v="86"/>
    <x v="94"/>
    <x v="12"/>
    <n v="10"/>
    <n v="0"/>
    <n v="30"/>
    <n v="42"/>
    <x v="94"/>
    <x v="86"/>
    <x v="82"/>
    <x v="387"/>
    <n v="2.5"/>
    <n v="-16"/>
    <x v="0"/>
    <e v="#DIV/0!"/>
    <x v="456"/>
    <n v="-960"/>
    <n v="378"/>
    <n v="-2.9629629629629627E-2"/>
    <s v="Oct-13"/>
    <x v="3"/>
    <n v="2.4"/>
  </r>
  <r>
    <x v="43"/>
    <n v="81"/>
    <x v="4"/>
    <x v="0"/>
    <x v="0"/>
    <x v="34"/>
    <x v="1"/>
    <x v="3"/>
    <x v="5"/>
    <x v="166"/>
    <x v="192"/>
    <x v="0"/>
    <n v="80"/>
    <n v="80"/>
    <n v="190"/>
    <n v="33"/>
    <x v="192"/>
    <x v="166"/>
    <x v="32"/>
    <x v="341"/>
    <n v="1.0125"/>
    <n v="45"/>
    <x v="0"/>
    <n v="78.4375"/>
    <x v="401"/>
    <n v="26375"/>
    <n v="726"/>
    <n v="2.6928048255062471E-2"/>
    <s v="Nov-13"/>
    <x v="8"/>
    <n v="2.6049382716049383"/>
  </r>
  <r>
    <x v="24"/>
    <n v="113"/>
    <x v="4"/>
    <x v="0"/>
    <x v="0"/>
    <x v="62"/>
    <x v="1"/>
    <x v="3"/>
    <x v="5"/>
    <x v="183"/>
    <x v="222"/>
    <x v="16"/>
    <n v="110"/>
    <n v="110"/>
    <n v="270"/>
    <n v="59"/>
    <x v="222"/>
    <x v="183"/>
    <x v="92"/>
    <x v="388"/>
    <n v="1.0272727272727273"/>
    <n v="47"/>
    <x v="0"/>
    <n v="108.57272727272728"/>
    <x v="457"/>
    <n v="46472"/>
    <n v="2124"/>
    <n v="1.4733483483483483E-2"/>
    <s v="Nov-13"/>
    <x v="17"/>
    <n v="2.6194690265486726"/>
  </r>
  <r>
    <x v="1"/>
    <n v="75"/>
    <x v="4"/>
    <x v="0"/>
    <x v="0"/>
    <x v="23"/>
    <x v="1"/>
    <x v="2"/>
    <x v="4"/>
    <x v="89"/>
    <x v="123"/>
    <x v="0"/>
    <n v="90"/>
    <n v="100"/>
    <n v="240"/>
    <n v="56"/>
    <x v="123"/>
    <x v="89"/>
    <x v="14"/>
    <x v="389"/>
    <n v="0.83333333333333337"/>
    <n v="-14"/>
    <x v="0"/>
    <n v="99.14"/>
    <x v="458"/>
    <n v="17286"/>
    <n v="1344"/>
    <n v="1.7827529021558874E-2"/>
    <s v="Nov-13"/>
    <x v="14"/>
    <n v="2.68"/>
  </r>
  <r>
    <x v="24"/>
    <n v="211"/>
    <x v="4"/>
    <x v="0"/>
    <x v="0"/>
    <x v="53"/>
    <x v="1"/>
    <x v="2"/>
    <x v="4"/>
    <x v="156"/>
    <x v="223"/>
    <x v="16"/>
    <n v="270"/>
    <n v="200"/>
    <n v="540"/>
    <n v="83"/>
    <x v="223"/>
    <x v="156"/>
    <x v="209"/>
    <x v="390"/>
    <n v="0.78148148148148144"/>
    <n v="-9"/>
    <x v="0"/>
    <n v="199.04499999999999"/>
    <x v="459"/>
    <n v="86141"/>
    <n v="4897"/>
    <n v="7.1780224735991573E-3"/>
    <s v="Nov-13"/>
    <x v="37"/>
    <n v="2.1374407582938391"/>
  </r>
  <r>
    <x v="23"/>
    <n v="118"/>
    <x v="4"/>
    <x v="0"/>
    <x v="0"/>
    <x v="40"/>
    <x v="1"/>
    <x v="3"/>
    <x v="6"/>
    <x v="195"/>
    <x v="144"/>
    <x v="0"/>
    <n v="110"/>
    <n v="130"/>
    <n v="280"/>
    <n v="44"/>
    <x v="144"/>
    <x v="195"/>
    <x v="63"/>
    <x v="391"/>
    <n v="1.0727272727272728"/>
    <n v="60"/>
    <x v="0"/>
    <n v="128.53846153846155"/>
    <x v="460"/>
    <n v="58710"/>
    <n v="1452"/>
    <n v="1.8632931254290479E-2"/>
    <s v="Nov-13"/>
    <x v="16"/>
    <n v="2.6186440677966103"/>
  </r>
  <r>
    <x v="117"/>
    <n v="173"/>
    <x v="4"/>
    <x v="0"/>
    <x v="0"/>
    <x v="63"/>
    <x v="1"/>
    <x v="3"/>
    <x v="7"/>
    <x v="196"/>
    <x v="224"/>
    <x v="16"/>
    <n v="170"/>
    <n v="140"/>
    <n v="400"/>
    <n v="100"/>
    <x v="224"/>
    <x v="196"/>
    <x v="210"/>
    <x v="392"/>
    <n v="1.0176470588235293"/>
    <n v="66"/>
    <x v="0"/>
    <n v="138.52857142857144"/>
    <x v="461"/>
    <n v="90434"/>
    <n v="5700"/>
    <n v="8.2324261679255096E-3"/>
    <s v="Nov-13"/>
    <x v="38"/>
    <n v="2.5375722543352599"/>
  </r>
  <r>
    <x v="0"/>
    <n v="50"/>
    <x v="4"/>
    <x v="0"/>
    <x v="0"/>
    <x v="10"/>
    <x v="1"/>
    <x v="2"/>
    <x v="8"/>
    <x v="53"/>
    <x v="41"/>
    <x v="0"/>
    <n v="60"/>
    <n v="70"/>
    <n v="150"/>
    <n v="25"/>
    <x v="41"/>
    <x v="53"/>
    <x v="64"/>
    <x v="80"/>
    <n v="0.83333333333333337"/>
    <n v="1"/>
    <x v="0"/>
    <n v="68.98571428571428"/>
    <x v="86"/>
    <n v="9301"/>
    <n v="350"/>
    <n v="3.8713195201744821E-2"/>
    <s v="Nov-13"/>
    <x v="6"/>
    <n v="2.62"/>
  </r>
  <r>
    <x v="89"/>
    <n v="228"/>
    <x v="4"/>
    <x v="0"/>
    <x v="0"/>
    <x v="64"/>
    <x v="1"/>
    <x v="2"/>
    <x v="8"/>
    <x v="197"/>
    <x v="205"/>
    <x v="16"/>
    <n v="290"/>
    <n v="290"/>
    <n v="680"/>
    <n v="108"/>
    <x v="205"/>
    <x v="197"/>
    <x v="211"/>
    <x v="393"/>
    <n v="0.78620689655172415"/>
    <n v="1"/>
    <x v="0"/>
    <n v="288.99655172413793"/>
    <x v="462"/>
    <n v="164997"/>
    <n v="8100"/>
    <n v="6.8430335097001763E-3"/>
    <s v="Nov-13"/>
    <x v="39"/>
    <n v="2.486842105263158"/>
  </r>
  <r>
    <x v="104"/>
    <n v="181"/>
    <x v="4"/>
    <x v="0"/>
    <x v="0"/>
    <x v="52"/>
    <x v="1"/>
    <x v="2"/>
    <x v="8"/>
    <x v="198"/>
    <x v="189"/>
    <x v="18"/>
    <n v="230"/>
    <n v="170"/>
    <n v="460"/>
    <n v="75"/>
    <x v="189"/>
    <x v="198"/>
    <x v="212"/>
    <x v="394"/>
    <n v="0.78695652173913044"/>
    <n v="-11"/>
    <x v="0"/>
    <n v="169.06470588235294"/>
    <x v="463"/>
    <n v="61533"/>
    <n v="3750"/>
    <n v="8.2170542635658927E-3"/>
    <s v="Nov-13"/>
    <x v="40"/>
    <n v="2.1381215469613259"/>
  </r>
  <r>
    <x v="1"/>
    <n v="181"/>
    <x v="4"/>
    <x v="0"/>
    <x v="0"/>
    <x v="52"/>
    <x v="0"/>
    <x v="0"/>
    <x v="10"/>
    <x v="198"/>
    <x v="189"/>
    <x v="0"/>
    <n v="170"/>
    <n v="100"/>
    <n v="330"/>
    <n v="75"/>
    <x v="189"/>
    <x v="198"/>
    <x v="212"/>
    <x v="394"/>
    <n v="1.0647058823529412"/>
    <n v="59"/>
    <x v="0"/>
    <n v="98.41"/>
    <x v="463"/>
    <n v="61533"/>
    <n v="3750"/>
    <n v="8.2170542635658927E-3"/>
    <s v="Nov-13"/>
    <x v="28"/>
    <n v="2.1381215469613259"/>
  </r>
  <r>
    <x v="52"/>
    <n v="118"/>
    <x v="4"/>
    <x v="0"/>
    <x v="0"/>
    <x v="40"/>
    <x v="0"/>
    <x v="0"/>
    <x v="10"/>
    <x v="105"/>
    <x v="144"/>
    <x v="16"/>
    <n v="110"/>
    <n v="110"/>
    <n v="260"/>
    <n v="45"/>
    <x v="144"/>
    <x v="105"/>
    <x v="72"/>
    <x v="275"/>
    <n v="1.0727272727272728"/>
    <n v="78"/>
    <x v="0"/>
    <n v="108.2909090909091"/>
    <x v="327"/>
    <n v="58092"/>
    <n v="1485"/>
    <n v="1.8436795135824264E-2"/>
    <s v="Nov-13"/>
    <x v="16"/>
    <n v="2.6186440677966103"/>
  </r>
  <r>
    <x v="52"/>
    <n v="81"/>
    <x v="4"/>
    <x v="0"/>
    <x v="0"/>
    <x v="34"/>
    <x v="0"/>
    <x v="0"/>
    <x v="1"/>
    <x v="166"/>
    <x v="192"/>
    <x v="16"/>
    <n v="70"/>
    <n v="80"/>
    <n v="180"/>
    <n v="33"/>
    <x v="192"/>
    <x v="166"/>
    <x v="32"/>
    <x v="341"/>
    <n v="1.1571428571428573"/>
    <n v="45"/>
    <x v="0"/>
    <n v="78.4375"/>
    <x v="401"/>
    <n v="26375"/>
    <n v="726"/>
    <n v="2.6928048255062471E-2"/>
    <s v="Nov-13"/>
    <x v="10"/>
    <n v="2.6049382716049383"/>
  </r>
  <r>
    <x v="69"/>
    <n v="78"/>
    <x v="4"/>
    <x v="0"/>
    <x v="0"/>
    <x v="26"/>
    <x v="0"/>
    <x v="1"/>
    <x v="2"/>
    <x v="115"/>
    <x v="145"/>
    <x v="18"/>
    <n v="60"/>
    <n v="60"/>
    <n v="160"/>
    <n v="57"/>
    <x v="145"/>
    <x v="115"/>
    <x v="41"/>
    <x v="276"/>
    <n v="1.3"/>
    <n v="32"/>
    <x v="0"/>
    <n v="58.466666666666669"/>
    <x v="328"/>
    <n v="19320"/>
    <n v="1425"/>
    <n v="1.7523809523809525E-2"/>
    <s v="Nov-13"/>
    <x v="10"/>
    <n v="2.6923076923076925"/>
  </r>
  <r>
    <x v="103"/>
    <n v="75"/>
    <x v="4"/>
    <x v="0"/>
    <x v="0"/>
    <x v="23"/>
    <x v="0"/>
    <x v="1"/>
    <x v="11"/>
    <x v="97"/>
    <x v="123"/>
    <x v="16"/>
    <n v="60"/>
    <n v="50"/>
    <n v="150"/>
    <n v="55"/>
    <x v="123"/>
    <x v="97"/>
    <x v="84"/>
    <x v="243"/>
    <n v="1.25"/>
    <n v="38"/>
    <x v="0"/>
    <n v="48.24"/>
    <x v="294"/>
    <n v="17688"/>
    <n v="1320"/>
    <n v="1.824212271973466E-2"/>
    <s v="Nov-13"/>
    <x v="10"/>
    <n v="2.68"/>
  </r>
  <r>
    <x v="113"/>
    <n v="102"/>
    <x v="4"/>
    <x v="0"/>
    <x v="0"/>
    <x v="33"/>
    <x v="0"/>
    <x v="1"/>
    <x v="11"/>
    <x v="117"/>
    <x v="147"/>
    <x v="18"/>
    <n v="80"/>
    <n v="70"/>
    <n v="200"/>
    <n v="54"/>
    <x v="147"/>
    <x v="117"/>
    <x v="111"/>
    <x v="278"/>
    <n v="1.2749999999999999"/>
    <n v="62"/>
    <x v="0"/>
    <n v="68.114285714285714"/>
    <x v="330"/>
    <n v="34452"/>
    <n v="1674"/>
    <n v="1.6314423433444566E-2"/>
    <s v="Nov-13"/>
    <x v="13"/>
    <n v="2.5588235294117645"/>
  </r>
  <r>
    <x v="1"/>
    <n v="88"/>
    <x v="4"/>
    <x v="0"/>
    <x v="0"/>
    <x v="39"/>
    <x v="0"/>
    <x v="1"/>
    <x v="3"/>
    <x v="199"/>
    <x v="146"/>
    <x v="0"/>
    <n v="70"/>
    <n v="60"/>
    <n v="160"/>
    <n v="42"/>
    <x v="146"/>
    <x v="199"/>
    <x v="26"/>
    <x v="395"/>
    <n v="1.2571428571428571"/>
    <n v="44"/>
    <x v="0"/>
    <n v="58.266666666666666"/>
    <x v="464"/>
    <n v="22152"/>
    <n v="1218"/>
    <n v="1.6836652096486968E-2"/>
    <s v="Nov-13"/>
    <x v="10"/>
    <n v="2.4204545454545454"/>
  </r>
  <r>
    <x v="66"/>
    <n v="10"/>
    <x v="4"/>
    <x v="1"/>
    <x v="0"/>
    <x v="61"/>
    <x v="1"/>
    <x v="3"/>
    <x v="5"/>
    <x v="64"/>
    <x v="220"/>
    <x v="4"/>
    <n v="0"/>
    <n v="10"/>
    <n v="20"/>
    <n v="16"/>
    <x v="220"/>
    <x v="64"/>
    <x v="122"/>
    <x v="222"/>
    <e v="#DIV/0!"/>
    <n v="-14"/>
    <x v="0"/>
    <n v="10.4"/>
    <x v="465"/>
    <n v="-100"/>
    <n v="48"/>
    <n v="-5.333333333333333E-2"/>
    <s v="Nov-13"/>
    <x v="12"/>
    <n v="2.5"/>
  </r>
  <r>
    <x v="41"/>
    <n v="77"/>
    <x v="4"/>
    <x v="1"/>
    <x v="0"/>
    <x v="26"/>
    <x v="1"/>
    <x v="3"/>
    <x v="5"/>
    <x v="20"/>
    <x v="186"/>
    <x v="13"/>
    <n v="70"/>
    <n v="60"/>
    <n v="170"/>
    <n v="52"/>
    <x v="186"/>
    <x v="20"/>
    <x v="11"/>
    <x v="333"/>
    <n v="1.1000000000000001"/>
    <n v="16"/>
    <x v="0"/>
    <n v="58.733333333333334"/>
    <x v="392"/>
    <n v="14592"/>
    <n v="1300"/>
    <n v="1.5833333333333335E-2"/>
    <s v="Nov-13"/>
    <x v="8"/>
    <n v="2.4935064935064934"/>
  </r>
  <r>
    <x v="5"/>
    <n v="15"/>
    <x v="4"/>
    <x v="1"/>
    <x v="0"/>
    <x v="36"/>
    <x v="1"/>
    <x v="3"/>
    <x v="6"/>
    <x v="14"/>
    <x v="120"/>
    <x v="4"/>
    <n v="10"/>
    <n v="10"/>
    <n v="30"/>
    <n v="16"/>
    <x v="120"/>
    <x v="14"/>
    <x v="121"/>
    <x v="7"/>
    <n v="1.5"/>
    <n v="2"/>
    <x v="0"/>
    <n v="8.8000000000000007"/>
    <x v="276"/>
    <n v="504"/>
    <n v="64"/>
    <n v="7.1428571428571425E-2"/>
    <s v="Nov-13"/>
    <x v="5"/>
    <n v="2.8"/>
  </r>
  <r>
    <x v="13"/>
    <n v="82"/>
    <x v="4"/>
    <x v="1"/>
    <x v="0"/>
    <x v="33"/>
    <x v="1"/>
    <x v="3"/>
    <x v="7"/>
    <x v="4"/>
    <x v="109"/>
    <x v="12"/>
    <n v="80"/>
    <n v="40"/>
    <n v="180"/>
    <n v="64"/>
    <x v="109"/>
    <x v="4"/>
    <x v="65"/>
    <x v="213"/>
    <n v="1.0249999999999999"/>
    <n v="16"/>
    <x v="0"/>
    <n v="38.6"/>
    <x v="245"/>
    <n v="10976"/>
    <n v="1984"/>
    <n v="9.2165898617511521E-3"/>
    <s v="Nov-13"/>
    <x v="14"/>
    <n v="2.3902439024390243"/>
  </r>
  <r>
    <x v="94"/>
    <n v="94"/>
    <x v="4"/>
    <x v="1"/>
    <x v="0"/>
    <x v="43"/>
    <x v="1"/>
    <x v="3"/>
    <x v="7"/>
    <x v="10"/>
    <x v="149"/>
    <x v="13"/>
    <n v="90"/>
    <n v="30"/>
    <n v="220"/>
    <n v="114"/>
    <x v="149"/>
    <x v="10"/>
    <x v="213"/>
    <x v="396"/>
    <n v="1.0444444444444445"/>
    <n v="-6"/>
    <x v="0"/>
    <n v="29.2"/>
    <x v="466"/>
    <n v="5736"/>
    <n v="9690"/>
    <n v="1.1813930593157764E-3"/>
    <s v="Nov-13"/>
    <x v="26"/>
    <n v="2.5425531914893615"/>
  </r>
  <r>
    <x v="13"/>
    <n v="54"/>
    <x v="4"/>
    <x v="1"/>
    <x v="0"/>
    <x v="6"/>
    <x v="1"/>
    <x v="2"/>
    <x v="8"/>
    <x v="20"/>
    <x v="29"/>
    <x v="12"/>
    <n v="60"/>
    <n v="80"/>
    <n v="160"/>
    <n v="27"/>
    <x v="29"/>
    <x v="20"/>
    <x v="22"/>
    <x v="246"/>
    <n v="0.9"/>
    <n v="-4"/>
    <x v="0"/>
    <n v="79.05"/>
    <x v="297"/>
    <n v="10716"/>
    <n v="405"/>
    <n v="3.59338061465721E-2"/>
    <s v="Nov-13"/>
    <x v="6"/>
    <n v="2.6111111111111112"/>
  </r>
  <r>
    <x v="65"/>
    <n v="75"/>
    <x v="4"/>
    <x v="1"/>
    <x v="0"/>
    <x v="4"/>
    <x v="1"/>
    <x v="2"/>
    <x v="8"/>
    <x v="49"/>
    <x v="56"/>
    <x v="13"/>
    <n v="90"/>
    <n v="70"/>
    <n v="200"/>
    <n v="44"/>
    <x v="56"/>
    <x v="49"/>
    <x v="13"/>
    <x v="244"/>
    <n v="0.83333333333333337"/>
    <n v="-3"/>
    <x v="0"/>
    <n v="69.042857142857144"/>
    <x v="295"/>
    <n v="11725"/>
    <n v="1012"/>
    <n v="1.6645962732919253E-2"/>
    <s v="Nov-13"/>
    <x v="13"/>
    <n v="2.3333333333333335"/>
  </r>
  <r>
    <x v="77"/>
    <n v="228"/>
    <x v="4"/>
    <x v="1"/>
    <x v="0"/>
    <x v="64"/>
    <x v="0"/>
    <x v="0"/>
    <x v="10"/>
    <x v="197"/>
    <x v="205"/>
    <x v="4"/>
    <n v="210"/>
    <n v="180"/>
    <n v="490"/>
    <n v="108"/>
    <x v="205"/>
    <x v="197"/>
    <x v="211"/>
    <x v="393"/>
    <n v="1.0857142857142856"/>
    <n v="111"/>
    <x v="0"/>
    <n v="178.38333333333333"/>
    <x v="462"/>
    <n v="164997"/>
    <n v="8100"/>
    <n v="6.8430335097001763E-3"/>
    <s v="Nov-13"/>
    <x v="22"/>
    <n v="2.486842105263158"/>
  </r>
  <r>
    <x v="77"/>
    <n v="113"/>
    <x v="4"/>
    <x v="1"/>
    <x v="0"/>
    <x v="62"/>
    <x v="0"/>
    <x v="0"/>
    <x v="0"/>
    <x v="198"/>
    <x v="222"/>
    <x v="4"/>
    <n v="100"/>
    <n v="100"/>
    <n v="250"/>
    <n v="58"/>
    <x v="222"/>
    <x v="198"/>
    <x v="52"/>
    <x v="397"/>
    <n v="1.1299999999999999"/>
    <n v="59"/>
    <x v="0"/>
    <n v="98.41"/>
    <x v="467"/>
    <n v="47064"/>
    <n v="2088"/>
    <n v="1.4921171171171171E-2"/>
    <s v="Nov-13"/>
    <x v="16"/>
    <n v="2.6194690265486726"/>
  </r>
  <r>
    <x v="46"/>
    <n v="211"/>
    <x v="4"/>
    <x v="1"/>
    <x v="0"/>
    <x v="53"/>
    <x v="0"/>
    <x v="1"/>
    <x v="2"/>
    <x v="156"/>
    <x v="223"/>
    <x v="4"/>
    <n v="170"/>
    <n v="110"/>
    <n v="350"/>
    <n v="83"/>
    <x v="223"/>
    <x v="156"/>
    <x v="209"/>
    <x v="390"/>
    <n v="1.2411764705882353"/>
    <n v="81"/>
    <x v="0"/>
    <n v="108.26363636363637"/>
    <x v="459"/>
    <n v="86141"/>
    <n v="4897"/>
    <n v="7.1780224735991573E-3"/>
    <s v="Nov-13"/>
    <x v="27"/>
    <n v="2.1374407582938391"/>
  </r>
  <r>
    <x v="77"/>
    <n v="245"/>
    <x v="4"/>
    <x v="1"/>
    <x v="0"/>
    <x v="54"/>
    <x v="0"/>
    <x v="1"/>
    <x v="11"/>
    <x v="200"/>
    <x v="225"/>
    <x v="4"/>
    <n v="200"/>
    <n v="130"/>
    <n v="450"/>
    <n v="127"/>
    <x v="225"/>
    <x v="200"/>
    <x v="214"/>
    <x v="398"/>
    <n v="1.2250000000000001"/>
    <n v="127"/>
    <x v="0"/>
    <n v="128.02307692307693"/>
    <x v="468"/>
    <n v="149317"/>
    <n v="11811"/>
    <n v="4.7563525993374427E-3"/>
    <s v="Nov-13"/>
    <x v="33"/>
    <n v="2.3714285714285714"/>
  </r>
  <r>
    <x v="43"/>
    <n v="86"/>
    <x v="5"/>
    <x v="0"/>
    <x v="0"/>
    <x v="23"/>
    <x v="1"/>
    <x v="3"/>
    <x v="5"/>
    <x v="201"/>
    <x v="134"/>
    <x v="0"/>
    <n v="80"/>
    <n v="90"/>
    <n v="200"/>
    <n v="36"/>
    <x v="134"/>
    <x v="201"/>
    <x v="73"/>
    <x v="399"/>
    <n v="1.075"/>
    <n v="41"/>
    <x v="0"/>
    <n v="88.544444444444451"/>
    <x v="469"/>
    <n v="29344"/>
    <n v="864"/>
    <n v="2.4367559523809524E-2"/>
    <s v="Dec-13"/>
    <x v="8"/>
    <n v="2.6046511627906979"/>
  </r>
  <r>
    <x v="82"/>
    <n v="127"/>
    <x v="5"/>
    <x v="0"/>
    <x v="0"/>
    <x v="19"/>
    <x v="1"/>
    <x v="3"/>
    <x v="5"/>
    <x v="128"/>
    <x v="226"/>
    <x v="16"/>
    <n v="120"/>
    <n v="130"/>
    <n v="300"/>
    <n v="63"/>
    <x v="226"/>
    <x v="128"/>
    <x v="215"/>
    <x v="400"/>
    <n v="1.0583333333333333"/>
    <n v="51"/>
    <x v="0"/>
    <n v="128.6076923076923"/>
    <x v="470"/>
    <n v="60092"/>
    <n v="2520"/>
    <n v="1.3629518072289157E-2"/>
    <s v="Dec-13"/>
    <x v="30"/>
    <n v="2.6141732283464565"/>
  </r>
  <r>
    <x v="43"/>
    <n v="67"/>
    <x v="5"/>
    <x v="0"/>
    <x v="0"/>
    <x v="34"/>
    <x v="1"/>
    <x v="2"/>
    <x v="4"/>
    <x v="50"/>
    <x v="110"/>
    <x v="0"/>
    <n v="80"/>
    <n v="80"/>
    <n v="210"/>
    <n v="54"/>
    <x v="110"/>
    <x v="50"/>
    <x v="26"/>
    <x v="215"/>
    <n v="0.83750000000000002"/>
    <n v="-10"/>
    <x v="0"/>
    <n v="79.125"/>
    <x v="247"/>
    <n v="12530"/>
    <n v="1188"/>
    <n v="1.7775520568816656E-2"/>
    <s v="Dec-13"/>
    <x v="13"/>
    <n v="2.6716417910447761"/>
  </r>
  <r>
    <x v="68"/>
    <n v="250"/>
    <x v="5"/>
    <x v="0"/>
    <x v="0"/>
    <x v="57"/>
    <x v="1"/>
    <x v="2"/>
    <x v="4"/>
    <x v="202"/>
    <x v="213"/>
    <x v="16"/>
    <n v="320"/>
    <n v="240"/>
    <n v="640"/>
    <n v="94"/>
    <x v="213"/>
    <x v="202"/>
    <x v="216"/>
    <x v="401"/>
    <n v="0.78125"/>
    <n v="-7"/>
    <x v="0"/>
    <n v="239.02916666666667"/>
    <x v="471"/>
    <n v="124422"/>
    <n v="6580"/>
    <n v="6.2332798287854469E-3"/>
    <s v="Dec-13"/>
    <x v="41"/>
    <n v="2.1360000000000001"/>
  </r>
  <r>
    <x v="0"/>
    <n v="123"/>
    <x v="5"/>
    <x v="0"/>
    <x v="0"/>
    <x v="38"/>
    <x v="1"/>
    <x v="3"/>
    <x v="6"/>
    <x v="158"/>
    <x v="141"/>
    <x v="0"/>
    <n v="120"/>
    <n v="130"/>
    <n v="290"/>
    <n v="45"/>
    <x v="141"/>
    <x v="158"/>
    <x v="49"/>
    <x v="332"/>
    <n v="1.0249999999999999"/>
    <n v="69"/>
    <x v="0"/>
    <n v="128.46923076923076"/>
    <x v="391"/>
    <n v="64078"/>
    <n v="1530"/>
    <n v="1.8176835951772011E-2"/>
    <s v="Dec-13"/>
    <x v="17"/>
    <n v="2.6178861788617884"/>
  </r>
  <r>
    <x v="82"/>
    <n v="224"/>
    <x v="5"/>
    <x v="0"/>
    <x v="0"/>
    <x v="65"/>
    <x v="1"/>
    <x v="3"/>
    <x v="7"/>
    <x v="203"/>
    <x v="227"/>
    <x v="16"/>
    <n v="220"/>
    <n v="190"/>
    <n v="520"/>
    <n v="116"/>
    <x v="227"/>
    <x v="203"/>
    <x v="217"/>
    <x v="402"/>
    <n v="1.0181818181818181"/>
    <n v="98"/>
    <x v="0"/>
    <n v="188.48421052631579"/>
    <x v="472"/>
    <n v="163872"/>
    <n v="8468"/>
    <n v="6.9335772925343663E-3"/>
    <s v="Dec-13"/>
    <x v="25"/>
    <n v="2.5401785714285716"/>
  </r>
  <r>
    <x v="1"/>
    <n v="54"/>
    <x v="5"/>
    <x v="0"/>
    <x v="0"/>
    <x v="6"/>
    <x v="1"/>
    <x v="2"/>
    <x v="8"/>
    <x v="63"/>
    <x v="64"/>
    <x v="0"/>
    <n v="60"/>
    <n v="90"/>
    <n v="170"/>
    <n v="26"/>
    <x v="64"/>
    <x v="63"/>
    <x v="17"/>
    <x v="104"/>
    <n v="0.9"/>
    <n v="-11"/>
    <x v="0"/>
    <n v="89.12222222222222"/>
    <x v="113"/>
    <n v="11218"/>
    <n v="390"/>
    <n v="3.7089201877934269E-2"/>
    <s v="Dec-13"/>
    <x v="6"/>
    <n v="2.6296296296296298"/>
  </r>
  <r>
    <x v="52"/>
    <n v="247"/>
    <x v="5"/>
    <x v="0"/>
    <x v="0"/>
    <x v="66"/>
    <x v="1"/>
    <x v="2"/>
    <x v="8"/>
    <x v="204"/>
    <x v="191"/>
    <x v="16"/>
    <n v="310"/>
    <n v="320"/>
    <n v="730"/>
    <n v="113"/>
    <x v="191"/>
    <x v="204"/>
    <x v="218"/>
    <x v="403"/>
    <n v="0.79677419354838708"/>
    <n v="1"/>
    <x v="0"/>
    <n v="318.99687499999999"/>
    <x v="473"/>
    <n v="197094"/>
    <n v="9153"/>
    <n v="6.4543370732295813E-3"/>
    <s v="Dec-13"/>
    <x v="35"/>
    <n v="2.4858299595141702"/>
  </r>
  <r>
    <x v="90"/>
    <n v="153"/>
    <x v="5"/>
    <x v="0"/>
    <x v="0"/>
    <x v="22"/>
    <x v="1"/>
    <x v="2"/>
    <x v="8"/>
    <x v="113"/>
    <x v="196"/>
    <x v="18"/>
    <n v="190"/>
    <n v="140"/>
    <n v="390"/>
    <n v="66"/>
    <x v="196"/>
    <x v="113"/>
    <x v="184"/>
    <x v="150"/>
    <n v="0.80526315789473679"/>
    <n v="-11"/>
    <x v="0"/>
    <n v="139.07857142857142"/>
    <x v="409"/>
    <n v="42054"/>
    <n v="2772"/>
    <n v="9.4215600350569684E-3"/>
    <s v="Dec-13"/>
    <x v="34"/>
    <n v="2.130718954248366"/>
  </r>
  <r>
    <x v="1"/>
    <n v="153"/>
    <x v="5"/>
    <x v="0"/>
    <x v="0"/>
    <x v="22"/>
    <x v="0"/>
    <x v="0"/>
    <x v="10"/>
    <x v="113"/>
    <x v="196"/>
    <x v="0"/>
    <n v="140"/>
    <n v="80"/>
    <n v="280"/>
    <n v="66"/>
    <x v="196"/>
    <x v="113"/>
    <x v="184"/>
    <x v="150"/>
    <n v="1.0928571428571427"/>
    <n v="49"/>
    <x v="0"/>
    <n v="78.387500000000003"/>
    <x v="409"/>
    <n v="42054"/>
    <n v="2772"/>
    <n v="9.4215600350569684E-3"/>
    <s v="Dec-13"/>
    <x v="21"/>
    <n v="2.130718954248366"/>
  </r>
  <r>
    <x v="137"/>
    <n v="123"/>
    <x v="5"/>
    <x v="0"/>
    <x v="0"/>
    <x v="38"/>
    <x v="0"/>
    <x v="0"/>
    <x v="10"/>
    <x v="111"/>
    <x v="141"/>
    <x v="16"/>
    <n v="110"/>
    <n v="130"/>
    <n v="280"/>
    <n v="46"/>
    <x v="141"/>
    <x v="111"/>
    <x v="61"/>
    <x v="270"/>
    <n v="1.1181818181818182"/>
    <n v="67"/>
    <x v="0"/>
    <n v="128.48461538461538"/>
    <x v="324"/>
    <n v="63434"/>
    <n v="1564"/>
    <n v="1.7994154183412495E-2"/>
    <s v="Dec-13"/>
    <x v="16"/>
    <n v="2.6178861788617884"/>
  </r>
  <r>
    <x v="82"/>
    <n v="86"/>
    <x v="5"/>
    <x v="0"/>
    <x v="0"/>
    <x v="23"/>
    <x v="0"/>
    <x v="0"/>
    <x v="1"/>
    <x v="201"/>
    <x v="134"/>
    <x v="16"/>
    <n v="80"/>
    <n v="80"/>
    <n v="190"/>
    <n v="36"/>
    <x v="134"/>
    <x v="201"/>
    <x v="73"/>
    <x v="399"/>
    <n v="1.075"/>
    <n v="51"/>
    <x v="0"/>
    <n v="78.362499999999997"/>
    <x v="469"/>
    <n v="29344"/>
    <n v="864"/>
    <n v="2.4367559523809524E-2"/>
    <s v="Dec-13"/>
    <x v="8"/>
    <n v="2.6046511627906979"/>
  </r>
  <r>
    <x v="101"/>
    <n v="88"/>
    <x v="5"/>
    <x v="0"/>
    <x v="0"/>
    <x v="39"/>
    <x v="0"/>
    <x v="1"/>
    <x v="2"/>
    <x v="120"/>
    <x v="126"/>
    <x v="18"/>
    <n v="70"/>
    <n v="70"/>
    <n v="180"/>
    <n v="61"/>
    <x v="126"/>
    <x v="120"/>
    <x v="111"/>
    <x v="282"/>
    <n v="1.2571428571428571"/>
    <n v="37"/>
    <x v="0"/>
    <n v="68.471428571428575"/>
    <x v="335"/>
    <n v="25252"/>
    <n v="1769"/>
    <n v="1.5634132086499122E-2"/>
    <s v="Dec-13"/>
    <x v="8"/>
    <n v="2.6818181818181817"/>
  </r>
  <r>
    <x v="101"/>
    <n v="134"/>
    <x v="5"/>
    <x v="0"/>
    <x v="0"/>
    <x v="11"/>
    <x v="0"/>
    <x v="1"/>
    <x v="11"/>
    <x v="123"/>
    <x v="151"/>
    <x v="18"/>
    <n v="110"/>
    <n v="90"/>
    <n v="260"/>
    <n v="65"/>
    <x v="151"/>
    <x v="123"/>
    <x v="140"/>
    <x v="285"/>
    <n v="1.2181818181818183"/>
    <n v="90"/>
    <x v="0"/>
    <n v="88"/>
    <x v="339"/>
    <n v="61380"/>
    <n v="2665"/>
    <n v="1.287461554967456E-2"/>
    <s v="Dec-13"/>
    <x v="30"/>
    <n v="2.544776119402985"/>
  </r>
  <r>
    <x v="23"/>
    <n v="81"/>
    <x v="5"/>
    <x v="0"/>
    <x v="0"/>
    <x v="32"/>
    <x v="0"/>
    <x v="1"/>
    <x v="3"/>
    <x v="121"/>
    <x v="130"/>
    <x v="0"/>
    <n v="60"/>
    <n v="60"/>
    <n v="150"/>
    <n v="38"/>
    <x v="130"/>
    <x v="121"/>
    <x v="44"/>
    <x v="283"/>
    <n v="1.35"/>
    <n v="38"/>
    <x v="0"/>
    <n v="58.366666666666667"/>
    <x v="337"/>
    <n v="19306"/>
    <n v="988"/>
    <n v="1.9133151112846546E-2"/>
    <s v="Dec-13"/>
    <x v="9"/>
    <n v="2.4320987654320989"/>
  </r>
  <r>
    <x v="5"/>
    <n v="10"/>
    <x v="5"/>
    <x v="1"/>
    <x v="0"/>
    <x v="61"/>
    <x v="1"/>
    <x v="3"/>
    <x v="5"/>
    <x v="186"/>
    <x v="228"/>
    <x v="4"/>
    <n v="0"/>
    <n v="10"/>
    <n v="20"/>
    <n v="15"/>
    <x v="228"/>
    <x v="186"/>
    <x v="219"/>
    <x v="128"/>
    <e v="#DIV/0!"/>
    <n v="-11"/>
    <x v="0"/>
    <n v="10.1"/>
    <x v="441"/>
    <n v="-26"/>
    <n v="45"/>
    <n v="-1.282051282051282E-2"/>
    <s v="Dec-13"/>
    <x v="12"/>
    <n v="2.6"/>
  </r>
  <r>
    <x v="112"/>
    <n v="83"/>
    <x v="5"/>
    <x v="1"/>
    <x v="0"/>
    <x v="15"/>
    <x v="1"/>
    <x v="3"/>
    <x v="5"/>
    <x v="74"/>
    <x v="193"/>
    <x v="13"/>
    <n v="80"/>
    <n v="70"/>
    <n v="190"/>
    <n v="55"/>
    <x v="193"/>
    <x v="74"/>
    <x v="49"/>
    <x v="404"/>
    <n v="1.0375000000000001"/>
    <n v="15"/>
    <x v="0"/>
    <n v="68.785714285714292"/>
    <x v="474"/>
    <n v="17680"/>
    <n v="1485"/>
    <n v="1.5135327635327636E-2"/>
    <s v="Dec-13"/>
    <x v="11"/>
    <n v="2.5060240963855422"/>
  </r>
  <r>
    <x v="13"/>
    <n v="68"/>
    <x v="5"/>
    <x v="1"/>
    <x v="0"/>
    <x v="26"/>
    <x v="1"/>
    <x v="3"/>
    <x v="7"/>
    <x v="40"/>
    <x v="73"/>
    <x v="12"/>
    <n v="60"/>
    <n v="40"/>
    <n v="150"/>
    <n v="59"/>
    <x v="73"/>
    <x v="40"/>
    <x v="124"/>
    <x v="249"/>
    <n v="1.1333333333333333"/>
    <n v="-1"/>
    <x v="0"/>
    <n v="39.024999999999999"/>
    <x v="300"/>
    <n v="6357"/>
    <n v="1475"/>
    <n v="9.5705521472392637E-3"/>
    <s v="Dec-13"/>
    <x v="8"/>
    <n v="2.3970588235294117"/>
  </r>
  <r>
    <x v="14"/>
    <n v="105"/>
    <x v="5"/>
    <x v="1"/>
    <x v="0"/>
    <x v="44"/>
    <x v="1"/>
    <x v="3"/>
    <x v="7"/>
    <x v="27"/>
    <x v="153"/>
    <x v="13"/>
    <n v="100"/>
    <n v="30"/>
    <n v="240"/>
    <n v="125"/>
    <x v="153"/>
    <x v="27"/>
    <x v="141"/>
    <x v="287"/>
    <n v="1.05"/>
    <n v="0"/>
    <x v="0"/>
    <n v="29"/>
    <x v="342"/>
    <n v="7980"/>
    <n v="11875"/>
    <n v="1.1871784724970321E-3"/>
    <s v="Dec-13"/>
    <x v="32"/>
    <n v="2.5333333333333332"/>
  </r>
  <r>
    <x v="13"/>
    <n v="50"/>
    <x v="5"/>
    <x v="1"/>
    <x v="0"/>
    <x v="10"/>
    <x v="1"/>
    <x v="2"/>
    <x v="8"/>
    <x v="53"/>
    <x v="41"/>
    <x v="12"/>
    <n v="60"/>
    <n v="70"/>
    <n v="150"/>
    <n v="25"/>
    <x v="41"/>
    <x v="53"/>
    <x v="64"/>
    <x v="80"/>
    <n v="0.83333333333333337"/>
    <n v="1"/>
    <x v="0"/>
    <n v="68.98571428571428"/>
    <x v="86"/>
    <n v="9301"/>
    <n v="350"/>
    <n v="3.8713195201744821E-2"/>
    <s v="Dec-13"/>
    <x v="6"/>
    <n v="2.62"/>
  </r>
  <r>
    <x v="14"/>
    <n v="80"/>
    <x v="5"/>
    <x v="1"/>
    <x v="0"/>
    <x v="23"/>
    <x v="1"/>
    <x v="2"/>
    <x v="8"/>
    <x v="62"/>
    <x v="67"/>
    <x v="13"/>
    <n v="100"/>
    <n v="80"/>
    <n v="220"/>
    <n v="46"/>
    <x v="67"/>
    <x v="62"/>
    <x v="35"/>
    <x v="101"/>
    <n v="0.8"/>
    <n v="-6"/>
    <x v="0"/>
    <n v="79.075000000000003"/>
    <x v="110"/>
    <n v="13912"/>
    <n v="1104"/>
    <n v="1.6400709219858155E-2"/>
    <s v="Dec-13"/>
    <x v="14"/>
    <n v="2.35"/>
  </r>
  <r>
    <x v="74"/>
    <n v="247"/>
    <x v="5"/>
    <x v="1"/>
    <x v="0"/>
    <x v="66"/>
    <x v="0"/>
    <x v="0"/>
    <x v="10"/>
    <x v="204"/>
    <x v="191"/>
    <x v="4"/>
    <n v="230"/>
    <n v="200"/>
    <n v="530"/>
    <n v="113"/>
    <x v="191"/>
    <x v="204"/>
    <x v="218"/>
    <x v="403"/>
    <n v="1.0739130434782609"/>
    <n v="121"/>
    <x v="0"/>
    <n v="198.39500000000001"/>
    <x v="473"/>
    <n v="197094"/>
    <n v="9153"/>
    <n v="6.4543370732295813E-3"/>
    <s v="Dec-13"/>
    <x v="25"/>
    <n v="2.4858299595141702"/>
  </r>
  <r>
    <x v="74"/>
    <n v="127"/>
    <x v="5"/>
    <x v="1"/>
    <x v="0"/>
    <x v="19"/>
    <x v="0"/>
    <x v="0"/>
    <x v="0"/>
    <x v="177"/>
    <x v="226"/>
    <x v="4"/>
    <n v="120"/>
    <n v="120"/>
    <n v="290"/>
    <n v="62"/>
    <x v="226"/>
    <x v="177"/>
    <x v="127"/>
    <x v="405"/>
    <n v="1.0583333333333333"/>
    <n v="63"/>
    <x v="0"/>
    <n v="118.47499999999999"/>
    <x v="475"/>
    <n v="60756"/>
    <n v="2480"/>
    <n v="1.3780120481927711E-2"/>
    <s v="Dec-13"/>
    <x v="30"/>
    <n v="2.6141732283464565"/>
  </r>
  <r>
    <x v="77"/>
    <n v="250"/>
    <x v="5"/>
    <x v="1"/>
    <x v="0"/>
    <x v="57"/>
    <x v="0"/>
    <x v="1"/>
    <x v="2"/>
    <x v="205"/>
    <x v="213"/>
    <x v="4"/>
    <n v="210"/>
    <n v="120"/>
    <n v="410"/>
    <n v="95"/>
    <x v="213"/>
    <x v="205"/>
    <x v="220"/>
    <x v="406"/>
    <n v="1.1904761904761905"/>
    <n v="112"/>
    <x v="0"/>
    <n v="118.06666666666666"/>
    <x v="476"/>
    <n v="123888"/>
    <n v="6650"/>
    <n v="6.2065275548421617E-3"/>
    <s v="Dec-13"/>
    <x v="40"/>
    <n v="2.1360000000000001"/>
  </r>
  <r>
    <x v="46"/>
    <n v="294"/>
    <x v="5"/>
    <x v="1"/>
    <x v="0"/>
    <x v="58"/>
    <x v="0"/>
    <x v="1"/>
    <x v="11"/>
    <x v="204"/>
    <x v="229"/>
    <x v="4"/>
    <n v="240"/>
    <n v="170"/>
    <n v="540"/>
    <n v="144"/>
    <x v="229"/>
    <x v="204"/>
    <x v="221"/>
    <x v="407"/>
    <n v="1.2250000000000001"/>
    <n v="151"/>
    <x v="0"/>
    <n v="168.11176470588236"/>
    <x v="477"/>
    <n v="223737"/>
    <n v="15983.999999999998"/>
    <n v="4.1490557989840634E-3"/>
    <s v="Dec-13"/>
    <x v="31"/>
    <n v="2.370748299319728"/>
  </r>
  <r>
    <x v="62"/>
    <n v="20"/>
    <x v="5"/>
    <x v="1"/>
    <x v="0"/>
    <x v="7"/>
    <x v="0"/>
    <x v="1"/>
    <x v="11"/>
    <x v="91"/>
    <x v="122"/>
    <x v="12"/>
    <n v="10"/>
    <n v="-10"/>
    <n v="30"/>
    <n v="41"/>
    <x v="122"/>
    <x v="91"/>
    <x v="16"/>
    <x v="229"/>
    <n v="2"/>
    <n v="-14"/>
    <x v="0"/>
    <n v="-12.4"/>
    <x v="278"/>
    <n v="-1152"/>
    <n v="287"/>
    <n v="-7.1428571428571425E-2"/>
    <s v="Dec-13"/>
    <x v="1"/>
    <n v="2.4"/>
  </r>
  <r>
    <x v="138"/>
    <n v="154"/>
    <x v="0"/>
    <x v="0"/>
    <x v="3"/>
    <x v="52"/>
    <x v="1"/>
    <x v="3"/>
    <x v="5"/>
    <x v="206"/>
    <x v="45"/>
    <x v="3"/>
    <n v="220"/>
    <n v="-100"/>
    <n v="190"/>
    <n v="93"/>
    <x v="45"/>
    <x v="206"/>
    <x v="188"/>
    <x v="408"/>
    <n v="0.7"/>
    <n v="-17"/>
    <x v="0"/>
    <n v="-101.17"/>
    <x v="478"/>
    <n v="-15210"/>
    <n v="4650"/>
    <n v="-1.7999999999999999E-2"/>
    <s v="Oct-12"/>
    <x v="40"/>
    <n v="0.8441558441558441"/>
  </r>
  <r>
    <x v="139"/>
    <n v="257"/>
    <x v="0"/>
    <x v="0"/>
    <x v="3"/>
    <x v="60"/>
    <x v="1"/>
    <x v="2"/>
    <x v="4"/>
    <x v="207"/>
    <x v="203"/>
    <x v="3"/>
    <n v="230"/>
    <n v="240"/>
    <n v="550"/>
    <n v="116"/>
    <x v="203"/>
    <x v="207"/>
    <x v="222"/>
    <x v="409"/>
    <n v="1.1173913043478261"/>
    <n v="-15"/>
    <x v="0"/>
    <n v="239.0625"/>
    <x v="479"/>
    <n v="134550"/>
    <n v="9744"/>
    <n v="4.479216435738175E-3"/>
    <s v="Oct-12"/>
    <x v="22"/>
    <n v="2.3268482490272375"/>
  </r>
  <r>
    <x v="140"/>
    <n v="122"/>
    <x v="0"/>
    <x v="0"/>
    <x v="3"/>
    <x v="59"/>
    <x v="1"/>
    <x v="3"/>
    <x v="6"/>
    <x v="208"/>
    <x v="12"/>
    <x v="3"/>
    <n v="170"/>
    <n v="-60"/>
    <n v="150"/>
    <n v="61"/>
    <x v="12"/>
    <x v="208"/>
    <x v="186"/>
    <x v="410"/>
    <n v="0.71764705882352942"/>
    <n v="-14"/>
    <x v="0"/>
    <n v="-61.233333333333334"/>
    <x v="480"/>
    <n v="-8066"/>
    <n v="2379"/>
    <n v="-1.7407668783815573E-2"/>
    <s v="Oct-12"/>
    <x v="32"/>
    <n v="0.89344262295081966"/>
  </r>
  <r>
    <x v="81"/>
    <n v="260"/>
    <x v="0"/>
    <x v="0"/>
    <x v="3"/>
    <x v="46"/>
    <x v="1"/>
    <x v="3"/>
    <x v="7"/>
    <x v="132"/>
    <x v="162"/>
    <x v="3"/>
    <n v="380"/>
    <n v="470"/>
    <n v="960"/>
    <n v="143"/>
    <x v="162"/>
    <x v="132"/>
    <x v="146"/>
    <x v="21"/>
    <n v="0.68421052631578949"/>
    <n v="-223"/>
    <x v="0"/>
    <n v="469.47446808510637"/>
    <x v="351"/>
    <n v="160550"/>
    <n v="13013"/>
    <n v="4.1758241758241763E-3"/>
    <s v="Oct-12"/>
    <x v="42"/>
    <n v="2.5"/>
  </r>
  <r>
    <x v="4"/>
    <n v="239"/>
    <x v="0"/>
    <x v="0"/>
    <x v="3"/>
    <x v="49"/>
    <x v="1"/>
    <x v="2"/>
    <x v="9"/>
    <x v="173"/>
    <x v="201"/>
    <x v="3"/>
    <n v="210"/>
    <n v="160"/>
    <n v="430"/>
    <n v="90"/>
    <x v="201"/>
    <x v="173"/>
    <x v="187"/>
    <x v="355"/>
    <n v="1.138095238095238"/>
    <n v="-11"/>
    <x v="0"/>
    <n v="159.06874999999999"/>
    <x v="416"/>
    <n v="71222"/>
    <n v="5939.9999999999991"/>
    <n v="4.7229618359325475E-3"/>
    <s v="Oct-12"/>
    <x v="24"/>
    <n v="2"/>
  </r>
  <r>
    <x v="4"/>
    <n v="125"/>
    <x v="0"/>
    <x v="0"/>
    <x v="3"/>
    <x v="47"/>
    <x v="1"/>
    <x v="2"/>
    <x v="8"/>
    <x v="22"/>
    <x v="200"/>
    <x v="3"/>
    <n v="110"/>
    <n v="50"/>
    <n v="270"/>
    <n v="146"/>
    <x v="200"/>
    <x v="22"/>
    <x v="148"/>
    <x v="411"/>
    <n v="1.1363636363636365"/>
    <n v="-23"/>
    <x v="0"/>
    <n v="49.46"/>
    <x v="481"/>
    <n v="8046"/>
    <n v="16498"/>
    <n v="8.018055473065273E-4"/>
    <s v="Oct-12"/>
    <x v="23"/>
    <n v="2.3839999999999999"/>
  </r>
  <r>
    <x v="141"/>
    <n v="108"/>
    <x v="0"/>
    <x v="0"/>
    <x v="3"/>
    <x v="30"/>
    <x v="0"/>
    <x v="0"/>
    <x v="10"/>
    <x v="125"/>
    <x v="165"/>
    <x v="3"/>
    <n v="80"/>
    <n v="120"/>
    <n v="210"/>
    <n v="42"/>
    <x v="165"/>
    <x v="125"/>
    <x v="152"/>
    <x v="157"/>
    <n v="1.35"/>
    <n v="-5"/>
    <x v="0"/>
    <n v="119.04166666666667"/>
    <x v="358"/>
    <n v="30475"/>
    <n v="1260"/>
    <n v="1.4465408805031447E-2"/>
    <s v="Oct-12"/>
    <x v="9"/>
    <n v="2.4537037037037037"/>
  </r>
  <r>
    <x v="4"/>
    <n v="239"/>
    <x v="0"/>
    <x v="0"/>
    <x v="3"/>
    <x v="37"/>
    <x v="0"/>
    <x v="0"/>
    <x v="0"/>
    <x v="209"/>
    <x v="124"/>
    <x v="3"/>
    <n v="190"/>
    <n v="170"/>
    <n v="410"/>
    <n v="95"/>
    <x v="124"/>
    <x v="209"/>
    <x v="151"/>
    <x v="412"/>
    <n v="1.2578947368421052"/>
    <n v="16"/>
    <x v="0"/>
    <n v="168.90588235294118"/>
    <x v="482"/>
    <n v="96720"/>
    <n v="7030"/>
    <n v="4.8336798336798339E-3"/>
    <s v="Oct-12"/>
    <x v="27"/>
    <n v="2.1757322175732217"/>
  </r>
  <r>
    <x v="4"/>
    <n v="123"/>
    <x v="0"/>
    <x v="0"/>
    <x v="3"/>
    <x v="38"/>
    <x v="0"/>
    <x v="1"/>
    <x v="2"/>
    <x v="136"/>
    <x v="125"/>
    <x v="3"/>
    <n v="50"/>
    <n v="80"/>
    <n v="140"/>
    <n v="45"/>
    <x v="125"/>
    <x v="136"/>
    <x v="153"/>
    <x v="301"/>
    <n v="2.46"/>
    <n v="54"/>
    <x v="0"/>
    <n v="78.325000000000003"/>
    <x v="359"/>
    <n v="40468"/>
    <n v="1530"/>
    <n v="1.3050253213868329E-2"/>
    <s v="Oct-12"/>
    <x v="0"/>
    <n v="2.4552845528455283"/>
  </r>
  <r>
    <x v="17"/>
    <n v="43"/>
    <x v="0"/>
    <x v="1"/>
    <x v="3"/>
    <x v="2"/>
    <x v="1"/>
    <x v="3"/>
    <x v="5"/>
    <x v="26"/>
    <x v="2"/>
    <x v="11"/>
    <n v="50"/>
    <n v="80"/>
    <n v="150"/>
    <n v="35"/>
    <x v="2"/>
    <x v="26"/>
    <x v="69"/>
    <x v="413"/>
    <n v="0.86"/>
    <n v="-51"/>
    <x v="0"/>
    <n v="79.637500000000003"/>
    <x v="483"/>
    <n v="3103"/>
    <n v="455"/>
    <n v="2.0848310567936738E-2"/>
    <s v="Oct-12"/>
    <x v="7"/>
    <n v="2.4883720930232558"/>
  </r>
  <r>
    <x v="9"/>
    <n v="79"/>
    <x v="0"/>
    <x v="1"/>
    <x v="3"/>
    <x v="30"/>
    <x v="1"/>
    <x v="3"/>
    <x v="5"/>
    <x v="28"/>
    <x v="79"/>
    <x v="8"/>
    <n v="100"/>
    <n v="120"/>
    <n v="260"/>
    <n v="64"/>
    <x v="79"/>
    <x v="28"/>
    <x v="12"/>
    <x v="119"/>
    <n v="0.79"/>
    <n v="-86"/>
    <x v="0"/>
    <n v="119.71666666666667"/>
    <x v="130"/>
    <n v="6018"/>
    <n v="1920"/>
    <n v="6.4030131826741995E-3"/>
    <s v="Oct-12"/>
    <x v="14"/>
    <n v="2.240506329113924"/>
  </r>
  <r>
    <x v="16"/>
    <n v="96"/>
    <x v="0"/>
    <x v="1"/>
    <x v="3"/>
    <x v="41"/>
    <x v="1"/>
    <x v="3"/>
    <x v="5"/>
    <x v="39"/>
    <x v="127"/>
    <x v="14"/>
    <n v="140"/>
    <n v="100"/>
    <n v="330"/>
    <n v="117"/>
    <x v="127"/>
    <x v="39"/>
    <x v="128"/>
    <x v="253"/>
    <n v="0.68571428571428572"/>
    <n v="-83"/>
    <x v="0"/>
    <n v="99.83"/>
    <x v="305"/>
    <n v="3910"/>
    <n v="10179"/>
    <n v="8.4957521239380316E-4"/>
    <s v="Oct-12"/>
    <x v="28"/>
    <n v="2.3958333333333335"/>
  </r>
  <r>
    <x v="12"/>
    <n v="161"/>
    <x v="0"/>
    <x v="1"/>
    <x v="3"/>
    <x v="48"/>
    <x v="1"/>
    <x v="2"/>
    <x v="4"/>
    <x v="192"/>
    <x v="141"/>
    <x v="11"/>
    <n v="140"/>
    <n v="110"/>
    <n v="290"/>
    <n v="70"/>
    <x v="141"/>
    <x v="192"/>
    <x v="223"/>
    <x v="414"/>
    <n v="1.1499999999999999"/>
    <n v="-19"/>
    <x v="0"/>
    <n v="109.17272727272727"/>
    <x v="484"/>
    <n v="29302"/>
    <n v="3150"/>
    <n v="6.2801932367149756E-3"/>
    <s v="Oct-12"/>
    <x v="19"/>
    <n v="2"/>
  </r>
  <r>
    <x v="56"/>
    <n v="80"/>
    <x v="0"/>
    <x v="1"/>
    <x v="3"/>
    <x v="23"/>
    <x v="1"/>
    <x v="2"/>
    <x v="4"/>
    <x v="21"/>
    <x v="75"/>
    <x v="14"/>
    <n v="60"/>
    <n v="80"/>
    <n v="150"/>
    <n v="46"/>
    <x v="75"/>
    <x v="21"/>
    <x v="4"/>
    <x v="22"/>
    <n v="1.3333333333333333"/>
    <n v="-32"/>
    <x v="0"/>
    <n v="79.400000000000006"/>
    <x v="123"/>
    <n v="8352"/>
    <n v="1104"/>
    <n v="1.1494252873563218E-2"/>
    <s v="Oct-12"/>
    <x v="7"/>
    <n v="2.1749999999999998"/>
  </r>
  <r>
    <x v="17"/>
    <n v="51"/>
    <x v="0"/>
    <x v="1"/>
    <x v="3"/>
    <x v="0"/>
    <x v="1"/>
    <x v="3"/>
    <x v="6"/>
    <x v="0"/>
    <x v="0"/>
    <x v="11"/>
    <n v="70"/>
    <n v="50"/>
    <n v="170"/>
    <n v="76"/>
    <x v="0"/>
    <x v="0"/>
    <x v="0"/>
    <x v="0"/>
    <n v="0.72857142857142854"/>
    <n v="-55"/>
    <x v="0"/>
    <n v="50.1"/>
    <x v="0"/>
    <n v="-610"/>
    <n v="3496"/>
    <n v="-8.9094796863863144E-4"/>
    <s v="Oct-12"/>
    <x v="11"/>
    <n v="2.392156862745098"/>
  </r>
  <r>
    <x v="9"/>
    <n v="65"/>
    <x v="0"/>
    <x v="1"/>
    <x v="3"/>
    <x v="14"/>
    <x v="1"/>
    <x v="3"/>
    <x v="6"/>
    <x v="18"/>
    <x v="64"/>
    <x v="8"/>
    <n v="90"/>
    <n v="90"/>
    <n v="200"/>
    <n v="41"/>
    <x v="64"/>
    <x v="18"/>
    <x v="112"/>
    <x v="263"/>
    <n v="0.72222222222222221"/>
    <n v="-54"/>
    <x v="0"/>
    <n v="89.6"/>
    <x v="485"/>
    <n v="5112"/>
    <n v="820"/>
    <n v="1.2676056338028169E-2"/>
    <s v="Oct-12"/>
    <x v="8"/>
    <n v="2.1846153846153844"/>
  </r>
  <r>
    <x v="17"/>
    <n v="60"/>
    <x v="0"/>
    <x v="1"/>
    <x v="3"/>
    <x v="27"/>
    <x v="1"/>
    <x v="3"/>
    <x v="7"/>
    <x v="6"/>
    <x v="13"/>
    <x v="11"/>
    <n v="80"/>
    <n v="90"/>
    <n v="210"/>
    <n v="63"/>
    <x v="13"/>
    <x v="6"/>
    <x v="49"/>
    <x v="415"/>
    <n v="0.75"/>
    <n v="-69"/>
    <x v="0"/>
    <n v="89.766666666666666"/>
    <x v="486"/>
    <n v="3024"/>
    <n v="1196.9999999999998"/>
    <n v="7.6754385964912285E-3"/>
    <s v="Oct-12"/>
    <x v="11"/>
    <n v="2.4"/>
  </r>
  <r>
    <x v="9"/>
    <n v="47"/>
    <x v="0"/>
    <x v="1"/>
    <x v="3"/>
    <x v="6"/>
    <x v="1"/>
    <x v="3"/>
    <x v="7"/>
    <x v="57"/>
    <x v="6"/>
    <x v="8"/>
    <n v="50"/>
    <n v="80"/>
    <n v="150"/>
    <n v="42"/>
    <x v="6"/>
    <x v="57"/>
    <x v="34"/>
    <x v="416"/>
    <n v="0.94"/>
    <n v="-58"/>
    <x v="0"/>
    <n v="79.724999999999994"/>
    <x v="228"/>
    <n v="2442"/>
    <n v="630"/>
    <n v="1.3213213213213212E-2"/>
    <s v="Oct-12"/>
    <x v="7"/>
    <n v="2.3617021276595747"/>
  </r>
  <r>
    <x v="32"/>
    <n v="68"/>
    <x v="0"/>
    <x v="1"/>
    <x v="3"/>
    <x v="28"/>
    <x v="1"/>
    <x v="3"/>
    <x v="7"/>
    <x v="4"/>
    <x v="230"/>
    <x v="14"/>
    <n v="90"/>
    <n v="110"/>
    <n v="230"/>
    <n v="43"/>
    <x v="230"/>
    <x v="4"/>
    <x v="54"/>
    <x v="126"/>
    <n v="0.75555555555555554"/>
    <n v="-54"/>
    <x v="0"/>
    <n v="109.49090909090908"/>
    <x v="172"/>
    <n v="9352"/>
    <n v="903"/>
    <n v="1.5968063872255488E-2"/>
    <s v="Oct-12"/>
    <x v="11"/>
    <n v="2.4558823529411766"/>
  </r>
  <r>
    <x v="32"/>
    <n v="22"/>
    <x v="0"/>
    <x v="1"/>
    <x v="3"/>
    <x v="7"/>
    <x v="1"/>
    <x v="2"/>
    <x v="9"/>
    <x v="44"/>
    <x v="77"/>
    <x v="14"/>
    <n v="10"/>
    <n v="20"/>
    <n v="30"/>
    <n v="19"/>
    <x v="77"/>
    <x v="44"/>
    <x v="67"/>
    <x v="34"/>
    <n v="2.2000000000000002"/>
    <n v="-10"/>
    <x v="0"/>
    <n v="19.5"/>
    <x v="128"/>
    <n v="510"/>
    <n v="133"/>
    <n v="2.8011204481792718E-2"/>
    <s v="Oct-12"/>
    <x v="12"/>
    <n v="2.3181818181818183"/>
  </r>
  <r>
    <x v="48"/>
    <n v="21"/>
    <x v="0"/>
    <x v="1"/>
    <x v="3"/>
    <x v="35"/>
    <x v="1"/>
    <x v="2"/>
    <x v="8"/>
    <x v="29"/>
    <x v="97"/>
    <x v="7"/>
    <n v="10"/>
    <n v="20"/>
    <n v="30"/>
    <n v="17"/>
    <x v="97"/>
    <x v="29"/>
    <x v="115"/>
    <x v="107"/>
    <n v="2.1"/>
    <n v="-6"/>
    <x v="0"/>
    <n v="19.3"/>
    <x v="259"/>
    <n v="728"/>
    <n v="85"/>
    <n v="5.3846153846153842E-2"/>
    <s v="Oct-12"/>
    <x v="12"/>
    <n v="2.4761904761904763"/>
  </r>
  <r>
    <x v="15"/>
    <n v="103"/>
    <x v="0"/>
    <x v="1"/>
    <x v="3"/>
    <x v="40"/>
    <x v="1"/>
    <x v="2"/>
    <x v="8"/>
    <x v="100"/>
    <x v="126"/>
    <x v="8"/>
    <n v="80"/>
    <n v="110"/>
    <n v="210"/>
    <n v="46"/>
    <x v="126"/>
    <x v="100"/>
    <x v="127"/>
    <x v="252"/>
    <n v="1.2875000000000001"/>
    <n v="-23"/>
    <x v="0"/>
    <n v="109.2090909090909"/>
    <x v="304"/>
    <n v="20532"/>
    <n v="1518"/>
    <n v="1.1171032357473035E-2"/>
    <s v="Oct-12"/>
    <x v="10"/>
    <n v="2.29126213592233"/>
  </r>
  <r>
    <x v="8"/>
    <n v="125"/>
    <x v="0"/>
    <x v="1"/>
    <x v="3"/>
    <x v="47"/>
    <x v="0"/>
    <x v="0"/>
    <x v="10"/>
    <x v="1"/>
    <x v="200"/>
    <x v="7"/>
    <n v="90"/>
    <n v="60"/>
    <n v="240"/>
    <n v="147"/>
    <x v="200"/>
    <x v="1"/>
    <x v="224"/>
    <x v="417"/>
    <n v="1.3888888888888888"/>
    <n v="-34"/>
    <x v="0"/>
    <n v="59.56666666666667"/>
    <x v="487"/>
    <n v="7748"/>
    <n v="16611"/>
    <n v="7.721090455544337E-4"/>
    <s v="Oct-12"/>
    <x v="19"/>
    <n v="2.3839999999999999"/>
  </r>
  <r>
    <x v="32"/>
    <n v="125"/>
    <x v="0"/>
    <x v="1"/>
    <x v="3"/>
    <x v="11"/>
    <x v="0"/>
    <x v="0"/>
    <x v="10"/>
    <x v="125"/>
    <x v="154"/>
    <x v="14"/>
    <n v="90"/>
    <n v="130"/>
    <n v="250"/>
    <n v="73"/>
    <x v="154"/>
    <x v="125"/>
    <x v="142"/>
    <x v="288"/>
    <n v="1.3888888888888888"/>
    <n v="-15"/>
    <x v="0"/>
    <n v="129.11538461538461"/>
    <x v="343"/>
    <n v="35995"/>
    <n v="2993"/>
    <n v="8.9612717213434102E-3"/>
    <s v="Oct-12"/>
    <x v="11"/>
    <n v="2.504"/>
  </r>
  <r>
    <x v="48"/>
    <n v="154"/>
    <x v="0"/>
    <x v="1"/>
    <x v="3"/>
    <x v="52"/>
    <x v="0"/>
    <x v="0"/>
    <x v="0"/>
    <x v="174"/>
    <x v="202"/>
    <x v="7"/>
    <n v="120"/>
    <n v="120"/>
    <n v="290"/>
    <n v="93"/>
    <x v="202"/>
    <x v="174"/>
    <x v="188"/>
    <x v="356"/>
    <n v="1.2833333333333334"/>
    <n v="0"/>
    <x v="0"/>
    <n v="119"/>
    <x v="417"/>
    <n v="44040"/>
    <n v="4650"/>
    <n v="6.5395095367847406E-3"/>
    <s v="Oct-12"/>
    <x v="30"/>
    <n v="2.383116883116883"/>
  </r>
  <r>
    <x v="17"/>
    <n v="90"/>
    <x v="0"/>
    <x v="1"/>
    <x v="3"/>
    <x v="39"/>
    <x v="0"/>
    <x v="0"/>
    <x v="0"/>
    <x v="59"/>
    <x v="17"/>
    <x v="11"/>
    <n v="60"/>
    <n v="90"/>
    <n v="160"/>
    <n v="42"/>
    <x v="17"/>
    <x v="59"/>
    <x v="104"/>
    <x v="313"/>
    <n v="1.5"/>
    <n v="-17"/>
    <x v="0"/>
    <n v="89.188888888888883"/>
    <x v="488"/>
    <n v="14965"/>
    <n v="1218"/>
    <n v="1.2279226240538267E-2"/>
    <s v="Oct-12"/>
    <x v="7"/>
    <n v="2.2777777777777777"/>
  </r>
  <r>
    <x v="48"/>
    <n v="122"/>
    <x v="0"/>
    <x v="1"/>
    <x v="3"/>
    <x v="59"/>
    <x v="0"/>
    <x v="0"/>
    <x v="1"/>
    <x v="124"/>
    <x v="200"/>
    <x v="7"/>
    <n v="90"/>
    <n v="130"/>
    <n v="240"/>
    <n v="62"/>
    <x v="200"/>
    <x v="124"/>
    <x v="144"/>
    <x v="359"/>
    <n v="1.3555555555555556"/>
    <n v="-16"/>
    <x v="0"/>
    <n v="129.12307692307692"/>
    <x v="422"/>
    <n v="33972"/>
    <n v="2418"/>
    <n v="9.8089829633453782E-3"/>
    <s v="Oct-12"/>
    <x v="8"/>
    <n v="2.442622950819672"/>
  </r>
  <r>
    <x v="9"/>
    <n v="86"/>
    <x v="0"/>
    <x v="1"/>
    <x v="3"/>
    <x v="32"/>
    <x v="0"/>
    <x v="0"/>
    <x v="1"/>
    <x v="210"/>
    <x v="12"/>
    <x v="8"/>
    <n v="60"/>
    <n v="0"/>
    <n v="80"/>
    <n v="50"/>
    <x v="12"/>
    <x v="210"/>
    <x v="98"/>
    <x v="418"/>
    <n v="1.4333333333333333"/>
    <n v="-27"/>
    <x v="0"/>
    <e v="#DIV/0!"/>
    <x v="489"/>
    <n v="-2943"/>
    <n v="1300"/>
    <n v="-9.5271700776287938E-3"/>
    <s v="Oct-12"/>
    <x v="6"/>
    <n v="1.2674418604651163"/>
  </r>
  <r>
    <x v="48"/>
    <n v="257"/>
    <x v="0"/>
    <x v="1"/>
    <x v="3"/>
    <x v="60"/>
    <x v="0"/>
    <x v="1"/>
    <x v="2"/>
    <x v="175"/>
    <x v="203"/>
    <x v="7"/>
    <n v="110"/>
    <n v="130"/>
    <n v="290"/>
    <n v="117"/>
    <x v="203"/>
    <x v="175"/>
    <x v="169"/>
    <x v="126"/>
    <n v="2.3363636363636364"/>
    <n v="94"/>
    <x v="0"/>
    <n v="128.27692307692308"/>
    <x v="418"/>
    <n v="133952"/>
    <n v="9828"/>
    <n v="4.459308807134894E-3"/>
    <s v="Oct-12"/>
    <x v="17"/>
    <n v="2.3268482490272375"/>
  </r>
  <r>
    <x v="49"/>
    <n v="21"/>
    <x v="0"/>
    <x v="1"/>
    <x v="3"/>
    <x v="35"/>
    <x v="0"/>
    <x v="1"/>
    <x v="2"/>
    <x v="38"/>
    <x v="112"/>
    <x v="11"/>
    <n v="0"/>
    <n v="20"/>
    <n v="20"/>
    <n v="16"/>
    <x v="112"/>
    <x v="38"/>
    <x v="102"/>
    <x v="220"/>
    <e v="#DIV/0!"/>
    <n v="-4"/>
    <x v="0"/>
    <n v="19.2"/>
    <x v="254"/>
    <n v="848"/>
    <n v="80"/>
    <n v="6.0377358490566038E-2"/>
    <s v="Oct-12"/>
    <x v="4"/>
    <n v="2.5238095238095237"/>
  </r>
  <r>
    <x v="8"/>
    <n v="239"/>
    <x v="0"/>
    <x v="1"/>
    <x v="3"/>
    <x v="49"/>
    <x v="0"/>
    <x v="1"/>
    <x v="11"/>
    <x v="173"/>
    <x v="201"/>
    <x v="7"/>
    <n v="110"/>
    <n v="80"/>
    <n v="230"/>
    <n v="90"/>
    <x v="201"/>
    <x v="173"/>
    <x v="187"/>
    <x v="355"/>
    <n v="2.1727272727272728"/>
    <n v="69"/>
    <x v="0"/>
    <n v="78.137500000000003"/>
    <x v="416"/>
    <n v="71222"/>
    <n v="5939.9999999999991"/>
    <n v="4.7229618359325475E-3"/>
    <s v="Oct-12"/>
    <x v="16"/>
    <n v="2"/>
  </r>
  <r>
    <x v="48"/>
    <n v="255"/>
    <x v="0"/>
    <x v="1"/>
    <x v="3"/>
    <x v="50"/>
    <x v="0"/>
    <x v="1"/>
    <x v="3"/>
    <x v="211"/>
    <x v="231"/>
    <x v="7"/>
    <n v="110"/>
    <n v="-170"/>
    <n v="0"/>
    <n v="129"/>
    <x v="231"/>
    <x v="211"/>
    <x v="150"/>
    <x v="419"/>
    <n v="2.3181818181818183"/>
    <n v="-193"/>
    <x v="0"/>
    <n v="-172.13529411764705"/>
    <x v="490"/>
    <n v="-7623"/>
    <n v="12384"/>
    <n v="-0.18005952380952381"/>
    <s v="Oct-12"/>
    <x v="30"/>
    <n v="8.2352941176470587E-2"/>
  </r>
  <r>
    <x v="9"/>
    <n v="25"/>
    <x v="0"/>
    <x v="1"/>
    <x v="3"/>
    <x v="8"/>
    <x v="0"/>
    <x v="1"/>
    <x v="3"/>
    <x v="55"/>
    <x v="82"/>
    <x v="8"/>
    <n v="0"/>
    <n v="10"/>
    <n v="20"/>
    <n v="43"/>
    <x v="82"/>
    <x v="55"/>
    <x v="103"/>
    <x v="222"/>
    <e v="#DIV/0!"/>
    <n v="-22"/>
    <x v="0"/>
    <n v="11.2"/>
    <x v="257"/>
    <n v="-672"/>
    <n v="387"/>
    <n v="-2.3809523809523808E-2"/>
    <s v="Oct-12"/>
    <x v="12"/>
    <n v="2.2400000000000002"/>
  </r>
  <r>
    <x v="142"/>
    <n v="173"/>
    <x v="1"/>
    <x v="0"/>
    <x v="3"/>
    <x v="63"/>
    <x v="1"/>
    <x v="3"/>
    <x v="5"/>
    <x v="212"/>
    <x v="232"/>
    <x v="3"/>
    <n v="200"/>
    <n v="-130"/>
    <n v="170"/>
    <n v="100"/>
    <x v="232"/>
    <x v="212"/>
    <x v="193"/>
    <x v="420"/>
    <n v="0.86499999999999999"/>
    <n v="3"/>
    <x v="0"/>
    <n v="-130.97692307692307"/>
    <x v="491"/>
    <n v="-18542"/>
    <n v="5700.0000000000009"/>
    <n v="-1.5260754626291756E-2"/>
    <s v="Nov-12"/>
    <x v="43"/>
    <n v="0.84393063583815031"/>
  </r>
  <r>
    <x v="71"/>
    <n v="228"/>
    <x v="1"/>
    <x v="0"/>
    <x v="3"/>
    <x v="64"/>
    <x v="1"/>
    <x v="2"/>
    <x v="4"/>
    <x v="111"/>
    <x v="209"/>
    <x v="3"/>
    <n v="220"/>
    <n v="190"/>
    <n v="510"/>
    <n v="107"/>
    <x v="209"/>
    <x v="111"/>
    <x v="125"/>
    <x v="421"/>
    <n v="1.0363636363636364"/>
    <n v="7"/>
    <x v="0"/>
    <n v="188.96315789473684"/>
    <x v="492"/>
    <n v="104804"/>
    <n v="8025.0000000000009"/>
    <n v="4.9373433583959894E-3"/>
    <s v="Nov-12"/>
    <x v="33"/>
    <n v="2.3333333333333335"/>
  </r>
  <r>
    <x v="37"/>
    <n v="113"/>
    <x v="1"/>
    <x v="0"/>
    <x v="3"/>
    <x v="62"/>
    <x v="1"/>
    <x v="3"/>
    <x v="6"/>
    <x v="213"/>
    <x v="52"/>
    <x v="3"/>
    <n v="130"/>
    <n v="-50"/>
    <n v="130"/>
    <n v="59"/>
    <x v="52"/>
    <x v="213"/>
    <x v="191"/>
    <x v="422"/>
    <n v="0.86923076923076925"/>
    <n v="-6"/>
    <x v="0"/>
    <n v="-51.12"/>
    <x v="493"/>
    <n v="-6496"/>
    <n v="2124"/>
    <n v="-1.3409961685823755E-2"/>
    <s v="Nov-12"/>
    <x v="19"/>
    <n v="1.0265486725663717"/>
  </r>
  <r>
    <x v="138"/>
    <n v="249"/>
    <x v="1"/>
    <x v="0"/>
    <x v="3"/>
    <x v="41"/>
    <x v="1"/>
    <x v="3"/>
    <x v="7"/>
    <x v="214"/>
    <x v="168"/>
    <x v="3"/>
    <n v="290"/>
    <n v="310"/>
    <n v="740"/>
    <n v="139"/>
    <x v="168"/>
    <x v="214"/>
    <x v="225"/>
    <x v="423"/>
    <n v="0.85862068965517246"/>
    <n v="-75"/>
    <x v="0"/>
    <n v="309.24193548387098"/>
    <x v="494"/>
    <n v="146405"/>
    <n v="12093"/>
    <n v="4.3357133632220806E-3"/>
    <s v="Nov-12"/>
    <x v="15"/>
    <n v="2.5020080321285141"/>
  </r>
  <r>
    <x v="143"/>
    <n v="211"/>
    <x v="1"/>
    <x v="0"/>
    <x v="3"/>
    <x v="53"/>
    <x v="1"/>
    <x v="2"/>
    <x v="9"/>
    <x v="113"/>
    <x v="207"/>
    <x v="3"/>
    <n v="200"/>
    <n v="140"/>
    <n v="410"/>
    <n v="83"/>
    <x v="207"/>
    <x v="113"/>
    <x v="157"/>
    <x v="364"/>
    <n v="1.0549999999999999"/>
    <n v="-11"/>
    <x v="0"/>
    <n v="139.07857142857142"/>
    <x v="426"/>
    <n v="54567"/>
    <n v="4897"/>
    <n v="5.1688904916456302E-3"/>
    <s v="Nov-12"/>
    <x v="24"/>
    <n v="2.0047393364928912"/>
  </r>
  <r>
    <x v="140"/>
    <n v="121"/>
    <x v="1"/>
    <x v="0"/>
    <x v="3"/>
    <x v="51"/>
    <x v="1"/>
    <x v="2"/>
    <x v="8"/>
    <x v="1"/>
    <x v="156"/>
    <x v="3"/>
    <n v="110"/>
    <n v="40"/>
    <n v="280"/>
    <n v="142"/>
    <x v="156"/>
    <x v="1"/>
    <x v="155"/>
    <x v="424"/>
    <n v="1.1000000000000001"/>
    <n v="-14"/>
    <x v="0"/>
    <n v="39.35"/>
    <x v="495"/>
    <n v="7514"/>
    <n v="15478"/>
    <n v="8.2537062315482057E-4"/>
    <s v="Nov-12"/>
    <x v="27"/>
    <n v="2.3884297520661155"/>
  </r>
  <r>
    <x v="115"/>
    <n v="81"/>
    <x v="1"/>
    <x v="0"/>
    <x v="3"/>
    <x v="34"/>
    <x v="0"/>
    <x v="0"/>
    <x v="10"/>
    <x v="144"/>
    <x v="172"/>
    <x v="3"/>
    <n v="70"/>
    <n v="80"/>
    <n v="180"/>
    <n v="33"/>
    <x v="172"/>
    <x v="144"/>
    <x v="35"/>
    <x v="279"/>
    <n v="1.1571428571428573"/>
    <n v="4"/>
    <x v="0"/>
    <n v="78.95"/>
    <x v="369"/>
    <n v="16632"/>
    <n v="726"/>
    <n v="1.928374655647383E-2"/>
    <s v="Nov-12"/>
    <x v="10"/>
    <n v="2.4444444444444446"/>
  </r>
  <r>
    <x v="115"/>
    <n v="225"/>
    <x v="1"/>
    <x v="0"/>
    <x v="3"/>
    <x v="42"/>
    <x v="0"/>
    <x v="0"/>
    <x v="0"/>
    <x v="101"/>
    <x v="128"/>
    <x v="3"/>
    <n v="210"/>
    <n v="160"/>
    <n v="450"/>
    <n v="91"/>
    <x v="128"/>
    <x v="101"/>
    <x v="129"/>
    <x v="254"/>
    <n v="1.0714285714285714"/>
    <n v="14"/>
    <x v="0"/>
    <n v="158.91249999999999"/>
    <x v="306"/>
    <n v="85260"/>
    <n v="6279"/>
    <n v="5.1464063886424135E-3"/>
    <s v="Nov-12"/>
    <x v="40"/>
    <n v="2.1777777777777776"/>
  </r>
  <r>
    <x v="115"/>
    <n v="118"/>
    <x v="1"/>
    <x v="0"/>
    <x v="3"/>
    <x v="40"/>
    <x v="0"/>
    <x v="1"/>
    <x v="2"/>
    <x v="179"/>
    <x v="129"/>
    <x v="3"/>
    <n v="80"/>
    <n v="110"/>
    <n v="210"/>
    <n v="44"/>
    <x v="129"/>
    <x v="179"/>
    <x v="192"/>
    <x v="365"/>
    <n v="1.4750000000000001"/>
    <n v="18"/>
    <x v="0"/>
    <n v="108.83636363636364"/>
    <x v="427"/>
    <n v="37120"/>
    <n v="1452"/>
    <n v="1.3375130616509927E-2"/>
    <s v="Nov-12"/>
    <x v="10"/>
    <n v="2.4576271186440679"/>
  </r>
  <r>
    <x v="15"/>
    <n v="82"/>
    <x v="1"/>
    <x v="1"/>
    <x v="3"/>
    <x v="33"/>
    <x v="1"/>
    <x v="3"/>
    <x v="5"/>
    <x v="68"/>
    <x v="106"/>
    <x v="8"/>
    <n v="90"/>
    <n v="60"/>
    <n v="210"/>
    <n v="64"/>
    <x v="106"/>
    <x v="68"/>
    <x v="38"/>
    <x v="197"/>
    <n v="0.91111111111111109"/>
    <n v="-22"/>
    <x v="0"/>
    <n v="59.366666666666667"/>
    <x v="225"/>
    <n v="6992"/>
    <n v="1984"/>
    <n v="6.6619915848527347E-3"/>
    <s v="Nov-12"/>
    <x v="16"/>
    <n v="2.2439024390243905"/>
  </r>
  <r>
    <x v="56"/>
    <n v="94"/>
    <x v="1"/>
    <x v="1"/>
    <x v="3"/>
    <x v="43"/>
    <x v="1"/>
    <x v="3"/>
    <x v="5"/>
    <x v="38"/>
    <x v="134"/>
    <x v="14"/>
    <n v="110"/>
    <n v="40"/>
    <n v="260"/>
    <n v="114"/>
    <x v="134"/>
    <x v="38"/>
    <x v="197"/>
    <x v="370"/>
    <n v="0.8545454545454545"/>
    <n v="-24"/>
    <x v="0"/>
    <n v="39.6"/>
    <x v="433"/>
    <n v="3584"/>
    <n v="9690"/>
    <n v="8.4033613445378145E-4"/>
    <s v="Nov-12"/>
    <x v="23"/>
    <n v="2.3829787234042552"/>
  </r>
  <r>
    <x v="12"/>
    <n v="181"/>
    <x v="1"/>
    <x v="1"/>
    <x v="3"/>
    <x v="52"/>
    <x v="1"/>
    <x v="2"/>
    <x v="4"/>
    <x v="140"/>
    <x v="169"/>
    <x v="11"/>
    <n v="170"/>
    <n v="120"/>
    <n v="350"/>
    <n v="74"/>
    <x v="169"/>
    <x v="140"/>
    <x v="156"/>
    <x v="307"/>
    <n v="1.0647058823529412"/>
    <n v="-12"/>
    <x v="0"/>
    <n v="119.1"/>
    <x v="365"/>
    <n v="39204"/>
    <n v="3699.9999999999995"/>
    <n v="5.9504132231404964E-3"/>
    <s v="Nov-12"/>
    <x v="28"/>
    <n v="2.0055248618784529"/>
  </r>
  <r>
    <x v="15"/>
    <n v="69"/>
    <x v="1"/>
    <x v="1"/>
    <x v="3"/>
    <x v="28"/>
    <x v="1"/>
    <x v="3"/>
    <x v="6"/>
    <x v="40"/>
    <x v="61"/>
    <x v="8"/>
    <n v="80"/>
    <n v="50"/>
    <n v="170"/>
    <n v="42"/>
    <x v="61"/>
    <x v="40"/>
    <x v="54"/>
    <x v="171"/>
    <n v="0.86250000000000004"/>
    <n v="-11"/>
    <x v="0"/>
    <n v="49.22"/>
    <x v="496"/>
    <n v="5850"/>
    <n v="882"/>
    <n v="1.2380952380952381E-2"/>
    <s v="Nov-12"/>
    <x v="11"/>
    <n v="2.1739130434782608"/>
  </r>
  <r>
    <x v="17"/>
    <n v="53"/>
    <x v="1"/>
    <x v="1"/>
    <x v="3"/>
    <x v="1"/>
    <x v="1"/>
    <x v="3"/>
    <x v="7"/>
    <x v="29"/>
    <x v="51"/>
    <x v="11"/>
    <n v="60"/>
    <n v="40"/>
    <n v="150"/>
    <n v="61"/>
    <x v="51"/>
    <x v="29"/>
    <x v="35"/>
    <x v="425"/>
    <n v="0.8833333333333333"/>
    <n v="-26"/>
    <x v="0"/>
    <n v="39.65"/>
    <x v="497"/>
    <n v="1792"/>
    <n v="1037"/>
    <n v="6.4338235294117644E-3"/>
    <s v="Nov-12"/>
    <x v="8"/>
    <n v="2.4150943396226414"/>
  </r>
  <r>
    <x v="16"/>
    <n v="63"/>
    <x v="1"/>
    <x v="1"/>
    <x v="3"/>
    <x v="14"/>
    <x v="1"/>
    <x v="3"/>
    <x v="7"/>
    <x v="35"/>
    <x v="233"/>
    <x v="14"/>
    <n v="70"/>
    <n v="70"/>
    <n v="180"/>
    <n v="43"/>
    <x v="233"/>
    <x v="35"/>
    <x v="112"/>
    <x v="55"/>
    <n v="0.9"/>
    <n v="-20"/>
    <x v="0"/>
    <n v="69.285714285714292"/>
    <x v="498"/>
    <n v="7800"/>
    <n v="860"/>
    <n v="1.6025641025641024E-2"/>
    <s v="Nov-12"/>
    <x v="8"/>
    <n v="2.4761904761904763"/>
  </r>
  <r>
    <x v="8"/>
    <n v="15"/>
    <x v="1"/>
    <x v="1"/>
    <x v="3"/>
    <x v="36"/>
    <x v="1"/>
    <x v="2"/>
    <x v="8"/>
    <x v="76"/>
    <x v="115"/>
    <x v="7"/>
    <n v="10"/>
    <n v="10"/>
    <n v="30"/>
    <n v="15"/>
    <x v="115"/>
    <x v="76"/>
    <x v="121"/>
    <x v="115"/>
    <n v="1.5"/>
    <n v="-1"/>
    <x v="0"/>
    <n v="9.1"/>
    <x v="312"/>
    <n v="351"/>
    <n v="60"/>
    <n v="5.7692307692307696E-2"/>
    <s v="Nov-12"/>
    <x v="5"/>
    <n v="2.6"/>
  </r>
  <r>
    <x v="9"/>
    <n v="101"/>
    <x v="1"/>
    <x v="1"/>
    <x v="3"/>
    <x v="40"/>
    <x v="1"/>
    <x v="2"/>
    <x v="8"/>
    <x v="74"/>
    <x v="133"/>
    <x v="8"/>
    <n v="90"/>
    <n v="90"/>
    <n v="220"/>
    <n v="45"/>
    <x v="133"/>
    <x v="74"/>
    <x v="38"/>
    <x v="259"/>
    <n v="1.1222222222222222"/>
    <n v="-5"/>
    <x v="0"/>
    <n v="89.055555555555557"/>
    <x v="311"/>
    <n v="19635"/>
    <n v="1485"/>
    <n v="1.1150465695920242E-2"/>
    <s v="Nov-12"/>
    <x v="13"/>
    <n v="2.2871287128712869"/>
  </r>
  <r>
    <x v="8"/>
    <n v="121"/>
    <x v="1"/>
    <x v="1"/>
    <x v="3"/>
    <x v="51"/>
    <x v="0"/>
    <x v="0"/>
    <x v="10"/>
    <x v="1"/>
    <x v="156"/>
    <x v="7"/>
    <n v="110"/>
    <n v="20"/>
    <n v="260"/>
    <n v="142"/>
    <x v="156"/>
    <x v="1"/>
    <x v="155"/>
    <x v="424"/>
    <n v="1.1000000000000001"/>
    <n v="6"/>
    <x v="0"/>
    <n v="18.7"/>
    <x v="495"/>
    <n v="7514"/>
    <n v="15478"/>
    <n v="8.2537062315482057E-4"/>
    <s v="Nov-12"/>
    <x v="27"/>
    <n v="2.3884297520661155"/>
  </r>
  <r>
    <x v="32"/>
    <n v="130"/>
    <x v="1"/>
    <x v="1"/>
    <x v="3"/>
    <x v="22"/>
    <x v="0"/>
    <x v="0"/>
    <x v="10"/>
    <x v="126"/>
    <x v="155"/>
    <x v="14"/>
    <n v="120"/>
    <n v="120"/>
    <n v="300"/>
    <n v="73"/>
    <x v="155"/>
    <x v="126"/>
    <x v="143"/>
    <x v="289"/>
    <n v="1.0833333333333333"/>
    <n v="2"/>
    <x v="0"/>
    <n v="118.98333333333333"/>
    <x v="344"/>
    <n v="39650"/>
    <n v="3066"/>
    <n v="8.9377289377289369E-3"/>
    <s v="Nov-12"/>
    <x v="19"/>
    <n v="2.5"/>
  </r>
  <r>
    <x v="48"/>
    <n v="173"/>
    <x v="1"/>
    <x v="1"/>
    <x v="3"/>
    <x v="63"/>
    <x v="0"/>
    <x v="0"/>
    <x v="0"/>
    <x v="215"/>
    <x v="208"/>
    <x v="7"/>
    <n v="160"/>
    <n v="130"/>
    <n v="380"/>
    <n v="101"/>
    <x v="208"/>
    <x v="215"/>
    <x v="226"/>
    <x v="426"/>
    <n v="1.08125"/>
    <n v="8"/>
    <x v="0"/>
    <n v="128.93846153846152"/>
    <x v="499"/>
    <n v="56856"/>
    <n v="5757"/>
    <n v="5.8763413387838527E-3"/>
    <s v="Nov-12"/>
    <x v="34"/>
    <n v="2.3815028901734103"/>
  </r>
  <r>
    <x v="17"/>
    <n v="88"/>
    <x v="1"/>
    <x v="1"/>
    <x v="3"/>
    <x v="39"/>
    <x v="0"/>
    <x v="0"/>
    <x v="0"/>
    <x v="50"/>
    <x v="131"/>
    <x v="11"/>
    <n v="80"/>
    <n v="70"/>
    <n v="180"/>
    <n v="42"/>
    <x v="131"/>
    <x v="50"/>
    <x v="83"/>
    <x v="369"/>
    <n v="1.1000000000000001"/>
    <n v="0"/>
    <x v="0"/>
    <n v="69"/>
    <x v="431"/>
    <n v="14000"/>
    <n v="1218"/>
    <n v="1.2068965517241379E-2"/>
    <s v="Nov-12"/>
    <x v="8"/>
    <n v="2.2727272727272729"/>
  </r>
  <r>
    <x v="48"/>
    <n v="113"/>
    <x v="1"/>
    <x v="1"/>
    <x v="3"/>
    <x v="62"/>
    <x v="0"/>
    <x v="0"/>
    <x v="1"/>
    <x v="120"/>
    <x v="206"/>
    <x v="7"/>
    <n v="100"/>
    <n v="100"/>
    <n v="250"/>
    <n v="58"/>
    <x v="206"/>
    <x v="120"/>
    <x v="198"/>
    <x v="371"/>
    <n v="1.1299999999999999"/>
    <n v="7"/>
    <x v="0"/>
    <n v="98.93"/>
    <x v="434"/>
    <n v="29746"/>
    <n v="2088"/>
    <n v="1.069144684252598E-2"/>
    <s v="Nov-12"/>
    <x v="16"/>
    <n v="2.4601769911504423"/>
  </r>
  <r>
    <x v="48"/>
    <n v="228"/>
    <x v="1"/>
    <x v="1"/>
    <x v="3"/>
    <x v="64"/>
    <x v="0"/>
    <x v="1"/>
    <x v="2"/>
    <x v="181"/>
    <x v="209"/>
    <x v="7"/>
    <n v="160"/>
    <n v="140"/>
    <n v="380"/>
    <n v="108"/>
    <x v="209"/>
    <x v="181"/>
    <x v="194"/>
    <x v="367"/>
    <n v="1.425"/>
    <n v="56"/>
    <x v="0"/>
    <n v="138.6"/>
    <x v="429"/>
    <n v="104272"/>
    <n v="8100"/>
    <n v="4.9122807017543861E-3"/>
    <s v="Nov-12"/>
    <x v="27"/>
    <n v="2.3333333333333335"/>
  </r>
  <r>
    <x v="48"/>
    <n v="211"/>
    <x v="1"/>
    <x v="1"/>
    <x v="3"/>
    <x v="53"/>
    <x v="0"/>
    <x v="1"/>
    <x v="11"/>
    <x v="179"/>
    <x v="207"/>
    <x v="7"/>
    <n v="150"/>
    <n v="80"/>
    <n v="300"/>
    <n v="84"/>
    <x v="207"/>
    <x v="179"/>
    <x v="227"/>
    <x v="427"/>
    <n v="1.4066666666666667"/>
    <n v="48"/>
    <x v="0"/>
    <n v="78.400000000000006"/>
    <x v="500"/>
    <n v="54144"/>
    <n v="4956"/>
    <n v="5.1288215731057421E-3"/>
    <s v="Nov-12"/>
    <x v="23"/>
    <n v="2.0047393364928912"/>
  </r>
  <r>
    <x v="17"/>
    <n v="78"/>
    <x v="1"/>
    <x v="1"/>
    <x v="3"/>
    <x v="26"/>
    <x v="0"/>
    <x v="1"/>
    <x v="11"/>
    <x v="103"/>
    <x v="130"/>
    <x v="11"/>
    <n v="50"/>
    <n v="50"/>
    <n v="140"/>
    <n v="57"/>
    <x v="130"/>
    <x v="103"/>
    <x v="106"/>
    <x v="256"/>
    <n v="1.56"/>
    <n v="12"/>
    <x v="0"/>
    <n v="48.76"/>
    <x v="308"/>
    <n v="12214"/>
    <n v="1425"/>
    <n v="1.2588832487309645E-2"/>
    <s v="Nov-12"/>
    <x v="9"/>
    <n v="2.5256410256410255"/>
  </r>
  <r>
    <x v="48"/>
    <n v="245"/>
    <x v="1"/>
    <x v="1"/>
    <x v="3"/>
    <x v="54"/>
    <x v="0"/>
    <x v="1"/>
    <x v="3"/>
    <x v="216"/>
    <x v="234"/>
    <x v="7"/>
    <n v="180"/>
    <n v="-280"/>
    <n v="0"/>
    <n v="127"/>
    <x v="234"/>
    <x v="216"/>
    <x v="158"/>
    <x v="428"/>
    <n v="1.3611111111111112"/>
    <n v="-60"/>
    <x v="0"/>
    <n v="-281.21428571428572"/>
    <x v="501"/>
    <n v="-10880"/>
    <n v="11811"/>
    <n v="-0.11424731182795698"/>
    <s v="Nov-12"/>
    <x v="29"/>
    <n v="0.1306122448979592"/>
  </r>
  <r>
    <x v="17"/>
    <n v="102"/>
    <x v="1"/>
    <x v="1"/>
    <x v="3"/>
    <x v="33"/>
    <x v="0"/>
    <x v="1"/>
    <x v="3"/>
    <x v="104"/>
    <x v="132"/>
    <x v="11"/>
    <n v="70"/>
    <n v="70"/>
    <n v="170"/>
    <n v="54"/>
    <x v="132"/>
    <x v="104"/>
    <x v="71"/>
    <x v="258"/>
    <n v="1.4571428571428571"/>
    <n v="19"/>
    <x v="0"/>
    <n v="68.728571428571428"/>
    <x v="310"/>
    <n v="21805"/>
    <n v="1674"/>
    <n v="1.1718235681369323E-2"/>
    <s v="Nov-12"/>
    <x v="10"/>
    <n v="2.4019607843137254"/>
  </r>
  <r>
    <x v="139"/>
    <n v="224"/>
    <x v="2"/>
    <x v="0"/>
    <x v="3"/>
    <x v="65"/>
    <x v="1"/>
    <x v="3"/>
    <x v="5"/>
    <x v="217"/>
    <x v="186"/>
    <x v="3"/>
    <n v="260"/>
    <n v="-150"/>
    <n v="220"/>
    <n v="117"/>
    <x v="186"/>
    <x v="217"/>
    <x v="228"/>
    <x v="429"/>
    <n v="0.86153846153846159"/>
    <n v="1"/>
    <x v="0"/>
    <n v="-150.99333333333334"/>
    <x v="502"/>
    <n v="-28608"/>
    <n v="8541"/>
    <n v="-1.0630707762557078E-2"/>
    <s v="Dec-12"/>
    <x v="31"/>
    <n v="0.8571428571428571"/>
  </r>
  <r>
    <x v="64"/>
    <n v="247"/>
    <x v="2"/>
    <x v="0"/>
    <x v="3"/>
    <x v="66"/>
    <x v="1"/>
    <x v="2"/>
    <x v="4"/>
    <x v="185"/>
    <x v="171"/>
    <x v="3"/>
    <n v="240"/>
    <n v="210"/>
    <n v="550"/>
    <n v="113"/>
    <x v="171"/>
    <x v="185"/>
    <x v="202"/>
    <x v="126"/>
    <n v="1.0291666666666666"/>
    <n v="6"/>
    <x v="0"/>
    <n v="208.97142857142856"/>
    <x v="440"/>
    <n v="124416"/>
    <n v="9153"/>
    <n v="4.6296296296296294E-3"/>
    <s v="Dec-12"/>
    <x v="37"/>
    <n v="2.331983805668016"/>
  </r>
  <r>
    <x v="138"/>
    <n v="127"/>
    <x v="2"/>
    <x v="0"/>
    <x v="3"/>
    <x v="19"/>
    <x v="1"/>
    <x v="3"/>
    <x v="6"/>
    <x v="218"/>
    <x v="235"/>
    <x v="3"/>
    <n v="150"/>
    <n v="-90"/>
    <n v="120"/>
    <n v="63"/>
    <x v="235"/>
    <x v="218"/>
    <x v="199"/>
    <x v="430"/>
    <n v="0.84666666666666668"/>
    <n v="2"/>
    <x v="0"/>
    <n v="-90.977777777777774"/>
    <x v="503"/>
    <n v="-8976"/>
    <n v="2520"/>
    <n v="-2.1568627450980395E-2"/>
    <s v="Dec-12"/>
    <x v="32"/>
    <n v="0.80314960629921262"/>
  </r>
  <r>
    <x v="71"/>
    <n v="279"/>
    <x v="2"/>
    <x v="0"/>
    <x v="3"/>
    <x v="55"/>
    <x v="1"/>
    <x v="3"/>
    <x v="7"/>
    <x v="146"/>
    <x v="175"/>
    <x v="3"/>
    <n v="330"/>
    <n v="350"/>
    <n v="830"/>
    <n v="149"/>
    <x v="175"/>
    <x v="146"/>
    <x v="160"/>
    <x v="315"/>
    <n v="0.84545454545454546"/>
    <n v="-79"/>
    <x v="0"/>
    <n v="349.22571428571428"/>
    <x v="374"/>
    <n v="189429"/>
    <n v="14453"/>
    <n v="3.9968732946919754E-3"/>
    <s v="Dec-12"/>
    <x v="44"/>
    <n v="2.5053763440860215"/>
  </r>
  <r>
    <x v="144"/>
    <n v="250"/>
    <x v="2"/>
    <x v="0"/>
    <x v="3"/>
    <x v="57"/>
    <x v="1"/>
    <x v="2"/>
    <x v="9"/>
    <x v="183"/>
    <x v="212"/>
    <x v="3"/>
    <n v="240"/>
    <n v="160"/>
    <n v="480"/>
    <n v="94"/>
    <x v="212"/>
    <x v="183"/>
    <x v="200"/>
    <x v="374"/>
    <n v="1.0416666666666667"/>
    <n v="-3"/>
    <x v="0"/>
    <n v="159.01875000000001"/>
    <x v="438"/>
    <n v="78657"/>
    <n v="6580"/>
    <n v="4.476760764185914E-3"/>
    <s v="Dec-12"/>
    <x v="33"/>
    <n v="2.004"/>
  </r>
  <r>
    <x v="92"/>
    <n v="135"/>
    <x v="2"/>
    <x v="0"/>
    <x v="3"/>
    <x v="56"/>
    <x v="1"/>
    <x v="2"/>
    <x v="8"/>
    <x v="5"/>
    <x v="141"/>
    <x v="3"/>
    <n v="130"/>
    <n v="40"/>
    <n v="310"/>
    <n v="156"/>
    <x v="141"/>
    <x v="5"/>
    <x v="229"/>
    <x v="431"/>
    <n v="1.0384615384615385"/>
    <n v="-9"/>
    <x v="0"/>
    <n v="39.225000000000001"/>
    <x v="504"/>
    <n v="9982"/>
    <n v="19032"/>
    <n v="7.8912534365135933E-4"/>
    <s v="Dec-12"/>
    <x v="24"/>
    <n v="2.3851851851851853"/>
  </r>
  <r>
    <x v="81"/>
    <n v="86"/>
    <x v="2"/>
    <x v="0"/>
    <x v="3"/>
    <x v="23"/>
    <x v="0"/>
    <x v="0"/>
    <x v="10"/>
    <x v="104"/>
    <x v="145"/>
    <x v="3"/>
    <n v="80"/>
    <n v="80"/>
    <n v="190"/>
    <n v="35"/>
    <x v="145"/>
    <x v="104"/>
    <x v="72"/>
    <x v="321"/>
    <n v="1.075"/>
    <n v="9"/>
    <x v="0"/>
    <n v="78.887500000000003"/>
    <x v="381"/>
    <n v="18690"/>
    <n v="840"/>
    <n v="1.7658730158730158E-2"/>
    <s v="Dec-12"/>
    <x v="8"/>
    <n v="2.441860465116279"/>
  </r>
  <r>
    <x v="145"/>
    <n v="241"/>
    <x v="2"/>
    <x v="0"/>
    <x v="3"/>
    <x v="37"/>
    <x v="0"/>
    <x v="0"/>
    <x v="0"/>
    <x v="105"/>
    <x v="135"/>
    <x v="3"/>
    <n v="220"/>
    <n v="170"/>
    <n v="480"/>
    <n v="96"/>
    <x v="135"/>
    <x v="105"/>
    <x v="132"/>
    <x v="261"/>
    <n v="1.0954545454545455"/>
    <n v="18"/>
    <x v="0"/>
    <n v="168.89411764705883"/>
    <x v="314"/>
    <n v="98700"/>
    <n v="7104.0000000000009"/>
    <n v="4.8391248391248384E-3"/>
    <s v="Dec-12"/>
    <x v="22"/>
    <n v="2.1784232365145226"/>
  </r>
  <r>
    <x v="144"/>
    <n v="123"/>
    <x v="2"/>
    <x v="0"/>
    <x v="3"/>
    <x v="38"/>
    <x v="0"/>
    <x v="1"/>
    <x v="2"/>
    <x v="136"/>
    <x v="125"/>
    <x v="3"/>
    <n v="90"/>
    <n v="110"/>
    <n v="220"/>
    <n v="45"/>
    <x v="125"/>
    <x v="136"/>
    <x v="153"/>
    <x v="301"/>
    <n v="1.3666666666666667"/>
    <n v="24"/>
    <x v="0"/>
    <n v="108.78181818181818"/>
    <x v="359"/>
    <n v="40468"/>
    <n v="1530"/>
    <n v="1.3050253213868329E-2"/>
    <s v="Dec-12"/>
    <x v="8"/>
    <n v="2.4552845528455283"/>
  </r>
  <r>
    <x v="9"/>
    <n v="68"/>
    <x v="2"/>
    <x v="1"/>
    <x v="3"/>
    <x v="26"/>
    <x v="1"/>
    <x v="3"/>
    <x v="5"/>
    <x v="1"/>
    <x v="43"/>
    <x v="8"/>
    <n v="80"/>
    <n v="50"/>
    <n v="180"/>
    <n v="59"/>
    <x v="43"/>
    <x v="1"/>
    <x v="0"/>
    <x v="238"/>
    <n v="0.85"/>
    <n v="-24"/>
    <x v="0"/>
    <n v="49.48"/>
    <x v="290"/>
    <n v="3978"/>
    <n v="1475"/>
    <n v="6.7973856209150333E-3"/>
    <s v="Dec-12"/>
    <x v="13"/>
    <n v="2.25"/>
  </r>
  <r>
    <x v="30"/>
    <n v="105"/>
    <x v="2"/>
    <x v="1"/>
    <x v="3"/>
    <x v="44"/>
    <x v="1"/>
    <x v="3"/>
    <x v="5"/>
    <x v="30"/>
    <x v="139"/>
    <x v="14"/>
    <n v="120"/>
    <n v="50"/>
    <n v="290"/>
    <n v="125"/>
    <x v="139"/>
    <x v="30"/>
    <x v="134"/>
    <x v="268"/>
    <n v="0.875"/>
    <n v="-30"/>
    <x v="0"/>
    <n v="49.6"/>
    <x v="322"/>
    <n v="5000"/>
    <n v="11875"/>
    <n v="8.4210526315789467E-4"/>
    <s v="Dec-12"/>
    <x v="27"/>
    <n v="2.3809523809523809"/>
  </r>
  <r>
    <x v="17"/>
    <n v="153"/>
    <x v="2"/>
    <x v="1"/>
    <x v="3"/>
    <x v="22"/>
    <x v="1"/>
    <x v="2"/>
    <x v="4"/>
    <x v="100"/>
    <x v="176"/>
    <x v="11"/>
    <n v="150"/>
    <n v="80"/>
    <n v="290"/>
    <n v="66"/>
    <x v="176"/>
    <x v="100"/>
    <x v="163"/>
    <x v="130"/>
    <n v="1.02"/>
    <n v="7"/>
    <x v="0"/>
    <n v="78.912499999999994"/>
    <x v="377"/>
    <n v="26622"/>
    <n v="2771.9999999999995"/>
    <n v="6.7693744164332402E-3"/>
    <s v="Dec-12"/>
    <x v="32"/>
    <n v="2"/>
  </r>
  <r>
    <x v="56"/>
    <n v="80"/>
    <x v="2"/>
    <x v="1"/>
    <x v="3"/>
    <x v="23"/>
    <x v="1"/>
    <x v="2"/>
    <x v="4"/>
    <x v="94"/>
    <x v="37"/>
    <x v="14"/>
    <n v="70"/>
    <n v="60"/>
    <n v="170"/>
    <n v="45"/>
    <x v="37"/>
    <x v="94"/>
    <x v="61"/>
    <x v="432"/>
    <n v="1.1428571428571428"/>
    <n v="-9"/>
    <x v="0"/>
    <n v="59.15"/>
    <x v="505"/>
    <n v="8976"/>
    <n v="1080"/>
    <n v="1.2073863636363636E-2"/>
    <s v="Dec-12"/>
    <x v="8"/>
    <n v="2.2000000000000002"/>
  </r>
  <r>
    <x v="9"/>
    <n v="63"/>
    <x v="2"/>
    <x v="1"/>
    <x v="3"/>
    <x v="27"/>
    <x v="1"/>
    <x v="3"/>
    <x v="6"/>
    <x v="18"/>
    <x v="44"/>
    <x v="8"/>
    <n v="70"/>
    <n v="50"/>
    <n v="160"/>
    <n v="40"/>
    <x v="44"/>
    <x v="18"/>
    <x v="51"/>
    <x v="58"/>
    <n v="0.9"/>
    <n v="-14"/>
    <x v="0"/>
    <n v="49.28"/>
    <x v="62"/>
    <n v="5004"/>
    <n v="760"/>
    <n v="1.3631200302915562E-2"/>
    <s v="Dec-12"/>
    <x v="8"/>
    <n v="2.2063492063492065"/>
  </r>
  <r>
    <x v="56"/>
    <n v="72"/>
    <x v="2"/>
    <x v="1"/>
    <x v="3"/>
    <x v="4"/>
    <x v="1"/>
    <x v="3"/>
    <x v="7"/>
    <x v="85"/>
    <x v="37"/>
    <x v="14"/>
    <n v="80"/>
    <n v="80"/>
    <n v="200"/>
    <n v="46"/>
    <x v="37"/>
    <x v="85"/>
    <x v="41"/>
    <x v="254"/>
    <n v="0.9"/>
    <n v="-22"/>
    <x v="0"/>
    <n v="79.275000000000006"/>
    <x v="506"/>
    <n v="10208"/>
    <n v="1058"/>
    <n v="1.432806324110672E-2"/>
    <s v="Dec-12"/>
    <x v="11"/>
    <n v="2.4444444444444446"/>
  </r>
  <r>
    <x v="8"/>
    <n v="16"/>
    <x v="2"/>
    <x v="1"/>
    <x v="3"/>
    <x v="36"/>
    <x v="1"/>
    <x v="2"/>
    <x v="8"/>
    <x v="44"/>
    <x v="116"/>
    <x v="7"/>
    <n v="10"/>
    <n v="10"/>
    <n v="30"/>
    <n v="15"/>
    <x v="116"/>
    <x v="44"/>
    <x v="116"/>
    <x v="55"/>
    <n v="1.6"/>
    <n v="0"/>
    <x v="0"/>
    <n v="9"/>
    <x v="190"/>
    <n v="410"/>
    <n v="60"/>
    <n v="6.097560975609756E-2"/>
    <s v="Dec-12"/>
    <x v="5"/>
    <n v="2.5625"/>
  </r>
  <r>
    <x v="9"/>
    <n v="94"/>
    <x v="2"/>
    <x v="1"/>
    <x v="3"/>
    <x v="33"/>
    <x v="1"/>
    <x v="2"/>
    <x v="8"/>
    <x v="61"/>
    <x v="138"/>
    <x v="8"/>
    <n v="90"/>
    <n v="70"/>
    <n v="200"/>
    <n v="43"/>
    <x v="138"/>
    <x v="61"/>
    <x v="52"/>
    <x v="267"/>
    <n v="1.0444444444444445"/>
    <n v="7"/>
    <x v="0"/>
    <n v="68.900000000000006"/>
    <x v="320"/>
    <n v="16478"/>
    <n v="1333"/>
    <n v="1.1606873681037081E-2"/>
    <s v="Dec-12"/>
    <x v="13"/>
    <n v="2.2765957446808511"/>
  </r>
  <r>
    <x v="48"/>
    <n v="135"/>
    <x v="2"/>
    <x v="1"/>
    <x v="3"/>
    <x v="56"/>
    <x v="0"/>
    <x v="0"/>
    <x v="10"/>
    <x v="71"/>
    <x v="141"/>
    <x v="7"/>
    <n v="120"/>
    <n v="30"/>
    <n v="290"/>
    <n v="155"/>
    <x v="141"/>
    <x v="71"/>
    <x v="162"/>
    <x v="433"/>
    <n v="1.125"/>
    <n v="2"/>
    <x v="0"/>
    <n v="28.933333333333334"/>
    <x v="507"/>
    <n v="10304"/>
    <n v="18910"/>
    <n v="8.1458099989817746E-4"/>
    <s v="Dec-12"/>
    <x v="38"/>
    <n v="2.3851851851851853"/>
  </r>
  <r>
    <x v="30"/>
    <n v="115"/>
    <x v="2"/>
    <x v="1"/>
    <x v="3"/>
    <x v="45"/>
    <x v="0"/>
    <x v="0"/>
    <x v="10"/>
    <x v="116"/>
    <x v="156"/>
    <x v="14"/>
    <n v="100"/>
    <n v="110"/>
    <n v="260"/>
    <n v="69"/>
    <x v="156"/>
    <x v="116"/>
    <x v="144"/>
    <x v="290"/>
    <n v="1.1499999999999999"/>
    <n v="-5"/>
    <x v="0"/>
    <n v="109.04545454545455"/>
    <x v="345"/>
    <n v="30345"/>
    <n v="2553"/>
    <n v="9.819508089404282E-3"/>
    <s v="Dec-12"/>
    <x v="16"/>
    <n v="2.5130434782608697"/>
  </r>
  <r>
    <x v="8"/>
    <n v="224"/>
    <x v="2"/>
    <x v="1"/>
    <x v="3"/>
    <x v="65"/>
    <x v="0"/>
    <x v="0"/>
    <x v="0"/>
    <x v="184"/>
    <x v="213"/>
    <x v="7"/>
    <n v="210"/>
    <n v="170"/>
    <n v="490"/>
    <n v="116"/>
    <x v="213"/>
    <x v="184"/>
    <x v="201"/>
    <x v="375"/>
    <n v="1.0666666666666667"/>
    <n v="24"/>
    <x v="0"/>
    <n v="168.85882352941175"/>
    <x v="439"/>
    <n v="103596"/>
    <n v="8468"/>
    <n v="4.9766558924631884E-3"/>
    <s v="Dec-12"/>
    <x v="33"/>
    <n v="2.3839285714285716"/>
  </r>
  <r>
    <x v="49"/>
    <n v="81"/>
    <x v="2"/>
    <x v="1"/>
    <x v="3"/>
    <x v="32"/>
    <x v="0"/>
    <x v="0"/>
    <x v="0"/>
    <x v="107"/>
    <x v="86"/>
    <x v="11"/>
    <n v="70"/>
    <n v="70"/>
    <n v="170"/>
    <n v="38"/>
    <x v="86"/>
    <x v="107"/>
    <x v="63"/>
    <x v="264"/>
    <n v="1.1571428571428573"/>
    <n v="-4"/>
    <x v="0"/>
    <n v="69.057142857142864"/>
    <x v="317"/>
    <n v="12210"/>
    <n v="988"/>
    <n v="1.372141372141372E-2"/>
    <s v="Dec-12"/>
    <x v="10"/>
    <n v="2.2839506172839505"/>
  </r>
  <r>
    <x v="8"/>
    <n v="127"/>
    <x v="2"/>
    <x v="1"/>
    <x v="3"/>
    <x v="19"/>
    <x v="0"/>
    <x v="0"/>
    <x v="1"/>
    <x v="126"/>
    <x v="211"/>
    <x v="7"/>
    <n v="120"/>
    <n v="120"/>
    <n v="290"/>
    <n v="63"/>
    <x v="211"/>
    <x v="126"/>
    <x v="199"/>
    <x v="373"/>
    <n v="1.0583333333333333"/>
    <n v="2"/>
    <x v="0"/>
    <n v="118.98333333333333"/>
    <x v="437"/>
    <n v="38064"/>
    <n v="2520"/>
    <n v="9.7756410256410256E-3"/>
    <s v="Dec-12"/>
    <x v="30"/>
    <n v="2.4566929133858268"/>
  </r>
  <r>
    <x v="48"/>
    <n v="247"/>
    <x v="2"/>
    <x v="1"/>
    <x v="3"/>
    <x v="66"/>
    <x v="0"/>
    <x v="1"/>
    <x v="2"/>
    <x v="219"/>
    <x v="171"/>
    <x v="7"/>
    <n v="180"/>
    <n v="150"/>
    <n v="420"/>
    <n v="114"/>
    <x v="171"/>
    <x v="219"/>
    <x v="230"/>
    <x v="434"/>
    <n v="1.3722222222222222"/>
    <n v="65"/>
    <x v="0"/>
    <n v="148.56666666666666"/>
    <x v="508"/>
    <n v="123840"/>
    <n v="9234"/>
    <n v="4.6081961591220846E-3"/>
    <s v="Dec-12"/>
    <x v="24"/>
    <n v="2.331983805668016"/>
  </r>
  <r>
    <x v="48"/>
    <n v="250"/>
    <x v="2"/>
    <x v="1"/>
    <x v="3"/>
    <x v="57"/>
    <x v="0"/>
    <x v="1"/>
    <x v="11"/>
    <x v="183"/>
    <x v="212"/>
    <x v="7"/>
    <n v="180"/>
    <n v="100"/>
    <n v="360"/>
    <n v="94"/>
    <x v="212"/>
    <x v="183"/>
    <x v="200"/>
    <x v="374"/>
    <n v="1.3888888888888888"/>
    <n v="57"/>
    <x v="0"/>
    <n v="98.43"/>
    <x v="438"/>
    <n v="78657"/>
    <n v="6580"/>
    <n v="4.476760764185914E-3"/>
    <s v="Dec-12"/>
    <x v="38"/>
    <n v="2.004"/>
  </r>
  <r>
    <x v="17"/>
    <n v="88"/>
    <x v="2"/>
    <x v="1"/>
    <x v="3"/>
    <x v="39"/>
    <x v="0"/>
    <x v="1"/>
    <x v="11"/>
    <x v="59"/>
    <x v="136"/>
    <x v="11"/>
    <n v="60"/>
    <n v="60"/>
    <n v="160"/>
    <n v="60"/>
    <x v="136"/>
    <x v="59"/>
    <x v="159"/>
    <x v="313"/>
    <n v="1.4666666666666666"/>
    <n v="13"/>
    <x v="0"/>
    <n v="58.783333333333331"/>
    <x v="372"/>
    <n v="16133"/>
    <n v="1740"/>
    <n v="1.1390232485567172E-2"/>
    <s v="Dec-12"/>
    <x v="10"/>
    <n v="2.5113636363636362"/>
  </r>
  <r>
    <x v="8"/>
    <n v="294"/>
    <x v="2"/>
    <x v="1"/>
    <x v="3"/>
    <x v="58"/>
    <x v="0"/>
    <x v="1"/>
    <x v="3"/>
    <x v="220"/>
    <x v="236"/>
    <x v="7"/>
    <n v="210"/>
    <n v="-320"/>
    <n v="0"/>
    <n v="145"/>
    <x v="236"/>
    <x v="220"/>
    <x v="231"/>
    <x v="435"/>
    <n v="1.4"/>
    <n v="-88"/>
    <x v="0"/>
    <n v="-321.27499999999998"/>
    <x v="509"/>
    <n v="-12648"/>
    <n v="16095"/>
    <n v="-0.11857018308631212"/>
    <s v="Dec-12"/>
    <x v="33"/>
    <n v="0.10544217687074831"/>
  </r>
  <r>
    <x v="12"/>
    <n v="134"/>
    <x v="2"/>
    <x v="1"/>
    <x v="3"/>
    <x v="11"/>
    <x v="0"/>
    <x v="1"/>
    <x v="3"/>
    <x v="109"/>
    <x v="137"/>
    <x v="11"/>
    <n v="90"/>
    <n v="100"/>
    <n v="230"/>
    <n v="65"/>
    <x v="137"/>
    <x v="109"/>
    <x v="133"/>
    <x v="266"/>
    <n v="1.4888888888888889"/>
    <n v="21"/>
    <x v="0"/>
    <n v="98.79"/>
    <x v="319"/>
    <n v="38720"/>
    <n v="2665"/>
    <n v="9.2225609756097556E-3"/>
    <s v="Dec-12"/>
    <x v="13"/>
    <n v="2.3880597014925371"/>
  </r>
  <r>
    <x v="9"/>
    <n v="20"/>
    <x v="2"/>
    <x v="1"/>
    <x v="3"/>
    <x v="7"/>
    <x v="0"/>
    <x v="1"/>
    <x v="3"/>
    <x v="108"/>
    <x v="117"/>
    <x v="8"/>
    <n v="10"/>
    <n v="0"/>
    <n v="30"/>
    <n v="40"/>
    <x v="117"/>
    <x v="108"/>
    <x v="64"/>
    <x v="265"/>
    <n v="2"/>
    <n v="-15"/>
    <x v="0"/>
    <e v="#DIV/0!"/>
    <x v="318"/>
    <n v="-675"/>
    <n v="280"/>
    <n v="-4.7619047619047616E-2"/>
    <s v="Dec-12"/>
    <x v="3"/>
    <n v="2.25"/>
  </r>
  <r>
    <x v="73"/>
    <n v="154"/>
    <x v="3"/>
    <x v="0"/>
    <x v="3"/>
    <x v="52"/>
    <x v="1"/>
    <x v="3"/>
    <x v="5"/>
    <x v="221"/>
    <x v="44"/>
    <x v="3"/>
    <n v="220"/>
    <n v="-100"/>
    <n v="190"/>
    <n v="93"/>
    <x v="44"/>
    <x v="221"/>
    <x v="232"/>
    <x v="436"/>
    <n v="0.7"/>
    <n v="-74"/>
    <x v="0"/>
    <n v="-101.74"/>
    <x v="510"/>
    <n v="-24186"/>
    <n v="4650"/>
    <n v="-2.5035971223021581E-2"/>
    <s v="Oct-13"/>
    <x v="40"/>
    <n v="0.90259740259740262"/>
  </r>
  <r>
    <x v="145"/>
    <n v="257"/>
    <x v="3"/>
    <x v="0"/>
    <x v="3"/>
    <x v="60"/>
    <x v="1"/>
    <x v="2"/>
    <x v="4"/>
    <x v="222"/>
    <x v="219"/>
    <x v="3"/>
    <n v="230"/>
    <n v="240"/>
    <n v="550"/>
    <n v="116"/>
    <x v="219"/>
    <x v="222"/>
    <x v="233"/>
    <x v="437"/>
    <n v="1.1173913043478261"/>
    <n v="94"/>
    <x v="0"/>
    <n v="238.60833333333332"/>
    <x v="511"/>
    <n v="212758"/>
    <n v="9744"/>
    <n v="6.2420572624654258E-3"/>
    <s v="Oct-13"/>
    <x v="22"/>
    <n v="2.4785992217898833"/>
  </r>
  <r>
    <x v="142"/>
    <n v="122"/>
    <x v="3"/>
    <x v="0"/>
    <x v="3"/>
    <x v="59"/>
    <x v="1"/>
    <x v="3"/>
    <x v="6"/>
    <x v="223"/>
    <x v="52"/>
    <x v="3"/>
    <n v="170"/>
    <n v="-60"/>
    <n v="150"/>
    <n v="61"/>
    <x v="52"/>
    <x v="223"/>
    <x v="234"/>
    <x v="438"/>
    <n v="0.71764705882352942"/>
    <n v="-50"/>
    <x v="0"/>
    <n v="-61.833333333333336"/>
    <x v="512"/>
    <n v="-12760"/>
    <n v="2379"/>
    <n v="-2.4314765694076042E-2"/>
    <s v="Oct-13"/>
    <x v="32"/>
    <n v="0.95081967213114749"/>
  </r>
  <r>
    <x v="140"/>
    <n v="260"/>
    <x v="3"/>
    <x v="0"/>
    <x v="3"/>
    <x v="46"/>
    <x v="1"/>
    <x v="3"/>
    <x v="7"/>
    <x v="152"/>
    <x v="181"/>
    <x v="3"/>
    <n v="380"/>
    <n v="470"/>
    <n v="960"/>
    <n v="143"/>
    <x v="181"/>
    <x v="152"/>
    <x v="167"/>
    <x v="324"/>
    <n v="0.68421052631578949"/>
    <n v="-103"/>
    <x v="1"/>
    <n v="469.2191489361702"/>
    <x v="384"/>
    <n v="254331"/>
    <n v="13013"/>
    <n v="5.8195772481486763E-3"/>
    <s v="Oct-13"/>
    <x v="42"/>
    <n v="2.6653846153846152"/>
  </r>
  <r>
    <x v="139"/>
    <n v="239"/>
    <x v="3"/>
    <x v="0"/>
    <x v="3"/>
    <x v="49"/>
    <x v="1"/>
    <x v="2"/>
    <x v="9"/>
    <x v="189"/>
    <x v="217"/>
    <x v="3"/>
    <n v="210"/>
    <n v="160"/>
    <n v="430"/>
    <n v="90"/>
    <x v="217"/>
    <x v="189"/>
    <x v="205"/>
    <x v="382"/>
    <n v="1.138095238095238"/>
    <n v="61"/>
    <x v="0"/>
    <n v="158.61875000000001"/>
    <x v="448"/>
    <n v="112489"/>
    <n v="5940"/>
    <n v="6.578555694469251E-3"/>
    <s v="Oct-13"/>
    <x v="24"/>
    <n v="2.1297071129707112"/>
  </r>
  <r>
    <x v="75"/>
    <n v="125"/>
    <x v="3"/>
    <x v="0"/>
    <x v="3"/>
    <x v="47"/>
    <x v="1"/>
    <x v="2"/>
    <x v="8"/>
    <x v="54"/>
    <x v="216"/>
    <x v="3"/>
    <n v="110"/>
    <n v="50"/>
    <n v="270"/>
    <n v="146"/>
    <x v="216"/>
    <x v="54"/>
    <x v="235"/>
    <x v="439"/>
    <n v="1.1363636363636365"/>
    <n v="-10"/>
    <x v="0"/>
    <n v="49.2"/>
    <x v="513"/>
    <n v="12720"/>
    <n v="16498"/>
    <n v="1.1131518895753326E-3"/>
    <s v="Oct-13"/>
    <x v="23"/>
    <n v="2.544"/>
  </r>
  <r>
    <x v="146"/>
    <n v="108"/>
    <x v="3"/>
    <x v="0"/>
    <x v="3"/>
    <x v="30"/>
    <x v="0"/>
    <x v="0"/>
    <x v="10"/>
    <x v="127"/>
    <x v="185"/>
    <x v="3"/>
    <n v="80"/>
    <n v="120"/>
    <n v="210"/>
    <n v="42"/>
    <x v="185"/>
    <x v="127"/>
    <x v="54"/>
    <x v="331"/>
    <n v="1.35"/>
    <n v="51"/>
    <x v="0"/>
    <n v="118.575"/>
    <x v="390"/>
    <n v="48222"/>
    <n v="1260"/>
    <n v="2.021276595744681E-2"/>
    <s v="Oct-13"/>
    <x v="9"/>
    <n v="2.6111111111111112"/>
  </r>
  <r>
    <x v="138"/>
    <n v="239"/>
    <x v="3"/>
    <x v="0"/>
    <x v="3"/>
    <x v="37"/>
    <x v="0"/>
    <x v="0"/>
    <x v="0"/>
    <x v="224"/>
    <x v="140"/>
    <x v="3"/>
    <n v="190"/>
    <n v="170"/>
    <n v="410"/>
    <n v="95"/>
    <x v="140"/>
    <x v="224"/>
    <x v="235"/>
    <x v="440"/>
    <n v="1.2578947368421052"/>
    <n v="106"/>
    <x v="0"/>
    <n v="168.37647058823529"/>
    <x v="514"/>
    <n v="152904"/>
    <n v="7030"/>
    <n v="6.7323641330861552E-3"/>
    <s v="Oct-13"/>
    <x v="27"/>
    <n v="2.3179916317991633"/>
  </r>
  <r>
    <x v="147"/>
    <n v="123"/>
    <x v="3"/>
    <x v="0"/>
    <x v="3"/>
    <x v="38"/>
    <x v="0"/>
    <x v="1"/>
    <x v="2"/>
    <x v="158"/>
    <x v="141"/>
    <x v="3"/>
    <n v="50"/>
    <n v="80"/>
    <n v="140"/>
    <n v="45"/>
    <x v="141"/>
    <x v="158"/>
    <x v="49"/>
    <x v="332"/>
    <n v="2.46"/>
    <n v="119"/>
    <x v="0"/>
    <n v="77.512500000000003"/>
    <x v="391"/>
    <n v="64078"/>
    <n v="1530"/>
    <n v="1.8176835951772011E-2"/>
    <s v="Oct-13"/>
    <x v="0"/>
    <n v="2.6178861788617884"/>
  </r>
  <r>
    <x v="17"/>
    <n v="43"/>
    <x v="3"/>
    <x v="1"/>
    <x v="3"/>
    <x v="2"/>
    <x v="1"/>
    <x v="3"/>
    <x v="5"/>
    <x v="58"/>
    <x v="11"/>
    <x v="11"/>
    <n v="50"/>
    <n v="80"/>
    <n v="150"/>
    <n v="35"/>
    <x v="11"/>
    <x v="58"/>
    <x v="37"/>
    <x v="441"/>
    <n v="0.86"/>
    <n v="-37"/>
    <x v="0"/>
    <n v="79.462500000000006"/>
    <x v="515"/>
    <n v="4902"/>
    <n v="455"/>
    <n v="2.9014844804318488E-2"/>
    <s v="Oct-13"/>
    <x v="7"/>
    <n v="2.6511627906976742"/>
  </r>
  <r>
    <x v="9"/>
    <n v="79"/>
    <x v="3"/>
    <x v="1"/>
    <x v="3"/>
    <x v="30"/>
    <x v="1"/>
    <x v="3"/>
    <x v="5"/>
    <x v="35"/>
    <x v="90"/>
    <x v="8"/>
    <n v="100"/>
    <n v="120"/>
    <n v="260"/>
    <n v="64"/>
    <x v="90"/>
    <x v="35"/>
    <x v="92"/>
    <x v="142"/>
    <n v="0.79"/>
    <n v="-70"/>
    <x v="0"/>
    <n v="119.58333333333333"/>
    <x v="161"/>
    <n v="9450"/>
    <n v="1920"/>
    <n v="8.8183421516754863E-3"/>
    <s v="Oct-13"/>
    <x v="14"/>
    <n v="2.3924050632911391"/>
  </r>
  <r>
    <x v="32"/>
    <n v="96"/>
    <x v="3"/>
    <x v="1"/>
    <x v="3"/>
    <x v="41"/>
    <x v="1"/>
    <x v="3"/>
    <x v="5"/>
    <x v="65"/>
    <x v="132"/>
    <x v="14"/>
    <n v="140"/>
    <n v="100"/>
    <n v="330"/>
    <n v="117"/>
    <x v="132"/>
    <x v="65"/>
    <x v="136"/>
    <x v="273"/>
    <n v="0.68571428571428572"/>
    <n v="-75"/>
    <x v="0"/>
    <n v="99.75"/>
    <x v="89"/>
    <n v="6125"/>
    <n v="10179"/>
    <n v="1.1728829462819611E-3"/>
    <s v="Oct-13"/>
    <x v="28"/>
    <n v="2.5520833333333335"/>
  </r>
  <r>
    <x v="12"/>
    <n v="161"/>
    <x v="3"/>
    <x v="1"/>
    <x v="3"/>
    <x v="48"/>
    <x v="1"/>
    <x v="2"/>
    <x v="4"/>
    <x v="225"/>
    <x v="182"/>
    <x v="11"/>
    <n v="140"/>
    <n v="110"/>
    <n v="290"/>
    <n v="70"/>
    <x v="182"/>
    <x v="225"/>
    <x v="197"/>
    <x v="7"/>
    <n v="1.1499999999999999"/>
    <n v="25"/>
    <x v="0"/>
    <n v="108.77272727272727"/>
    <x v="516"/>
    <n v="46305"/>
    <n v="3150"/>
    <n v="8.7463556851311956E-3"/>
    <s v="Oct-13"/>
    <x v="19"/>
    <n v="2.1304347826086958"/>
  </r>
  <r>
    <x v="78"/>
    <n v="80"/>
    <x v="3"/>
    <x v="1"/>
    <x v="3"/>
    <x v="23"/>
    <x v="1"/>
    <x v="2"/>
    <x v="4"/>
    <x v="53"/>
    <x v="86"/>
    <x v="14"/>
    <n v="60"/>
    <n v="80"/>
    <n v="150"/>
    <n v="46"/>
    <x v="86"/>
    <x v="53"/>
    <x v="35"/>
    <x v="139"/>
    <n v="1.3333333333333333"/>
    <n v="-9"/>
    <x v="0"/>
    <n v="79.112499999999997"/>
    <x v="154"/>
    <n v="13135"/>
    <n v="1104"/>
    <n v="1.5990990990990991E-2"/>
    <s v="Oct-13"/>
    <x v="7"/>
    <n v="2.3125"/>
  </r>
  <r>
    <x v="12"/>
    <n v="51"/>
    <x v="3"/>
    <x v="1"/>
    <x v="3"/>
    <x v="0"/>
    <x v="1"/>
    <x v="3"/>
    <x v="6"/>
    <x v="11"/>
    <x v="45"/>
    <x v="11"/>
    <n v="70"/>
    <n v="50"/>
    <n v="170"/>
    <n v="76"/>
    <x v="45"/>
    <x v="11"/>
    <x v="52"/>
    <x v="60"/>
    <n v="0.72857142857142854"/>
    <n v="-57"/>
    <x v="0"/>
    <n v="50.14"/>
    <x v="64"/>
    <n v="-910"/>
    <n v="3496"/>
    <n v="-1.1705685618729098E-3"/>
    <s v="Oct-13"/>
    <x v="11"/>
    <n v="2.5490196078431371"/>
  </r>
  <r>
    <x v="9"/>
    <n v="65"/>
    <x v="3"/>
    <x v="1"/>
    <x v="3"/>
    <x v="14"/>
    <x v="1"/>
    <x v="3"/>
    <x v="6"/>
    <x v="36"/>
    <x v="91"/>
    <x v="8"/>
    <n v="90"/>
    <n v="90"/>
    <n v="200"/>
    <n v="41"/>
    <x v="91"/>
    <x v="36"/>
    <x v="42"/>
    <x v="442"/>
    <n v="0.72222222222222221"/>
    <n v="-37"/>
    <x v="0"/>
    <n v="89.411111111111111"/>
    <x v="517"/>
    <n v="8003"/>
    <n v="820"/>
    <n v="1.7549668874172183E-2"/>
    <s v="Oct-13"/>
    <x v="8"/>
    <n v="2.3230769230769233"/>
  </r>
  <r>
    <x v="12"/>
    <n v="60"/>
    <x v="3"/>
    <x v="1"/>
    <x v="3"/>
    <x v="27"/>
    <x v="1"/>
    <x v="3"/>
    <x v="7"/>
    <x v="5"/>
    <x v="43"/>
    <x v="11"/>
    <n v="80"/>
    <n v="90"/>
    <n v="210"/>
    <n v="63"/>
    <x v="43"/>
    <x v="5"/>
    <x v="43"/>
    <x v="443"/>
    <n v="0.75"/>
    <n v="-59"/>
    <x v="0"/>
    <n v="89.655555555555551"/>
    <x v="518"/>
    <n v="4743"/>
    <n v="1197"/>
    <n v="1.066391468868249E-2"/>
    <s v="Oct-13"/>
    <x v="11"/>
    <n v="2.5499999999999998"/>
  </r>
  <r>
    <x v="9"/>
    <n v="47"/>
    <x v="3"/>
    <x v="1"/>
    <x v="3"/>
    <x v="6"/>
    <x v="1"/>
    <x v="3"/>
    <x v="7"/>
    <x v="9"/>
    <x v="15"/>
    <x v="8"/>
    <n v="50"/>
    <n v="80"/>
    <n v="150"/>
    <n v="42"/>
    <x v="15"/>
    <x v="9"/>
    <x v="58"/>
    <x v="10"/>
    <n v="0.94"/>
    <n v="-47"/>
    <x v="0"/>
    <n v="79.587500000000006"/>
    <x v="519"/>
    <n v="3894"/>
    <n v="630"/>
    <n v="1.864406779661017E-2"/>
    <s v="Oct-13"/>
    <x v="7"/>
    <n v="2.5106382978723403"/>
  </r>
  <r>
    <x v="78"/>
    <n v="68"/>
    <x v="3"/>
    <x v="1"/>
    <x v="3"/>
    <x v="28"/>
    <x v="1"/>
    <x v="3"/>
    <x v="7"/>
    <x v="42"/>
    <x v="237"/>
    <x v="14"/>
    <n v="90"/>
    <n v="110"/>
    <n v="230"/>
    <n v="43"/>
    <x v="237"/>
    <x v="42"/>
    <x v="78"/>
    <x v="384"/>
    <n v="0.75555555555555554"/>
    <n v="-27"/>
    <x v="0"/>
    <n v="109.24545454545455"/>
    <x v="520"/>
    <n v="14774"/>
    <n v="903"/>
    <n v="2.2204387372926699E-2"/>
    <s v="Oct-13"/>
    <x v="11"/>
    <n v="2.6176470588235294"/>
  </r>
  <r>
    <x v="32"/>
    <n v="22"/>
    <x v="3"/>
    <x v="1"/>
    <x v="3"/>
    <x v="7"/>
    <x v="1"/>
    <x v="2"/>
    <x v="9"/>
    <x v="25"/>
    <x v="88"/>
    <x v="14"/>
    <n v="10"/>
    <n v="20"/>
    <n v="30"/>
    <n v="19"/>
    <x v="88"/>
    <x v="25"/>
    <x v="56"/>
    <x v="33"/>
    <n v="2.2000000000000002"/>
    <n v="-5"/>
    <x v="0"/>
    <n v="19.25"/>
    <x v="159"/>
    <n v="810"/>
    <n v="133"/>
    <n v="3.968253968253968E-2"/>
    <s v="Oct-13"/>
    <x v="12"/>
    <n v="2.4545454545454546"/>
  </r>
  <r>
    <x v="8"/>
    <n v="21"/>
    <x v="3"/>
    <x v="1"/>
    <x v="3"/>
    <x v="35"/>
    <x v="1"/>
    <x v="2"/>
    <x v="8"/>
    <x v="6"/>
    <x v="103"/>
    <x v="7"/>
    <n v="10"/>
    <n v="20"/>
    <n v="30"/>
    <n v="17"/>
    <x v="103"/>
    <x v="6"/>
    <x v="119"/>
    <x v="227"/>
    <n v="2.1"/>
    <n v="1"/>
    <x v="0"/>
    <n v="18.95"/>
    <x v="272"/>
    <n v="1155"/>
    <n v="85"/>
    <n v="7.636363636363637E-2"/>
    <s v="Oct-13"/>
    <x v="12"/>
    <n v="2.6190476190476191"/>
  </r>
  <r>
    <x v="9"/>
    <n v="103"/>
    <x v="3"/>
    <x v="1"/>
    <x v="3"/>
    <x v="40"/>
    <x v="1"/>
    <x v="2"/>
    <x v="8"/>
    <x v="113"/>
    <x v="142"/>
    <x v="8"/>
    <n v="80"/>
    <n v="110"/>
    <n v="210"/>
    <n v="46"/>
    <x v="142"/>
    <x v="113"/>
    <x v="43"/>
    <x v="272"/>
    <n v="1.2875000000000001"/>
    <n v="19"/>
    <x v="0"/>
    <n v="108.82727272727273"/>
    <x v="325"/>
    <n v="32379"/>
    <n v="1518"/>
    <n v="1.5574067366896052E-2"/>
    <s v="Oct-13"/>
    <x v="10"/>
    <n v="2.436893203883495"/>
  </r>
  <r>
    <x v="48"/>
    <n v="125"/>
    <x v="3"/>
    <x v="1"/>
    <x v="3"/>
    <x v="47"/>
    <x v="0"/>
    <x v="0"/>
    <x v="10"/>
    <x v="40"/>
    <x v="216"/>
    <x v="7"/>
    <n v="90"/>
    <n v="60"/>
    <n v="240"/>
    <n v="147"/>
    <x v="216"/>
    <x v="40"/>
    <x v="135"/>
    <x v="444"/>
    <n v="1.3888888888888888"/>
    <n v="-21"/>
    <x v="0"/>
    <n v="59.35"/>
    <x v="521"/>
    <n v="12402"/>
    <n v="16611"/>
    <n v="1.0853230923359492E-3"/>
    <s v="Oct-13"/>
    <x v="19"/>
    <n v="2.544"/>
  </r>
  <r>
    <x v="78"/>
    <n v="125"/>
    <x v="3"/>
    <x v="1"/>
    <x v="3"/>
    <x v="11"/>
    <x v="0"/>
    <x v="0"/>
    <x v="10"/>
    <x v="127"/>
    <x v="157"/>
    <x v="14"/>
    <n v="90"/>
    <n v="130"/>
    <n v="250"/>
    <n v="73"/>
    <x v="157"/>
    <x v="127"/>
    <x v="130"/>
    <x v="291"/>
    <n v="1.3888888888888888"/>
    <n v="41"/>
    <x v="0"/>
    <n v="128.6846153846154"/>
    <x v="346"/>
    <n v="57114"/>
    <n v="2993"/>
    <n v="1.2487220680590039E-2"/>
    <s v="Oct-13"/>
    <x v="11"/>
    <n v="2.6720000000000002"/>
  </r>
  <r>
    <x v="8"/>
    <n v="154"/>
    <x v="3"/>
    <x v="1"/>
    <x v="3"/>
    <x v="52"/>
    <x v="0"/>
    <x v="0"/>
    <x v="0"/>
    <x v="190"/>
    <x v="218"/>
    <x v="7"/>
    <n v="120"/>
    <n v="120"/>
    <n v="290"/>
    <n v="93"/>
    <x v="218"/>
    <x v="190"/>
    <x v="128"/>
    <x v="383"/>
    <n v="1.2833333333333334"/>
    <n v="58"/>
    <x v="0"/>
    <n v="118.51666666666667"/>
    <x v="449"/>
    <n v="69598"/>
    <n v="4650"/>
    <n v="9.1048593350383632E-3"/>
    <s v="Oct-13"/>
    <x v="30"/>
    <n v="2.5389610389610389"/>
  </r>
  <r>
    <x v="49"/>
    <n v="90"/>
    <x v="3"/>
    <x v="1"/>
    <x v="3"/>
    <x v="39"/>
    <x v="0"/>
    <x v="0"/>
    <x v="0"/>
    <x v="140"/>
    <x v="18"/>
    <x v="11"/>
    <n v="60"/>
    <n v="90"/>
    <n v="160"/>
    <n v="42"/>
    <x v="18"/>
    <x v="140"/>
    <x v="60"/>
    <x v="344"/>
    <n v="1.5"/>
    <n v="18"/>
    <x v="0"/>
    <n v="88.8"/>
    <x v="522"/>
    <n v="23544"/>
    <n v="1218"/>
    <n v="1.7083201518506803E-2"/>
    <s v="Oct-13"/>
    <x v="7"/>
    <n v="2.4222222222222221"/>
  </r>
  <r>
    <x v="8"/>
    <n v="122"/>
    <x v="3"/>
    <x v="1"/>
    <x v="3"/>
    <x v="59"/>
    <x v="0"/>
    <x v="0"/>
    <x v="1"/>
    <x v="193"/>
    <x v="216"/>
    <x v="7"/>
    <n v="90"/>
    <n v="130"/>
    <n v="240"/>
    <n v="62"/>
    <x v="216"/>
    <x v="193"/>
    <x v="127"/>
    <x v="386"/>
    <n v="1.3555555555555556"/>
    <n v="39"/>
    <x v="0"/>
    <n v="128.69999999999999"/>
    <x v="454"/>
    <n v="53742"/>
    <n v="2418"/>
    <n v="1.3626834381551363E-2"/>
    <s v="Oct-13"/>
    <x v="8"/>
    <n v="2.6065573770491803"/>
  </r>
  <r>
    <x v="9"/>
    <n v="86"/>
    <x v="3"/>
    <x v="1"/>
    <x v="3"/>
    <x v="32"/>
    <x v="0"/>
    <x v="0"/>
    <x v="1"/>
    <x v="226"/>
    <x v="52"/>
    <x v="8"/>
    <n v="60"/>
    <n v="0"/>
    <n v="80"/>
    <n v="50"/>
    <x v="52"/>
    <x v="226"/>
    <x v="71"/>
    <x v="445"/>
    <n v="1.4333333333333333"/>
    <n v="-40"/>
    <x v="0"/>
    <e v="#DIV/0!"/>
    <x v="523"/>
    <n v="-4640"/>
    <n v="1300"/>
    <n v="-1.3262599469496022E-2"/>
    <s v="Oct-13"/>
    <x v="6"/>
    <n v="1.3488372093023255"/>
  </r>
  <r>
    <x v="8"/>
    <n v="257"/>
    <x v="3"/>
    <x v="1"/>
    <x v="3"/>
    <x v="60"/>
    <x v="0"/>
    <x v="1"/>
    <x v="2"/>
    <x v="191"/>
    <x v="219"/>
    <x v="7"/>
    <n v="110"/>
    <n v="130"/>
    <n v="290"/>
    <n v="117"/>
    <x v="219"/>
    <x v="191"/>
    <x v="206"/>
    <x v="384"/>
    <n v="2.3363636363636364"/>
    <n v="202"/>
    <x v="0"/>
    <n v="127.44615384615385"/>
    <x v="450"/>
    <n v="211484"/>
    <n v="9828"/>
    <n v="6.2046796740674297E-3"/>
    <s v="Oct-13"/>
    <x v="17"/>
    <n v="2.4785992217898833"/>
  </r>
  <r>
    <x v="17"/>
    <n v="21"/>
    <x v="3"/>
    <x v="1"/>
    <x v="3"/>
    <x v="35"/>
    <x v="0"/>
    <x v="1"/>
    <x v="2"/>
    <x v="10"/>
    <x v="82"/>
    <x v="11"/>
    <n v="0"/>
    <n v="20"/>
    <n v="20"/>
    <n v="16"/>
    <x v="82"/>
    <x v="10"/>
    <x v="118"/>
    <x v="224"/>
    <e v="#DIV/0!"/>
    <n v="4"/>
    <x v="0"/>
    <n v="18.8"/>
    <x v="268"/>
    <n v="1344"/>
    <n v="80"/>
    <n v="8.5714285714285715E-2"/>
    <s v="Oct-13"/>
    <x v="4"/>
    <n v="2.6666666666666665"/>
  </r>
  <r>
    <x v="8"/>
    <n v="239"/>
    <x v="3"/>
    <x v="1"/>
    <x v="3"/>
    <x v="49"/>
    <x v="0"/>
    <x v="1"/>
    <x v="11"/>
    <x v="189"/>
    <x v="217"/>
    <x v="7"/>
    <n v="110"/>
    <n v="80"/>
    <n v="230"/>
    <n v="90"/>
    <x v="217"/>
    <x v="189"/>
    <x v="205"/>
    <x v="382"/>
    <n v="2.1727272727272728"/>
    <n v="141"/>
    <x v="0"/>
    <n v="77.237499999999997"/>
    <x v="448"/>
    <n v="112489"/>
    <n v="5940"/>
    <n v="6.578555694469251E-3"/>
    <s v="Oct-13"/>
    <x v="16"/>
    <n v="2.1297071129707112"/>
  </r>
  <r>
    <x v="48"/>
    <n v="255"/>
    <x v="3"/>
    <x v="1"/>
    <x v="3"/>
    <x v="50"/>
    <x v="0"/>
    <x v="1"/>
    <x v="3"/>
    <x v="227"/>
    <x v="238"/>
    <x v="7"/>
    <n v="110"/>
    <n v="-170"/>
    <n v="0"/>
    <n v="129"/>
    <x v="238"/>
    <x v="227"/>
    <x v="236"/>
    <x v="446"/>
    <n v="2.3181818181818183"/>
    <n v="-369"/>
    <x v="0"/>
    <n v="-173.1705882352941"/>
    <x v="524"/>
    <n v="-11858"/>
    <n v="12384"/>
    <n v="-0.25520833333333331"/>
    <s v="Oct-13"/>
    <x v="30"/>
    <n v="8.6274509803921567E-2"/>
  </r>
  <r>
    <x v="9"/>
    <n v="25"/>
    <x v="3"/>
    <x v="1"/>
    <x v="3"/>
    <x v="8"/>
    <x v="0"/>
    <x v="1"/>
    <x v="3"/>
    <x v="90"/>
    <x v="94"/>
    <x v="8"/>
    <n v="0"/>
    <n v="10"/>
    <n v="20"/>
    <n v="43"/>
    <x v="94"/>
    <x v="90"/>
    <x v="69"/>
    <x v="226"/>
    <e v="#DIV/0!"/>
    <n v="-28"/>
    <x v="0"/>
    <n v="11.8"/>
    <x v="271"/>
    <n v="-1080"/>
    <n v="387"/>
    <n v="-3.3333333333333333E-2"/>
    <s v="Oct-13"/>
    <x v="12"/>
    <n v="2.4"/>
  </r>
  <r>
    <x v="81"/>
    <n v="173"/>
    <x v="4"/>
    <x v="0"/>
    <x v="3"/>
    <x v="63"/>
    <x v="1"/>
    <x v="3"/>
    <x v="5"/>
    <x v="228"/>
    <x v="233"/>
    <x v="3"/>
    <n v="200"/>
    <n v="-130"/>
    <n v="170"/>
    <n v="100"/>
    <x v="233"/>
    <x v="228"/>
    <x v="200"/>
    <x v="447"/>
    <n v="0.86499999999999999"/>
    <n v="-58"/>
    <x v="0"/>
    <n v="-131.44615384615383"/>
    <x v="525"/>
    <n v="-29328"/>
    <n v="5700"/>
    <n v="-2.1142600089968513E-2"/>
    <s v="Nov-13"/>
    <x v="43"/>
    <n v="0.90173410404624277"/>
  </r>
  <r>
    <x v="115"/>
    <n v="228"/>
    <x v="4"/>
    <x v="0"/>
    <x v="3"/>
    <x v="64"/>
    <x v="1"/>
    <x v="2"/>
    <x v="4"/>
    <x v="229"/>
    <x v="205"/>
    <x v="3"/>
    <n v="220"/>
    <n v="190"/>
    <n v="510"/>
    <n v="107"/>
    <x v="205"/>
    <x v="229"/>
    <x v="237"/>
    <x v="448"/>
    <n v="1.0363636363636364"/>
    <n v="102"/>
    <x v="0"/>
    <n v="188.46315789473684"/>
    <x v="526"/>
    <n v="165564"/>
    <n v="8025"/>
    <n v="6.8665490887713111E-3"/>
    <s v="Nov-13"/>
    <x v="33"/>
    <n v="2.486842105263158"/>
  </r>
  <r>
    <x v="144"/>
    <n v="113"/>
    <x v="4"/>
    <x v="0"/>
    <x v="3"/>
    <x v="62"/>
    <x v="1"/>
    <x v="3"/>
    <x v="6"/>
    <x v="230"/>
    <x v="21"/>
    <x v="3"/>
    <n v="130"/>
    <n v="-50"/>
    <n v="130"/>
    <n v="59"/>
    <x v="21"/>
    <x v="230"/>
    <x v="238"/>
    <x v="449"/>
    <n v="0.86923076923076925"/>
    <n v="-33"/>
    <x v="0"/>
    <n v="-51.66"/>
    <x v="527"/>
    <n v="-10292"/>
    <n v="2124"/>
    <n v="-1.8593189964157705E-2"/>
    <s v="Nov-13"/>
    <x v="19"/>
    <n v="1.0973451327433628"/>
  </r>
  <r>
    <x v="115"/>
    <n v="249"/>
    <x v="4"/>
    <x v="0"/>
    <x v="3"/>
    <x v="41"/>
    <x v="1"/>
    <x v="3"/>
    <x v="7"/>
    <x v="231"/>
    <x v="188"/>
    <x v="3"/>
    <n v="290"/>
    <n v="310"/>
    <n v="740"/>
    <n v="139"/>
    <x v="188"/>
    <x v="231"/>
    <x v="239"/>
    <x v="450"/>
    <n v="0.85862068965517246"/>
    <n v="39"/>
    <x v="0"/>
    <n v="308.8741935483871"/>
    <x v="528"/>
    <n v="231736"/>
    <n v="12093.000000000002"/>
    <n v="6.041407007339703E-3"/>
    <s v="Nov-13"/>
    <x v="15"/>
    <n v="2.6666666666666665"/>
  </r>
  <r>
    <x v="138"/>
    <n v="211"/>
    <x v="4"/>
    <x v="0"/>
    <x v="3"/>
    <x v="53"/>
    <x v="1"/>
    <x v="2"/>
    <x v="9"/>
    <x v="156"/>
    <x v="223"/>
    <x v="3"/>
    <n v="200"/>
    <n v="140"/>
    <n v="410"/>
    <n v="83"/>
    <x v="223"/>
    <x v="156"/>
    <x v="209"/>
    <x v="390"/>
    <n v="1.0549999999999999"/>
    <n v="51"/>
    <x v="0"/>
    <n v="138.63571428571427"/>
    <x v="459"/>
    <n v="86141"/>
    <n v="4897"/>
    <n v="7.1780224735991573E-3"/>
    <s v="Nov-13"/>
    <x v="24"/>
    <n v="2.1374407582938391"/>
  </r>
  <r>
    <x v="144"/>
    <n v="121"/>
    <x v="4"/>
    <x v="0"/>
    <x v="3"/>
    <x v="51"/>
    <x v="1"/>
    <x v="2"/>
    <x v="8"/>
    <x v="40"/>
    <x v="159"/>
    <x v="3"/>
    <n v="110"/>
    <n v="40"/>
    <n v="280"/>
    <n v="142"/>
    <x v="159"/>
    <x v="40"/>
    <x v="240"/>
    <x v="451"/>
    <n v="1.1000000000000001"/>
    <n v="-1"/>
    <x v="0"/>
    <n v="39.024999999999999"/>
    <x v="529"/>
    <n v="12012"/>
    <n v="15478"/>
    <n v="1.1616823543429049E-3"/>
    <s v="Nov-13"/>
    <x v="27"/>
    <n v="2.5454545454545454"/>
  </r>
  <r>
    <x v="86"/>
    <n v="81"/>
    <x v="4"/>
    <x v="0"/>
    <x v="3"/>
    <x v="34"/>
    <x v="0"/>
    <x v="0"/>
    <x v="10"/>
    <x v="166"/>
    <x v="192"/>
    <x v="3"/>
    <n v="70"/>
    <n v="80"/>
    <n v="180"/>
    <n v="33"/>
    <x v="192"/>
    <x v="166"/>
    <x v="32"/>
    <x v="341"/>
    <n v="1.1571428571428573"/>
    <n v="45"/>
    <x v="0"/>
    <n v="78.4375"/>
    <x v="401"/>
    <n v="26375"/>
    <n v="726"/>
    <n v="2.6928048255062471E-2"/>
    <s v="Nov-13"/>
    <x v="10"/>
    <n v="2.6049382716049383"/>
  </r>
  <r>
    <x v="45"/>
    <n v="225"/>
    <x v="4"/>
    <x v="0"/>
    <x v="3"/>
    <x v="42"/>
    <x v="0"/>
    <x v="0"/>
    <x v="0"/>
    <x v="114"/>
    <x v="143"/>
    <x v="3"/>
    <n v="210"/>
    <n v="160"/>
    <n v="450"/>
    <n v="91"/>
    <x v="143"/>
    <x v="114"/>
    <x v="137"/>
    <x v="274"/>
    <n v="1.0714285714285714"/>
    <n v="98"/>
    <x v="0"/>
    <n v="158.38749999999999"/>
    <x v="326"/>
    <n v="134676"/>
    <n v="6279"/>
    <n v="7.1630851241046151E-3"/>
    <s v="Nov-13"/>
    <x v="40"/>
    <n v="2.3199999999999998"/>
  </r>
  <r>
    <x v="75"/>
    <n v="118"/>
    <x v="4"/>
    <x v="0"/>
    <x v="3"/>
    <x v="40"/>
    <x v="0"/>
    <x v="1"/>
    <x v="2"/>
    <x v="195"/>
    <x v="144"/>
    <x v="3"/>
    <n v="80"/>
    <n v="110"/>
    <n v="210"/>
    <n v="44"/>
    <x v="144"/>
    <x v="195"/>
    <x v="63"/>
    <x v="391"/>
    <n v="1.4750000000000001"/>
    <n v="80"/>
    <x v="0"/>
    <n v="108.27272727272727"/>
    <x v="460"/>
    <n v="58710"/>
    <n v="1452"/>
    <n v="1.8632931254290479E-2"/>
    <s v="Nov-13"/>
    <x v="10"/>
    <n v="2.6186440677966103"/>
  </r>
  <r>
    <x v="9"/>
    <n v="82"/>
    <x v="4"/>
    <x v="1"/>
    <x v="3"/>
    <x v="33"/>
    <x v="1"/>
    <x v="3"/>
    <x v="5"/>
    <x v="4"/>
    <x v="109"/>
    <x v="8"/>
    <n v="90"/>
    <n v="60"/>
    <n v="210"/>
    <n v="64"/>
    <x v="109"/>
    <x v="4"/>
    <x v="65"/>
    <x v="213"/>
    <n v="0.91111111111111109"/>
    <n v="-4"/>
    <x v="0"/>
    <n v="59.06666666666667"/>
    <x v="245"/>
    <n v="10976"/>
    <n v="1984"/>
    <n v="9.2165898617511521E-3"/>
    <s v="Nov-13"/>
    <x v="16"/>
    <n v="2.3902439024390243"/>
  </r>
  <r>
    <x v="30"/>
    <n v="94"/>
    <x v="4"/>
    <x v="1"/>
    <x v="3"/>
    <x v="43"/>
    <x v="1"/>
    <x v="3"/>
    <x v="5"/>
    <x v="10"/>
    <x v="149"/>
    <x v="14"/>
    <n v="110"/>
    <n v="40"/>
    <n v="260"/>
    <n v="114"/>
    <x v="149"/>
    <x v="10"/>
    <x v="213"/>
    <x v="396"/>
    <n v="0.8545454545454545"/>
    <n v="-16"/>
    <x v="0"/>
    <n v="39.4"/>
    <x v="466"/>
    <n v="5736"/>
    <n v="9690"/>
    <n v="1.1813930593157764E-3"/>
    <s v="Nov-13"/>
    <x v="23"/>
    <n v="2.5425531914893615"/>
  </r>
  <r>
    <x v="17"/>
    <n v="181"/>
    <x v="4"/>
    <x v="1"/>
    <x v="3"/>
    <x v="52"/>
    <x v="1"/>
    <x v="2"/>
    <x v="4"/>
    <x v="162"/>
    <x v="189"/>
    <x v="11"/>
    <n v="170"/>
    <n v="120"/>
    <n v="350"/>
    <n v="74"/>
    <x v="189"/>
    <x v="162"/>
    <x v="177"/>
    <x v="220"/>
    <n v="1.0647058823529412"/>
    <n v="40"/>
    <x v="0"/>
    <n v="118.66666666666667"/>
    <x v="397"/>
    <n v="61920"/>
    <n v="3700"/>
    <n v="8.2687338501292E-3"/>
    <s v="Nov-13"/>
    <x v="28"/>
    <n v="2.1381215469613259"/>
  </r>
  <r>
    <x v="9"/>
    <n v="69"/>
    <x v="4"/>
    <x v="1"/>
    <x v="3"/>
    <x v="28"/>
    <x v="1"/>
    <x v="3"/>
    <x v="6"/>
    <x v="85"/>
    <x v="42"/>
    <x v="8"/>
    <n v="80"/>
    <n v="50"/>
    <n v="170"/>
    <n v="42"/>
    <x v="42"/>
    <x v="85"/>
    <x v="81"/>
    <x v="452"/>
    <n v="0.86250000000000004"/>
    <n v="8"/>
    <x v="0"/>
    <n v="48.84"/>
    <x v="530"/>
    <n v="9280"/>
    <n v="882"/>
    <n v="1.7261904761904763E-2"/>
    <s v="Nov-13"/>
    <x v="11"/>
    <n v="2.318840579710145"/>
  </r>
  <r>
    <x v="49"/>
    <n v="53"/>
    <x v="4"/>
    <x v="1"/>
    <x v="3"/>
    <x v="1"/>
    <x v="1"/>
    <x v="3"/>
    <x v="7"/>
    <x v="6"/>
    <x v="239"/>
    <x v="11"/>
    <n v="60"/>
    <n v="40"/>
    <n v="150"/>
    <n v="61"/>
    <x v="239"/>
    <x v="6"/>
    <x v="14"/>
    <x v="453"/>
    <n v="0.8833333333333333"/>
    <n v="-19"/>
    <x v="0"/>
    <n v="39.475000000000001"/>
    <x v="531"/>
    <n v="2856"/>
    <n v="1037"/>
    <n v="9.0830449826989623E-3"/>
    <s v="Nov-13"/>
    <x v="8"/>
    <n v="2.5660377358490565"/>
  </r>
  <r>
    <x v="56"/>
    <n v="63"/>
    <x v="4"/>
    <x v="1"/>
    <x v="3"/>
    <x v="14"/>
    <x v="1"/>
    <x v="3"/>
    <x v="7"/>
    <x v="62"/>
    <x v="240"/>
    <x v="14"/>
    <n v="70"/>
    <n v="70"/>
    <n v="180"/>
    <n v="43"/>
    <x v="240"/>
    <x v="62"/>
    <x v="36"/>
    <x v="454"/>
    <n v="0.9"/>
    <n v="4"/>
    <x v="0"/>
    <n v="68.942857142857136"/>
    <x v="532"/>
    <n v="12284"/>
    <n v="860"/>
    <n v="2.2289156626506025E-2"/>
    <s v="Nov-13"/>
    <x v="8"/>
    <n v="2.6349206349206349"/>
  </r>
  <r>
    <x v="8"/>
    <n v="15"/>
    <x v="4"/>
    <x v="1"/>
    <x v="3"/>
    <x v="36"/>
    <x v="1"/>
    <x v="2"/>
    <x v="8"/>
    <x v="32"/>
    <x v="120"/>
    <x v="7"/>
    <n v="10"/>
    <n v="10"/>
    <n v="30"/>
    <n v="15"/>
    <x v="120"/>
    <x v="32"/>
    <x v="122"/>
    <x v="170"/>
    <n v="1.5"/>
    <n v="3"/>
    <x v="0"/>
    <n v="8.6999999999999993"/>
    <x v="332"/>
    <n v="546"/>
    <n v="60"/>
    <n v="7.7380952380952384E-2"/>
    <s v="Nov-13"/>
    <x v="5"/>
    <n v="2.8"/>
  </r>
  <r>
    <x v="15"/>
    <n v="101"/>
    <x v="4"/>
    <x v="1"/>
    <x v="3"/>
    <x v="40"/>
    <x v="1"/>
    <x v="2"/>
    <x v="8"/>
    <x v="118"/>
    <x v="148"/>
    <x v="8"/>
    <n v="90"/>
    <n v="90"/>
    <n v="220"/>
    <n v="45"/>
    <x v="148"/>
    <x v="118"/>
    <x v="24"/>
    <x v="279"/>
    <n v="1.1222222222222222"/>
    <n v="36"/>
    <x v="0"/>
    <n v="88.6"/>
    <x v="331"/>
    <n v="30996"/>
    <n v="1485"/>
    <n v="1.5521064301552107E-2"/>
    <s v="Nov-13"/>
    <x v="13"/>
    <n v="2.4356435643564356"/>
  </r>
  <r>
    <x v="48"/>
    <n v="121"/>
    <x v="4"/>
    <x v="1"/>
    <x v="3"/>
    <x v="51"/>
    <x v="0"/>
    <x v="0"/>
    <x v="10"/>
    <x v="40"/>
    <x v="159"/>
    <x v="7"/>
    <n v="110"/>
    <n v="20"/>
    <n v="260"/>
    <n v="142"/>
    <x v="159"/>
    <x v="40"/>
    <x v="240"/>
    <x v="451"/>
    <n v="1.1000000000000001"/>
    <n v="19"/>
    <x v="0"/>
    <n v="18.05"/>
    <x v="529"/>
    <n v="12012"/>
    <n v="15478"/>
    <n v="1.1616823543429049E-3"/>
    <s v="Nov-13"/>
    <x v="27"/>
    <n v="2.5454545454545454"/>
  </r>
  <r>
    <x v="32"/>
    <n v="130"/>
    <x v="4"/>
    <x v="1"/>
    <x v="3"/>
    <x v="22"/>
    <x v="0"/>
    <x v="0"/>
    <x v="10"/>
    <x v="128"/>
    <x v="158"/>
    <x v="14"/>
    <n v="120"/>
    <n v="120"/>
    <n v="300"/>
    <n v="73"/>
    <x v="158"/>
    <x v="128"/>
    <x v="145"/>
    <x v="292"/>
    <n v="1.0833333333333333"/>
    <n v="61"/>
    <x v="0"/>
    <n v="118.49166666666666"/>
    <x v="347"/>
    <n v="62626"/>
    <n v="3066"/>
    <n v="1.2455271125791357E-2"/>
    <s v="Nov-13"/>
    <x v="19"/>
    <n v="2.6615384615384614"/>
  </r>
  <r>
    <x v="48"/>
    <n v="173"/>
    <x v="4"/>
    <x v="1"/>
    <x v="3"/>
    <x v="63"/>
    <x v="0"/>
    <x v="0"/>
    <x v="0"/>
    <x v="232"/>
    <x v="224"/>
    <x v="7"/>
    <n v="160"/>
    <n v="130"/>
    <n v="380"/>
    <n v="101"/>
    <x v="224"/>
    <x v="232"/>
    <x v="241"/>
    <x v="455"/>
    <n v="1.08125"/>
    <n v="75"/>
    <x v="0"/>
    <n v="128.42307692307693"/>
    <x v="533"/>
    <n v="89995"/>
    <n v="5757"/>
    <n v="8.1924629341006278E-3"/>
    <s v="Nov-13"/>
    <x v="34"/>
    <n v="2.5375722543352599"/>
  </r>
  <r>
    <x v="49"/>
    <n v="88"/>
    <x v="4"/>
    <x v="1"/>
    <x v="3"/>
    <x v="39"/>
    <x v="0"/>
    <x v="0"/>
    <x v="0"/>
    <x v="199"/>
    <x v="146"/>
    <x v="11"/>
    <n v="80"/>
    <n v="70"/>
    <n v="180"/>
    <n v="42"/>
    <x v="146"/>
    <x v="199"/>
    <x v="26"/>
    <x v="395"/>
    <n v="1.1000000000000001"/>
    <n v="34"/>
    <x v="0"/>
    <n v="68.51428571428572"/>
    <x v="464"/>
    <n v="22152"/>
    <n v="1218"/>
    <n v="1.6836652096486968E-2"/>
    <s v="Nov-13"/>
    <x v="8"/>
    <n v="2.4204545454545454"/>
  </r>
  <r>
    <x v="8"/>
    <n v="113"/>
    <x v="4"/>
    <x v="1"/>
    <x v="3"/>
    <x v="62"/>
    <x v="0"/>
    <x v="0"/>
    <x v="1"/>
    <x v="198"/>
    <x v="222"/>
    <x v="7"/>
    <n v="100"/>
    <n v="100"/>
    <n v="250"/>
    <n v="58"/>
    <x v="222"/>
    <x v="198"/>
    <x v="52"/>
    <x v="397"/>
    <n v="1.1299999999999999"/>
    <n v="59"/>
    <x v="0"/>
    <n v="98.41"/>
    <x v="467"/>
    <n v="47064"/>
    <n v="2088"/>
    <n v="1.4921171171171171E-2"/>
    <s v="Nov-13"/>
    <x v="16"/>
    <n v="2.6194690265486726"/>
  </r>
  <r>
    <x v="8"/>
    <n v="228"/>
    <x v="4"/>
    <x v="1"/>
    <x v="3"/>
    <x v="64"/>
    <x v="0"/>
    <x v="1"/>
    <x v="2"/>
    <x v="197"/>
    <x v="205"/>
    <x v="7"/>
    <n v="160"/>
    <n v="140"/>
    <n v="380"/>
    <n v="108"/>
    <x v="205"/>
    <x v="197"/>
    <x v="211"/>
    <x v="393"/>
    <n v="1.425"/>
    <n v="151"/>
    <x v="0"/>
    <n v="137.92142857142858"/>
    <x v="462"/>
    <n v="164997"/>
    <n v="8100"/>
    <n v="6.8430335097001763E-3"/>
    <s v="Nov-13"/>
    <x v="27"/>
    <n v="2.486842105263158"/>
  </r>
  <r>
    <x v="48"/>
    <n v="211"/>
    <x v="4"/>
    <x v="1"/>
    <x v="3"/>
    <x v="53"/>
    <x v="0"/>
    <x v="1"/>
    <x v="11"/>
    <x v="195"/>
    <x v="223"/>
    <x v="7"/>
    <n v="150"/>
    <n v="80"/>
    <n v="300"/>
    <n v="84"/>
    <x v="223"/>
    <x v="195"/>
    <x v="242"/>
    <x v="456"/>
    <n v="1.4066666666666667"/>
    <n v="110"/>
    <x v="0"/>
    <n v="77.625"/>
    <x v="534"/>
    <n v="85690"/>
    <n v="4956"/>
    <n v="7.1404412041038744E-3"/>
    <s v="Nov-13"/>
    <x v="23"/>
    <n v="2.1374407582938391"/>
  </r>
  <r>
    <x v="12"/>
    <n v="78"/>
    <x v="4"/>
    <x v="1"/>
    <x v="3"/>
    <x v="26"/>
    <x v="0"/>
    <x v="1"/>
    <x v="11"/>
    <x v="115"/>
    <x v="145"/>
    <x v="11"/>
    <n v="50"/>
    <n v="50"/>
    <n v="140"/>
    <n v="57"/>
    <x v="145"/>
    <x v="115"/>
    <x v="41"/>
    <x v="276"/>
    <n v="1.56"/>
    <n v="42"/>
    <x v="0"/>
    <n v="48.16"/>
    <x v="328"/>
    <n v="19320"/>
    <n v="1425"/>
    <n v="1.7523809523809525E-2"/>
    <s v="Nov-13"/>
    <x v="9"/>
    <n v="2.6923076923076925"/>
  </r>
  <r>
    <x v="8"/>
    <n v="245"/>
    <x v="4"/>
    <x v="1"/>
    <x v="3"/>
    <x v="54"/>
    <x v="0"/>
    <x v="1"/>
    <x v="3"/>
    <x v="233"/>
    <x v="241"/>
    <x v="7"/>
    <n v="180"/>
    <n v="-280"/>
    <n v="0"/>
    <n v="127"/>
    <x v="241"/>
    <x v="233"/>
    <x v="243"/>
    <x v="457"/>
    <n v="1.3611111111111112"/>
    <n v="-225"/>
    <x v="0"/>
    <n v="-281.80357142857144"/>
    <x v="535"/>
    <n v="-17170"/>
    <n v="11811"/>
    <n v="-0.15970904490828589"/>
    <s v="Nov-13"/>
    <x v="29"/>
    <n v="0.13877551020408163"/>
  </r>
  <r>
    <x v="17"/>
    <n v="102"/>
    <x v="4"/>
    <x v="1"/>
    <x v="3"/>
    <x v="33"/>
    <x v="0"/>
    <x v="1"/>
    <x v="3"/>
    <x v="117"/>
    <x v="147"/>
    <x v="11"/>
    <n v="70"/>
    <n v="70"/>
    <n v="170"/>
    <n v="54"/>
    <x v="147"/>
    <x v="117"/>
    <x v="111"/>
    <x v="278"/>
    <n v="1.4571428571428571"/>
    <n v="62"/>
    <x v="0"/>
    <n v="68.114285714285714"/>
    <x v="330"/>
    <n v="34452"/>
    <n v="1674"/>
    <n v="1.6314423433444566E-2"/>
    <s v="Nov-13"/>
    <x v="10"/>
    <n v="2.5588235294117645"/>
  </r>
  <r>
    <x v="138"/>
    <n v="224"/>
    <x v="5"/>
    <x v="0"/>
    <x v="3"/>
    <x v="65"/>
    <x v="1"/>
    <x v="3"/>
    <x v="5"/>
    <x v="234"/>
    <x v="17"/>
    <x v="3"/>
    <n v="260"/>
    <n v="-150"/>
    <n v="220"/>
    <n v="117"/>
    <x v="17"/>
    <x v="234"/>
    <x v="244"/>
    <x v="458"/>
    <n v="0.86153846153846159"/>
    <n v="-71"/>
    <x v="0"/>
    <n v="-151.47333333333333"/>
    <x v="536"/>
    <n v="-45305"/>
    <n v="8541"/>
    <n v="-1.4767791513531574E-2"/>
    <s v="Dec-13"/>
    <x v="31"/>
    <n v="0.9151785714285714"/>
  </r>
  <r>
    <x v="64"/>
    <n v="247"/>
    <x v="5"/>
    <x v="0"/>
    <x v="3"/>
    <x v="66"/>
    <x v="1"/>
    <x v="2"/>
    <x v="4"/>
    <x v="204"/>
    <x v="191"/>
    <x v="3"/>
    <n v="240"/>
    <n v="210"/>
    <n v="550"/>
    <n v="113"/>
    <x v="191"/>
    <x v="204"/>
    <x v="218"/>
    <x v="403"/>
    <n v="1.0291666666666666"/>
    <n v="111"/>
    <x v="0"/>
    <n v="208.47142857142856"/>
    <x v="473"/>
    <n v="197094"/>
    <n v="9153"/>
    <n v="6.4543370732295813E-3"/>
    <s v="Dec-13"/>
    <x v="37"/>
    <n v="2.4858299595141702"/>
  </r>
  <r>
    <x v="64"/>
    <n v="127"/>
    <x v="5"/>
    <x v="0"/>
    <x v="3"/>
    <x v="19"/>
    <x v="1"/>
    <x v="3"/>
    <x v="6"/>
    <x v="235"/>
    <x v="12"/>
    <x v="3"/>
    <n v="150"/>
    <n v="-90"/>
    <n v="120"/>
    <n v="63"/>
    <x v="12"/>
    <x v="235"/>
    <x v="245"/>
    <x v="459"/>
    <n v="0.84666666666666668"/>
    <n v="-41"/>
    <x v="0"/>
    <n v="-91.455555555555549"/>
    <x v="537"/>
    <n v="-14279"/>
    <n v="2520"/>
    <n v="-3.0045871559633026E-2"/>
    <s v="Dec-13"/>
    <x v="32"/>
    <n v="0.8582677165354331"/>
  </r>
  <r>
    <x v="92"/>
    <n v="279"/>
    <x v="5"/>
    <x v="0"/>
    <x v="3"/>
    <x v="55"/>
    <x v="1"/>
    <x v="3"/>
    <x v="7"/>
    <x v="168"/>
    <x v="195"/>
    <x v="3"/>
    <n v="330"/>
    <n v="350"/>
    <n v="830"/>
    <n v="149"/>
    <x v="195"/>
    <x v="168"/>
    <x v="181"/>
    <x v="346"/>
    <n v="0.84545454545454546"/>
    <n v="52"/>
    <x v="1"/>
    <n v="348.85142857142858"/>
    <x v="406"/>
    <n v="299490"/>
    <n v="14452.999999999998"/>
    <n v="5.5628589220231102E-3"/>
    <s v="Dec-13"/>
    <x v="44"/>
    <n v="2.6702508960573477"/>
  </r>
  <r>
    <x v="148"/>
    <n v="250"/>
    <x v="5"/>
    <x v="0"/>
    <x v="3"/>
    <x v="57"/>
    <x v="1"/>
    <x v="2"/>
    <x v="9"/>
    <x v="202"/>
    <x v="213"/>
    <x v="3"/>
    <n v="240"/>
    <n v="160"/>
    <n v="480"/>
    <n v="94"/>
    <x v="213"/>
    <x v="202"/>
    <x v="216"/>
    <x v="401"/>
    <n v="1.0416666666666667"/>
    <n v="73"/>
    <x v="0"/>
    <n v="158.54374999999999"/>
    <x v="471"/>
    <n v="124422"/>
    <n v="6580"/>
    <n v="6.2332798287854469E-3"/>
    <s v="Dec-13"/>
    <x v="33"/>
    <n v="2.1360000000000001"/>
  </r>
  <r>
    <x v="92"/>
    <n v="135"/>
    <x v="5"/>
    <x v="0"/>
    <x v="3"/>
    <x v="56"/>
    <x v="1"/>
    <x v="2"/>
    <x v="8"/>
    <x v="43"/>
    <x v="182"/>
    <x v="3"/>
    <n v="130"/>
    <n v="40"/>
    <n v="310"/>
    <n v="156"/>
    <x v="182"/>
    <x v="43"/>
    <x v="246"/>
    <x v="460"/>
    <n v="1.0384615384615385"/>
    <n v="6"/>
    <x v="0"/>
    <n v="38.85"/>
    <x v="538"/>
    <n v="15778"/>
    <n v="19032"/>
    <n v="1.0992687473115709E-3"/>
    <s v="Dec-13"/>
    <x v="24"/>
    <n v="2.5407407407407407"/>
  </r>
  <r>
    <x v="144"/>
    <n v="86"/>
    <x v="5"/>
    <x v="0"/>
    <x v="3"/>
    <x v="23"/>
    <x v="0"/>
    <x v="0"/>
    <x v="10"/>
    <x v="117"/>
    <x v="134"/>
    <x v="3"/>
    <n v="80"/>
    <n v="80"/>
    <n v="190"/>
    <n v="35"/>
    <x v="134"/>
    <x v="117"/>
    <x v="36"/>
    <x v="352"/>
    <n v="1.075"/>
    <n v="52"/>
    <x v="0"/>
    <n v="78.349999999999994"/>
    <x v="413"/>
    <n v="29568"/>
    <n v="840"/>
    <n v="2.4553571428571428E-2"/>
    <s v="Dec-13"/>
    <x v="8"/>
    <n v="2.6046511627906979"/>
  </r>
  <r>
    <x v="141"/>
    <n v="241"/>
    <x v="5"/>
    <x v="0"/>
    <x v="3"/>
    <x v="37"/>
    <x v="0"/>
    <x v="0"/>
    <x v="0"/>
    <x v="119"/>
    <x v="150"/>
    <x v="3"/>
    <n v="220"/>
    <n v="170"/>
    <n v="480"/>
    <n v="96"/>
    <x v="150"/>
    <x v="119"/>
    <x v="139"/>
    <x v="281"/>
    <n v="1.0954545454545455"/>
    <n v="109"/>
    <x v="0"/>
    <n v="168.35882352941175"/>
    <x v="334"/>
    <n v="155961"/>
    <n v="7104"/>
    <n v="6.7446695353672098E-3"/>
    <s v="Dec-13"/>
    <x v="22"/>
    <n v="2.3195020746887969"/>
  </r>
  <r>
    <x v="85"/>
    <n v="123"/>
    <x v="5"/>
    <x v="0"/>
    <x v="3"/>
    <x v="38"/>
    <x v="0"/>
    <x v="1"/>
    <x v="2"/>
    <x v="158"/>
    <x v="141"/>
    <x v="3"/>
    <n v="90"/>
    <n v="110"/>
    <n v="220"/>
    <n v="45"/>
    <x v="141"/>
    <x v="158"/>
    <x v="49"/>
    <x v="332"/>
    <n v="1.3666666666666667"/>
    <n v="89"/>
    <x v="0"/>
    <n v="108.19090909090909"/>
    <x v="391"/>
    <n v="64078"/>
    <n v="1530"/>
    <n v="1.8176835951772011E-2"/>
    <s v="Dec-13"/>
    <x v="8"/>
    <n v="2.6178861788617884"/>
  </r>
  <r>
    <x v="15"/>
    <n v="68"/>
    <x v="5"/>
    <x v="1"/>
    <x v="3"/>
    <x v="26"/>
    <x v="1"/>
    <x v="3"/>
    <x v="5"/>
    <x v="40"/>
    <x v="73"/>
    <x v="8"/>
    <n v="80"/>
    <n v="50"/>
    <n v="180"/>
    <n v="59"/>
    <x v="73"/>
    <x v="40"/>
    <x v="124"/>
    <x v="249"/>
    <n v="0.85"/>
    <n v="-11"/>
    <x v="0"/>
    <n v="49.22"/>
    <x v="300"/>
    <n v="6357"/>
    <n v="1475"/>
    <n v="9.5705521472392637E-3"/>
    <s v="Dec-13"/>
    <x v="13"/>
    <n v="2.3970588235294117"/>
  </r>
  <r>
    <x v="32"/>
    <n v="105"/>
    <x v="5"/>
    <x v="1"/>
    <x v="3"/>
    <x v="44"/>
    <x v="1"/>
    <x v="3"/>
    <x v="5"/>
    <x v="27"/>
    <x v="153"/>
    <x v="14"/>
    <n v="120"/>
    <n v="50"/>
    <n v="290"/>
    <n v="125"/>
    <x v="153"/>
    <x v="27"/>
    <x v="141"/>
    <x v="287"/>
    <n v="0.875"/>
    <n v="-20"/>
    <x v="0"/>
    <n v="49.4"/>
    <x v="342"/>
    <n v="7980"/>
    <n v="11875"/>
    <n v="1.1871784724970321E-3"/>
    <s v="Dec-13"/>
    <x v="27"/>
    <n v="2.5333333333333332"/>
  </r>
  <r>
    <x v="17"/>
    <n v="153"/>
    <x v="5"/>
    <x v="1"/>
    <x v="3"/>
    <x v="22"/>
    <x v="1"/>
    <x v="2"/>
    <x v="4"/>
    <x v="113"/>
    <x v="196"/>
    <x v="11"/>
    <n v="150"/>
    <n v="80"/>
    <n v="290"/>
    <n v="66"/>
    <x v="196"/>
    <x v="113"/>
    <x v="184"/>
    <x v="150"/>
    <n v="1.02"/>
    <n v="49"/>
    <x v="0"/>
    <n v="78.387500000000003"/>
    <x v="409"/>
    <n v="42054"/>
    <n v="2772"/>
    <n v="9.4215600350569684E-3"/>
    <s v="Dec-13"/>
    <x v="32"/>
    <n v="2.130718954248366"/>
  </r>
  <r>
    <x v="78"/>
    <n v="80"/>
    <x v="5"/>
    <x v="1"/>
    <x v="3"/>
    <x v="23"/>
    <x v="1"/>
    <x v="2"/>
    <x v="4"/>
    <x v="20"/>
    <x v="67"/>
    <x v="14"/>
    <n v="70"/>
    <n v="60"/>
    <n v="170"/>
    <n v="45"/>
    <x v="67"/>
    <x v="20"/>
    <x v="85"/>
    <x v="122"/>
    <n v="1.1428571428571428"/>
    <n v="16"/>
    <x v="0"/>
    <n v="58.733333333333334"/>
    <x v="539"/>
    <n v="14288"/>
    <n v="1080"/>
    <n v="1.6843971631205674E-2"/>
    <s v="Dec-13"/>
    <x v="8"/>
    <n v="2.35"/>
  </r>
  <r>
    <x v="9"/>
    <n v="63"/>
    <x v="5"/>
    <x v="1"/>
    <x v="3"/>
    <x v="27"/>
    <x v="1"/>
    <x v="3"/>
    <x v="6"/>
    <x v="36"/>
    <x v="74"/>
    <x v="8"/>
    <n v="70"/>
    <n v="50"/>
    <n v="160"/>
    <n v="40"/>
    <x v="74"/>
    <x v="36"/>
    <x v="78"/>
    <x v="113"/>
    <n v="0.9"/>
    <n v="3"/>
    <x v="0"/>
    <n v="48.94"/>
    <x v="121"/>
    <n v="7844"/>
    <n v="760.00000000000011"/>
    <n v="1.8847795163584636E-2"/>
    <s v="Dec-13"/>
    <x v="8"/>
    <n v="2.3492063492063493"/>
  </r>
  <r>
    <x v="78"/>
    <n v="72"/>
    <x v="5"/>
    <x v="1"/>
    <x v="3"/>
    <x v="4"/>
    <x v="1"/>
    <x v="3"/>
    <x v="7"/>
    <x v="89"/>
    <x v="67"/>
    <x v="14"/>
    <n v="80"/>
    <n v="80"/>
    <n v="200"/>
    <n v="46"/>
    <x v="67"/>
    <x v="89"/>
    <x v="81"/>
    <x v="274"/>
    <n v="0.9"/>
    <n v="6"/>
    <x v="0"/>
    <n v="78.924999999999997"/>
    <x v="540"/>
    <n v="16168"/>
    <n v="1058"/>
    <n v="1.9888991674375578E-2"/>
    <s v="Dec-13"/>
    <x v="11"/>
    <n v="2.6111111111111112"/>
  </r>
  <r>
    <x v="8"/>
    <n v="16"/>
    <x v="5"/>
    <x v="1"/>
    <x v="3"/>
    <x v="36"/>
    <x v="1"/>
    <x v="2"/>
    <x v="8"/>
    <x v="25"/>
    <x v="121"/>
    <x v="7"/>
    <n v="10"/>
    <n v="10"/>
    <n v="30"/>
    <n v="15"/>
    <x v="121"/>
    <x v="25"/>
    <x v="122"/>
    <x v="110"/>
    <n v="1.6"/>
    <n v="5"/>
    <x v="0"/>
    <n v="8.5"/>
    <x v="277"/>
    <n v="660"/>
    <n v="60"/>
    <n v="8.5227272727272721E-2"/>
    <s v="Dec-13"/>
    <x v="5"/>
    <n v="2.75"/>
  </r>
  <r>
    <x v="9"/>
    <n v="94"/>
    <x v="5"/>
    <x v="1"/>
    <x v="3"/>
    <x v="33"/>
    <x v="1"/>
    <x v="2"/>
    <x v="8"/>
    <x v="124"/>
    <x v="152"/>
    <x v="8"/>
    <n v="90"/>
    <n v="70"/>
    <n v="200"/>
    <n v="43"/>
    <x v="152"/>
    <x v="124"/>
    <x v="35"/>
    <x v="286"/>
    <n v="1.0444444444444445"/>
    <n v="44"/>
    <x v="0"/>
    <n v="68.371428571428567"/>
    <x v="340"/>
    <n v="25992"/>
    <n v="1333"/>
    <n v="1.6129032258064516E-2"/>
    <s v="Dec-13"/>
    <x v="13"/>
    <n v="2.4255319148936172"/>
  </r>
  <r>
    <x v="48"/>
    <n v="135"/>
    <x v="5"/>
    <x v="1"/>
    <x v="3"/>
    <x v="56"/>
    <x v="0"/>
    <x v="0"/>
    <x v="10"/>
    <x v="17"/>
    <x v="182"/>
    <x v="7"/>
    <n v="120"/>
    <n v="30"/>
    <n v="290"/>
    <n v="155"/>
    <x v="182"/>
    <x v="17"/>
    <x v="247"/>
    <x v="461"/>
    <n v="1.125"/>
    <n v="17"/>
    <x v="0"/>
    <n v="28.433333333333334"/>
    <x v="541"/>
    <n v="16121"/>
    <n v="18910"/>
    <n v="1.1231658939922574E-3"/>
    <s v="Dec-13"/>
    <x v="38"/>
    <n v="2.5407407407407407"/>
  </r>
  <r>
    <x v="56"/>
    <n v="115"/>
    <x v="5"/>
    <x v="1"/>
    <x v="3"/>
    <x v="45"/>
    <x v="0"/>
    <x v="0"/>
    <x v="10"/>
    <x v="129"/>
    <x v="159"/>
    <x v="14"/>
    <n v="100"/>
    <n v="110"/>
    <n v="260"/>
    <n v="69"/>
    <x v="159"/>
    <x v="129"/>
    <x v="59"/>
    <x v="293"/>
    <n v="1.1499999999999999"/>
    <n v="46"/>
    <x v="0"/>
    <n v="108.58181818181818"/>
    <x v="348"/>
    <n v="48048"/>
    <n v="2553.0000000000005"/>
    <n v="1.3689013689013688E-2"/>
    <s v="Dec-13"/>
    <x v="16"/>
    <n v="2.6782608695652175"/>
  </r>
  <r>
    <x v="48"/>
    <n v="224"/>
    <x v="5"/>
    <x v="1"/>
    <x v="3"/>
    <x v="65"/>
    <x v="0"/>
    <x v="0"/>
    <x v="0"/>
    <x v="203"/>
    <x v="227"/>
    <x v="7"/>
    <n v="210"/>
    <n v="170"/>
    <n v="490"/>
    <n v="116"/>
    <x v="227"/>
    <x v="203"/>
    <x v="217"/>
    <x v="402"/>
    <n v="1.0666666666666667"/>
    <n v="118"/>
    <x v="0"/>
    <n v="168.30588235294118"/>
    <x v="472"/>
    <n v="163872"/>
    <n v="8468"/>
    <n v="6.9335772925343663E-3"/>
    <s v="Dec-13"/>
    <x v="33"/>
    <n v="2.5401785714285716"/>
  </r>
  <r>
    <x v="12"/>
    <n v="81"/>
    <x v="5"/>
    <x v="1"/>
    <x v="3"/>
    <x v="32"/>
    <x v="0"/>
    <x v="0"/>
    <x v="0"/>
    <x v="121"/>
    <x v="130"/>
    <x v="11"/>
    <n v="70"/>
    <n v="70"/>
    <n v="170"/>
    <n v="38"/>
    <x v="130"/>
    <x v="121"/>
    <x v="44"/>
    <x v="283"/>
    <n v="1.1571428571428573"/>
    <n v="28"/>
    <x v="0"/>
    <n v="68.599999999999994"/>
    <x v="337"/>
    <n v="19306"/>
    <n v="988"/>
    <n v="1.9133151112846546E-2"/>
    <s v="Dec-13"/>
    <x v="10"/>
    <n v="2.4320987654320989"/>
  </r>
  <r>
    <x v="8"/>
    <n v="127"/>
    <x v="5"/>
    <x v="1"/>
    <x v="3"/>
    <x v="19"/>
    <x v="0"/>
    <x v="0"/>
    <x v="1"/>
    <x v="128"/>
    <x v="226"/>
    <x v="7"/>
    <n v="120"/>
    <n v="120"/>
    <n v="290"/>
    <n v="63"/>
    <x v="226"/>
    <x v="128"/>
    <x v="215"/>
    <x v="400"/>
    <n v="1.0583333333333333"/>
    <n v="61"/>
    <x v="0"/>
    <n v="118.49166666666666"/>
    <x v="470"/>
    <n v="60092"/>
    <n v="2520"/>
    <n v="1.3629518072289157E-2"/>
    <s v="Dec-13"/>
    <x v="30"/>
    <n v="2.6141732283464565"/>
  </r>
  <r>
    <x v="8"/>
    <n v="247"/>
    <x v="5"/>
    <x v="1"/>
    <x v="3"/>
    <x v="66"/>
    <x v="0"/>
    <x v="1"/>
    <x v="2"/>
    <x v="236"/>
    <x v="191"/>
    <x v="7"/>
    <n v="180"/>
    <n v="150"/>
    <n v="420"/>
    <n v="114"/>
    <x v="191"/>
    <x v="236"/>
    <x v="227"/>
    <x v="462"/>
    <n v="1.3722222222222222"/>
    <n v="169"/>
    <x v="0"/>
    <n v="147.87333333333333"/>
    <x v="542"/>
    <n v="195866"/>
    <n v="9234"/>
    <n v="6.4141231350786183E-3"/>
    <s v="Dec-13"/>
    <x v="24"/>
    <n v="2.4858299595141702"/>
  </r>
  <r>
    <x v="8"/>
    <n v="250"/>
    <x v="5"/>
    <x v="1"/>
    <x v="3"/>
    <x v="57"/>
    <x v="0"/>
    <x v="1"/>
    <x v="11"/>
    <x v="202"/>
    <x v="213"/>
    <x v="7"/>
    <n v="180"/>
    <n v="100"/>
    <n v="360"/>
    <n v="94"/>
    <x v="213"/>
    <x v="202"/>
    <x v="216"/>
    <x v="401"/>
    <n v="1.3888888888888888"/>
    <n v="133"/>
    <x v="0"/>
    <n v="97.67"/>
    <x v="471"/>
    <n v="124422"/>
    <n v="6580"/>
    <n v="6.2332798287854469E-3"/>
    <s v="Dec-13"/>
    <x v="38"/>
    <n v="2.1360000000000001"/>
  </r>
  <r>
    <x v="17"/>
    <n v="88"/>
    <x v="5"/>
    <x v="1"/>
    <x v="3"/>
    <x v="39"/>
    <x v="0"/>
    <x v="1"/>
    <x v="11"/>
    <x v="140"/>
    <x v="126"/>
    <x v="11"/>
    <n v="60"/>
    <n v="60"/>
    <n v="160"/>
    <n v="60"/>
    <x v="126"/>
    <x v="140"/>
    <x v="23"/>
    <x v="344"/>
    <n v="1.4666666666666666"/>
    <n v="48"/>
    <x v="0"/>
    <n v="58.2"/>
    <x v="404"/>
    <n v="25488"/>
    <n v="1740"/>
    <n v="1.5780245470485097E-2"/>
    <s v="Dec-13"/>
    <x v="10"/>
    <n v="2.6818181818181817"/>
  </r>
  <r>
    <x v="8"/>
    <n v="294"/>
    <x v="5"/>
    <x v="1"/>
    <x v="3"/>
    <x v="58"/>
    <x v="0"/>
    <x v="1"/>
    <x v="3"/>
    <x v="237"/>
    <x v="242"/>
    <x v="7"/>
    <n v="210"/>
    <n v="-320"/>
    <n v="0"/>
    <n v="145"/>
    <x v="242"/>
    <x v="237"/>
    <x v="248"/>
    <x v="463"/>
    <n v="1.4"/>
    <n v="-285"/>
    <x v="0"/>
    <n v="-321.890625"/>
    <x v="543"/>
    <n v="-19965"/>
    <n v="16095"/>
    <n v="-0.16516516516516516"/>
    <s v="Dec-13"/>
    <x v="33"/>
    <n v="0.11224489795918367"/>
  </r>
  <r>
    <x v="12"/>
    <n v="134"/>
    <x v="5"/>
    <x v="1"/>
    <x v="3"/>
    <x v="11"/>
    <x v="0"/>
    <x v="1"/>
    <x v="3"/>
    <x v="123"/>
    <x v="151"/>
    <x v="11"/>
    <n v="90"/>
    <n v="100"/>
    <n v="230"/>
    <n v="65"/>
    <x v="151"/>
    <x v="123"/>
    <x v="140"/>
    <x v="285"/>
    <n v="1.4888888888888889"/>
    <n v="80"/>
    <x v="0"/>
    <n v="98.2"/>
    <x v="339"/>
    <n v="61380"/>
    <n v="2665"/>
    <n v="1.287461554967456E-2"/>
    <s v="Dec-13"/>
    <x v="13"/>
    <n v="2.544776119402985"/>
  </r>
  <r>
    <x v="9"/>
    <n v="20"/>
    <x v="5"/>
    <x v="1"/>
    <x v="3"/>
    <x v="7"/>
    <x v="0"/>
    <x v="1"/>
    <x v="3"/>
    <x v="122"/>
    <x v="122"/>
    <x v="8"/>
    <n v="10"/>
    <n v="0"/>
    <n v="30"/>
    <n v="40"/>
    <x v="122"/>
    <x v="122"/>
    <x v="86"/>
    <x v="284"/>
    <n v="2"/>
    <n v="-22"/>
    <x v="0"/>
    <e v="#DIV/0!"/>
    <x v="338"/>
    <n v="-1056"/>
    <n v="280"/>
    <n v="-6.5476190476190479E-2"/>
    <s v="Dec-13"/>
    <x v="3"/>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491734-89C4-407B-9BDC-836A080A2AAD}"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L46:M51" firstHeaderRow="1" firstDataRow="1" firstDataCol="1"/>
  <pivotFields count="34">
    <pivotField showAll="0"/>
    <pivotField showAll="0"/>
    <pivotField numFmtId="14" showAll="0">
      <items count="7">
        <item x="0"/>
        <item x="1"/>
        <item x="2"/>
        <item x="3"/>
        <item x="4"/>
        <item x="5"/>
        <item t="default"/>
      </items>
    </pivotField>
    <pivotField showAll="0"/>
    <pivotField showAll="0">
      <items count="5">
        <item x="0"/>
        <item x="2"/>
        <item x="1"/>
        <item x="3"/>
        <item t="default"/>
      </items>
    </pivotField>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dataField="1" showAll="0">
      <items count="46">
        <item x="42"/>
        <item x="44"/>
        <item x="36"/>
        <item x="15"/>
        <item x="35"/>
        <item x="41"/>
        <item x="39"/>
        <item x="20"/>
        <item x="31"/>
        <item x="18"/>
        <item x="37"/>
        <item x="25"/>
        <item x="33"/>
        <item x="22"/>
        <item x="43"/>
        <item x="40"/>
        <item x="29"/>
        <item x="24"/>
        <item x="38"/>
        <item x="34"/>
        <item x="27"/>
        <item x="28"/>
        <item x="23"/>
        <item x="32"/>
        <item x="21"/>
        <item x="26"/>
        <item x="19"/>
        <item x="30"/>
        <item x="17"/>
        <item x="16"/>
        <item x="14"/>
        <item x="13"/>
        <item x="11"/>
        <item x="8"/>
        <item x="10"/>
        <item x="9"/>
        <item x="6"/>
        <item x="7"/>
        <item x="0"/>
        <item x="2"/>
        <item x="1"/>
        <item x="3"/>
        <item x="5"/>
        <item x="12"/>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Varience" fld="29"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29612D-C27F-44E0-A3F0-5916352E5F82}" name="PivotTable6"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C5:D10" firstHeaderRow="1" firstDataRow="1" firstDataCol="1"/>
  <pivotFields count="34">
    <pivotField showAll="0"/>
    <pivotField showAll="0"/>
    <pivotField numFmtId="14" showAll="0">
      <items count="7">
        <item x="0"/>
        <item x="1"/>
        <item x="2"/>
        <item x="3"/>
        <item x="4"/>
        <item x="5"/>
        <item t="default"/>
      </items>
    </pivotField>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Sales_Revenue" fld="24"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8A5710-13B3-4146-9888-9DE70B8C0CD7}" name="PivotTable5"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L5:M10" firstHeaderRow="1" firstDataRow="1" firstDataCol="1"/>
  <pivotFields count="34">
    <pivotField showAll="0"/>
    <pivotField showAll="0"/>
    <pivotField numFmtId="14" showAll="0">
      <items count="7">
        <item x="0"/>
        <item x="1"/>
        <item x="2"/>
        <item x="3"/>
        <item x="4"/>
        <item x="5"/>
        <item t="default"/>
      </items>
    </pivotField>
    <pivotField showAll="0"/>
    <pivotField showAll="0">
      <items count="5">
        <item x="0"/>
        <item x="2"/>
        <item x="1"/>
        <item x="3"/>
        <item t="default"/>
      </items>
    </pivotField>
    <pivotField showAll="0"/>
    <pivotField showAll="0"/>
    <pivotField axis="axisRow" showAll="0">
      <items count="5">
        <item x="3"/>
        <item x="2"/>
        <item x="0"/>
        <item x="1"/>
        <item t="default"/>
      </items>
    </pivotField>
    <pivotField showAll="0"/>
    <pivotField dataField="1" showAll="0">
      <items count="239">
        <item x="237"/>
        <item x="227"/>
        <item x="233"/>
        <item x="220"/>
        <item x="211"/>
        <item x="216"/>
        <item x="169"/>
        <item x="153"/>
        <item x="172"/>
        <item x="157"/>
        <item x="165"/>
        <item x="147"/>
        <item x="234"/>
        <item x="133"/>
        <item x="150"/>
        <item x="228"/>
        <item x="221"/>
        <item x="135"/>
        <item x="143"/>
        <item x="217"/>
        <item x="235"/>
        <item x="212"/>
        <item x="206"/>
        <item x="223"/>
        <item x="218"/>
        <item x="230"/>
        <item x="208"/>
        <item x="213"/>
        <item x="226"/>
        <item x="81"/>
        <item x="75"/>
        <item x="210"/>
        <item x="77"/>
        <item x="91"/>
        <item x="122"/>
        <item x="69"/>
        <item x="90"/>
        <item x="86"/>
        <item x="108"/>
        <item x="82"/>
        <item x="55"/>
        <item x="84"/>
        <item x="46"/>
        <item x="48"/>
        <item x="23"/>
        <item x="11"/>
        <item x="15"/>
        <item x="0"/>
        <item x="64"/>
        <item x="37"/>
        <item x="13"/>
        <item x="186"/>
        <item x="66"/>
        <item x="12"/>
        <item x="80"/>
        <item x="83"/>
        <item x="79"/>
        <item x="70"/>
        <item x="7"/>
        <item x="72"/>
        <item x="76"/>
        <item x="44"/>
        <item x="78"/>
        <item x="14"/>
        <item x="32"/>
        <item x="29"/>
        <item x="25"/>
        <item x="38"/>
        <item x="39"/>
        <item x="47"/>
        <item x="60"/>
        <item x="30"/>
        <item x="6"/>
        <item x="57"/>
        <item x="34"/>
        <item x="10"/>
        <item x="65"/>
        <item x="1"/>
        <item x="22"/>
        <item x="2"/>
        <item x="26"/>
        <item x="27"/>
        <item x="5"/>
        <item x="71"/>
        <item x="9"/>
        <item x="28"/>
        <item x="3"/>
        <item x="18"/>
        <item x="8"/>
        <item x="68"/>
        <item x="40"/>
        <item x="54"/>
        <item x="41"/>
        <item x="58"/>
        <item x="24"/>
        <item x="16"/>
        <item x="43"/>
        <item x="17"/>
        <item x="21"/>
        <item x="31"/>
        <item x="35"/>
        <item x="94"/>
        <item x="33"/>
        <item x="36"/>
        <item x="45"/>
        <item x="4"/>
        <item x="67"/>
        <item x="85"/>
        <item x="93"/>
        <item x="130"/>
        <item x="176"/>
        <item x="103"/>
        <item x="137"/>
        <item x="19"/>
        <item x="56"/>
        <item x="107"/>
        <item x="49"/>
        <item x="88"/>
        <item x="50"/>
        <item x="53"/>
        <item x="106"/>
        <item x="59"/>
        <item x="62"/>
        <item x="20"/>
        <item x="61"/>
        <item x="92"/>
        <item x="63"/>
        <item x="87"/>
        <item x="42"/>
        <item x="144"/>
        <item x="74"/>
        <item x="89"/>
        <item x="100"/>
        <item x="97"/>
        <item x="104"/>
        <item x="192"/>
        <item x="115"/>
        <item x="159"/>
        <item x="51"/>
        <item x="96"/>
        <item x="121"/>
        <item x="199"/>
        <item x="116"/>
        <item x="178"/>
        <item x="120"/>
        <item x="140"/>
        <item x="112"/>
        <item x="52"/>
        <item x="124"/>
        <item x="125"/>
        <item x="95"/>
        <item x="73"/>
        <item x="174"/>
        <item x="109"/>
        <item x="126"/>
        <item x="187"/>
        <item x="166"/>
        <item x="118"/>
        <item x="102"/>
        <item x="179"/>
        <item x="113"/>
        <item x="201"/>
        <item x="117"/>
        <item x="99"/>
        <item x="136"/>
        <item x="225"/>
        <item x="154"/>
        <item x="215"/>
        <item x="180"/>
        <item x="173"/>
        <item x="129"/>
        <item x="183"/>
        <item x="198"/>
        <item x="162"/>
        <item x="193"/>
        <item x="127"/>
        <item x="188"/>
        <item x="182"/>
        <item x="101"/>
        <item x="190"/>
        <item x="123"/>
        <item x="128"/>
        <item x="177"/>
        <item x="98"/>
        <item x="209"/>
        <item x="105"/>
        <item x="195"/>
        <item x="156"/>
        <item x="184"/>
        <item x="181"/>
        <item x="111"/>
        <item x="158"/>
        <item x="142"/>
        <item x="232"/>
        <item x="196"/>
        <item x="219"/>
        <item x="185"/>
        <item x="189"/>
        <item x="175"/>
        <item x="207"/>
        <item x="205"/>
        <item x="202"/>
        <item x="214"/>
        <item x="139"/>
        <item x="132"/>
        <item x="200"/>
        <item x="114"/>
        <item x="146"/>
        <item x="194"/>
        <item x="110"/>
        <item x="224"/>
        <item x="119"/>
        <item x="203"/>
        <item x="197"/>
        <item x="229"/>
        <item x="164"/>
        <item x="149"/>
        <item x="148"/>
        <item x="236"/>
        <item x="204"/>
        <item x="138"/>
        <item x="191"/>
        <item x="222"/>
        <item x="131"/>
        <item x="231"/>
        <item x="161"/>
        <item x="152"/>
        <item x="141"/>
        <item x="145"/>
        <item x="168"/>
        <item x="134"/>
        <item x="171"/>
        <item x="170"/>
        <item x="160"/>
        <item x="151"/>
        <item x="163"/>
        <item x="167"/>
        <item x="1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Profit" fld="9" baseField="0" baseItem="0"/>
  </dataField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090930-FB52-4E40-AA2C-41FC39019051}" name="PivotTable4"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C25:D30" firstHeaderRow="1" firstDataRow="1" firstDataCol="1"/>
  <pivotFields count="34">
    <pivotField showAll="0"/>
    <pivotField showAll="0"/>
    <pivotField numFmtId="14" showAll="0">
      <items count="7">
        <item x="0"/>
        <item x="1"/>
        <item x="2"/>
        <item x="3"/>
        <item x="4"/>
        <item x="5"/>
        <item t="default"/>
      </items>
    </pivotField>
    <pivotField showAll="0"/>
    <pivotField showAll="0">
      <items count="5">
        <item x="0"/>
        <item x="2"/>
        <item x="1"/>
        <item x="3"/>
        <item t="default"/>
      </items>
    </pivotField>
    <pivotField showAll="0"/>
    <pivotField showAll="0"/>
    <pivotField axis="axisRow" showAll="0">
      <items count="5">
        <item x="3"/>
        <item x="2"/>
        <item x="0"/>
        <item x="1"/>
        <item t="default"/>
      </items>
    </pivotField>
    <pivotField showAll="0"/>
    <pivotField showAll="0"/>
    <pivotField dataField="1" showAll="0">
      <items count="244">
        <item x="231"/>
        <item x="238"/>
        <item x="204"/>
        <item x="214"/>
        <item x="220"/>
        <item x="228"/>
        <item x="236"/>
        <item x="234"/>
        <item x="242"/>
        <item x="241"/>
        <item x="115"/>
        <item x="116"/>
        <item x="120"/>
        <item x="5"/>
        <item x="121"/>
        <item x="117"/>
        <item x="48"/>
        <item x="122"/>
        <item x="77"/>
        <item x="97"/>
        <item x="112"/>
        <item x="88"/>
        <item x="103"/>
        <item x="82"/>
        <item x="78"/>
        <item x="94"/>
        <item x="113"/>
        <item x="89"/>
        <item x="114"/>
        <item x="98"/>
        <item x="118"/>
        <item x="7"/>
        <item x="119"/>
        <item x="8"/>
        <item x="85"/>
        <item x="49"/>
        <item x="50"/>
        <item x="100"/>
        <item x="83"/>
        <item x="93"/>
        <item x="99"/>
        <item x="14"/>
        <item x="25"/>
        <item x="95"/>
        <item x="81"/>
        <item x="24"/>
        <item x="40"/>
        <item x="59"/>
        <item x="102"/>
        <item x="39"/>
        <item x="58"/>
        <item x="70"/>
        <item x="23"/>
        <item x="101"/>
        <item x="31"/>
        <item x="69"/>
        <item x="19"/>
        <item x="3"/>
        <item x="104"/>
        <item x="62"/>
        <item x="55"/>
        <item x="9"/>
        <item x="46"/>
        <item x="38"/>
        <item x="235"/>
        <item x="84"/>
        <item x="111"/>
        <item x="28"/>
        <item x="2"/>
        <item x="68"/>
        <item x="12"/>
        <item x="96"/>
        <item x="6"/>
        <item x="34"/>
        <item x="27"/>
        <item x="11"/>
        <item x="30"/>
        <item x="52"/>
        <item x="15"/>
        <item x="16"/>
        <item x="10"/>
        <item x="26"/>
        <item x="0"/>
        <item x="1"/>
        <item x="21"/>
        <item x="22"/>
        <item x="53"/>
        <item x="35"/>
        <item x="51"/>
        <item x="60"/>
        <item x="45"/>
        <item x="41"/>
        <item x="57"/>
        <item x="33"/>
        <item x="108"/>
        <item x="65"/>
        <item x="239"/>
        <item x="105"/>
        <item x="44"/>
        <item x="71"/>
        <item x="29"/>
        <item x="64"/>
        <item x="13"/>
        <item x="36"/>
        <item x="232"/>
        <item x="32"/>
        <item x="74"/>
        <item x="61"/>
        <item x="91"/>
        <item x="43"/>
        <item x="66"/>
        <item x="233"/>
        <item x="63"/>
        <item x="199"/>
        <item x="80"/>
        <item x="42"/>
        <item x="73"/>
        <item x="20"/>
        <item x="240"/>
        <item x="230"/>
        <item x="107"/>
        <item x="92"/>
        <item x="72"/>
        <item x="75"/>
        <item x="56"/>
        <item x="37"/>
        <item x="79"/>
        <item x="237"/>
        <item x="110"/>
        <item x="166"/>
        <item x="4"/>
        <item x="106"/>
        <item x="86"/>
        <item x="76"/>
        <item x="67"/>
        <item x="90"/>
        <item x="186"/>
        <item x="47"/>
        <item x="173"/>
        <item x="109"/>
        <item x="130"/>
        <item x="172"/>
        <item x="87"/>
        <item x="131"/>
        <item x="123"/>
        <item x="160"/>
        <item x="17"/>
        <item x="193"/>
        <item x="145"/>
        <item x="192"/>
        <item x="146"/>
        <item x="138"/>
        <item x="179"/>
        <item x="18"/>
        <item x="136"/>
        <item x="134"/>
        <item x="152"/>
        <item x="127"/>
        <item x="133"/>
        <item x="54"/>
        <item x="126"/>
        <item x="149"/>
        <item x="132"/>
        <item x="148"/>
        <item x="139"/>
        <item x="142"/>
        <item x="147"/>
        <item x="165"/>
        <item x="153"/>
        <item x="206"/>
        <item x="185"/>
        <item x="156"/>
        <item x="129"/>
        <item x="222"/>
        <item x="200"/>
        <item x="125"/>
        <item x="176"/>
        <item x="159"/>
        <item x="144"/>
        <item x="211"/>
        <item x="154"/>
        <item x="216"/>
        <item x="137"/>
        <item x="141"/>
        <item x="155"/>
        <item x="196"/>
        <item x="226"/>
        <item x="157"/>
        <item x="151"/>
        <item x="182"/>
        <item x="158"/>
        <item x="169"/>
        <item x="202"/>
        <item x="189"/>
        <item x="218"/>
        <item x="208"/>
        <item x="207"/>
        <item x="224"/>
        <item x="223"/>
        <item x="167"/>
        <item x="161"/>
        <item x="201"/>
        <item x="187"/>
        <item x="128"/>
        <item x="212"/>
        <item x="180"/>
        <item x="217"/>
        <item x="174"/>
        <item x="164"/>
        <item x="124"/>
        <item x="143"/>
        <item x="135"/>
        <item x="209"/>
        <item x="213"/>
        <item x="194"/>
        <item x="210"/>
        <item x="184"/>
        <item x="140"/>
        <item x="150"/>
        <item x="205"/>
        <item x="227"/>
        <item x="171"/>
        <item x="225"/>
        <item x="203"/>
        <item x="221"/>
        <item x="191"/>
        <item x="168"/>
        <item x="219"/>
        <item x="162"/>
        <item x="215"/>
        <item x="177"/>
        <item x="188"/>
        <item x="170"/>
        <item x="181"/>
        <item x="229"/>
        <item x="175"/>
        <item x="197"/>
        <item x="190"/>
        <item x="195"/>
        <item x="178"/>
        <item x="163"/>
        <item x="198"/>
        <item x="18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BB288A-BE39-4463-B470-F80A02112CE7}" name="PivotTable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M25:N30" firstHeaderRow="1" firstDataRow="1" firstDataCol="1"/>
  <pivotFields count="34">
    <pivotField showAll="0"/>
    <pivotField showAll="0"/>
    <pivotField numFmtId="14" showAll="0">
      <items count="7">
        <item x="0"/>
        <item x="1"/>
        <item x="2"/>
        <item x="3"/>
        <item x="4"/>
        <item x="5"/>
        <item t="default"/>
      </items>
    </pivotField>
    <pivotField showAll="0"/>
    <pivotField showAll="0">
      <items count="5">
        <item x="0"/>
        <item x="2"/>
        <item x="1"/>
        <item x="3"/>
        <item t="default"/>
      </items>
    </pivotField>
    <pivotField dataField="1" showAll="0">
      <items count="68">
        <item x="5"/>
        <item x="61"/>
        <item x="36"/>
        <item x="35"/>
        <item x="29"/>
        <item x="7"/>
        <item x="18"/>
        <item x="8"/>
        <item x="3"/>
        <item x="9"/>
        <item x="13"/>
        <item x="2"/>
        <item x="10"/>
        <item x="6"/>
        <item x="20"/>
        <item x="1"/>
        <item x="31"/>
        <item x="27"/>
        <item x="14"/>
        <item x="28"/>
        <item x="34"/>
        <item x="4"/>
        <item x="23"/>
        <item x="26"/>
        <item x="32"/>
        <item x="15"/>
        <item x="16"/>
        <item x="39"/>
        <item x="30"/>
        <item x="33"/>
        <item x="40"/>
        <item x="38"/>
        <item x="62"/>
        <item x="45"/>
        <item x="59"/>
        <item x="19"/>
        <item x="11"/>
        <item x="22"/>
        <item x="25"/>
        <item x="48"/>
        <item x="0"/>
        <item x="17"/>
        <item x="24"/>
        <item x="52"/>
        <item x="12"/>
        <item x="21"/>
        <item x="63"/>
        <item x="53"/>
        <item x="49"/>
        <item x="42"/>
        <item x="57"/>
        <item x="65"/>
        <item x="37"/>
        <item x="64"/>
        <item x="66"/>
        <item x="60"/>
        <item x="43"/>
        <item x="41"/>
        <item x="46"/>
        <item x="54"/>
        <item x="44"/>
        <item x="50"/>
        <item x="55"/>
        <item x="51"/>
        <item x="58"/>
        <item x="47"/>
        <item x="56"/>
        <item t="default"/>
      </items>
    </pivotField>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Marketing"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57B552-9FB2-4A7C-982B-BD8A1D8994BD}" name="PivotTable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46:D51" firstHeaderRow="0" firstDataRow="1" firstDataCol="1"/>
  <pivotFields count="34">
    <pivotField showAll="0"/>
    <pivotField showAll="0"/>
    <pivotField numFmtId="14" showAll="0">
      <items count="7">
        <item x="0"/>
        <item x="1"/>
        <item x="2"/>
        <item x="3"/>
        <item x="4"/>
        <item x="5"/>
        <item t="default"/>
      </items>
    </pivotField>
    <pivotField showAll="0"/>
    <pivotField showAll="0">
      <items count="5">
        <item x="0"/>
        <item x="2"/>
        <item x="1"/>
        <item x="3"/>
        <item t="default"/>
      </items>
    </pivotField>
    <pivotField dataField="1"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Sales_Revenue" fld="24" baseField="0" baseItem="0"/>
    <dataField name="Sum of Marketing" fld="5"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6B9ADD-F6AE-4545-8D20-4DF30A424AB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25" firstHeaderRow="1" firstDataRow="1" firstDataCol="1"/>
  <pivotFields count="29">
    <pivotField showAll="0"/>
    <pivotField showAll="0"/>
    <pivotField numFmtId="14" showAll="0">
      <items count="7">
        <item x="0"/>
        <item x="1"/>
        <item x="2"/>
        <item x="3"/>
        <item x="4"/>
        <item x="5"/>
        <item t="default"/>
      </items>
    </pivotField>
    <pivotField showAll="0"/>
    <pivotField showAll="0"/>
    <pivotField showAll="0"/>
    <pivotField axis="axisRow" showAll="0">
      <items count="3">
        <item x="1"/>
        <item x="0"/>
        <item t="default"/>
      </items>
    </pivotField>
    <pivotField axis="axisRow" showAll="0">
      <items count="5">
        <item x="3"/>
        <item x="2"/>
        <item x="0"/>
        <item x="1"/>
        <item t="default"/>
      </items>
    </pivotField>
    <pivotField axis="axisRow" showAll="0">
      <items count="14">
        <item x="6"/>
        <item x="9"/>
        <item x="8"/>
        <item x="10"/>
        <item x="7"/>
        <item x="2"/>
        <item x="4"/>
        <item x="5"/>
        <item x="11"/>
        <item x="3"/>
        <item x="0"/>
        <item x="1"/>
        <item x="12"/>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3">
    <field x="6"/>
    <field x="7"/>
    <field x="8"/>
  </rowFields>
  <rowItems count="20">
    <i>
      <x/>
    </i>
    <i r="1">
      <x/>
    </i>
    <i r="2">
      <x/>
    </i>
    <i r="2">
      <x v="4"/>
    </i>
    <i r="2">
      <x v="7"/>
    </i>
    <i r="1">
      <x v="1"/>
    </i>
    <i r="2">
      <x v="1"/>
    </i>
    <i r="2">
      <x v="2"/>
    </i>
    <i r="2">
      <x v="6"/>
    </i>
    <i r="2">
      <x v="12"/>
    </i>
    <i>
      <x v="1"/>
    </i>
    <i r="1">
      <x v="2"/>
    </i>
    <i r="2">
      <x v="3"/>
    </i>
    <i r="2">
      <x v="10"/>
    </i>
    <i r="2">
      <x v="11"/>
    </i>
    <i r="1">
      <x v="3"/>
    </i>
    <i r="2">
      <x v="5"/>
    </i>
    <i r="2">
      <x v="8"/>
    </i>
    <i r="2">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81CA68-1CF3-42C1-9576-CB97CD441576}"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C144" firstHeaderRow="0" firstDataRow="1" firstDataCol="1"/>
  <pivotFields count="29">
    <pivotField dataField="1" showAll="0"/>
    <pivotField showAll="0"/>
    <pivotField axis="axisRow" numFmtId="14" showAll="0">
      <items count="7">
        <item x="0"/>
        <item x="1"/>
        <item x="2"/>
        <item x="3"/>
        <item x="4"/>
        <item x="5"/>
        <item t="default"/>
      </items>
    </pivotField>
    <pivotField axis="axisRow" showAll="0">
      <items count="3">
        <item x="0"/>
        <item x="1"/>
        <item t="default"/>
      </items>
    </pivotField>
    <pivotField showAll="0"/>
    <pivotField dataField="1" showAll="0"/>
    <pivotField showAll="0"/>
    <pivotField showAll="0"/>
    <pivotField showAll="0"/>
    <pivotField showAll="0"/>
    <pivotField showAll="0"/>
    <pivotField axis="axisRow" showAll="0">
      <items count="21">
        <item x="3"/>
        <item x="0"/>
        <item x="5"/>
        <item x="2"/>
        <item x="16"/>
        <item x="4"/>
        <item x="10"/>
        <item x="15"/>
        <item x="12"/>
        <item x="7"/>
        <item x="9"/>
        <item x="17"/>
        <item x="19"/>
        <item x="18"/>
        <item x="6"/>
        <item x="11"/>
        <item x="1"/>
        <item x="8"/>
        <item x="14"/>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3">
    <field x="2"/>
    <field x="3"/>
    <field x="11"/>
  </rowFields>
  <rowItems count="139">
    <i>
      <x/>
    </i>
    <i r="1">
      <x/>
    </i>
    <i r="2">
      <x/>
    </i>
    <i r="2">
      <x v="1"/>
    </i>
    <i r="2">
      <x v="3"/>
    </i>
    <i r="2">
      <x v="4"/>
    </i>
    <i r="2">
      <x v="7"/>
    </i>
    <i r="2">
      <x v="12"/>
    </i>
    <i r="2">
      <x v="13"/>
    </i>
    <i r="2">
      <x v="16"/>
    </i>
    <i r="1">
      <x v="1"/>
    </i>
    <i r="2">
      <x v="2"/>
    </i>
    <i r="2">
      <x v="5"/>
    </i>
    <i r="2">
      <x v="6"/>
    </i>
    <i r="2">
      <x v="8"/>
    </i>
    <i r="2">
      <x v="9"/>
    </i>
    <i r="2">
      <x v="10"/>
    </i>
    <i r="2">
      <x v="11"/>
    </i>
    <i r="2">
      <x v="14"/>
    </i>
    <i r="2">
      <x v="15"/>
    </i>
    <i r="2">
      <x v="17"/>
    </i>
    <i r="2">
      <x v="18"/>
    </i>
    <i r="2">
      <x v="19"/>
    </i>
    <i>
      <x v="1"/>
    </i>
    <i r="1">
      <x/>
    </i>
    <i r="2">
      <x/>
    </i>
    <i r="2">
      <x v="1"/>
    </i>
    <i r="2">
      <x v="3"/>
    </i>
    <i r="2">
      <x v="4"/>
    </i>
    <i r="2">
      <x v="7"/>
    </i>
    <i r="2">
      <x v="12"/>
    </i>
    <i r="2">
      <x v="13"/>
    </i>
    <i r="2">
      <x v="16"/>
    </i>
    <i r="1">
      <x v="1"/>
    </i>
    <i r="2">
      <x v="2"/>
    </i>
    <i r="2">
      <x v="5"/>
    </i>
    <i r="2">
      <x v="6"/>
    </i>
    <i r="2">
      <x v="8"/>
    </i>
    <i r="2">
      <x v="9"/>
    </i>
    <i r="2">
      <x v="10"/>
    </i>
    <i r="2">
      <x v="11"/>
    </i>
    <i r="2">
      <x v="14"/>
    </i>
    <i r="2">
      <x v="15"/>
    </i>
    <i r="2">
      <x v="17"/>
    </i>
    <i r="2">
      <x v="18"/>
    </i>
    <i r="2">
      <x v="19"/>
    </i>
    <i>
      <x v="2"/>
    </i>
    <i r="1">
      <x/>
    </i>
    <i r="2">
      <x/>
    </i>
    <i r="2">
      <x v="1"/>
    </i>
    <i r="2">
      <x v="3"/>
    </i>
    <i r="2">
      <x v="4"/>
    </i>
    <i r="2">
      <x v="7"/>
    </i>
    <i r="2">
      <x v="12"/>
    </i>
    <i r="2">
      <x v="13"/>
    </i>
    <i r="2">
      <x v="16"/>
    </i>
    <i r="1">
      <x v="1"/>
    </i>
    <i r="2">
      <x v="2"/>
    </i>
    <i r="2">
      <x v="5"/>
    </i>
    <i r="2">
      <x v="6"/>
    </i>
    <i r="2">
      <x v="8"/>
    </i>
    <i r="2">
      <x v="9"/>
    </i>
    <i r="2">
      <x v="10"/>
    </i>
    <i r="2">
      <x v="11"/>
    </i>
    <i r="2">
      <x v="14"/>
    </i>
    <i r="2">
      <x v="15"/>
    </i>
    <i r="2">
      <x v="17"/>
    </i>
    <i r="2">
      <x v="18"/>
    </i>
    <i r="2">
      <x v="19"/>
    </i>
    <i>
      <x v="3"/>
    </i>
    <i r="1">
      <x/>
    </i>
    <i r="2">
      <x/>
    </i>
    <i r="2">
      <x v="1"/>
    </i>
    <i r="2">
      <x v="3"/>
    </i>
    <i r="2">
      <x v="4"/>
    </i>
    <i r="2">
      <x v="7"/>
    </i>
    <i r="2">
      <x v="12"/>
    </i>
    <i r="2">
      <x v="13"/>
    </i>
    <i r="2">
      <x v="16"/>
    </i>
    <i r="1">
      <x v="1"/>
    </i>
    <i r="2">
      <x v="2"/>
    </i>
    <i r="2">
      <x v="5"/>
    </i>
    <i r="2">
      <x v="6"/>
    </i>
    <i r="2">
      <x v="8"/>
    </i>
    <i r="2">
      <x v="9"/>
    </i>
    <i r="2">
      <x v="10"/>
    </i>
    <i r="2">
      <x v="11"/>
    </i>
    <i r="2">
      <x v="14"/>
    </i>
    <i r="2">
      <x v="15"/>
    </i>
    <i r="2">
      <x v="17"/>
    </i>
    <i r="2">
      <x v="18"/>
    </i>
    <i r="2">
      <x v="19"/>
    </i>
    <i>
      <x v="4"/>
    </i>
    <i r="1">
      <x/>
    </i>
    <i r="2">
      <x/>
    </i>
    <i r="2">
      <x v="1"/>
    </i>
    <i r="2">
      <x v="3"/>
    </i>
    <i r="2">
      <x v="4"/>
    </i>
    <i r="2">
      <x v="7"/>
    </i>
    <i r="2">
      <x v="12"/>
    </i>
    <i r="2">
      <x v="13"/>
    </i>
    <i r="2">
      <x v="16"/>
    </i>
    <i r="1">
      <x v="1"/>
    </i>
    <i r="2">
      <x v="2"/>
    </i>
    <i r="2">
      <x v="5"/>
    </i>
    <i r="2">
      <x v="6"/>
    </i>
    <i r="2">
      <x v="8"/>
    </i>
    <i r="2">
      <x v="9"/>
    </i>
    <i r="2">
      <x v="10"/>
    </i>
    <i r="2">
      <x v="11"/>
    </i>
    <i r="2">
      <x v="14"/>
    </i>
    <i r="2">
      <x v="15"/>
    </i>
    <i r="2">
      <x v="17"/>
    </i>
    <i r="2">
      <x v="18"/>
    </i>
    <i r="2">
      <x v="19"/>
    </i>
    <i>
      <x v="5"/>
    </i>
    <i r="1">
      <x/>
    </i>
    <i r="2">
      <x/>
    </i>
    <i r="2">
      <x v="1"/>
    </i>
    <i r="2">
      <x v="3"/>
    </i>
    <i r="2">
      <x v="4"/>
    </i>
    <i r="2">
      <x v="7"/>
    </i>
    <i r="2">
      <x v="12"/>
    </i>
    <i r="2">
      <x v="13"/>
    </i>
    <i r="2">
      <x v="16"/>
    </i>
    <i r="1">
      <x v="1"/>
    </i>
    <i r="2">
      <x v="2"/>
    </i>
    <i r="2">
      <x v="5"/>
    </i>
    <i r="2">
      <x v="6"/>
    </i>
    <i r="2">
      <x v="8"/>
    </i>
    <i r="2">
      <x v="9"/>
    </i>
    <i r="2">
      <x v="10"/>
    </i>
    <i r="2">
      <x v="11"/>
    </i>
    <i r="2">
      <x v="14"/>
    </i>
    <i r="2">
      <x v="15"/>
    </i>
    <i r="2">
      <x v="17"/>
    </i>
    <i r="2">
      <x v="18"/>
    </i>
    <i r="2">
      <x v="19"/>
    </i>
    <i t="grand">
      <x/>
    </i>
  </rowItems>
  <colFields count="1">
    <field x="-2"/>
  </colFields>
  <colItems count="2">
    <i>
      <x/>
    </i>
    <i i="1">
      <x v="1"/>
    </i>
  </colItems>
  <dataFields count="2">
    <dataField name="Sum of Store id" fld="0" baseField="0" baseItem="0"/>
    <dataField name="Sum of Marketin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C6FC77-62A0-4A3A-97DD-20407E782A4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9:K72" firstHeaderRow="1" firstDataRow="1" firstDataCol="1"/>
  <pivotFields count="29">
    <pivotField showAll="0"/>
    <pivotField showAll="0"/>
    <pivotField numFmtId="14" showAll="0">
      <items count="7">
        <item x="0"/>
        <item x="1"/>
        <item x="2"/>
        <item x="3"/>
        <item x="4"/>
        <item x="5"/>
        <item t="default"/>
      </items>
    </pivotField>
    <pivotField showAll="0"/>
    <pivotField showAll="0"/>
    <pivotField showAll="0"/>
    <pivotField showAll="0">
      <items count="3">
        <item x="1"/>
        <item x="0"/>
        <item t="default"/>
      </items>
    </pivotField>
    <pivotField axis="axisRow" showAll="0">
      <items count="5">
        <item x="3"/>
        <item x="2"/>
        <item x="0"/>
        <item x="1"/>
        <item t="default"/>
      </items>
    </pivotField>
    <pivotField axis="axisRow" showAll="0">
      <items count="14">
        <item x="6"/>
        <item x="9"/>
        <item x="8"/>
        <item x="10"/>
        <item x="7"/>
        <item x="2"/>
        <item x="4"/>
        <item x="5"/>
        <item x="11"/>
        <item x="3"/>
        <item x="0"/>
        <item x="1"/>
        <item x="12"/>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axis="axisRow" showAll="0">
      <items count="3">
        <item x="1"/>
        <item x="0"/>
        <item t="default"/>
      </items>
    </pivotField>
    <pivotField showAll="0"/>
    <pivotField showAll="0"/>
    <pivotField showAll="0" defaultSubtotal="0"/>
    <pivotField showAll="0" defaultSubtotal="0"/>
    <pivotField showAll="0" defaultSubtotal="0">
      <items count="4">
        <item x="0"/>
        <item x="1"/>
        <item x="2"/>
        <item x="3"/>
      </items>
    </pivotField>
  </pivotFields>
  <rowFields count="3">
    <field x="8"/>
    <field x="7"/>
    <field x="23"/>
  </rowFields>
  <rowItems count="53">
    <i>
      <x/>
    </i>
    <i r="1">
      <x/>
    </i>
    <i r="2">
      <x/>
    </i>
    <i r="2">
      <x v="1"/>
    </i>
    <i>
      <x v="1"/>
    </i>
    <i r="1">
      <x v="1"/>
    </i>
    <i r="2">
      <x/>
    </i>
    <i r="2">
      <x v="1"/>
    </i>
    <i>
      <x v="2"/>
    </i>
    <i r="1">
      <x v="1"/>
    </i>
    <i r="2">
      <x/>
    </i>
    <i r="2">
      <x v="1"/>
    </i>
    <i>
      <x v="3"/>
    </i>
    <i r="1">
      <x v="2"/>
    </i>
    <i r="2">
      <x/>
    </i>
    <i r="2">
      <x v="1"/>
    </i>
    <i>
      <x v="4"/>
    </i>
    <i r="1">
      <x/>
    </i>
    <i r="2">
      <x/>
    </i>
    <i r="2">
      <x v="1"/>
    </i>
    <i>
      <x v="5"/>
    </i>
    <i r="1">
      <x v="3"/>
    </i>
    <i r="2">
      <x/>
    </i>
    <i r="2">
      <x v="1"/>
    </i>
    <i>
      <x v="6"/>
    </i>
    <i r="1">
      <x v="1"/>
    </i>
    <i r="2">
      <x/>
    </i>
    <i r="2">
      <x v="1"/>
    </i>
    <i>
      <x v="7"/>
    </i>
    <i r="1">
      <x/>
    </i>
    <i r="2">
      <x/>
    </i>
    <i r="2">
      <x v="1"/>
    </i>
    <i>
      <x v="8"/>
    </i>
    <i r="1">
      <x v="3"/>
    </i>
    <i r="2">
      <x/>
    </i>
    <i r="2">
      <x v="1"/>
    </i>
    <i>
      <x v="9"/>
    </i>
    <i r="1">
      <x v="3"/>
    </i>
    <i r="2">
      <x/>
    </i>
    <i r="2">
      <x v="1"/>
    </i>
    <i>
      <x v="10"/>
    </i>
    <i r="1">
      <x v="2"/>
    </i>
    <i r="2">
      <x/>
    </i>
    <i r="2">
      <x v="1"/>
    </i>
    <i>
      <x v="11"/>
    </i>
    <i r="1">
      <x v="2"/>
    </i>
    <i r="2">
      <x/>
    </i>
    <i r="2">
      <x v="1"/>
    </i>
    <i>
      <x v="12"/>
    </i>
    <i r="1">
      <x v="1"/>
    </i>
    <i r="2">
      <x/>
    </i>
    <i r="2">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5AE10B-7A14-460D-A458-19E1C8D21F32}"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12:M13" firstHeaderRow="0" firstDataRow="1" firstDataCol="0"/>
  <pivotFields count="29">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Sum of Target Sales" fld="14" baseField="0" baseItem="0"/>
    <dataField name="Sum of Target Profit" fld="13" baseField="0" baseItem="0"/>
    <dataField name="Sum of Target COG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5D1F79-0B98-4A00-B8B3-6DF5F5CE4A7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N6" firstHeaderRow="0" firstDataRow="1" firstDataCol="0"/>
  <pivotFields count="29">
    <pivotField showAll="0"/>
    <pivotField dataField="1" showAll="0"/>
    <pivotField numFmtId="14" showAll="0">
      <items count="7">
        <item x="0"/>
        <item x="1"/>
        <item x="2"/>
        <item x="3"/>
        <item x="4"/>
        <item x="5"/>
        <item t="default"/>
      </items>
    </pivotField>
    <pivotField showAll="0"/>
    <pivotField showAll="0"/>
    <pivotField dataField="1"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4">
    <i>
      <x/>
    </i>
    <i i="1">
      <x v="1"/>
    </i>
    <i i="2">
      <x v="2"/>
    </i>
    <i i="3">
      <x v="3"/>
    </i>
  </colItems>
  <dataFields count="4">
    <dataField name="Sum of Sales" fld="10" baseField="0" baseItem="0"/>
    <dataField name="Sum of Profit" fld="9" baseField="0" baseItem="0"/>
    <dataField name="Sum of Cogs" fld="1" baseField="0" baseItem="0"/>
    <dataField name="Sum of Marketin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15F674-AC1F-4CAF-8A47-96423AC74F7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6:J7" firstHeaderRow="0" firstDataRow="1" firstDataCol="0"/>
  <pivotFields count="34">
    <pivotField showAll="0"/>
    <pivotField dataField="1" showAll="0"/>
    <pivotField numFmtId="14" showAll="0">
      <items count="7">
        <item x="0"/>
        <item x="1"/>
        <item x="2"/>
        <item x="3"/>
        <item x="4"/>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Sum of Total Sales" fld="16" baseField="0" baseItem="0"/>
    <dataField name="Sum of Profit" fld="9" baseField="0" baseItem="0"/>
    <dataField name="Sum of Cogs" fld="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1BD62A-043F-41E8-8945-4FA11D041B3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0:I25" firstHeaderRow="0" firstDataRow="1" firstDataCol="1"/>
  <pivotFields count="34">
    <pivotField showAll="0"/>
    <pivotField showAll="0"/>
    <pivotField numFmtId="14" showAll="0">
      <items count="7">
        <item x="0"/>
        <item x="1"/>
        <item x="2"/>
        <item x="3"/>
        <item x="4"/>
        <item x="5"/>
        <item t="default"/>
      </items>
    </pivotField>
    <pivotField showAll="0"/>
    <pivotField axis="axisRow" showAll="0">
      <items count="5">
        <item x="0"/>
        <item x="2"/>
        <item x="1"/>
        <item x="3"/>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Fields count="1">
    <field x="-2"/>
  </colFields>
  <colItems count="2">
    <i>
      <x/>
    </i>
    <i i="1">
      <x v="1"/>
    </i>
  </colItems>
  <dataFields count="2">
    <dataField name="Sum of Sales" fld="10" baseField="0" baseItem="0"/>
    <dataField name="Sum of Profit" fld="9"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7A4D8B-ABA0-4ED1-8AFD-5716842DD25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66:G67" firstHeaderRow="0" firstDataRow="1" firstDataCol="0"/>
  <pivotFields count="34">
    <pivotField dataField="1" showAll="0" sortType="ascending">
      <items count="150">
        <item x="31"/>
        <item x="32"/>
        <item x="64"/>
        <item x="19"/>
        <item x="132"/>
        <item x="115"/>
        <item x="34"/>
        <item x="96"/>
        <item x="111"/>
        <item x="136"/>
        <item x="29"/>
        <item x="104"/>
        <item x="122"/>
        <item x="56"/>
        <item x="50"/>
        <item x="14"/>
        <item x="121"/>
        <item x="0"/>
        <item x="58"/>
        <item x="103"/>
        <item x="82"/>
        <item x="26"/>
        <item x="123"/>
        <item x="11"/>
        <item x="66"/>
        <item x="88"/>
        <item x="85"/>
        <item x="60"/>
        <item x="87"/>
        <item x="55"/>
        <item x="25"/>
        <item x="129"/>
        <item x="53"/>
        <item x="72"/>
        <item x="78"/>
        <item x="107"/>
        <item x="125"/>
        <item x="47"/>
        <item x="59"/>
        <item x="61"/>
        <item x="2"/>
        <item x="109"/>
        <item x="112"/>
        <item x="145"/>
        <item x="40"/>
        <item x="83"/>
        <item x="16"/>
        <item x="44"/>
        <item x="116"/>
        <item x="9"/>
        <item x="93"/>
        <item x="36"/>
        <item x="42"/>
        <item x="12"/>
        <item x="27"/>
        <item x="39"/>
        <item x="63"/>
        <item x="30"/>
        <item x="45"/>
        <item x="102"/>
        <item x="101"/>
        <item x="74"/>
        <item x="126"/>
        <item x="114"/>
        <item x="92"/>
        <item x="49"/>
        <item x="143"/>
        <item x="35"/>
        <item x="4"/>
        <item x="46"/>
        <item x="98"/>
        <item x="13"/>
        <item x="28"/>
        <item x="118"/>
        <item x="10"/>
        <item x="133"/>
        <item x="94"/>
        <item x="69"/>
        <item x="70"/>
        <item x="137"/>
        <item x="37"/>
        <item x="81"/>
        <item x="89"/>
        <item x="131"/>
        <item x="54"/>
        <item x="77"/>
        <item x="130"/>
        <item x="73"/>
        <item x="95"/>
        <item x="141"/>
        <item x="33"/>
        <item x="48"/>
        <item x="71"/>
        <item x="52"/>
        <item x="5"/>
        <item x="99"/>
        <item x="139"/>
        <item x="65"/>
        <item x="127"/>
        <item x="100"/>
        <item x="23"/>
        <item x="43"/>
        <item x="134"/>
        <item x="113"/>
        <item x="128"/>
        <item x="86"/>
        <item x="105"/>
        <item x="68"/>
        <item x="20"/>
        <item x="8"/>
        <item x="108"/>
        <item x="110"/>
        <item x="15"/>
        <item x="75"/>
        <item x="51"/>
        <item x="91"/>
        <item x="117"/>
        <item x="62"/>
        <item x="119"/>
        <item x="140"/>
        <item x="147"/>
        <item x="97"/>
        <item x="124"/>
        <item x="24"/>
        <item x="3"/>
        <item x="84"/>
        <item x="6"/>
        <item x="76"/>
        <item x="79"/>
        <item x="142"/>
        <item x="106"/>
        <item x="18"/>
        <item x="144"/>
        <item x="135"/>
        <item x="7"/>
        <item x="41"/>
        <item x="146"/>
        <item x="22"/>
        <item x="90"/>
        <item x="148"/>
        <item x="138"/>
        <item x="21"/>
        <item x="57"/>
        <item x="67"/>
        <item x="1"/>
        <item x="17"/>
        <item x="120"/>
        <item x="80"/>
        <item x="38"/>
        <item t="default"/>
      </items>
    </pivotField>
    <pivotField showAll="0"/>
    <pivotField numFmtId="14" showAll="0">
      <items count="7">
        <item x="0"/>
        <item x="1"/>
        <item x="2"/>
        <item x="3"/>
        <item x="4"/>
        <item x="5"/>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Sum of Store id" fld="0" baseField="0" baseItem="0"/>
    <dataField name="Sum of Sales" fld="10"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6B5793F-C74A-4696-8D68-B2459EEEECE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44:J55" firstHeaderRow="0" firstDataRow="1" firstDataCol="1"/>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dataField="1" showAll="0"/>
    <pivotField dataField="1" showAll="0"/>
    <pivotField axis="axisRow" showAll="0" measureFilter="1">
      <items count="21">
        <item x="3"/>
        <item x="0"/>
        <item x="5"/>
        <item x="2"/>
        <item x="16"/>
        <item x="4"/>
        <item x="10"/>
        <item x="15"/>
        <item x="12"/>
        <item x="7"/>
        <item x="9"/>
        <item x="17"/>
        <item x="19"/>
        <item x="18"/>
        <item x="6"/>
        <item x="11"/>
        <item x="1"/>
        <item x="8"/>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1"/>
  </rowFields>
  <rowItems count="11">
    <i>
      <x/>
    </i>
    <i>
      <x v="1"/>
    </i>
    <i>
      <x v="4"/>
    </i>
    <i>
      <x v="5"/>
    </i>
    <i>
      <x v="9"/>
    </i>
    <i>
      <x v="12"/>
    </i>
    <i>
      <x v="15"/>
    </i>
    <i>
      <x v="16"/>
    </i>
    <i>
      <x v="17"/>
    </i>
    <i>
      <x v="18"/>
    </i>
    <i t="grand">
      <x/>
    </i>
  </rowItems>
  <colFields count="1">
    <field x="-2"/>
  </colFields>
  <colItems count="2">
    <i>
      <x/>
    </i>
    <i i="1">
      <x v="1"/>
    </i>
  </colItems>
  <dataFields count="2">
    <dataField name="Sum of Sales" fld="10" baseField="0" baseItem="0"/>
    <dataField name="Sum of Profit" fld="9" baseField="0" baseItem="0"/>
  </dataFields>
  <chartFormats count="2">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6BB116C-C3EA-42EB-9368-90BEF27D225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2:K7" firstHeaderRow="1" firstDataRow="1" firstDataCol="1"/>
  <pivotFields count="34">
    <pivotField showAll="0"/>
    <pivotField showAll="0"/>
    <pivotField numFmtId="14" showAll="0">
      <items count="7">
        <item x="0"/>
        <item x="1"/>
        <item x="2"/>
        <item x="3"/>
        <item x="4"/>
        <item x="5"/>
        <item t="default"/>
      </items>
    </pivotField>
    <pivotField showAll="0"/>
    <pivotField showAll="0"/>
    <pivotField showAll="0"/>
    <pivotField showAll="0"/>
    <pivotField axis="axisRow" showAll="0">
      <items count="5">
        <item x="3"/>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7"/>
  </rowFields>
  <rowItems count="5">
    <i>
      <x/>
    </i>
    <i>
      <x v="1"/>
    </i>
    <i>
      <x v="2"/>
    </i>
    <i>
      <x v="3"/>
    </i>
    <i t="grand">
      <x/>
    </i>
  </rowItems>
  <colItems count="1">
    <i/>
  </colItems>
  <dataFields count="1">
    <dataField name="Sum of Profit" fld="9"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DDB0C6F-F29A-44FB-BE70-D30C9A72EFD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colHeaderCaption="Year">
  <location ref="N34:Q39" firstHeaderRow="1" firstDataRow="2" firstDataCol="1"/>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31"/>
  </rowFields>
  <rowItems count="4">
    <i>
      <x v="10"/>
    </i>
    <i>
      <x v="11"/>
    </i>
    <i>
      <x v="12"/>
    </i>
    <i t="grand">
      <x/>
    </i>
  </rowItems>
  <colFields count="1">
    <field x="33"/>
  </colFields>
  <colItems count="3">
    <i>
      <x v="1"/>
    </i>
    <i>
      <x v="2"/>
    </i>
    <i t="grand">
      <x/>
    </i>
  </colItems>
  <chartFormats count="4">
    <chartFormat chart="0" format="0" series="1">
      <pivotArea type="data" outline="0" fieldPosition="0">
        <references count="1">
          <reference field="33" count="1" selected="0">
            <x v="1"/>
          </reference>
        </references>
      </pivotArea>
    </chartFormat>
    <chartFormat chart="0" format="1" series="1">
      <pivotArea type="data" outline="0" fieldPosition="0">
        <references count="1">
          <reference field="33" count="1" selected="0">
            <x v="2"/>
          </reference>
        </references>
      </pivotArea>
    </chartFormat>
    <chartFormat chart="0" format="2">
      <pivotArea type="data" outline="0" fieldPosition="0">
        <references count="2">
          <reference field="31" count="1" selected="0">
            <x v="12"/>
          </reference>
          <reference field="33" count="1" selected="0">
            <x v="1"/>
          </reference>
        </references>
      </pivotArea>
    </chartFormat>
    <chartFormat chart="0" format="3">
      <pivotArea type="data" outline="0" fieldPosition="0">
        <references count="2">
          <reference field="31" count="1" selected="0">
            <x v="12"/>
          </reference>
          <reference field="3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E3A2A39-C6DA-4E99-9AF3-45584713B1D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5:N9" firstHeaderRow="0" firstDataRow="1" firstDataCol="1"/>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dataField="1" showAll="0">
      <items count="239">
        <item x="237"/>
        <item x="227"/>
        <item x="233"/>
        <item x="220"/>
        <item x="211"/>
        <item x="216"/>
        <item x="169"/>
        <item x="153"/>
        <item x="172"/>
        <item x="157"/>
        <item x="165"/>
        <item x="147"/>
        <item x="234"/>
        <item x="133"/>
        <item x="150"/>
        <item x="228"/>
        <item x="221"/>
        <item x="135"/>
        <item x="143"/>
        <item x="217"/>
        <item x="235"/>
        <item x="212"/>
        <item x="206"/>
        <item x="223"/>
        <item x="218"/>
        <item x="230"/>
        <item x="208"/>
        <item x="213"/>
        <item x="226"/>
        <item x="81"/>
        <item x="75"/>
        <item x="210"/>
        <item x="77"/>
        <item x="91"/>
        <item x="122"/>
        <item x="69"/>
        <item x="90"/>
        <item x="86"/>
        <item x="108"/>
        <item x="82"/>
        <item x="55"/>
        <item x="84"/>
        <item x="46"/>
        <item x="48"/>
        <item x="23"/>
        <item x="11"/>
        <item x="15"/>
        <item x="0"/>
        <item x="64"/>
        <item x="37"/>
        <item x="13"/>
        <item x="186"/>
        <item x="66"/>
        <item x="12"/>
        <item x="80"/>
        <item x="83"/>
        <item x="79"/>
        <item x="70"/>
        <item x="7"/>
        <item x="72"/>
        <item x="76"/>
        <item x="44"/>
        <item x="78"/>
        <item x="14"/>
        <item x="32"/>
        <item x="29"/>
        <item x="25"/>
        <item x="38"/>
        <item x="39"/>
        <item x="47"/>
        <item x="60"/>
        <item x="30"/>
        <item x="6"/>
        <item x="57"/>
        <item x="34"/>
        <item x="10"/>
        <item x="65"/>
        <item x="1"/>
        <item x="22"/>
        <item x="2"/>
        <item x="26"/>
        <item x="27"/>
        <item x="5"/>
        <item x="71"/>
        <item x="9"/>
        <item x="28"/>
        <item x="3"/>
        <item x="18"/>
        <item x="8"/>
        <item x="68"/>
        <item x="40"/>
        <item x="54"/>
        <item x="41"/>
        <item x="58"/>
        <item x="24"/>
        <item x="16"/>
        <item x="43"/>
        <item x="17"/>
        <item x="21"/>
        <item x="31"/>
        <item x="35"/>
        <item x="94"/>
        <item x="33"/>
        <item x="36"/>
        <item x="45"/>
        <item x="4"/>
        <item x="67"/>
        <item x="85"/>
        <item x="93"/>
        <item x="130"/>
        <item x="176"/>
        <item x="103"/>
        <item x="137"/>
        <item x="19"/>
        <item x="56"/>
        <item x="107"/>
        <item x="49"/>
        <item x="88"/>
        <item x="50"/>
        <item x="53"/>
        <item x="106"/>
        <item x="59"/>
        <item x="62"/>
        <item x="20"/>
        <item x="61"/>
        <item x="92"/>
        <item x="63"/>
        <item x="87"/>
        <item x="42"/>
        <item x="144"/>
        <item x="74"/>
        <item x="89"/>
        <item x="100"/>
        <item x="97"/>
        <item x="104"/>
        <item x="192"/>
        <item x="115"/>
        <item x="159"/>
        <item x="51"/>
        <item x="96"/>
        <item x="121"/>
        <item x="199"/>
        <item x="116"/>
        <item x="178"/>
        <item x="120"/>
        <item x="140"/>
        <item x="112"/>
        <item x="52"/>
        <item x="124"/>
        <item x="125"/>
        <item x="95"/>
        <item x="73"/>
        <item x="174"/>
        <item x="109"/>
        <item x="126"/>
        <item x="187"/>
        <item x="166"/>
        <item x="118"/>
        <item x="102"/>
        <item x="179"/>
        <item x="113"/>
        <item x="201"/>
        <item x="117"/>
        <item x="99"/>
        <item x="136"/>
        <item x="225"/>
        <item x="154"/>
        <item x="215"/>
        <item x="180"/>
        <item x="173"/>
        <item x="129"/>
        <item x="183"/>
        <item x="198"/>
        <item x="162"/>
        <item x="193"/>
        <item x="127"/>
        <item x="188"/>
        <item x="182"/>
        <item x="101"/>
        <item x="190"/>
        <item x="123"/>
        <item x="128"/>
        <item x="177"/>
        <item x="98"/>
        <item x="209"/>
        <item x="105"/>
        <item x="195"/>
        <item x="156"/>
        <item x="184"/>
        <item x="181"/>
        <item x="111"/>
        <item x="158"/>
        <item x="142"/>
        <item x="232"/>
        <item x="196"/>
        <item x="219"/>
        <item x="185"/>
        <item x="189"/>
        <item x="175"/>
        <item x="207"/>
        <item x="205"/>
        <item x="202"/>
        <item x="214"/>
        <item x="139"/>
        <item x="132"/>
        <item x="200"/>
        <item x="114"/>
        <item x="146"/>
        <item x="194"/>
        <item x="110"/>
        <item x="224"/>
        <item x="119"/>
        <item x="203"/>
        <item x="197"/>
        <item x="229"/>
        <item x="164"/>
        <item x="149"/>
        <item x="148"/>
        <item x="236"/>
        <item x="204"/>
        <item x="138"/>
        <item x="191"/>
        <item x="222"/>
        <item x="131"/>
        <item x="231"/>
        <item x="161"/>
        <item x="152"/>
        <item x="141"/>
        <item x="145"/>
        <item x="168"/>
        <item x="134"/>
        <item x="171"/>
        <item x="170"/>
        <item x="160"/>
        <item x="151"/>
        <item x="163"/>
        <item x="167"/>
        <item x="155"/>
        <item t="default"/>
      </items>
    </pivotField>
    <pivotField dataField="1" showAll="0">
      <items count="244">
        <item x="231"/>
        <item x="238"/>
        <item x="204"/>
        <item x="214"/>
        <item x="220"/>
        <item x="228"/>
        <item x="236"/>
        <item x="234"/>
        <item x="242"/>
        <item x="241"/>
        <item x="115"/>
        <item x="116"/>
        <item x="120"/>
        <item x="5"/>
        <item x="121"/>
        <item x="117"/>
        <item x="48"/>
        <item x="122"/>
        <item x="77"/>
        <item x="97"/>
        <item x="112"/>
        <item x="88"/>
        <item x="103"/>
        <item x="82"/>
        <item x="78"/>
        <item x="94"/>
        <item x="113"/>
        <item x="89"/>
        <item x="114"/>
        <item x="98"/>
        <item x="118"/>
        <item x="7"/>
        <item x="119"/>
        <item x="8"/>
        <item x="85"/>
        <item x="49"/>
        <item x="50"/>
        <item x="100"/>
        <item x="83"/>
        <item x="93"/>
        <item x="99"/>
        <item x="14"/>
        <item x="25"/>
        <item x="95"/>
        <item x="81"/>
        <item x="24"/>
        <item x="40"/>
        <item x="59"/>
        <item x="102"/>
        <item x="39"/>
        <item x="58"/>
        <item x="70"/>
        <item x="23"/>
        <item x="101"/>
        <item x="31"/>
        <item x="69"/>
        <item x="19"/>
        <item x="3"/>
        <item x="104"/>
        <item x="62"/>
        <item x="55"/>
        <item x="9"/>
        <item x="46"/>
        <item x="38"/>
        <item x="235"/>
        <item x="84"/>
        <item x="111"/>
        <item x="28"/>
        <item x="2"/>
        <item x="68"/>
        <item x="12"/>
        <item x="96"/>
        <item x="6"/>
        <item x="34"/>
        <item x="27"/>
        <item x="11"/>
        <item x="30"/>
        <item x="52"/>
        <item x="15"/>
        <item x="16"/>
        <item x="10"/>
        <item x="26"/>
        <item x="0"/>
        <item x="1"/>
        <item x="21"/>
        <item x="22"/>
        <item x="53"/>
        <item x="35"/>
        <item x="51"/>
        <item x="60"/>
        <item x="45"/>
        <item x="41"/>
        <item x="57"/>
        <item x="33"/>
        <item x="108"/>
        <item x="65"/>
        <item x="239"/>
        <item x="105"/>
        <item x="44"/>
        <item x="71"/>
        <item x="29"/>
        <item x="64"/>
        <item x="13"/>
        <item x="36"/>
        <item x="232"/>
        <item x="32"/>
        <item x="74"/>
        <item x="61"/>
        <item x="91"/>
        <item x="43"/>
        <item x="66"/>
        <item x="233"/>
        <item x="63"/>
        <item x="199"/>
        <item x="80"/>
        <item x="42"/>
        <item x="73"/>
        <item x="20"/>
        <item x="240"/>
        <item x="230"/>
        <item x="107"/>
        <item x="92"/>
        <item x="72"/>
        <item x="75"/>
        <item x="56"/>
        <item x="37"/>
        <item x="79"/>
        <item x="237"/>
        <item x="110"/>
        <item x="166"/>
        <item x="4"/>
        <item x="106"/>
        <item x="86"/>
        <item x="76"/>
        <item x="67"/>
        <item x="90"/>
        <item x="186"/>
        <item x="47"/>
        <item x="173"/>
        <item x="109"/>
        <item x="130"/>
        <item x="172"/>
        <item x="87"/>
        <item x="131"/>
        <item x="123"/>
        <item x="160"/>
        <item x="17"/>
        <item x="193"/>
        <item x="145"/>
        <item x="192"/>
        <item x="146"/>
        <item x="138"/>
        <item x="179"/>
        <item x="18"/>
        <item x="136"/>
        <item x="134"/>
        <item x="152"/>
        <item x="127"/>
        <item x="133"/>
        <item x="54"/>
        <item x="126"/>
        <item x="149"/>
        <item x="132"/>
        <item x="148"/>
        <item x="139"/>
        <item x="142"/>
        <item x="147"/>
        <item x="165"/>
        <item x="153"/>
        <item x="206"/>
        <item x="185"/>
        <item x="156"/>
        <item x="129"/>
        <item x="222"/>
        <item x="200"/>
        <item x="125"/>
        <item x="176"/>
        <item x="159"/>
        <item x="144"/>
        <item x="211"/>
        <item x="154"/>
        <item x="216"/>
        <item x="137"/>
        <item x="141"/>
        <item x="155"/>
        <item x="196"/>
        <item x="226"/>
        <item x="157"/>
        <item x="151"/>
        <item x="182"/>
        <item x="158"/>
        <item x="169"/>
        <item x="202"/>
        <item x="189"/>
        <item x="218"/>
        <item x="208"/>
        <item x="207"/>
        <item x="224"/>
        <item x="223"/>
        <item x="167"/>
        <item x="161"/>
        <item x="201"/>
        <item x="187"/>
        <item x="128"/>
        <item x="212"/>
        <item x="180"/>
        <item x="217"/>
        <item x="174"/>
        <item x="164"/>
        <item x="124"/>
        <item x="143"/>
        <item x="135"/>
        <item x="209"/>
        <item x="213"/>
        <item x="194"/>
        <item x="210"/>
        <item x="184"/>
        <item x="140"/>
        <item x="150"/>
        <item x="205"/>
        <item x="227"/>
        <item x="171"/>
        <item x="225"/>
        <item x="203"/>
        <item x="221"/>
        <item x="191"/>
        <item x="168"/>
        <item x="219"/>
        <item x="162"/>
        <item x="215"/>
        <item x="177"/>
        <item x="188"/>
        <item x="170"/>
        <item x="181"/>
        <item x="229"/>
        <item x="175"/>
        <item x="197"/>
        <item x="190"/>
        <item x="195"/>
        <item x="178"/>
        <item x="163"/>
        <item x="198"/>
        <item x="18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1"/>
  </rowFields>
  <rowItems count="4">
    <i>
      <x v="10"/>
    </i>
    <i>
      <x v="11"/>
    </i>
    <i>
      <x v="12"/>
    </i>
    <i t="grand">
      <x/>
    </i>
  </rowItems>
  <colFields count="1">
    <field x="-2"/>
  </colFields>
  <colItems count="2">
    <i>
      <x/>
    </i>
    <i i="1">
      <x v="1"/>
    </i>
  </colItems>
  <dataFields count="2">
    <dataField name="Sum of Sales" fld="10" baseField="0" baseItem="0"/>
    <dataField name="Sum of Profit" fld="9"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31" count="1" selected="0">
            <x v="11"/>
          </reference>
        </references>
      </pivotArea>
    </chartFormat>
    <chartFormat chart="0" format="3">
      <pivotArea type="data" outline="0" fieldPosition="0">
        <references count="2">
          <reference field="4294967294" count="1" selected="0">
            <x v="1"/>
          </reference>
          <reference field="31" count="1" selected="0">
            <x v="10"/>
          </reference>
        </references>
      </pivotArea>
    </chartFormat>
    <chartFormat chart="0" format="4">
      <pivotArea type="data" outline="0" fieldPosition="0">
        <references count="2">
          <reference field="4294967294" count="1" selected="0">
            <x v="1"/>
          </reference>
          <reference field="3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6974BB1-92FE-4D04-AFE9-1CBECD05A2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R354" firstHeaderRow="1" firstDataRow="1" firstDataCol="1"/>
  <pivotFields count="29">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axis="axisRow" showAll="0">
      <items count="465">
        <item x="446"/>
        <item x="463"/>
        <item x="457"/>
        <item x="351"/>
        <item x="419"/>
        <item x="435"/>
        <item x="428"/>
        <item x="436"/>
        <item x="229"/>
        <item x="330"/>
        <item x="340"/>
        <item x="447"/>
        <item x="459"/>
        <item x="284"/>
        <item x="458"/>
        <item x="438"/>
        <item x="337"/>
        <item x="348"/>
        <item x="326"/>
        <item x="320"/>
        <item x="408"/>
        <item x="449"/>
        <item x="300"/>
        <item x="223"/>
        <item x="310"/>
        <item x="420"/>
        <item x="430"/>
        <item x="265"/>
        <item x="429"/>
        <item x="226"/>
        <item x="410"/>
        <item x="306"/>
        <item x="317"/>
        <item x="296"/>
        <item x="387"/>
        <item x="422"/>
        <item x="445"/>
        <item x="175"/>
        <item x="222"/>
        <item x="361"/>
        <item x="418"/>
        <item x="160"/>
        <item x="151"/>
        <item x="357"/>
        <item x="180"/>
        <item x="149"/>
        <item x="147"/>
        <item x="131"/>
        <item x="166"/>
        <item x="204"/>
        <item x="128"/>
        <item x="125"/>
        <item x="94"/>
        <item x="82"/>
        <item x="72"/>
        <item x="71"/>
        <item x="187"/>
        <item x="248"/>
        <item x="74"/>
        <item x="99"/>
        <item x="35"/>
        <item x="127"/>
        <item x="12"/>
        <item x="25"/>
        <item x="14"/>
        <item x="109"/>
        <item x="60"/>
        <item x="16"/>
        <item x="42"/>
        <item x="158"/>
        <item x="210"/>
        <item x="53"/>
        <item x="0"/>
        <item x="138"/>
        <item x="194"/>
        <item x="108"/>
        <item x="193"/>
        <item x="52"/>
        <item x="202"/>
        <item x="121"/>
        <item x="40"/>
        <item x="13"/>
        <item x="198"/>
        <item x="214"/>
        <item x="54"/>
        <item x="203"/>
        <item x="172"/>
        <item x="260"/>
        <item x="370"/>
        <item x="253"/>
        <item x="295"/>
        <item x="268"/>
        <item x="185"/>
        <item x="316"/>
        <item x="417"/>
        <item x="424"/>
        <item x="411"/>
        <item x="431"/>
        <item x="280"/>
        <item x="433"/>
        <item x="396"/>
        <item x="273"/>
        <item x="325"/>
        <item x="287"/>
        <item x="347"/>
        <item x="444"/>
        <item x="132"/>
        <item x="439"/>
        <item x="451"/>
        <item x="460"/>
        <item x="461"/>
        <item x="169"/>
        <item x="152"/>
        <item x="56"/>
        <item x="183"/>
        <item x="15"/>
        <item x="59"/>
        <item x="165"/>
        <item x="37"/>
        <item x="161"/>
        <item x="32"/>
        <item x="232"/>
        <item x="164"/>
        <item x="28"/>
        <item x="191"/>
        <item x="8"/>
        <item x="196"/>
        <item x="167"/>
        <item x="425"/>
        <item x="111"/>
        <item x="179"/>
        <item x="135"/>
        <item x="114"/>
        <item x="73"/>
        <item x="173"/>
        <item x="96"/>
        <item x="43"/>
        <item x="174"/>
        <item x="238"/>
        <item x="241"/>
        <item x="92"/>
        <item x="57"/>
        <item x="162"/>
        <item x="178"/>
        <item x="85"/>
        <item x="415"/>
        <item x="67"/>
        <item x="119"/>
        <item x="208"/>
        <item x="221"/>
        <item x="181"/>
        <item x="212"/>
        <item x="197"/>
        <item x="453"/>
        <item x="200"/>
        <item x="155"/>
        <item x="299"/>
        <item x="218"/>
        <item x="6"/>
        <item x="100"/>
        <item x="34"/>
        <item x="416"/>
        <item x="186"/>
        <item x="1"/>
        <item x="249"/>
        <item x="163"/>
        <item x="176"/>
        <item x="190"/>
        <item x="112"/>
        <item x="133"/>
        <item x="443"/>
        <item x="192"/>
        <item x="45"/>
        <item x="142"/>
        <item x="195"/>
        <item x="116"/>
        <item x="29"/>
        <item x="11"/>
        <item x="385"/>
        <item x="233"/>
        <item x="120"/>
        <item x="263"/>
        <item x="213"/>
        <item x="129"/>
        <item x="46"/>
        <item x="171"/>
        <item x="372"/>
        <item x="51"/>
        <item x="58"/>
        <item x="360"/>
        <item x="26"/>
        <item x="237"/>
        <item x="216"/>
        <item x="379"/>
        <item x="235"/>
        <item x="329"/>
        <item x="22"/>
        <item x="414"/>
        <item x="302"/>
        <item x="297"/>
        <item x="65"/>
        <item x="130"/>
        <item x="24"/>
        <item x="44"/>
        <item x="376"/>
        <item x="432"/>
        <item x="199"/>
        <item x="368"/>
        <item x="33"/>
        <item x="312"/>
        <item x="2"/>
        <item x="307"/>
        <item x="159"/>
        <item x="427"/>
        <item x="358"/>
        <item x="364"/>
        <item x="309"/>
        <item x="10"/>
        <item x="27"/>
        <item x="378"/>
        <item x="413"/>
        <item x="374"/>
        <item x="115"/>
        <item x="355"/>
        <item x="31"/>
        <item x="177"/>
        <item x="61"/>
        <item x="201"/>
        <item x="207"/>
        <item x="20"/>
        <item x="188"/>
        <item x="356"/>
        <item x="231"/>
        <item x="369"/>
        <item x="363"/>
        <item x="426"/>
        <item x="209"/>
        <item x="4"/>
        <item x="153"/>
        <item x="366"/>
        <item x="257"/>
        <item x="234"/>
        <item x="102"/>
        <item x="211"/>
        <item x="256"/>
        <item x="262"/>
        <item x="267"/>
        <item x="55"/>
        <item x="412"/>
        <item x="313"/>
        <item x="303"/>
        <item x="254"/>
        <item x="86"/>
        <item x="264"/>
        <item x="261"/>
        <item x="251"/>
        <item x="70"/>
        <item x="259"/>
        <item x="242"/>
        <item x="137"/>
        <item x="143"/>
        <item x="367"/>
        <item x="421"/>
        <item x="252"/>
        <item x="442"/>
        <item x="434"/>
        <item x="375"/>
        <item x="126"/>
        <item x="409"/>
        <item x="423"/>
        <item x="305"/>
        <item x="21"/>
        <item x="452"/>
        <item x="398"/>
        <item x="103"/>
        <item x="319"/>
        <item x="113"/>
        <item x="315"/>
        <item x="107"/>
        <item x="288"/>
        <item x="83"/>
        <item x="136"/>
        <item x="290"/>
        <item x="247"/>
        <item x="117"/>
        <item x="258"/>
        <item x="407"/>
        <item x="289"/>
        <item x="244"/>
        <item x="359"/>
        <item x="362"/>
        <item x="354"/>
        <item x="266"/>
        <item x="139"/>
        <item x="371"/>
        <item x="311"/>
        <item x="7"/>
        <item x="333"/>
        <item x="327"/>
        <item x="373"/>
        <item x="36"/>
        <item x="150"/>
        <item x="377"/>
        <item x="81"/>
        <item x="101"/>
        <item x="30"/>
        <item x="50"/>
        <item x="168"/>
        <item x="404"/>
        <item x="122"/>
        <item x="322"/>
        <item x="394"/>
        <item x="215"/>
        <item x="343"/>
        <item x="220"/>
        <item x="93"/>
        <item x="456"/>
        <item x="134"/>
        <item x="62"/>
        <item x="390"/>
        <item x="170"/>
        <item x="339"/>
        <item x="69"/>
        <item x="19"/>
        <item x="84"/>
        <item x="39"/>
        <item x="441"/>
        <item x="219"/>
        <item x="406"/>
        <item x="401"/>
        <item x="91"/>
        <item x="382"/>
        <item x="124"/>
        <item x="9"/>
        <item x="48"/>
        <item x="38"/>
        <item x="236"/>
        <item x="23"/>
        <item x="217"/>
        <item x="49"/>
        <item x="17"/>
        <item x="41"/>
        <item x="3"/>
        <item x="78"/>
        <item x="47"/>
        <item x="189"/>
        <item x="240"/>
        <item x="383"/>
        <item x="205"/>
        <item x="228"/>
        <item x="389"/>
        <item x="395"/>
        <item x="455"/>
        <item x="64"/>
        <item x="392"/>
        <item x="18"/>
        <item x="277"/>
        <item x="123"/>
        <item x="243"/>
        <item x="286"/>
        <item x="276"/>
        <item x="282"/>
        <item x="454"/>
        <item x="321"/>
        <item x="230"/>
        <item x="269"/>
        <item x="334"/>
        <item x="344"/>
        <item x="440"/>
        <item x="274"/>
        <item x="110"/>
        <item x="118"/>
        <item x="283"/>
        <item x="281"/>
        <item x="271"/>
        <item x="279"/>
        <item x="157"/>
        <item x="255"/>
        <item x="353"/>
        <item x="365"/>
        <item x="393"/>
        <item x="448"/>
        <item x="272"/>
        <item x="250"/>
        <item x="462"/>
        <item x="301"/>
        <item x="402"/>
        <item x="384"/>
        <item x="403"/>
        <item x="437"/>
        <item x="148"/>
        <item x="450"/>
        <item x="336"/>
        <item x="324"/>
        <item x="79"/>
        <item x="350"/>
        <item x="346"/>
        <item x="156"/>
        <item x="291"/>
        <item x="227"/>
        <item x="293"/>
        <item x="278"/>
        <item x="140"/>
        <item x="292"/>
        <item x="386"/>
        <item x="388"/>
        <item x="381"/>
        <item x="285"/>
        <item x="225"/>
        <item x="342"/>
        <item x="397"/>
        <item x="66"/>
        <item x="245"/>
        <item x="88"/>
        <item x="318"/>
        <item x="90"/>
        <item x="400"/>
        <item x="95"/>
        <item x="405"/>
        <item x="87"/>
        <item x="182"/>
        <item x="106"/>
        <item x="144"/>
        <item x="154"/>
        <item x="224"/>
        <item x="77"/>
        <item x="145"/>
        <item x="184"/>
        <item x="97"/>
        <item x="68"/>
        <item x="246"/>
        <item x="80"/>
        <item x="105"/>
        <item x="98"/>
        <item x="75"/>
        <item x="63"/>
        <item x="206"/>
        <item x="89"/>
        <item x="104"/>
        <item x="146"/>
        <item x="76"/>
        <item x="399"/>
        <item x="352"/>
        <item x="239"/>
        <item x="141"/>
        <item x="341"/>
        <item x="275"/>
        <item x="331"/>
        <item x="380"/>
        <item x="391"/>
        <item x="270"/>
        <item x="332"/>
        <item x="308"/>
        <item x="298"/>
        <item x="349"/>
        <item x="338"/>
        <item x="328"/>
        <item x="304"/>
        <item x="294"/>
        <item x="314"/>
        <item x="335"/>
        <item x="323"/>
        <item x="345"/>
        <item x="5"/>
        <item t="default"/>
      </items>
    </pivotField>
    <pivotField axis="axisRow" showAll="0">
      <items count="3">
        <item h="1" x="1"/>
        <item x="0"/>
        <item t="default"/>
      </items>
    </pivotField>
    <pivotField showAll="0"/>
    <pivotField showAll="0"/>
    <pivotField showAll="0" defaultSubtotal="0"/>
    <pivotField showAll="0" defaultSubtotal="0"/>
    <pivotField showAll="0" defaultSubtotal="0">
      <items count="4">
        <item x="0"/>
        <item x="1"/>
        <item x="2"/>
        <item x="3"/>
      </items>
    </pivotField>
  </pivotFields>
  <rowFields count="2">
    <field x="23"/>
    <field x="22"/>
  </rowFields>
  <rowItems count="353">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7"/>
    </i>
    <i r="1">
      <x v="188"/>
    </i>
    <i r="1">
      <x v="190"/>
    </i>
    <i r="1">
      <x v="191"/>
    </i>
    <i r="1">
      <x v="192"/>
    </i>
    <i r="1">
      <x v="194"/>
    </i>
    <i r="1">
      <x v="196"/>
    </i>
    <i r="1">
      <x v="197"/>
    </i>
    <i r="1">
      <x v="198"/>
    </i>
    <i r="1">
      <x v="199"/>
    </i>
    <i r="1">
      <x v="200"/>
    </i>
    <i r="1">
      <x v="201"/>
    </i>
    <i r="1">
      <x v="202"/>
    </i>
    <i r="1">
      <x v="203"/>
    </i>
    <i r="1">
      <x v="204"/>
    </i>
    <i r="1">
      <x v="205"/>
    </i>
    <i r="1">
      <x v="206"/>
    </i>
    <i r="1">
      <x v="208"/>
    </i>
    <i r="1">
      <x v="209"/>
    </i>
    <i r="1">
      <x v="210"/>
    </i>
    <i r="1">
      <x v="212"/>
    </i>
    <i r="1">
      <x v="214"/>
    </i>
    <i r="1">
      <x v="217"/>
    </i>
    <i r="1">
      <x v="218"/>
    </i>
    <i r="1">
      <x v="220"/>
    </i>
    <i r="1">
      <x v="222"/>
    </i>
    <i r="1">
      <x v="224"/>
    </i>
    <i r="1">
      <x v="225"/>
    </i>
    <i r="1">
      <x v="226"/>
    </i>
    <i r="1">
      <x v="227"/>
    </i>
    <i r="1">
      <x v="228"/>
    </i>
    <i r="1">
      <x v="229"/>
    </i>
    <i r="1">
      <x v="230"/>
    </i>
    <i r="1">
      <x v="232"/>
    </i>
    <i r="1">
      <x v="233"/>
    </i>
    <i r="1">
      <x v="234"/>
    </i>
    <i r="1">
      <x v="236"/>
    </i>
    <i r="1">
      <x v="237"/>
    </i>
    <i r="1">
      <x v="238"/>
    </i>
    <i r="1">
      <x v="240"/>
    </i>
    <i r="1">
      <x v="241"/>
    </i>
    <i r="1">
      <x v="242"/>
    </i>
    <i r="1">
      <x v="243"/>
    </i>
    <i r="1">
      <x v="244"/>
    </i>
    <i r="1">
      <x v="245"/>
    </i>
    <i r="1">
      <x v="246"/>
    </i>
    <i r="1">
      <x v="247"/>
    </i>
    <i r="1">
      <x v="249"/>
    </i>
    <i r="1">
      <x v="250"/>
    </i>
    <i r="1">
      <x v="251"/>
    </i>
    <i r="1">
      <x v="252"/>
    </i>
    <i r="1">
      <x v="253"/>
    </i>
    <i r="1">
      <x v="255"/>
    </i>
    <i r="1">
      <x v="256"/>
    </i>
    <i r="1">
      <x v="257"/>
    </i>
    <i r="1">
      <x v="258"/>
    </i>
    <i r="1">
      <x v="259"/>
    </i>
    <i r="1">
      <x v="260"/>
    </i>
    <i r="1">
      <x v="263"/>
    </i>
    <i r="1">
      <x v="264"/>
    </i>
    <i r="1">
      <x v="267"/>
    </i>
    <i r="1">
      <x v="271"/>
    </i>
    <i r="1">
      <x v="272"/>
    </i>
    <i r="1">
      <x v="274"/>
    </i>
    <i r="1">
      <x v="276"/>
    </i>
    <i r="1">
      <x v="278"/>
    </i>
    <i r="1">
      <x v="280"/>
    </i>
    <i r="1">
      <x v="281"/>
    </i>
    <i r="1">
      <x v="283"/>
    </i>
    <i r="1">
      <x v="284"/>
    </i>
    <i r="1">
      <x v="285"/>
    </i>
    <i r="1">
      <x v="288"/>
    </i>
    <i r="1">
      <x v="293"/>
    </i>
    <i r="1">
      <x v="296"/>
    </i>
    <i r="1">
      <x v="297"/>
    </i>
    <i r="1">
      <x v="300"/>
    </i>
    <i r="1">
      <x v="301"/>
    </i>
    <i r="1">
      <x v="303"/>
    </i>
    <i r="1">
      <x v="304"/>
    </i>
    <i r="1">
      <x v="305"/>
    </i>
    <i r="1">
      <x v="306"/>
    </i>
    <i r="1">
      <x v="307"/>
    </i>
    <i r="1">
      <x v="308"/>
    </i>
    <i r="1">
      <x v="309"/>
    </i>
    <i r="1">
      <x v="310"/>
    </i>
    <i r="1">
      <x v="312"/>
    </i>
    <i r="1">
      <x v="313"/>
    </i>
    <i r="1">
      <x v="314"/>
    </i>
    <i r="1">
      <x v="315"/>
    </i>
    <i r="1">
      <x v="317"/>
    </i>
    <i r="1">
      <x v="318"/>
    </i>
    <i r="1">
      <x v="320"/>
    </i>
    <i r="1">
      <x v="322"/>
    </i>
    <i r="1">
      <x v="323"/>
    </i>
    <i r="1">
      <x v="324"/>
    </i>
    <i r="1">
      <x v="325"/>
    </i>
    <i r="1">
      <x v="326"/>
    </i>
    <i r="1">
      <x v="327"/>
    </i>
    <i r="1">
      <x v="330"/>
    </i>
    <i r="1">
      <x v="332"/>
    </i>
    <i r="1">
      <x v="333"/>
    </i>
    <i r="1">
      <x v="334"/>
    </i>
    <i r="1">
      <x v="335"/>
    </i>
    <i r="1">
      <x v="336"/>
    </i>
    <i r="1">
      <x v="337"/>
    </i>
    <i r="1">
      <x v="338"/>
    </i>
    <i r="1">
      <x v="339"/>
    </i>
    <i r="1">
      <x v="340"/>
    </i>
    <i r="1">
      <x v="341"/>
    </i>
    <i r="1">
      <x v="342"/>
    </i>
    <i r="1">
      <x v="343"/>
    </i>
    <i r="1">
      <x v="344"/>
    </i>
    <i r="1">
      <x v="345"/>
    </i>
    <i r="1">
      <x v="346"/>
    </i>
    <i r="1">
      <x v="348"/>
    </i>
    <i r="1">
      <x v="349"/>
    </i>
    <i r="1">
      <x v="350"/>
    </i>
    <i r="1">
      <x v="353"/>
    </i>
    <i r="1">
      <x v="355"/>
    </i>
    <i r="1">
      <x v="357"/>
    </i>
    <i r="1">
      <x v="358"/>
    </i>
    <i r="1">
      <x v="360"/>
    </i>
    <i r="1">
      <x v="362"/>
    </i>
    <i r="1">
      <x v="363"/>
    </i>
    <i r="1">
      <x v="364"/>
    </i>
    <i r="1">
      <x v="366"/>
    </i>
    <i r="1">
      <x v="369"/>
    </i>
    <i r="1">
      <x v="370"/>
    </i>
    <i r="1">
      <x v="371"/>
    </i>
    <i r="1">
      <x v="372"/>
    </i>
    <i r="1">
      <x v="375"/>
    </i>
    <i r="1">
      <x v="376"/>
    </i>
    <i r="1">
      <x v="387"/>
    </i>
    <i r="1">
      <x v="390"/>
    </i>
    <i r="1">
      <x v="397"/>
    </i>
    <i r="1">
      <x v="399"/>
    </i>
    <i r="1">
      <x v="402"/>
    </i>
    <i r="1">
      <x v="408"/>
    </i>
    <i r="1">
      <x v="411"/>
    </i>
    <i r="1">
      <x v="412"/>
    </i>
    <i r="1">
      <x v="413"/>
    </i>
    <i r="1">
      <x v="415"/>
    </i>
    <i r="1">
      <x v="417"/>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63"/>
    </i>
    <i t="grand">
      <x/>
    </i>
  </rowItems>
  <colItems count="1">
    <i/>
  </colItems>
  <pivotTableStyleInfo name="PivotStyleLight16" showRowHeaders="1" showColHeaders="1" showRowStripes="0" showColStripes="0" showLastColumn="1"/>
  <filters count="1">
    <filter fld="22" type="captionLessThan" evalOrder="-1" id="1" stringValue1="60000000">
      <autoFilter ref="A1">
        <filterColumn colId="0">
          <customFilters>
            <customFilter operator="lessThan" val="6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FC25315-D43B-4D34-BEC6-41A905F06D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0:G51" firstHeaderRow="1" firstDataRow="1" firstDataCol="0"/>
  <pivotFields count="29">
    <pivotField showAll="0"/>
    <pivotField dataField="1"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Max of Cogs"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75B3E40-6E9C-407D-9F9F-2977CA65F0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4:K59" firstHeaderRow="1" firstDataRow="1" firstDataCol="1"/>
  <pivotFields count="29">
    <pivotField showAll="0"/>
    <pivotField showAll="0"/>
    <pivotField numFmtId="14" showAll="0">
      <items count="7">
        <item x="0"/>
        <item x="1"/>
        <item x="2"/>
        <item x="3"/>
        <item x="4"/>
        <item x="5"/>
        <item t="default"/>
      </items>
    </pivotField>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items count="3">
        <item h="1" x="1"/>
        <item x="0"/>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97EF640-E69D-4A26-913E-124253DADD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4:F69" firstHeaderRow="1" firstDataRow="1" firstDataCol="1"/>
  <pivotFields count="29">
    <pivotField showAll="0"/>
    <pivotField showAll="0"/>
    <pivotField numFmtId="14" showAll="0">
      <items count="7">
        <item x="0"/>
        <item x="1"/>
        <item x="2"/>
        <item x="3"/>
        <item x="4"/>
        <item x="5"/>
        <item t="default"/>
      </items>
    </pivotField>
    <pivotField showAll="0"/>
    <pivotField showAll="0"/>
    <pivotField showAll="0"/>
    <pivotField showAll="0"/>
    <pivotField showAll="0">
      <items count="5">
        <item x="3"/>
        <item x="2"/>
        <item x="0"/>
        <item x="1"/>
        <item t="default"/>
      </items>
    </pivotField>
    <pivotField axis="axisRow" showAll="0">
      <items count="14">
        <item x="6"/>
        <item x="9"/>
        <item x="8"/>
        <item x="10"/>
        <item x="7"/>
        <item x="2"/>
        <item x="4"/>
        <item x="5"/>
        <item x="11"/>
        <item x="3"/>
        <item x="0"/>
        <item x="1"/>
        <item x="12"/>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axis="axisRow" showAll="0">
      <items count="3">
        <item h="1" x="1"/>
        <item x="0"/>
        <item t="default"/>
      </items>
    </pivotField>
    <pivotField showAll="0"/>
    <pivotField showAll="0"/>
    <pivotField showAll="0" defaultSubtotal="0"/>
    <pivotField showAll="0" defaultSubtotal="0"/>
    <pivotField showAll="0" defaultSubtotal="0">
      <items count="4">
        <item x="0"/>
        <item x="1"/>
        <item x="2"/>
        <item x="3"/>
      </items>
    </pivotField>
  </pivotFields>
  <rowFields count="2">
    <field x="23"/>
    <field x="8"/>
  </rowFields>
  <rowItems count="15">
    <i>
      <x v="1"/>
    </i>
    <i r="1">
      <x/>
    </i>
    <i r="1">
      <x v="1"/>
    </i>
    <i r="1">
      <x v="2"/>
    </i>
    <i r="1">
      <x v="3"/>
    </i>
    <i r="1">
      <x v="4"/>
    </i>
    <i r="1">
      <x v="5"/>
    </i>
    <i r="1">
      <x v="6"/>
    </i>
    <i r="1">
      <x v="7"/>
    </i>
    <i r="1">
      <x v="8"/>
    </i>
    <i r="1">
      <x v="9"/>
    </i>
    <i r="1">
      <x v="10"/>
    </i>
    <i r="1">
      <x v="11"/>
    </i>
    <i r="1">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7F0892A-6D68-45B5-AE97-0C9E887D0EFD}" name="PivotTable1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5:B6" firstHeaderRow="1" firstDataRow="1" firstDataCol="0"/>
  <pivotFields count="29">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 Sales" fld="16" baseField="0" baseItem="0"/>
  </dataFields>
  <pivotTableStyleInfo name="PivotStyleLight16" showRowHeaders="1" showColHeaders="1" showRowStripes="0" showColStripes="0" showLastColumn="1"/>
  <filters count="1">
    <filter fld="2" type="dateBetween" evalOrder="-1" id="54" name="Date">
      <autoFilter ref="A1">
        <filterColumn colId="0">
          <customFilters and="1">
            <customFilter operator="greaterThanOrEqual" val="40909"/>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8976B84-7651-4BD3-94C8-A9B00982AE48}" name="PivotTable1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J5:J6" firstHeaderRow="1" firstDataRow="1" firstDataCol="0"/>
  <pivotFields count="29">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ProftMargin" fld="18" baseField="0" baseItem="0" numFmtId="9"/>
  </dataFields>
  <pivotTableStyleInfo name="PivotStyleLight16" showRowHeaders="1" showColHeaders="1" showRowStripes="0" showColStripes="0" showLastColumn="1"/>
  <filters count="1">
    <filter fld="2" type="dateBetween" evalOrder="-1" id="54" name="Date">
      <autoFilter ref="A1">
        <filterColumn colId="0">
          <customFilters and="1">
            <customFilter operator="greaterThanOrEqual" val="40909"/>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9960B3A-3671-4E7F-9771-1EE70A40B8F6}" name="PivotTable2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L28:L124" firstHeaderRow="1" firstDataRow="1" firstDataCol="1"/>
  <pivotFields count="29">
    <pivotField showAll="0"/>
    <pivotField showAll="0"/>
    <pivotField numFmtId="14" showAll="0">
      <items count="7">
        <item x="0"/>
        <item x="1"/>
        <item x="2"/>
        <item x="3"/>
        <item x="4"/>
        <item x="5"/>
        <item t="default"/>
      </items>
    </pivotField>
    <pivotField showAll="0"/>
    <pivotField axis="axisRow" showAll="0">
      <items count="5">
        <item x="0"/>
        <item x="2"/>
        <item x="1"/>
        <item x="3"/>
        <item t="default"/>
      </items>
    </pivotField>
    <pivotField showAll="0"/>
    <pivotField showAll="0"/>
    <pivotField axis="axisRow" showAll="0">
      <items count="5">
        <item x="3"/>
        <item x="2"/>
        <item x="0"/>
        <item x="1"/>
        <item t="default"/>
      </items>
    </pivotField>
    <pivotField showAll="0"/>
    <pivotField showAll="0"/>
    <pivotField showAll="0"/>
    <pivotField axis="axisRow" showAll="0">
      <items count="21">
        <item x="3"/>
        <item x="0"/>
        <item x="5"/>
        <item x="2"/>
        <item x="16"/>
        <item x="4"/>
        <item x="10"/>
        <item x="15"/>
        <item x="12"/>
        <item x="7"/>
        <item x="9"/>
        <item x="17"/>
        <item x="19"/>
        <item x="18"/>
        <item x="6"/>
        <item x="11"/>
        <item x="1"/>
        <item x="8"/>
        <item x="14"/>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3">
    <field x="4"/>
    <field x="7"/>
    <field x="11"/>
  </rowFields>
  <rowItems count="96">
    <i>
      <x/>
    </i>
    <i r="1">
      <x/>
    </i>
    <i r="2">
      <x v="1"/>
    </i>
    <i r="2">
      <x v="4"/>
    </i>
    <i r="2">
      <x v="5"/>
    </i>
    <i r="2">
      <x v="8"/>
    </i>
    <i r="2">
      <x v="13"/>
    </i>
    <i r="2">
      <x v="19"/>
    </i>
    <i r="1">
      <x v="1"/>
    </i>
    <i r="2">
      <x v="1"/>
    </i>
    <i r="2">
      <x v="4"/>
    </i>
    <i r="2">
      <x v="5"/>
    </i>
    <i r="2">
      <x v="8"/>
    </i>
    <i r="2">
      <x v="13"/>
    </i>
    <i r="2">
      <x v="19"/>
    </i>
    <i r="1">
      <x v="2"/>
    </i>
    <i r="2">
      <x v="1"/>
    </i>
    <i r="2">
      <x v="4"/>
    </i>
    <i r="2">
      <x v="5"/>
    </i>
    <i r="2">
      <x v="8"/>
    </i>
    <i r="2">
      <x v="13"/>
    </i>
    <i r="2">
      <x v="19"/>
    </i>
    <i r="1">
      <x v="3"/>
    </i>
    <i r="2">
      <x v="1"/>
    </i>
    <i r="2">
      <x v="4"/>
    </i>
    <i r="2">
      <x v="5"/>
    </i>
    <i r="2">
      <x v="8"/>
    </i>
    <i r="2">
      <x v="13"/>
    </i>
    <i r="2">
      <x v="19"/>
    </i>
    <i>
      <x v="1"/>
    </i>
    <i r="1">
      <x/>
    </i>
    <i r="2">
      <x v="2"/>
    </i>
    <i r="2">
      <x v="3"/>
    </i>
    <i r="2">
      <x v="7"/>
    </i>
    <i r="2">
      <x v="10"/>
    </i>
    <i r="2">
      <x v="12"/>
    </i>
    <i r="1">
      <x v="1"/>
    </i>
    <i r="2">
      <x v="2"/>
    </i>
    <i r="2">
      <x v="3"/>
    </i>
    <i r="2">
      <x v="7"/>
    </i>
    <i r="2">
      <x v="10"/>
    </i>
    <i r="2">
      <x v="12"/>
    </i>
    <i r="1">
      <x v="2"/>
    </i>
    <i r="2">
      <x v="2"/>
    </i>
    <i r="2">
      <x v="3"/>
    </i>
    <i r="2">
      <x v="7"/>
    </i>
    <i r="2">
      <x v="10"/>
    </i>
    <i r="2">
      <x v="12"/>
    </i>
    <i r="1">
      <x v="3"/>
    </i>
    <i r="2">
      <x v="2"/>
    </i>
    <i r="2">
      <x v="3"/>
    </i>
    <i r="2">
      <x v="7"/>
    </i>
    <i r="2">
      <x v="10"/>
    </i>
    <i r="2">
      <x v="12"/>
    </i>
    <i>
      <x v="2"/>
    </i>
    <i r="1">
      <x/>
    </i>
    <i r="2">
      <x v="6"/>
    </i>
    <i r="2">
      <x v="11"/>
    </i>
    <i r="2">
      <x v="14"/>
    </i>
    <i r="2">
      <x v="16"/>
    </i>
    <i r="1">
      <x v="1"/>
    </i>
    <i r="2">
      <x v="6"/>
    </i>
    <i r="2">
      <x v="11"/>
    </i>
    <i r="2">
      <x v="14"/>
    </i>
    <i r="2">
      <x v="16"/>
    </i>
    <i r="1">
      <x v="2"/>
    </i>
    <i r="2">
      <x v="6"/>
    </i>
    <i r="2">
      <x v="11"/>
    </i>
    <i r="2">
      <x v="14"/>
    </i>
    <i r="2">
      <x v="16"/>
    </i>
    <i>
      <x v="3"/>
    </i>
    <i r="1">
      <x/>
    </i>
    <i r="2">
      <x/>
    </i>
    <i r="2">
      <x v="9"/>
    </i>
    <i r="2">
      <x v="15"/>
    </i>
    <i r="2">
      <x v="17"/>
    </i>
    <i r="2">
      <x v="18"/>
    </i>
    <i r="1">
      <x v="1"/>
    </i>
    <i r="2">
      <x/>
    </i>
    <i r="2">
      <x v="9"/>
    </i>
    <i r="2">
      <x v="15"/>
    </i>
    <i r="2">
      <x v="17"/>
    </i>
    <i r="2">
      <x v="18"/>
    </i>
    <i r="1">
      <x v="2"/>
    </i>
    <i r="2">
      <x/>
    </i>
    <i r="2">
      <x v="9"/>
    </i>
    <i r="2">
      <x v="15"/>
    </i>
    <i r="2">
      <x v="17"/>
    </i>
    <i r="2">
      <x v="18"/>
    </i>
    <i r="1">
      <x v="3"/>
    </i>
    <i r="2">
      <x/>
    </i>
    <i r="2">
      <x v="9"/>
    </i>
    <i r="2">
      <x v="15"/>
    </i>
    <i r="2">
      <x v="17"/>
    </i>
    <i r="2">
      <x v="18"/>
    </i>
    <i t="grand">
      <x/>
    </i>
  </rowItems>
  <colItems count="1">
    <i/>
  </colItems>
  <pivotTableStyleInfo name="PivotStyleLight16" showRowHeaders="1" showColHeaders="1" showRowStripes="0" showColStripes="0" showLastColumn="1"/>
  <filters count="1">
    <filter fld="2" type="dateBetween" evalOrder="-1" id="54" name="Date">
      <autoFilter ref="A1">
        <filterColumn colId="0">
          <customFilters and="1">
            <customFilter operator="greaterThanOrEqual" val="40909"/>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D5B1948-6F34-416D-A6A5-6F316BF38FC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3:C14" firstHeaderRow="0" firstDataRow="1" firstDataCol="0"/>
  <pivotFields count="29">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2">
    <i>
      <x/>
    </i>
    <i i="1">
      <x v="1"/>
    </i>
  </colItems>
  <dataFields count="2">
    <dataField name="Sum of Sales" fld="10"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B408CFC-BD49-4073-AEA5-F75E37E87A89}" name="PivotTable1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F5:F6" firstHeaderRow="1" firstDataRow="1" firstDataCol="0"/>
  <pivotFields count="29">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 Profit" fld="17" baseField="0" baseItem="0"/>
  </dataFields>
  <pivotTableStyleInfo name="PivotStyleLight16" showRowHeaders="1" showColHeaders="1" showRowStripes="0" showColStripes="0" showLastColumn="1"/>
  <filters count="1">
    <filter fld="2" type="dateBetween" evalOrder="-1" id="54" name="Date">
      <autoFilter ref="A1">
        <filterColumn colId="0">
          <customFilters and="1">
            <customFilter operator="greaterThanOrEqual" val="40909"/>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FC3D819-7C35-4408-8BBB-A87F7395D171}"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M13:N18" firstHeaderRow="1" firstDataRow="1" firstDataCol="1"/>
  <pivotFields count="29">
    <pivotField showAll="0"/>
    <pivotField showAll="0"/>
    <pivotField numFmtId="14" showAll="0">
      <items count="7">
        <item x="0"/>
        <item x="1"/>
        <item x="2"/>
        <item x="3"/>
        <item x="4"/>
        <item x="5"/>
        <item t="default"/>
      </items>
    </pivotField>
    <pivotField showAll="0"/>
    <pivotField axis="axisRow" showAll="0">
      <items count="5">
        <item x="0"/>
        <item x="2"/>
        <item x="1"/>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Sales" fld="10"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63B96CF-061B-4987-A3CC-DE55266D2D6A}" name="PivotTable1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N5:N6" firstHeaderRow="1" firstDataRow="1" firstDataCol="0"/>
  <pivotFields count="29">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Marketing spend" fld="19" baseField="0" baseItem="0"/>
  </dataFields>
  <pivotTableStyleInfo name="PivotStyleLight16" showRowHeaders="1" showColHeaders="1" showRowStripes="0" showColStripes="0" showLastColumn="1"/>
  <filters count="1">
    <filter fld="2" type="dateBetween" evalOrder="-1" id="54" name="Date">
      <autoFilter ref="A1">
        <filterColumn colId="0">
          <customFilters and="1">
            <customFilter operator="greaterThanOrEqual" val="40909"/>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6D2F194-341D-4690-8927-1C679DAB7CF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3:H20" firstHeaderRow="1" firstDataRow="1" firstDataCol="1"/>
  <pivotFields count="29">
    <pivotField showAll="0"/>
    <pivotField showAll="0"/>
    <pivotField axis="axisRow" numFmtId="14" showAll="0">
      <items count="7">
        <item x="0"/>
        <item x="1"/>
        <item x="2"/>
        <item x="3"/>
        <item x="4"/>
        <item x="5"/>
        <item t="default"/>
      </items>
    </pivotField>
    <pivotField showAll="0"/>
    <pivotField showAll="0">
      <items count="5">
        <item x="0"/>
        <item x="2"/>
        <item x="1"/>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7">
    <i>
      <x/>
    </i>
    <i>
      <x v="1"/>
    </i>
    <i>
      <x v="2"/>
    </i>
    <i>
      <x v="3"/>
    </i>
    <i>
      <x v="4"/>
    </i>
    <i>
      <x v="5"/>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B6AB15F-A088-4847-99F0-5E5EE80C9A02}" name="PivotTable2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29:B34" firstHeaderRow="1" firstDataRow="1" firstDataCol="1"/>
  <pivotFields count="29">
    <pivotField showAll="0"/>
    <pivotField showAll="0"/>
    <pivotField numFmtId="14" showAll="0">
      <items count="7">
        <item x="0"/>
        <item x="1"/>
        <item x="2"/>
        <item x="3"/>
        <item x="4"/>
        <item x="5"/>
        <item t="default"/>
      </items>
    </pivotField>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pivotTableStyleInfo name="PivotStyleLight16" showRowHeaders="1" showColHeaders="1" showRowStripes="0" showColStripes="0" showLastColumn="1"/>
  <filters count="1">
    <filter fld="2" type="dateBetween" evalOrder="-1" id="54" name="Date">
      <autoFilter ref="A1">
        <filterColumn colId="0">
          <customFilters and="1">
            <customFilter operator="greaterThanOrEqual" val="40909"/>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1" xr10:uid="{B85EFEB5-0E8B-4583-BBB9-5ABA90CCB3AE}" sourceName="Profit">
  <pivotTables>
    <pivotTable tabId="11" name="PivotTable1"/>
  </pivotTables>
  <data>
    <tabular pivotCacheId="457525644">
      <items count="238">
        <i x="237" s="1"/>
        <i x="227" s="1"/>
        <i x="233" s="1"/>
        <i x="220" s="1"/>
        <i x="211" s="1"/>
        <i x="216" s="1"/>
        <i x="169" s="1"/>
        <i x="153" s="1"/>
        <i x="172" s="1"/>
        <i x="157" s="1"/>
        <i x="165" s="1"/>
        <i x="147" s="1"/>
        <i x="234" s="1"/>
        <i x="133" s="1"/>
        <i x="150" s="1"/>
        <i x="228" s="1"/>
        <i x="221" s="1"/>
        <i x="135" s="1"/>
        <i x="143" s="1"/>
        <i x="217" s="1"/>
        <i x="235" s="1"/>
        <i x="212" s="1"/>
        <i x="206" s="1"/>
        <i x="223" s="1"/>
        <i x="218" s="1"/>
        <i x="230" s="1"/>
        <i x="208" s="1"/>
        <i x="213" s="1"/>
        <i x="226" s="1"/>
        <i x="81" s="1"/>
        <i x="75" s="1"/>
        <i x="210" s="1"/>
        <i x="77" s="1"/>
        <i x="91" s="1"/>
        <i x="122" s="1"/>
        <i x="69" s="1"/>
        <i x="90" s="1"/>
        <i x="86" s="1"/>
        <i x="108" s="1"/>
        <i x="82" s="1"/>
        <i x="55" s="1"/>
        <i x="84" s="1"/>
        <i x="46" s="1"/>
        <i x="48" s="1"/>
        <i x="23" s="1"/>
        <i x="11" s="1"/>
        <i x="15" s="1"/>
        <i x="0" s="1"/>
        <i x="64" s="1"/>
        <i x="37" s="1"/>
        <i x="13" s="1"/>
        <i x="186" s="1"/>
        <i x="66" s="1"/>
        <i x="12" s="1"/>
        <i x="80" s="1"/>
        <i x="83" s="1"/>
        <i x="79" s="1"/>
        <i x="70" s="1"/>
        <i x="7" s="1"/>
        <i x="72" s="1"/>
        <i x="76" s="1"/>
        <i x="44" s="1"/>
        <i x="78" s="1"/>
        <i x="14" s="1"/>
        <i x="32" s="1"/>
        <i x="29" s="1"/>
        <i x="25" s="1"/>
        <i x="38" s="1"/>
        <i x="39" s="1"/>
        <i x="47" s="1"/>
        <i x="60" s="1"/>
        <i x="30" s="1"/>
        <i x="6" s="1"/>
        <i x="57" s="1"/>
        <i x="34" s="1"/>
        <i x="10" s="1"/>
        <i x="65" s="1"/>
        <i x="1" s="1"/>
        <i x="22" s="1"/>
        <i x="2" s="1"/>
        <i x="26" s="1"/>
        <i x="27" s="1"/>
        <i x="5" s="1"/>
        <i x="71" s="1"/>
        <i x="9" s="1"/>
        <i x="28" s="1"/>
        <i x="3" s="1"/>
        <i x="18" s="1"/>
        <i x="8" s="1"/>
        <i x="68" s="1"/>
        <i x="40" s="1"/>
        <i x="54" s="1"/>
        <i x="41" s="1"/>
        <i x="58" s="1"/>
        <i x="24" s="1"/>
        <i x="16" s="1"/>
        <i x="43" s="1"/>
        <i x="17" s="1"/>
        <i x="21" s="1"/>
        <i x="31" s="1"/>
        <i x="35" s="1"/>
        <i x="94" s="1"/>
        <i x="33" s="1"/>
        <i x="36" s="1"/>
        <i x="45" s="1"/>
        <i x="4" s="1"/>
        <i x="67" s="1"/>
        <i x="85" s="1"/>
        <i x="93" s="1"/>
        <i x="130" s="1"/>
        <i x="176" s="1"/>
        <i x="103" s="1"/>
        <i x="137" s="1"/>
        <i x="19" s="1"/>
        <i x="56" s="1"/>
        <i x="107" s="1"/>
        <i x="49" s="1"/>
        <i x="88" s="1"/>
        <i x="50" s="1"/>
        <i x="53" s="1"/>
        <i x="106" s="1"/>
        <i x="59" s="1"/>
        <i x="62" s="1"/>
        <i x="20" s="1"/>
        <i x="61" s="1"/>
        <i x="92" s="1"/>
        <i x="63" s="1"/>
        <i x="87" s="1"/>
        <i x="42" s="1"/>
        <i x="144" s="1"/>
        <i x="74" s="1"/>
        <i x="89" s="1"/>
        <i x="100" s="1"/>
        <i x="97" s="1"/>
        <i x="104" s="1"/>
        <i x="192" s="1"/>
        <i x="115" s="1"/>
        <i x="159" s="1"/>
        <i x="51" s="1"/>
        <i x="96" s="1"/>
        <i x="121" s="1"/>
        <i x="199" s="1"/>
        <i x="116" s="1"/>
        <i x="178" s="1"/>
        <i x="120" s="1"/>
        <i x="140" s="1"/>
        <i x="112" s="1"/>
        <i x="52" s="1"/>
        <i x="124" s="1"/>
        <i x="125" s="1"/>
        <i x="95" s="1"/>
        <i x="73" s="1"/>
        <i x="174" s="1"/>
        <i x="109" s="1"/>
        <i x="126" s="1"/>
        <i x="187" s="1"/>
        <i x="166" s="1"/>
        <i x="118" s="1"/>
        <i x="102" s="1"/>
        <i x="179" s="1"/>
        <i x="113" s="1"/>
        <i x="201" s="1"/>
        <i x="117" s="1"/>
        <i x="99" s="1"/>
        <i x="136" s="1"/>
        <i x="225" s="1"/>
        <i x="154" s="1"/>
        <i x="215" s="1"/>
        <i x="180" s="1"/>
        <i x="173" s="1"/>
        <i x="129" s="1"/>
        <i x="183" s="1"/>
        <i x="198" s="1"/>
        <i x="162" s="1"/>
        <i x="193" s="1"/>
        <i x="127" s="1"/>
        <i x="188" s="1"/>
        <i x="182" s="1"/>
        <i x="101" s="1"/>
        <i x="190" s="1"/>
        <i x="123" s="1"/>
        <i x="128" s="1"/>
        <i x="177" s="1"/>
        <i x="98" s="1"/>
        <i x="209" s="1"/>
        <i x="105" s="1"/>
        <i x="195" s="1"/>
        <i x="156" s="1"/>
        <i x="184" s="1"/>
        <i x="181" s="1"/>
        <i x="111" s="1"/>
        <i x="158" s="1"/>
        <i x="142" s="1"/>
        <i x="232" s="1"/>
        <i x="196" s="1"/>
        <i x="219" s="1"/>
        <i x="185" s="1"/>
        <i x="189" s="1"/>
        <i x="175" s="1"/>
        <i x="207" s="1"/>
        <i x="205" s="1"/>
        <i x="202" s="1"/>
        <i x="214" s="1"/>
        <i x="139" s="1"/>
        <i x="132" s="1"/>
        <i x="200" s="1"/>
        <i x="114" s="1"/>
        <i x="146" s="1"/>
        <i x="194" s="1"/>
        <i x="110" s="1"/>
        <i x="224" s="1"/>
        <i x="119" s="1"/>
        <i x="203" s="1"/>
        <i x="197" s="1"/>
        <i x="229" s="1"/>
        <i x="164" s="1"/>
        <i x="149" s="1"/>
        <i x="148" s="1"/>
        <i x="236" s="1"/>
        <i x="204" s="1"/>
        <i x="138" s="1"/>
        <i x="191" s="1"/>
        <i x="222" s="1"/>
        <i x="131" s="1"/>
        <i x="231" s="1"/>
        <i x="161" s="1"/>
        <i x="152" s="1"/>
        <i x="141" s="1"/>
        <i x="145" s="1"/>
        <i x="168" s="1"/>
        <i x="134" s="1"/>
        <i x="171" s="1"/>
        <i x="170" s="1"/>
        <i x="160" s="1"/>
        <i x="151" s="1"/>
        <i x="163" s="1"/>
        <i x="167" s="1"/>
        <i x="15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E28D186E-1F53-4A53-8C43-5FD938B2F19E}" sourceName="Sales">
  <pivotTables>
    <pivotTable tabId="11" name="PivotTable1"/>
  </pivotTables>
  <data>
    <tabular pivotCacheId="457525644">
      <items count="243">
        <i x="231" s="1"/>
        <i x="238" s="1"/>
        <i x="204" s="1"/>
        <i x="214" s="1"/>
        <i x="220" s="1"/>
        <i x="228" s="1"/>
        <i x="236" s="1"/>
        <i x="234" s="1"/>
        <i x="242" s="1"/>
        <i x="241" s="1"/>
        <i x="115" s="1"/>
        <i x="116" s="1"/>
        <i x="120" s="1"/>
        <i x="5" s="1"/>
        <i x="121" s="1"/>
        <i x="117" s="1"/>
        <i x="48" s="1"/>
        <i x="122" s="1"/>
        <i x="77" s="1"/>
        <i x="97" s="1"/>
        <i x="112" s="1"/>
        <i x="88" s="1"/>
        <i x="103" s="1"/>
        <i x="82" s="1"/>
        <i x="78" s="1"/>
        <i x="94" s="1"/>
        <i x="113" s="1"/>
        <i x="89" s="1"/>
        <i x="114" s="1"/>
        <i x="98" s="1"/>
        <i x="118" s="1"/>
        <i x="7" s="1"/>
        <i x="119" s="1"/>
        <i x="8" s="1"/>
        <i x="85" s="1"/>
        <i x="49" s="1"/>
        <i x="50" s="1"/>
        <i x="100" s="1"/>
        <i x="83" s="1"/>
        <i x="93" s="1"/>
        <i x="99" s="1"/>
        <i x="14" s="1"/>
        <i x="25" s="1"/>
        <i x="95" s="1"/>
        <i x="81" s="1"/>
        <i x="24" s="1"/>
        <i x="40" s="1"/>
        <i x="59" s="1"/>
        <i x="102" s="1"/>
        <i x="39" s="1"/>
        <i x="58" s="1"/>
        <i x="70" s="1"/>
        <i x="23" s="1"/>
        <i x="101" s="1"/>
        <i x="31" s="1"/>
        <i x="69" s="1"/>
        <i x="19" s="1"/>
        <i x="3" s="1"/>
        <i x="104" s="1"/>
        <i x="62" s="1"/>
        <i x="55" s="1"/>
        <i x="9" s="1"/>
        <i x="46" s="1"/>
        <i x="38" s="1"/>
        <i x="235" s="1"/>
        <i x="84" s="1"/>
        <i x="111" s="1"/>
        <i x="28" s="1"/>
        <i x="2" s="1"/>
        <i x="68" s="1"/>
        <i x="12" s="1"/>
        <i x="96" s="1"/>
        <i x="6" s="1"/>
        <i x="34" s="1"/>
        <i x="27" s="1"/>
        <i x="11" s="1"/>
        <i x="30" s="1"/>
        <i x="52" s="1"/>
        <i x="15" s="1"/>
        <i x="16" s="1"/>
        <i x="10" s="1"/>
        <i x="26" s="1"/>
        <i x="0" s="1"/>
        <i x="1" s="1"/>
        <i x="21" s="1"/>
        <i x="22" s="1"/>
        <i x="53" s="1"/>
        <i x="35" s="1"/>
        <i x="51" s="1"/>
        <i x="60" s="1"/>
        <i x="45" s="1"/>
        <i x="41" s="1"/>
        <i x="57" s="1"/>
        <i x="33" s="1"/>
        <i x="108" s="1"/>
        <i x="65" s="1"/>
        <i x="239" s="1"/>
        <i x="105" s="1"/>
        <i x="44" s="1"/>
        <i x="71" s="1"/>
        <i x="29" s="1"/>
        <i x="64" s="1"/>
        <i x="13" s="1"/>
        <i x="36" s="1"/>
        <i x="232" s="1"/>
        <i x="32" s="1"/>
        <i x="74" s="1"/>
        <i x="61" s="1"/>
        <i x="91" s="1"/>
        <i x="43" s="1"/>
        <i x="66" s="1"/>
        <i x="233" s="1"/>
        <i x="63" s="1"/>
        <i x="199" s="1"/>
        <i x="80" s="1"/>
        <i x="42" s="1"/>
        <i x="73" s="1"/>
        <i x="20" s="1"/>
        <i x="240" s="1"/>
        <i x="230" s="1"/>
        <i x="107" s="1"/>
        <i x="92" s="1"/>
        <i x="72" s="1"/>
        <i x="75" s="1"/>
        <i x="56" s="1"/>
        <i x="37" s="1"/>
        <i x="79" s="1"/>
        <i x="237" s="1"/>
        <i x="110" s="1"/>
        <i x="166" s="1"/>
        <i x="4" s="1"/>
        <i x="106" s="1"/>
        <i x="86" s="1"/>
        <i x="76" s="1"/>
        <i x="67" s="1"/>
        <i x="90" s="1"/>
        <i x="186" s="1"/>
        <i x="47" s="1"/>
        <i x="173" s="1"/>
        <i x="109" s="1"/>
        <i x="130" s="1"/>
        <i x="172" s="1"/>
        <i x="87" s="1"/>
        <i x="131" s="1"/>
        <i x="123" s="1"/>
        <i x="160" s="1"/>
        <i x="17" s="1"/>
        <i x="193" s="1"/>
        <i x="145" s="1"/>
        <i x="192" s="1"/>
        <i x="146" s="1"/>
        <i x="138" s="1"/>
        <i x="179" s="1"/>
        <i x="18" s="1"/>
        <i x="136" s="1"/>
        <i x="134" s="1"/>
        <i x="152" s="1"/>
        <i x="127" s="1"/>
        <i x="133" s="1"/>
        <i x="54" s="1"/>
        <i x="126" s="1"/>
        <i x="149" s="1"/>
        <i x="132" s="1"/>
        <i x="148" s="1"/>
        <i x="139" s="1"/>
        <i x="142" s="1"/>
        <i x="147" s="1"/>
        <i x="165" s="1"/>
        <i x="153" s="1"/>
        <i x="206" s="1"/>
        <i x="185" s="1"/>
        <i x="156" s="1"/>
        <i x="129" s="1"/>
        <i x="222" s="1"/>
        <i x="200" s="1"/>
        <i x="125" s="1"/>
        <i x="176" s="1"/>
        <i x="159" s="1"/>
        <i x="144" s="1"/>
        <i x="211" s="1"/>
        <i x="154" s="1"/>
        <i x="216" s="1"/>
        <i x="137" s="1"/>
        <i x="141" s="1"/>
        <i x="155" s="1"/>
        <i x="196" s="1"/>
        <i x="226" s="1"/>
        <i x="157" s="1"/>
        <i x="151" s="1"/>
        <i x="182" s="1"/>
        <i x="158" s="1"/>
        <i x="169" s="1"/>
        <i x="202" s="1"/>
        <i x="189" s="1"/>
        <i x="218" s="1"/>
        <i x="208" s="1"/>
        <i x="207" s="1"/>
        <i x="224" s="1"/>
        <i x="223" s="1"/>
        <i x="167" s="1"/>
        <i x="161" s="1"/>
        <i x="201" s="1"/>
        <i x="187" s="1"/>
        <i x="128" s="1"/>
        <i x="212" s="1"/>
        <i x="180" s="1"/>
        <i x="217" s="1"/>
        <i x="174" s="1"/>
        <i x="164" s="1"/>
        <i x="124" s="1"/>
        <i x="143" s="1"/>
        <i x="135" s="1"/>
        <i x="209" s="1"/>
        <i x="213" s="1"/>
        <i x="194" s="1"/>
        <i x="210" s="1"/>
        <i x="184" s="1"/>
        <i x="140" s="1"/>
        <i x="150" s="1"/>
        <i x="205" s="1"/>
        <i x="227" s="1"/>
        <i x="171" s="1"/>
        <i x="225" s="1"/>
        <i x="203" s="1"/>
        <i x="221" s="1"/>
        <i x="191" s="1"/>
        <i x="168" s="1"/>
        <i x="219" s="1"/>
        <i x="162" s="1"/>
        <i x="215" s="1"/>
        <i x="177" s="1"/>
        <i x="188" s="1"/>
        <i x="170" s="1"/>
        <i x="181" s="1"/>
        <i x="229" s="1"/>
        <i x="175" s="1"/>
        <i x="197" s="1"/>
        <i x="190" s="1"/>
        <i x="195" s="1"/>
        <i x="178" s="1"/>
        <i x="163" s="1"/>
        <i x="198" s="1"/>
        <i x="18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B07550E-1C4C-49F8-9518-1943DB93D871}" sourceName="Months (Date)">
  <pivotTables>
    <pivotTable tabId="11" name="PivotTable1"/>
  </pivotTables>
  <data>
    <tabular pivotCacheId="457525644">
      <items count="14">
        <i x="10" s="1"/>
        <i x="11" s="1"/>
        <i x="12" s="1"/>
        <i x="1" s="1" nd="1"/>
        <i x="2" s="1" nd="1"/>
        <i x="3" s="1" nd="1"/>
        <i x="4" s="1" nd="1"/>
        <i x="5" s="1" nd="1"/>
        <i x="6" s="1" nd="1"/>
        <i x="7" s="1" nd="1"/>
        <i x="8" s="1" nd="1"/>
        <i x="9"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Performance" xr10:uid="{440C804A-ABEC-43DC-8086-6E8ED9FD328B}" sourceName="Regional Performance">
  <pivotTables>
    <pivotTable tabId="14" name="PivotTable20"/>
    <pivotTable tabId="14" name="PivotTable21"/>
  </pivotTables>
  <data>
    <tabular pivotCacheId="1729307749">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Performance1" xr10:uid="{D5C7E1B3-2413-40B0-9E9C-084D846B3349}" sourceName="Regional Performance">
  <pivotTables>
    <pivotTable tabId="4" name="PivotTable6"/>
    <pivotTable tabId="4" name="PivotTable5"/>
    <pivotTable tabId="4" name="PivotTable4"/>
    <pivotTable tabId="4" name="PivotTable3"/>
    <pivotTable tabId="4" name="PivotTable2"/>
    <pivotTable tabId="4" name="PivotTable1"/>
  </pivotTables>
  <data>
    <tabular pivotCacheId="285487643">
      <items count="4">
        <i x="0"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venue" xr10:uid="{34125DE9-C53C-44EA-A688-5CAACAC8B1BB}" sourceName="Sales_Revenue">
  <pivotTables>
    <pivotTable tabId="4" name="PivotTable6"/>
    <pivotTable tabId="4" name="PivotTable5"/>
    <pivotTable tabId="4" name="PivotTable4"/>
    <pivotTable tabId="4" name="PivotTable3"/>
    <pivotTable tabId="4" name="PivotTable2"/>
    <pivotTable tabId="4" name="PivotTable1"/>
  </pivotTables>
  <data>
    <tabular pivotCacheId="285487643">
      <items count="544">
        <i x="543" s="1"/>
        <i x="524" s="1"/>
        <i x="535" s="1"/>
        <i x="509" s="1"/>
        <i x="408" s="1"/>
        <i x="490" s="1"/>
        <i x="385" s="1"/>
        <i x="501" s="1"/>
        <i x="396" s="1"/>
        <i x="376" s="1"/>
        <i x="353" s="1"/>
        <i x="364" s="1"/>
        <i x="412" s="1"/>
        <i x="536" s="1"/>
        <i x="389" s="1"/>
        <i x="400" s="1"/>
        <i x="525" s="1"/>
        <i x="380" s="1"/>
        <i x="502" s="1"/>
        <i x="510" s="1"/>
        <i x="357" s="1"/>
        <i x="368" s="1"/>
        <i x="491" s="1"/>
        <i x="478" s="1"/>
        <i x="537" s="1"/>
        <i x="512" s="1"/>
        <i x="503" s="1"/>
        <i x="527" s="1"/>
        <i x="480" s="1"/>
        <i x="493" s="1"/>
        <i x="174" s="1"/>
        <i x="523" s="1"/>
        <i x="202" s="1"/>
        <i x="144" s="1"/>
        <i x="489" s="1"/>
        <i x="184" s="1"/>
        <i x="233" s="1"/>
        <i x="278" s="1"/>
        <i x="88" s="1"/>
        <i x="338" s="1"/>
        <i x="101" s="1"/>
        <i x="214" s="1"/>
        <i x="271" s="1"/>
        <i x="299" s="1"/>
        <i x="76" s="1"/>
        <i x="169" s="1"/>
        <i x="456" s="1"/>
        <i x="266" s="1"/>
        <i x="107" s="1"/>
        <i x="206" s="1"/>
        <i x="79" s="1"/>
        <i x="25" s="1"/>
        <i x="318" s="1"/>
        <i x="167" s="1"/>
        <i x="38" s="1"/>
        <i x="64" s="1"/>
        <i x="118" s="1"/>
        <i x="257" s="1"/>
        <i x="289" s="1"/>
        <i x="12" s="1"/>
        <i x="139" s="1"/>
        <i x="241" s="1"/>
        <i x="191" s="1"/>
        <i x="182" s="1"/>
        <i x="46" s="1"/>
        <i x="16" s="1"/>
        <i x="137" s="1"/>
        <i x="0" s="1"/>
        <i x="58" s="1"/>
        <i x="117" s="1"/>
        <i x="221" s="1"/>
        <i x="239" s="1"/>
        <i x="152" s="1"/>
        <i x="275" s="1"/>
        <i x="170" s="1"/>
        <i x="57" s="1"/>
        <i x="250" s="1"/>
        <i x="219" s="1"/>
        <i x="263" s="1"/>
        <i x="140" s="1"/>
        <i x="230" s="1"/>
        <i x="258" s="1"/>
        <i x="77" s="1"/>
        <i x="14" s="1"/>
        <i x="465" s="1"/>
        <i x="432" s="1"/>
        <i x="451" s="1"/>
        <i x="419" s="1"/>
        <i x="441" s="1"/>
        <i x="132" s="1"/>
        <i x="59" s="1"/>
        <i x="231" s="1"/>
        <i x="13" s="1"/>
        <i x="43" s="1"/>
        <i x="197" s="1"/>
        <i x="264" s="1"/>
        <i x="312" s="1"/>
        <i x="211" s="1"/>
        <i x="321" s="1"/>
        <i x="190" s="1"/>
        <i x="226" s="1"/>
        <i x="185" s="1"/>
        <i x="128" s="1"/>
        <i x="276" s="1"/>
        <i x="332" s="1"/>
        <i x="341" s="1"/>
        <i x="188" s="1"/>
        <i x="8" s="1"/>
        <i x="198" s="1"/>
        <i x="277" s="1"/>
        <i x="259" s="1"/>
        <i x="149" s="1"/>
        <i x="196" s="1"/>
        <i x="246" s="1"/>
        <i x="255" s="1"/>
        <i x="254" s="1"/>
        <i x="203" s="1"/>
        <i x="159" s="1"/>
        <i x="138" s="1"/>
        <i x="262" s="1"/>
        <i x="72" s="1"/>
        <i x="205" s="1"/>
        <i x="129" s="1"/>
        <i x="212" s="1"/>
        <i x="189" s="1"/>
        <i x="260" s="1"/>
        <i x="187" s="1"/>
        <i x="192" s="1"/>
        <i x="194" s="1"/>
        <i x="148" s="1"/>
        <i x="272" s="1"/>
        <i x="179" s="1"/>
        <i x="210" s="1"/>
        <i x="5" s="1"/>
        <i x="269" s="1"/>
        <i x="7" s="1"/>
        <i x="126" s="1"/>
        <i x="268" s="1"/>
        <i x="274" s="1"/>
        <i x="168" s="1"/>
        <i x="134" s="1"/>
        <i x="199" s="1"/>
        <i x="180" s="1"/>
        <i x="160" s="1"/>
        <i x="200" s="1"/>
        <i x="193" s="1"/>
        <i x="280" s="1"/>
        <i x="267" s="1"/>
        <i x="204" s="1"/>
        <i x="195" s="1"/>
        <i x="208" s="1"/>
        <i x="53" s="1"/>
        <i x="178" s="1"/>
        <i x="186" s="1"/>
        <i x="32" s="1"/>
        <i x="141" s="1"/>
        <i x="256" s="1"/>
        <i x="135" s="1"/>
        <i x="69" s="1"/>
        <i x="71" s="1"/>
        <i x="265" s="1"/>
        <i x="31" s="1"/>
        <i x="157" s="1"/>
        <i x="146" s="1"/>
        <i x="55" s="1"/>
        <i x="54" s="1"/>
        <i x="147" s="1"/>
        <i x="213" s="1"/>
        <i x="164" s="1"/>
        <i x="15" s="1"/>
        <i x="183" s="1"/>
        <i x="30" s="1"/>
        <i x="33" s="1"/>
        <i x="24" s="1"/>
        <i x="22" s="1"/>
        <i x="124" s="1"/>
        <i x="42" s="1"/>
        <i x="40" s="1"/>
        <i x="207" s="1"/>
        <i x="279" s="1"/>
        <i x="3" s="1"/>
        <i x="209" s="1"/>
        <i x="35" s="1"/>
        <i x="114" s="1"/>
        <i x="44" s="1"/>
        <i x="143" s="1"/>
        <i x="95" s="1"/>
        <i x="171" s="1"/>
        <i x="28" s="1"/>
        <i x="9" s="1"/>
        <i x="165" s="1"/>
        <i x="270" s="1"/>
        <i x="283" s="1"/>
        <i x="19" s="1"/>
        <i x="60" s="1"/>
        <i x="94" s="1"/>
        <i x="224" s="1"/>
        <i x="497" s="1"/>
        <i x="176" s="1"/>
        <i x="51" s="1"/>
        <i x="63" s="1"/>
        <i x="288" s="1"/>
        <i x="115" s="1"/>
        <i x="6" s="1"/>
        <i x="37" s="1"/>
        <i x="228" s="1"/>
        <i x="177" s="1"/>
        <i x="153" s="1"/>
        <i x="145" s="1"/>
        <i x="93" s="1"/>
        <i x="78" s="1"/>
        <i x="201" s="1"/>
        <i x="151" s="1"/>
        <i x="96" s="1"/>
        <i x="125" s="1"/>
        <i x="87" s="1"/>
        <i x="155" s="1"/>
        <i x="2" s="1"/>
        <i x="85" s="1"/>
        <i x="483" s="1"/>
        <i x="103" s="1"/>
        <i x="105" s="1"/>
        <i x="41" s="1"/>
        <i x="218" s="1"/>
        <i x="11" s="1"/>
        <i x="150" s="1"/>
        <i x="67" s="1"/>
        <i x="216" s="1"/>
        <i x="36" s="1"/>
        <i x="98" s="1"/>
        <i x="261" s="1"/>
        <i x="17" s="1"/>
        <i x="18" s="1"/>
        <i x="29" s="1"/>
        <i x="27" s="1"/>
        <i x="232" s="1"/>
        <i x="220" s="1"/>
        <i x="173" s="1"/>
        <i x="1" s="1"/>
        <i x="91" s="1"/>
        <i x="23" s="1"/>
        <i x="73" s="1"/>
        <i x="82" s="1"/>
        <i x="136" s="1"/>
        <i x="119" s="1"/>
        <i x="10" s="1"/>
        <i x="34" s="1"/>
        <i x="50" s="1"/>
        <i x="316" s="1"/>
        <i x="244" s="1"/>
        <i x="122" s="1"/>
        <i x="47" s="1"/>
        <i x="531" s="1"/>
        <i x="56" s="1"/>
        <i x="298" s="1"/>
        <i x="112" s="1"/>
        <i x="48" s="1"/>
        <i x="486" s="1"/>
        <i x="70" s="1"/>
        <i x="223" s="1"/>
        <i x="248" s="1"/>
        <i x="287" s="1"/>
        <i x="52" s="1"/>
        <i x="100" s="1"/>
        <i x="519" s="1"/>
        <i x="45" s="1"/>
        <i x="229" s="1"/>
        <i x="62" s="1"/>
        <i x="175" s="1"/>
        <i x="131" s="1"/>
        <i x="485" s="1"/>
        <i x="156" s="1"/>
        <i x="222" s="1"/>
        <i x="515" s="1"/>
        <i x="66" s="1"/>
        <i x="284" s="1"/>
        <i x="290" s="1"/>
        <i x="104" s="1"/>
        <i x="238" s="1"/>
        <i x="61" s="1"/>
        <i x="181" s="1"/>
        <i x="75" s="1"/>
        <i x="235" s="1"/>
        <i x="142" s="1"/>
        <i x="496" s="1"/>
        <i x="273" s="1"/>
        <i x="99" s="1"/>
        <i x="80" s="1"/>
        <i x="92" s="1"/>
        <i x="81" s="1"/>
        <i x="240" s="1"/>
        <i x="253" s="1"/>
        <i x="90" s="1"/>
        <i x="313" s="1"/>
        <i x="65" s="1"/>
        <i x="237" s="1"/>
        <i x="86" s="1"/>
        <i x="166" s="1"/>
        <i x="433" s="1"/>
        <i x="97" s="1"/>
        <i x="74" s="1"/>
        <i x="336" s="1"/>
        <i x="111" s="1"/>
        <i x="108" s="1"/>
        <i x="39" s="1"/>
        <i x="251" s="1"/>
        <i x="286" s="1"/>
        <i x="116" s="1"/>
        <i x="109" s="1"/>
        <i x="518" s="1"/>
        <i x="26" s="1"/>
        <i x="305" s="1"/>
        <i x="243" s="1"/>
        <i x="297" s="1"/>
        <i x="113" s="1"/>
        <i x="252" s="1"/>
        <i x="106" s="1"/>
        <i x="352" s="1"/>
        <i x="249" s="1"/>
        <i x="121" s="1"/>
        <i x="498" s="1"/>
        <i x="517" s="1"/>
        <i x="130" s="1"/>
        <i x="162" s="1"/>
        <i x="421" s="1"/>
        <i x="123" s="1"/>
        <i x="242" s="1"/>
        <i x="293" s="1"/>
        <i x="505" s="1"/>
        <i x="49" s="1"/>
        <i x="300" s="1"/>
        <i x="120" s="1"/>
        <i x="217" s="1"/>
        <i x="133" s="1"/>
        <i x="172" s="1"/>
        <i x="225" s="1"/>
        <i x="530" s="1"/>
        <i x="322" s="1"/>
        <i x="317" s="1"/>
        <i x="127" s="1"/>
        <i x="333" s="1"/>
        <i x="227" s="1"/>
        <i x="281" s="1"/>
        <i x="375" s="1"/>
        <i x="360" s="1"/>
        <i x="506" s="1"/>
        <i x="466" s="1"/>
        <i x="369" s="1"/>
        <i x="296" s="1"/>
        <i x="102" s="1"/>
        <i x="309" s="1"/>
        <i x="89" s="1"/>
        <i x="431" s="1"/>
        <i x="295" s="1"/>
        <i x="4" s="1"/>
        <i x="215" s="1"/>
        <i x="303" s="1"/>
        <i x="488" s="1"/>
        <i x="381" s="1"/>
        <i x="371" s="1"/>
        <i x="442" s="1"/>
        <i x="436" s="1"/>
        <i x="532" s="1"/>
        <i x="161" s="1"/>
        <i x="285" s="1"/>
        <i x="425" s="1"/>
        <i x="154" s="1"/>
        <i x="453" s="1"/>
        <i x="320" s="1"/>
        <i x="420" s="1"/>
        <i x="349" s="1"/>
        <i x="110" s="1"/>
        <i x="539" s="1"/>
        <i x="236" s="1"/>
        <i x="361" s="1"/>
        <i x="308" s="1"/>
        <i x="520" s="1"/>
        <i x="163" s="1"/>
        <i x="245" s="1"/>
        <i x="495" s="1"/>
        <i x="337" s="1"/>
        <i x="158" s="1"/>
        <i x="342" s="1"/>
        <i x="282" s="1"/>
        <i x="20" s="1"/>
        <i x="247" s="1"/>
        <i x="487" s="1"/>
        <i x="311" s="1"/>
        <i x="291" s="1"/>
        <i x="407" s="1"/>
        <i x="21" s="1"/>
        <i x="481" s="1"/>
        <i x="392" s="1"/>
        <i x="540" s="1"/>
        <i x="304" s="1"/>
        <i x="401" s="1"/>
        <i x="329" s="1"/>
        <i x="464" s="1"/>
        <i x="372" s="1"/>
        <i x="315" s="1"/>
        <i x="68" s="1"/>
        <i x="234" s="1"/>
        <i x="522" s="1"/>
        <i x="413" s="1"/>
        <i x="403" s="1"/>
        <i x="474" s="1"/>
        <i x="469" s="1"/>
        <i x="414" s="1"/>
        <i x="310" s="1"/>
        <i x="458" s="1"/>
        <i x="358" s="1"/>
        <i x="504" s="1"/>
        <i x="294" s="1"/>
        <i x="340" s="1"/>
        <i x="507" s="1"/>
        <i x="382" s="1"/>
        <i x="452" s="1"/>
        <i x="393" s="1"/>
        <i x="328" s="1"/>
        <i x="529" s="1"/>
        <i x="292" s="1"/>
        <i x="83" s="1"/>
        <i x="427" s="1"/>
        <i x="331" s="1"/>
        <i x="307" s="1"/>
        <i x="521" s="1"/>
        <i x="377" s="1"/>
        <i x="84" s="1"/>
        <i x="513" s="1"/>
        <i x="325" s="1"/>
        <i x="359" s="1"/>
        <i x="302" s="1"/>
        <i x="434" s="1"/>
        <i x="424" s="1"/>
        <i x="354" s="1"/>
        <i x="484" s="1"/>
        <i x="404" s="1"/>
        <i x="335" s="1"/>
        <i x="415" s="1"/>
        <i x="446" s="1"/>
        <i x="422" s="1"/>
        <i x="330" s="1"/>
        <i x="538" s="1"/>
        <i x="390" s="1"/>
        <i x="345" s="1"/>
        <i x="541" s="1"/>
        <i x="443" s="1"/>
        <i x="437" s="1"/>
        <i x="370" s="1"/>
        <i x="319" s="1"/>
        <i x="365" s="1"/>
        <i x="430" s="1"/>
        <i x="460" s="1"/>
        <i x="343" s="1"/>
        <i x="327" s="1"/>
        <i x="409" s="1"/>
        <i x="344" s="1"/>
        <i x="391" s="1"/>
        <i x="324" s="1"/>
        <i x="467" s="1"/>
        <i x="457" s="1"/>
        <i x="516" s="1"/>
        <i x="386" s="1"/>
        <i x="447" s="1"/>
        <i x="454" s="1"/>
        <i x="426" s="1"/>
        <i x="500" s="1"/>
        <i x="348" s="1"/>
        <i x="417" s="1"/>
        <i x="475" s="1"/>
        <i x="470" s="1"/>
        <i x="402" s="1"/>
        <i x="339" s="1"/>
        <i x="397" s="1"/>
        <i x="463" s="1"/>
        <i x="346" s="1"/>
        <i x="347" s="1"/>
        <i x="416" s="1"/>
        <i x="428" s="1"/>
        <i x="499" s="1"/>
        <i x="438" s="1"/>
        <i x="444" s="1"/>
        <i x="306" s="1"/>
        <i x="459" s="1"/>
        <i x="534" s="1"/>
        <i x="449" s="1"/>
        <i x="356" s="1"/>
        <i x="482" s="1"/>
        <i x="301" s="1"/>
        <i x="362" s="1"/>
        <i x="314" s="1"/>
        <i x="350" s="1"/>
        <i x="448" s="1"/>
        <i x="461" s="1"/>
        <i x="373" s="1"/>
        <i x="533" s="1"/>
        <i x="492" s="1"/>
        <i x="429" s="1"/>
        <i x="471" s="1"/>
        <i x="435" s="1"/>
        <i x="476" s="1"/>
        <i x="439" s="1"/>
        <i x="326" s="1"/>
        <i x="423" s="1"/>
        <i x="440" s="1"/>
        <i x="508" s="1"/>
        <i x="388" s="1"/>
        <i x="367" s="1"/>
        <i x="479" s="1"/>
        <i x="418" s="1"/>
        <i x="514" s="1"/>
        <i x="323" s="1"/>
        <i x="394" s="1"/>
        <i x="334" s="1"/>
        <i x="383" s="1"/>
        <i x="378" s="1"/>
        <i x="405" s="1"/>
        <i x="445" s="1"/>
        <i x="526" s="1"/>
        <i x="462" s="1"/>
        <i x="366" s="1"/>
        <i x="363" s="1"/>
        <i x="468" s="1"/>
        <i x="494" s="1"/>
        <i x="472" s="1"/>
        <i x="455" s="1"/>
        <i x="351" s="1"/>
        <i x="473" s="1"/>
        <i x="542" s="1"/>
        <i x="399" s="1"/>
        <i x="511" s="1"/>
        <i x="450" s="1"/>
        <i x="355" s="1"/>
        <i x="374" s="1"/>
        <i x="410" s="1"/>
        <i x="379" s="1"/>
        <i x="477" s="1"/>
        <i x="398" s="1"/>
        <i x="395" s="1"/>
        <i x="528" s="1"/>
        <i x="384" s="1"/>
        <i x="387" s="1"/>
        <i x="406" s="1"/>
        <i x="41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50A42291-0357-4838-814D-A0EF1FE78E77}" sourceName="Product Type">
  <pivotTables>
    <pivotTable tabId="4" name="PivotTable5"/>
  </pivotTables>
  <data>
    <tabular pivotCacheId="285487643">
      <items count="4">
        <i x="3" s="1"/>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AAE0BF2F-FFC4-4287-9A39-6B258B90F2DD}" sourceName="Profit">
  <pivotTables>
    <pivotTable tabId="4" name="PivotTable5"/>
  </pivotTables>
  <data>
    <tabular pivotCacheId="285487643">
      <items count="238">
        <i x="237" s="1"/>
        <i x="227" s="1"/>
        <i x="233" s="1"/>
        <i x="220" s="1"/>
        <i x="211" s="1"/>
        <i x="216" s="1"/>
        <i x="169" s="1"/>
        <i x="153" s="1"/>
        <i x="172" s="1"/>
        <i x="157" s="1"/>
        <i x="165" s="1"/>
        <i x="147" s="1"/>
        <i x="234" s="1"/>
        <i x="133" s="1"/>
        <i x="150" s="1"/>
        <i x="228" s="1"/>
        <i x="221" s="1"/>
        <i x="135" s="1"/>
        <i x="143" s="1"/>
        <i x="217" s="1"/>
        <i x="235" s="1"/>
        <i x="212" s="1"/>
        <i x="206" s="1"/>
        <i x="223" s="1"/>
        <i x="218" s="1"/>
        <i x="230" s="1"/>
        <i x="208" s="1"/>
        <i x="213" s="1"/>
        <i x="226" s="1"/>
        <i x="81" s="1"/>
        <i x="75" s="1"/>
        <i x="210" s="1"/>
        <i x="77" s="1"/>
        <i x="91" s="1"/>
        <i x="122" s="1"/>
        <i x="69" s="1"/>
        <i x="90" s="1"/>
        <i x="86" s="1"/>
        <i x="108" s="1"/>
        <i x="82" s="1"/>
        <i x="55" s="1"/>
        <i x="84" s="1"/>
        <i x="46" s="1"/>
        <i x="48" s="1"/>
        <i x="23" s="1"/>
        <i x="11" s="1"/>
        <i x="15" s="1"/>
        <i x="0" s="1"/>
        <i x="64" s="1"/>
        <i x="37" s="1"/>
        <i x="13" s="1"/>
        <i x="186" s="1"/>
        <i x="66" s="1"/>
        <i x="12" s="1"/>
        <i x="80" s="1"/>
        <i x="83" s="1"/>
        <i x="79" s="1"/>
        <i x="70" s="1"/>
        <i x="7" s="1"/>
        <i x="72" s="1"/>
        <i x="76" s="1"/>
        <i x="44" s="1"/>
        <i x="78" s="1"/>
        <i x="14" s="1"/>
        <i x="32" s="1"/>
        <i x="29" s="1"/>
        <i x="25" s="1"/>
        <i x="38" s="1"/>
        <i x="39" s="1"/>
        <i x="47" s="1"/>
        <i x="60" s="1"/>
        <i x="30" s="1"/>
        <i x="6" s="1"/>
        <i x="57" s="1"/>
        <i x="34" s="1"/>
        <i x="10" s="1"/>
        <i x="65" s="1"/>
        <i x="1" s="1"/>
        <i x="22" s="1"/>
        <i x="2" s="1"/>
        <i x="26" s="1"/>
        <i x="27" s="1"/>
        <i x="5" s="1"/>
        <i x="71" s="1"/>
        <i x="9" s="1"/>
        <i x="28" s="1"/>
        <i x="3" s="1"/>
        <i x="18" s="1"/>
        <i x="8" s="1"/>
        <i x="68" s="1"/>
        <i x="40" s="1"/>
        <i x="54" s="1"/>
        <i x="41" s="1"/>
        <i x="58" s="1"/>
        <i x="24" s="1"/>
        <i x="16" s="1"/>
        <i x="43" s="1"/>
        <i x="17" s="1"/>
        <i x="21" s="1"/>
        <i x="31" s="1"/>
        <i x="35" s="1"/>
        <i x="94" s="1"/>
        <i x="33" s="1"/>
        <i x="36" s="1"/>
        <i x="45" s="1"/>
        <i x="4" s="1"/>
        <i x="67" s="1"/>
        <i x="85" s="1"/>
        <i x="93" s="1"/>
        <i x="130" s="1"/>
        <i x="176" s="1"/>
        <i x="103" s="1"/>
        <i x="137" s="1"/>
        <i x="19" s="1"/>
        <i x="56" s="1"/>
        <i x="107" s="1"/>
        <i x="49" s="1"/>
        <i x="88" s="1"/>
        <i x="50" s="1"/>
        <i x="53" s="1"/>
        <i x="106" s="1"/>
        <i x="59" s="1"/>
        <i x="62" s="1"/>
        <i x="20" s="1"/>
        <i x="61" s="1"/>
        <i x="92" s="1"/>
        <i x="63" s="1"/>
        <i x="87" s="1"/>
        <i x="42" s="1"/>
        <i x="144" s="1"/>
        <i x="74" s="1"/>
        <i x="89" s="1"/>
        <i x="100" s="1"/>
        <i x="97" s="1"/>
        <i x="104" s="1"/>
        <i x="192" s="1"/>
        <i x="115" s="1"/>
        <i x="159" s="1"/>
        <i x="51" s="1"/>
        <i x="96" s="1"/>
        <i x="121" s="1"/>
        <i x="199" s="1"/>
        <i x="116" s="1"/>
        <i x="178" s="1"/>
        <i x="120" s="1"/>
        <i x="140" s="1"/>
        <i x="112" s="1"/>
        <i x="52" s="1"/>
        <i x="124" s="1"/>
        <i x="125" s="1"/>
        <i x="95" s="1"/>
        <i x="73" s="1"/>
        <i x="174" s="1"/>
        <i x="109" s="1"/>
        <i x="126" s="1"/>
        <i x="187" s="1"/>
        <i x="166" s="1"/>
        <i x="118" s="1"/>
        <i x="102" s="1"/>
        <i x="179" s="1"/>
        <i x="113" s="1"/>
        <i x="201" s="1"/>
        <i x="117" s="1"/>
        <i x="99" s="1"/>
        <i x="136" s="1"/>
        <i x="225" s="1"/>
        <i x="154" s="1"/>
        <i x="215" s="1"/>
        <i x="180" s="1"/>
        <i x="173" s="1"/>
        <i x="129" s="1"/>
        <i x="183" s="1"/>
        <i x="198" s="1"/>
        <i x="162" s="1"/>
        <i x="193" s="1"/>
        <i x="127" s="1"/>
        <i x="188" s="1"/>
        <i x="182" s="1"/>
        <i x="101" s="1"/>
        <i x="190" s="1"/>
        <i x="123" s="1"/>
        <i x="128" s="1"/>
        <i x="177" s="1"/>
        <i x="98" s="1"/>
        <i x="209" s="1"/>
        <i x="105" s="1"/>
        <i x="195" s="1"/>
        <i x="156" s="1"/>
        <i x="184" s="1"/>
        <i x="181" s="1"/>
        <i x="111" s="1"/>
        <i x="158" s="1"/>
        <i x="142" s="1"/>
        <i x="232" s="1"/>
        <i x="196" s="1"/>
        <i x="219" s="1"/>
        <i x="185" s="1"/>
        <i x="189" s="1"/>
        <i x="175" s="1"/>
        <i x="207" s="1"/>
        <i x="205" s="1"/>
        <i x="202" s="1"/>
        <i x="214" s="1"/>
        <i x="139" s="1"/>
        <i x="132" s="1"/>
        <i x="200" s="1"/>
        <i x="114" s="1"/>
        <i x="146" s="1"/>
        <i x="194" s="1"/>
        <i x="110" s="1"/>
        <i x="224" s="1"/>
        <i x="119" s="1"/>
        <i x="203" s="1"/>
        <i x="197" s="1"/>
        <i x="229" s="1"/>
        <i x="164" s="1"/>
        <i x="149" s="1"/>
        <i x="148" s="1"/>
        <i x="236" s="1"/>
        <i x="204" s="1"/>
        <i x="138" s="1"/>
        <i x="191" s="1"/>
        <i x="222" s="1"/>
        <i x="131" s="1"/>
        <i x="231" s="1"/>
        <i x="161" s="1"/>
        <i x="152" s="1"/>
        <i x="141" s="1"/>
        <i x="145" s="1"/>
        <i x="168" s="1"/>
        <i x="134" s="1"/>
        <i x="171" s="1"/>
        <i x="170" s="1"/>
        <i x="160" s="1"/>
        <i x="151" s="1"/>
        <i x="163" s="1"/>
        <i x="167" s="1"/>
        <i x="15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 xr10:uid="{CD00D932-3716-42D4-A7AA-9605C5B25381}" sourceName="Marketing">
  <pivotTables>
    <pivotTable tabId="4" name="PivotTable3"/>
  </pivotTables>
  <data>
    <tabular pivotCacheId="285487643">
      <items count="67">
        <i x="5" s="1"/>
        <i x="61" s="1"/>
        <i x="36" s="1"/>
        <i x="35" s="1"/>
        <i x="29" s="1"/>
        <i x="7" s="1"/>
        <i x="18" s="1"/>
        <i x="8" s="1"/>
        <i x="3" s="1"/>
        <i x="9" s="1"/>
        <i x="13" s="1"/>
        <i x="2" s="1"/>
        <i x="10" s="1"/>
        <i x="6" s="1"/>
        <i x="20" s="1"/>
        <i x="1" s="1"/>
        <i x="31" s="1"/>
        <i x="27" s="1"/>
        <i x="14" s="1"/>
        <i x="28" s="1"/>
        <i x="34" s="1"/>
        <i x="4" s="1"/>
        <i x="23" s="1"/>
        <i x="26" s="1"/>
        <i x="32" s="1"/>
        <i x="15" s="1"/>
        <i x="16" s="1"/>
        <i x="39" s="1"/>
        <i x="30" s="1"/>
        <i x="33" s="1"/>
        <i x="40" s="1"/>
        <i x="38" s="1"/>
        <i x="62" s="1"/>
        <i x="45" s="1"/>
        <i x="59" s="1"/>
        <i x="19" s="1"/>
        <i x="11" s="1"/>
        <i x="22" s="1"/>
        <i x="25" s="1"/>
        <i x="48" s="1"/>
        <i x="0" s="1"/>
        <i x="17" s="1"/>
        <i x="24" s="1"/>
        <i x="52" s="1"/>
        <i x="12" s="1"/>
        <i x="21" s="1"/>
        <i x="63" s="1"/>
        <i x="53" s="1"/>
        <i x="49" s="1"/>
        <i x="42" s="1"/>
        <i x="57" s="1"/>
        <i x="65" s="1"/>
        <i x="37" s="1"/>
        <i x="64" s="1"/>
        <i x="66" s="1"/>
        <i x="60" s="1"/>
        <i x="43" s="1"/>
        <i x="41" s="1"/>
        <i x="46" s="1"/>
        <i x="54" s="1"/>
        <i x="44" s="1"/>
        <i x="50" s="1"/>
        <i x="55" s="1"/>
        <i x="51" s="1"/>
        <i x="58" s="1"/>
        <i x="47" s="1"/>
        <i x="56"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1" xr10:uid="{428A57DC-C2CD-419E-851E-9759DADA96BA}" sourceName="Product Type">
  <pivotTables>
    <pivotTable tabId="4" name="PivotTable4"/>
    <pivotTable tabId="4" name="PivotTable3"/>
  </pivotTables>
  <data>
    <tabular pivotCacheId="285487643">
      <items count="4">
        <i x="3" s="1"/>
        <i x="2" s="1"/>
        <i x="0"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29637DAE-2B7D-4D23-8E2C-07ED613C6D64}" sourceName="Sales">
  <pivotTables>
    <pivotTable tabId="4" name="PivotTable4"/>
  </pivotTables>
  <data>
    <tabular pivotCacheId="285487643">
      <items count="243">
        <i x="231" s="1"/>
        <i x="238" s="1"/>
        <i x="204" s="1"/>
        <i x="214" s="1"/>
        <i x="220" s="1"/>
        <i x="228" s="1"/>
        <i x="236" s="1"/>
        <i x="234" s="1"/>
        <i x="242" s="1"/>
        <i x="241" s="1"/>
        <i x="115" s="1"/>
        <i x="116" s="1"/>
        <i x="120" s="1"/>
        <i x="5" s="1"/>
        <i x="121" s="1"/>
        <i x="117" s="1"/>
        <i x="48" s="1"/>
        <i x="122" s="1"/>
        <i x="77" s="1"/>
        <i x="97" s="1"/>
        <i x="112" s="1"/>
        <i x="88" s="1"/>
        <i x="103" s="1"/>
        <i x="82" s="1"/>
        <i x="78" s="1"/>
        <i x="94" s="1"/>
        <i x="113" s="1"/>
        <i x="89" s="1"/>
        <i x="114" s="1"/>
        <i x="98" s="1"/>
        <i x="118" s="1"/>
        <i x="7" s="1"/>
        <i x="119" s="1"/>
        <i x="8" s="1"/>
        <i x="85" s="1"/>
        <i x="49" s="1"/>
        <i x="50" s="1"/>
        <i x="100" s="1"/>
        <i x="83" s="1"/>
        <i x="93" s="1"/>
        <i x="99" s="1"/>
        <i x="14" s="1"/>
        <i x="25" s="1"/>
        <i x="95" s="1"/>
        <i x="81" s="1"/>
        <i x="24" s="1"/>
        <i x="40" s="1"/>
        <i x="59" s="1"/>
        <i x="102" s="1"/>
        <i x="39" s="1"/>
        <i x="58" s="1"/>
        <i x="70" s="1"/>
        <i x="23" s="1"/>
        <i x="101" s="1"/>
        <i x="31" s="1"/>
        <i x="69" s="1"/>
        <i x="19" s="1"/>
        <i x="3" s="1"/>
        <i x="104" s="1"/>
        <i x="62" s="1"/>
        <i x="55" s="1"/>
        <i x="9" s="1"/>
        <i x="46" s="1"/>
        <i x="38" s="1"/>
        <i x="235" s="1"/>
        <i x="84" s="1"/>
        <i x="111" s="1"/>
        <i x="28" s="1"/>
        <i x="2" s="1"/>
        <i x="68" s="1"/>
        <i x="12" s="1"/>
        <i x="96" s="1"/>
        <i x="6" s="1"/>
        <i x="34" s="1"/>
        <i x="27" s="1"/>
        <i x="11" s="1"/>
        <i x="30" s="1"/>
        <i x="52" s="1"/>
        <i x="15" s="1"/>
        <i x="16" s="1"/>
        <i x="10" s="1"/>
        <i x="26" s="1"/>
        <i x="0" s="1"/>
        <i x="1" s="1"/>
        <i x="21" s="1"/>
        <i x="22" s="1"/>
        <i x="53" s="1"/>
        <i x="35" s="1"/>
        <i x="51" s="1"/>
        <i x="60" s="1"/>
        <i x="45" s="1"/>
        <i x="41" s="1"/>
        <i x="57" s="1"/>
        <i x="33" s="1"/>
        <i x="108" s="1"/>
        <i x="65" s="1"/>
        <i x="239" s="1"/>
        <i x="105" s="1"/>
        <i x="44" s="1"/>
        <i x="71" s="1"/>
        <i x="29" s="1"/>
        <i x="64" s="1"/>
        <i x="13" s="1"/>
        <i x="36" s="1"/>
        <i x="232" s="1"/>
        <i x="32" s="1"/>
        <i x="74" s="1"/>
        <i x="61" s="1"/>
        <i x="91" s="1"/>
        <i x="43" s="1"/>
        <i x="66" s="1"/>
        <i x="233" s="1"/>
        <i x="63" s="1"/>
        <i x="199" s="1"/>
        <i x="80" s="1"/>
        <i x="42" s="1"/>
        <i x="73" s="1"/>
        <i x="20" s="1"/>
        <i x="240" s="1"/>
        <i x="230" s="1"/>
        <i x="107" s="1"/>
        <i x="92" s="1"/>
        <i x="72" s="1"/>
        <i x="75" s="1"/>
        <i x="56" s="1"/>
        <i x="37" s="1"/>
        <i x="79" s="1"/>
        <i x="237" s="1"/>
        <i x="110" s="1"/>
        <i x="166" s="1"/>
        <i x="4" s="1"/>
        <i x="106" s="1"/>
        <i x="86" s="1"/>
        <i x="76" s="1"/>
        <i x="67" s="1"/>
        <i x="90" s="1"/>
        <i x="186" s="1"/>
        <i x="47" s="1"/>
        <i x="173" s="1"/>
        <i x="109" s="1"/>
        <i x="130" s="1"/>
        <i x="172" s="1"/>
        <i x="87" s="1"/>
        <i x="131" s="1"/>
        <i x="123" s="1"/>
        <i x="160" s="1"/>
        <i x="17" s="1"/>
        <i x="193" s="1"/>
        <i x="145" s="1"/>
        <i x="192" s="1"/>
        <i x="146" s="1"/>
        <i x="138" s="1"/>
        <i x="179" s="1"/>
        <i x="18" s="1"/>
        <i x="136" s="1"/>
        <i x="134" s="1"/>
        <i x="152" s="1"/>
        <i x="127" s="1"/>
        <i x="133" s="1"/>
        <i x="54" s="1"/>
        <i x="126" s="1"/>
        <i x="149" s="1"/>
        <i x="132" s="1"/>
        <i x="148" s="1"/>
        <i x="139" s="1"/>
        <i x="142" s="1"/>
        <i x="147" s="1"/>
        <i x="165" s="1"/>
        <i x="153" s="1"/>
        <i x="206" s="1"/>
        <i x="185" s="1"/>
        <i x="156" s="1"/>
        <i x="129" s="1"/>
        <i x="222" s="1"/>
        <i x="200" s="1"/>
        <i x="125" s="1"/>
        <i x="176" s="1"/>
        <i x="159" s="1"/>
        <i x="144" s="1"/>
        <i x="211" s="1"/>
        <i x="154" s="1"/>
        <i x="216" s="1"/>
        <i x="137" s="1"/>
        <i x="141" s="1"/>
        <i x="155" s="1"/>
        <i x="196" s="1"/>
        <i x="226" s="1"/>
        <i x="157" s="1"/>
        <i x="151" s="1"/>
        <i x="182" s="1"/>
        <i x="158" s="1"/>
        <i x="169" s="1"/>
        <i x="202" s="1"/>
        <i x="189" s="1"/>
        <i x="218" s="1"/>
        <i x="208" s="1"/>
        <i x="207" s="1"/>
        <i x="224" s="1"/>
        <i x="223" s="1"/>
        <i x="167" s="1"/>
        <i x="161" s="1"/>
        <i x="201" s="1"/>
        <i x="187" s="1"/>
        <i x="128" s="1"/>
        <i x="212" s="1"/>
        <i x="180" s="1"/>
        <i x="217" s="1"/>
        <i x="174" s="1"/>
        <i x="164" s="1"/>
        <i x="124" s="1"/>
        <i x="143" s="1"/>
        <i x="135" s="1"/>
        <i x="209" s="1"/>
        <i x="213" s="1"/>
        <i x="194" s="1"/>
        <i x="210" s="1"/>
        <i x="184" s="1"/>
        <i x="140" s="1"/>
        <i x="150" s="1"/>
        <i x="205" s="1"/>
        <i x="227" s="1"/>
        <i x="171" s="1"/>
        <i x="225" s="1"/>
        <i x="203" s="1"/>
        <i x="221" s="1"/>
        <i x="191" s="1"/>
        <i x="168" s="1"/>
        <i x="219" s="1"/>
        <i x="162" s="1"/>
        <i x="215" s="1"/>
        <i x="177" s="1"/>
        <i x="188" s="1"/>
        <i x="170" s="1"/>
        <i x="181" s="1"/>
        <i x="229" s="1"/>
        <i x="175" s="1"/>
        <i x="197" s="1"/>
        <i x="190" s="1"/>
        <i x="195" s="1"/>
        <i x="178" s="1"/>
        <i x="163" s="1"/>
        <i x="198" s="1"/>
        <i x="18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ence" xr10:uid="{43FBD994-A2E7-461C-9B5D-32289D83C801}" sourceName="Varience">
  <pivotTables>
    <pivotTable tabId="4" name="PivotTable1"/>
  </pivotTables>
  <data>
    <tabular pivotCacheId="285487643">
      <items count="45">
        <i x="42" s="1"/>
        <i x="44" s="1"/>
        <i x="36" s="1"/>
        <i x="15" s="1"/>
        <i x="35" s="1"/>
        <i x="41" s="1"/>
        <i x="39" s="1"/>
        <i x="20" s="1"/>
        <i x="31" s="1"/>
        <i x="18" s="1"/>
        <i x="37" s="1"/>
        <i x="25" s="1"/>
        <i x="33" s="1"/>
        <i x="22" s="1"/>
        <i x="43" s="1"/>
        <i x="40" s="1"/>
        <i x="29" s="1"/>
        <i x="24" s="1"/>
        <i x="38" s="1"/>
        <i x="34" s="1"/>
        <i x="27" s="1"/>
        <i x="28" s="1"/>
        <i x="23" s="1"/>
        <i x="32" s="1"/>
        <i x="21" s="1"/>
        <i x="26" s="1"/>
        <i x="19" s="1"/>
        <i x="30" s="1"/>
        <i x="17" s="1"/>
        <i x="16" s="1"/>
        <i x="14" s="1"/>
        <i x="13" s="1"/>
        <i x="11" s="1"/>
        <i x="8" s="1"/>
        <i x="10" s="1"/>
        <i x="9" s="1"/>
        <i x="6" s="1"/>
        <i x="7" s="1"/>
        <i x="0" s="1"/>
        <i x="2" s="1"/>
        <i x="1" s="1"/>
        <i x="3" s="1"/>
        <i x="5" s="1"/>
        <i x="12" s="1"/>
        <i x="4"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3" xr10:uid="{1E0B13D1-6E79-4B0F-AFEB-B4150C538D29}" sourceName="Product Type">
  <pivotTables>
    <pivotTable tabId="4" name="PivotTable2"/>
  </pivotTables>
  <data>
    <tabular pivotCacheId="285487643">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 Performance 2" xr10:uid="{5A95D2FF-C0F1-425C-8FC6-4B6E2E71D934}" cache="Slicer_Regional_Performance1" caption="Regional Performance" rowHeight="234950"/>
  <slicer name="Sales_Revenue" xr10:uid="{65A531C7-FF03-40F4-8A4E-D36646FDC97D}" cache="Slicer_Sales_Revenue" caption="Sales_Revenue" rowHeight="234950"/>
  <slicer name="Sales_Revenue 1" xr10:uid="{30C90E89-AE2E-4AE0-A498-B2E059B7F57E}" cache="Slicer_Sales_Revenue" caption="Sales_Revenue" rowHeight="234950"/>
  <slicer name="Product Type" xr10:uid="{9EE9CF27-9C85-4C9C-B763-91FC8940522F}" cache="Slicer_Product_Type" caption="Product Type" rowHeight="234950"/>
  <slicer name="Profit" xr10:uid="{B5896A18-F322-4369-BBDE-14BD10C9D9BA}" cache="Slicer_Profit" caption="Profit" startItem="21" rowHeight="234950"/>
  <slicer name="Marketing" xr10:uid="{8242EF2B-9F16-4C1C-8A8A-8250D185ACEA}" cache="Slicer_Marketing" caption="Marketing" rowHeight="234950"/>
  <slicer name="Product Type 2" xr10:uid="{459E74BD-E73A-47C0-8D96-64CA863AC906}" cache="Slicer_Product_Type1" caption="Product Type" rowHeight="234950"/>
  <slicer name="Product Type 1" xr10:uid="{8E11833F-CA4A-4196-935D-3A11C897B2C3}" cache="Slicer_Product_Type1" caption="Product Type" rowHeight="234950"/>
  <slicer name="Sales" xr10:uid="{F54FEA5D-6465-4EE4-BB64-4BA707F2D9EB}" cache="Slicer_Sales" caption="Sales" rowHeight="234950"/>
  <slicer name="Varience" xr10:uid="{84EF5FE7-A9EA-4FA4-B357-C9EC86693FF1}" cache="Slicer_Varience" caption="Varience" rowHeight="234950"/>
  <slicer name="Product Type 4" xr10:uid="{67B99A85-FF42-42BE-8291-BA87793244A5}" cache="Slicer_Product_Type3" caption="Product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 1" xr10:uid="{FAC2DC82-43BF-4A50-85DD-BC8FAB01426A}" cache="Slicer_Profit1" caption="Profit" rowHeight="234950"/>
  <slicer name="Sales 1" xr10:uid="{E53A2160-8404-4862-AA6C-E9EC097DA873}" cache="Slicer_Sales1" caption="Sales" rowHeight="234950"/>
  <slicer name="Months (Date)" xr10:uid="{5913328A-7673-4746-9BBA-33876D9F4D70}" cache="Slicer_Months__Date" caption="Months (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 Performance" xr10:uid="{6BC51E2C-A3B6-42D2-A426-35EC4B21300E}" cache="Slicer_Regional_Performance" caption="Regional Performance" columnCount="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 Performance 1" xr10:uid="{83584506-7676-4C89-AA40-76D161156A6D}" cache="Slicer_Regional_Performance" caption="Regional Performance" columnCount="2"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A2D3C3-2F66-4C36-9B49-8AED2236B873}" name="Coffee" displayName="Coffee" ref="A1:Z1063" totalsRowShown="0" tableBorderDxfId="44">
  <autoFilter ref="A1:Z1063" xr:uid="{D2A2D3C3-2F66-4C36-9B49-8AED2236B873}"/>
  <tableColumns count="26">
    <tableColumn id="1" xr3:uid="{1BADDA08-F7F6-44C0-93A7-502C4A0D2E34}" name="Store id" dataDxfId="43"/>
    <tableColumn id="2" xr3:uid="{A745E218-DF13-4244-8BC6-C40D0303F2FA}" name="Cogs" dataDxfId="42"/>
    <tableColumn id="3" xr3:uid="{50304646-7093-49EC-AC13-79F542412AC9}" name="Date" dataDxfId="41"/>
    <tableColumn id="4" xr3:uid="{22AD3A2C-959A-4F17-BBB3-B72CDC909180}" name="Market Size" dataDxfId="40"/>
    <tableColumn id="5" xr3:uid="{12F87C81-0D35-43B2-A6AF-81D165F491C6}" name="Regional Performance" dataDxfId="39"/>
    <tableColumn id="6" xr3:uid="{C1AC785E-1F4C-4322-9440-4BB4EC1DE2EF}" name="Marketing" dataDxfId="38"/>
    <tableColumn id="7" xr3:uid="{0398B1A8-3D59-465F-94B5-B1323A32DDDD}" name="Product Line" dataDxfId="37"/>
    <tableColumn id="8" xr3:uid="{338AF3E5-AA30-4B4C-AC98-7FB60DF3CCD7}" name="Product Type" dataDxfId="36"/>
    <tableColumn id="9" xr3:uid="{84D46138-D067-4006-A01F-087957FDE903}" name="Product" dataDxfId="35"/>
    <tableColumn id="10" xr3:uid="{E3983E40-D830-44FE-A078-A8EA98C17174}" name="Profit" dataDxfId="34"/>
    <tableColumn id="11" xr3:uid="{167C9475-3DB9-4129-8C6F-280EFEDD1589}" name="Sales" dataDxfId="33"/>
    <tableColumn id="12" xr3:uid="{A0AB891A-DB98-4613-A562-B80432B207B1}" name="State" dataDxfId="32"/>
    <tableColumn id="13" xr3:uid="{30F58398-3652-4858-8F6D-0A6F22BD1292}" name="Target COGS" dataDxfId="31"/>
    <tableColumn id="14" xr3:uid="{5328050D-694B-46C3-8034-CA60585C37B8}" name="Target Profit" dataDxfId="30"/>
    <tableColumn id="15" xr3:uid="{14104EEC-66C3-4A51-BBEA-1B004C1C11A8}" name="Target Sales" dataDxfId="29"/>
    <tableColumn id="16" xr3:uid="{80258C18-2173-4A1F-AC52-6A11C57F89EF}" name="Other Expenses" dataDxfId="28"/>
    <tableColumn id="17" xr3:uid="{2D31E16A-68A4-4890-AE1B-30653C261327}" name="Total Sales">
      <calculatedColumnFormula>SUM([1]!Table1[[#This Row],[Sales]])</calculatedColumnFormula>
    </tableColumn>
    <tableColumn id="18" xr3:uid="{1F2C4CF5-11B0-4DE0-8417-646A205670A3}" name="Total Profit">
      <calculatedColumnFormula>SUM([1]!Table1[[#This Row],[Profit]])</calculatedColumnFormula>
    </tableColumn>
    <tableColumn id="19" xr3:uid="{4BBFA5C6-91E2-46C7-ADD0-651F2217ADE7}" name="ProftMargin" dataDxfId="27" dataCellStyle="Percent">
      <calculatedColumnFormula>J2/K2</calculatedColumnFormula>
    </tableColumn>
    <tableColumn id="20" xr3:uid="{D65CEDF6-1AB5-466C-B05E-4AE66281D9F3}" name="Marketing spend">
      <calculatedColumnFormula>SUM(F2)</calculatedColumnFormula>
    </tableColumn>
    <tableColumn id="21" xr3:uid="{3DE39207-FD03-42EC-9199-5AB1B6C69EE8}" name="Actual Variance">
      <calculatedColumnFormula>K2-O2</calculatedColumnFormula>
    </tableColumn>
    <tableColumn id="22" xr3:uid="{8F6BEEF5-F645-402B-BE6A-5B376A17EBAA}" name="Cost of Goods Sold (COGS)">
      <calculatedColumnFormula>B2-M2</calculatedColumnFormula>
    </tableColumn>
    <tableColumn id="23" xr3:uid="{914DA067-18D8-4EAE-A684-BD956216B9D2}" name=" ROI on Marketing">
      <calculatedColumnFormula>J2/F2</calculatedColumnFormula>
    </tableColumn>
    <tableColumn id="24" xr3:uid="{1AA91240-C96C-499E-ACDA-B9CD95BF8A45}" name="Product Category">
      <calculatedColumnFormula>IF(J2&gt;100,"High Profit","Low Profit")</calculatedColumnFormula>
    </tableColumn>
    <tableColumn id="25" xr3:uid="{BC727862-0282-407E-AB8E-44B0038D64ED}" name="COGS overview">
      <calculatedColumnFormula>SUM(B2)</calculatedColumnFormula>
    </tableColumn>
    <tableColumn id="26" xr3:uid="{4FC1B918-75D9-44CA-B623-5DC84AD8ADDC}" name=" Revenue (Sales)">
      <calculatedColumnFormula>SUM(K2)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A66BC2-EAA0-4CC5-A71A-E0808705623F}" name="Table2" displayName="Table2" ref="A1:B15" totalsRowShown="0" headerRowDxfId="26" dataDxfId="25">
  <autoFilter ref="A1:B15" xr:uid="{FFA66BC2-EAA0-4CC5-A71A-E0808705623F}"/>
  <tableColumns count="2">
    <tableColumn id="1" xr3:uid="{E6B0554D-01E0-4724-9C84-4CBB5E232363}" name="Column1" dataDxfId="24"/>
    <tableColumn id="2" xr3:uid="{CA8EA07D-F535-47A7-8C4C-032D619C5485}" name="Column2"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C8B3CD-43ED-4AFD-8F77-DB5FDF113CED}" name="Table1" displayName="Table1" ref="O1:T1063" totalsRowShown="0" headerRowDxfId="22">
  <autoFilter ref="O1:T1063" xr:uid="{0DC8B3CD-43ED-4AFD-8F77-DB5FDF113CED}"/>
  <tableColumns count="6">
    <tableColumn id="1" xr3:uid="{9CD49074-3372-4D9E-AD53-E1D00D12F05E}" name="Profit" dataDxfId="21"/>
    <tableColumn id="2" xr3:uid="{3D5A184C-3621-40AA-9C5D-C270A109B246}" name="Sales" dataDxfId="20"/>
    <tableColumn id="4" xr3:uid="{972CEFCF-2D21-4560-BCF2-664602A22CCF}" name="Target Sales" dataDxfId="19"/>
    <tableColumn id="5" xr3:uid="{F3E80058-B348-4AD1-8934-35A109A5062A}" name="Profit Margin" dataDxfId="18" dataCellStyle="Percent">
      <calculatedColumnFormula>O2/P2</calculatedColumnFormula>
    </tableColumn>
    <tableColumn id="6" xr3:uid="{2BF24BD5-7E77-44FC-8432-EAD400739A03}" name="Actual Varience">
      <calculatedColumnFormula>P2-Q2</calculatedColumnFormula>
    </tableColumn>
    <tableColumn id="7" xr3:uid="{ED5A10BC-21AA-497A-815A-4AD68635E986}" name="Remove space" dataDxfId="17">
      <calculatedColumnFormula>TRIM(S:S)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A1E1251-A35C-4772-A9AA-B1332EBFF084}" name="Table6" displayName="Table6" ref="I26:K31" totalsRowShown="0">
  <autoFilter ref="I26:K31" xr:uid="{2A1E1251-A35C-4772-A9AA-B1332EBFF084}"/>
  <tableColumns count="3">
    <tableColumn id="1" xr3:uid="{FF064308-D8A4-4AF9-BEC1-F781A255DA9F}" name="Product Name" dataDxfId="16"/>
    <tableColumn id="2" xr3:uid="{9F2439C0-5C58-4B1E-B67C-EC13604C75A6}" name="Sum of Sales" dataDxfId="15"/>
    <tableColumn id="3" xr3:uid="{36741D7D-FEFC-4F7D-A6FE-4592E494D54C}" name="Average of Profit Margin"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91F73F5-0B0E-45E7-BAA6-FBECCD069016}" name="Table9" displayName="Table9" ref="N1:O1063" totalsRowShown="0" headerRowDxfId="13" headerRowBorderDxfId="12" tableBorderDxfId="11" totalsRowBorderDxfId="10">
  <autoFilter ref="N1:O1063" xr:uid="{291F73F5-0B0E-45E7-BAA6-FBECCD069016}"/>
  <tableColumns count="2">
    <tableColumn id="1" xr3:uid="{D8DBF6A0-4185-40D5-997C-61F74AFA3F2B}" name="Marketing" dataDxfId="9"/>
    <tableColumn id="2" xr3:uid="{D938AA4E-E229-4EDF-BA5A-4302A5C125BC}" name="Sales" dataDxf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8B2976E-5BA1-496A-AA63-83BFD95C68E6}" name="Table11" displayName="Table11" ref="P1:Q1063" totalsRowShown="0">
  <autoFilter ref="P1:Q1063" xr:uid="{08B2976E-5BA1-496A-AA63-83BFD95C68E6}"/>
  <tableColumns count="2">
    <tableColumn id="1" xr3:uid="{C85E310E-32E3-4C04-95AD-665AE15CCB35}" name="Marketing spend">
      <calculatedColumnFormula>SUM(Table9[[#This Row],[Marketing]])</calculatedColumnFormula>
    </tableColumn>
    <tableColumn id="2" xr3:uid="{502D2F93-E98A-46E2-8DA2-0F5AC14BC919}" name="Revenue(Sales)">
      <calculatedColumnFormula>SUM(Table9[[#This Row],[Sales]])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E3A359-FA1A-496D-8CC8-563682F11F7A}" name="Table93" displayName="Table93" ref="Q1:R1063" totalsRowShown="0" headerRowDxfId="7" headerRowBorderDxfId="6" tableBorderDxfId="5" totalsRowBorderDxfId="4">
  <autoFilter ref="Q1:R1063" xr:uid="{44E3A359-FA1A-496D-8CC8-563682F11F7A}"/>
  <tableColumns count="2">
    <tableColumn id="1" xr3:uid="{C57D84E3-5C4C-460D-943A-FA2F35184E0E}" name="Marketing" dataDxfId="3"/>
    <tableColumn id="2" xr3:uid="{B3C04BDC-C232-48B3-9B94-0539F6CC0B51}" name="Sal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34FC7D6-F266-4C9B-913C-ECF1632AF3E9}" sourceName="Date">
  <pivotTables>
    <pivotTable tabId="14" name="PivotTable16"/>
    <pivotTable tabId="14" name="PivotTable17"/>
    <pivotTable tabId="14" name="PivotTable18"/>
    <pivotTable tabId="14" name="PivotTable19"/>
    <pivotTable tabId="14" name="PivotTable20"/>
    <pivotTable tabId="14" name="PivotTable21"/>
  </pivotTables>
  <state minimalRefreshVersion="6" lastRefreshVersion="6" pivotCacheId="1729307749" filterType="dateBetween">
    <selection startDate="2012-01-01T00:00:00" endDate="2013-12-31T00:00:00"/>
    <bounds startDate="2012-01-01T00:00:00" endDate="201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BA417D75-5BCF-46A0-8052-87AE4B753415}" sourceName="Date">
  <pivotTables>
    <pivotTable tabId="4" name="PivotTable6"/>
    <pivotTable tabId="4" name="PivotTable5"/>
    <pivotTable tabId="4" name="PivotTable4"/>
    <pivotTable tabId="4" name="PivotTable3"/>
    <pivotTable tabId="4" name="PivotTable2"/>
    <pivotTable tabId="4" name="PivotTable1"/>
  </pivotTables>
  <state minimalRefreshVersion="6" lastRefreshVersion="6" pivotCacheId="285487643" filterType="unknown">
    <bounds startDate="2012-01-01T00:00:00" endDate="201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D4CEAF4-25BB-4726-A51A-CD1DB732D0A4}" cache="NativeTimeline_Date1" caption="Date" level="2" selectionLevel="2" scrollPosition="2013-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7C6DD07-7144-4305-9B4C-54A7B31DC80C}" cache="NativeTimeline_Date" caption="Date" showSelectionLabel="0" level="2" selectionLevel="0" scrollPosition="2013-06-06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B07806E-E03D-4083-9FEE-28C30D0DF245}" cache="NativeTimeline_Date" caption="Date" showSelectionLabel="0" showTimeLevel="0" level="2" selectionLevel="0" scrollPosition="2012-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3.xml"/><Relationship Id="rId4"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microsoft.com/office/2007/relationships/slicer" Target="../slicers/slicer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openxmlformats.org/officeDocument/2006/relationships/pivotTable" Target="../pivotTables/pivotTable22.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30.xml"/><Relationship Id="rId13" Type="http://schemas.microsoft.com/office/2011/relationships/timeline" Target="../timelines/timeline2.xml"/><Relationship Id="rId3" Type="http://schemas.openxmlformats.org/officeDocument/2006/relationships/pivotTable" Target="../pivotTables/pivotTable25.xml"/><Relationship Id="rId7" Type="http://schemas.openxmlformats.org/officeDocument/2006/relationships/pivotTable" Target="../pivotTables/pivotTable29.xml"/><Relationship Id="rId12" Type="http://schemas.microsoft.com/office/2007/relationships/slicer" Target="../slicers/slicer3.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11" Type="http://schemas.openxmlformats.org/officeDocument/2006/relationships/table" Target="../tables/table7.xml"/><Relationship Id="rId5" Type="http://schemas.openxmlformats.org/officeDocument/2006/relationships/pivotTable" Target="../pivotTables/pivotTable27.xml"/><Relationship Id="rId10" Type="http://schemas.openxmlformats.org/officeDocument/2006/relationships/drawing" Target="../drawings/drawing7.xml"/><Relationship Id="rId4" Type="http://schemas.openxmlformats.org/officeDocument/2006/relationships/pivotTable" Target="../pivotTables/pivotTable26.xml"/><Relationship Id="rId9" Type="http://schemas.openxmlformats.org/officeDocument/2006/relationships/pivotTable" Target="../pivotTables/pivotTable31.xml"/></Relationships>
</file>

<file path=xl/worksheets/_rels/sheet1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B7986-A8D0-47A4-AE8A-F5EF3DC4D822}">
  <dimension ref="A1:Z1065"/>
  <sheetViews>
    <sheetView topLeftCell="A940" workbookViewId="0">
      <selection activeCell="C1064" sqref="C1064"/>
    </sheetView>
  </sheetViews>
  <sheetFormatPr defaultRowHeight="14.4"/>
  <cols>
    <col min="1" max="1" width="9.6640625" bestFit="1" customWidth="1"/>
    <col min="2" max="2" width="7.21875" bestFit="1" customWidth="1"/>
    <col min="3" max="3" width="10.33203125" bestFit="1" customWidth="1"/>
    <col min="4" max="4" width="13" bestFit="1" customWidth="1"/>
    <col min="5" max="5" width="22" bestFit="1" customWidth="1"/>
    <col min="6" max="6" width="11.88671875" bestFit="1" customWidth="1"/>
    <col min="7" max="7" width="13.77734375" bestFit="1" customWidth="1"/>
    <col min="8" max="8" width="14.44140625" bestFit="1" customWidth="1"/>
    <col min="9" max="9" width="15.5546875" bestFit="1" customWidth="1"/>
    <col min="10" max="10" width="7.88671875" bestFit="1" customWidth="1"/>
    <col min="11" max="11" width="7.44140625" bestFit="1" customWidth="1"/>
    <col min="12" max="12" width="14" bestFit="1" customWidth="1"/>
    <col min="13" max="14" width="13.6640625" bestFit="1" customWidth="1"/>
    <col min="15" max="15" width="13.21875" bestFit="1" customWidth="1"/>
    <col min="16" max="16" width="16.21875" bestFit="1" customWidth="1"/>
    <col min="17" max="17" width="12.109375" bestFit="1" customWidth="1"/>
    <col min="18" max="18" width="12.5546875" bestFit="1" customWidth="1"/>
    <col min="19" max="19" width="13.44140625" bestFit="1" customWidth="1"/>
    <col min="20" max="20" width="17.5546875" bestFit="1" customWidth="1"/>
    <col min="21" max="21" width="16.44140625" bestFit="1" customWidth="1"/>
    <col min="22" max="22" width="25.77734375" bestFit="1" customWidth="1"/>
    <col min="23" max="23" width="18.33203125" bestFit="1" customWidth="1"/>
    <col min="24" max="24" width="18" bestFit="1" customWidth="1"/>
    <col min="25" max="25" width="16.109375" bestFit="1" customWidth="1"/>
    <col min="26" max="26" width="17.44140625" bestFit="1" customWidth="1"/>
  </cols>
  <sheetData>
    <row r="1" spans="1:26" ht="18">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t="s">
        <v>61</v>
      </c>
      <c r="R1" t="s">
        <v>62</v>
      </c>
      <c r="S1" s="1" t="s">
        <v>63</v>
      </c>
      <c r="T1" s="1" t="s">
        <v>64</v>
      </c>
      <c r="U1" s="8" t="s">
        <v>65</v>
      </c>
      <c r="V1" t="s">
        <v>66</v>
      </c>
      <c r="W1" s="9" t="s">
        <v>67</v>
      </c>
      <c r="X1" s="8" t="s">
        <v>68</v>
      </c>
      <c r="Y1" s="8" t="s">
        <v>69</v>
      </c>
      <c r="Z1" s="10" t="s">
        <v>71</v>
      </c>
    </row>
    <row r="2" spans="1:26">
      <c r="A2" s="3">
        <v>303</v>
      </c>
      <c r="B2" s="3">
        <v>51</v>
      </c>
      <c r="C2" s="4">
        <v>41183</v>
      </c>
      <c r="D2" s="3" t="s">
        <v>16</v>
      </c>
      <c r="E2" s="3" t="s">
        <v>17</v>
      </c>
      <c r="F2" s="3">
        <v>46</v>
      </c>
      <c r="G2" s="3" t="s">
        <v>18</v>
      </c>
      <c r="H2" s="3" t="s">
        <v>19</v>
      </c>
      <c r="I2" s="3" t="s">
        <v>20</v>
      </c>
      <c r="J2" s="3">
        <v>-5</v>
      </c>
      <c r="K2" s="3">
        <v>122</v>
      </c>
      <c r="L2" s="3" t="s">
        <v>21</v>
      </c>
      <c r="M2" s="3">
        <v>30</v>
      </c>
      <c r="N2" s="3">
        <v>30</v>
      </c>
      <c r="O2" s="3">
        <v>90</v>
      </c>
      <c r="P2" s="3">
        <v>76</v>
      </c>
      <c r="Q2">
        <f>SUM([1]!Table1[[#This Row],[Sales]])</f>
        <v>122</v>
      </c>
      <c r="R2">
        <f>SUM([1]!Table1[[#This Row],[Profit]])</f>
        <v>-5</v>
      </c>
      <c r="S2" s="7">
        <f>J2/K2</f>
        <v>-4.0983606557377046E-2</v>
      </c>
      <c r="T2">
        <f>SUM(F2)</f>
        <v>46</v>
      </c>
      <c r="U2">
        <f>K2-O2</f>
        <v>32</v>
      </c>
      <c r="V2">
        <f>B2-M2</f>
        <v>21</v>
      </c>
      <c r="W2">
        <f>J2/F2</f>
        <v>-0.10869565217391304</v>
      </c>
      <c r="X2" t="str">
        <f>IF(J2&gt;100,"High Profit","Low Profit")</f>
        <v>Low Profit</v>
      </c>
      <c r="Y2">
        <f>SUM(B2)</f>
        <v>51</v>
      </c>
      <c r="Z2">
        <f>SUM(K2)</f>
        <v>122</v>
      </c>
    </row>
    <row r="3" spans="1:26">
      <c r="A3" s="5">
        <v>970</v>
      </c>
      <c r="B3" s="5">
        <v>52</v>
      </c>
      <c r="C3" s="6">
        <v>41183</v>
      </c>
      <c r="D3" s="5" t="s">
        <v>16</v>
      </c>
      <c r="E3" s="5" t="s">
        <v>17</v>
      </c>
      <c r="F3" s="5">
        <v>17</v>
      </c>
      <c r="G3" s="5" t="s">
        <v>18</v>
      </c>
      <c r="H3" s="5" t="s">
        <v>19</v>
      </c>
      <c r="I3" s="5" t="s">
        <v>22</v>
      </c>
      <c r="J3" s="5">
        <v>26</v>
      </c>
      <c r="K3" s="5">
        <v>123</v>
      </c>
      <c r="L3" s="5" t="s">
        <v>21</v>
      </c>
      <c r="M3" s="5">
        <v>30</v>
      </c>
      <c r="N3" s="5">
        <v>50</v>
      </c>
      <c r="O3" s="5">
        <v>90</v>
      </c>
      <c r="P3" s="5">
        <v>45</v>
      </c>
      <c r="Q3">
        <f>SUM([1]!Table1[[#This Row],[Sales]])</f>
        <v>123</v>
      </c>
      <c r="R3">
        <f>SUM([1]!Table1[[#This Row],[Profit]])</f>
        <v>26</v>
      </c>
      <c r="S3" s="7">
        <f t="shared" ref="S3:S66" si="0">J3/K3</f>
        <v>0.21138211382113822</v>
      </c>
      <c r="T3">
        <f t="shared" ref="T3:T66" si="1">SUM(F3)</f>
        <v>17</v>
      </c>
      <c r="U3">
        <f t="shared" ref="U3:U66" si="2">K3-O3</f>
        <v>33</v>
      </c>
      <c r="V3">
        <f t="shared" ref="V3:V66" si="3">B3-M3</f>
        <v>22</v>
      </c>
      <c r="W3">
        <f t="shared" ref="W3:W66" si="4">J3/F3</f>
        <v>1.5294117647058822</v>
      </c>
      <c r="X3" t="str">
        <f t="shared" ref="X3:X66" si="5">IF(J3&gt;100,"High Profit","Low Profit")</f>
        <v>Low Profit</v>
      </c>
      <c r="Y3">
        <f t="shared" ref="Y3:Y66" si="6">SUM(B3)</f>
        <v>52</v>
      </c>
      <c r="Z3">
        <f t="shared" ref="Z3:Z66" si="7">SUM(K3)</f>
        <v>123</v>
      </c>
    </row>
    <row r="4" spans="1:26">
      <c r="A4" s="3">
        <v>409</v>
      </c>
      <c r="B4" s="3">
        <v>43</v>
      </c>
      <c r="C4" s="4">
        <v>41183</v>
      </c>
      <c r="D4" s="3" t="s">
        <v>16</v>
      </c>
      <c r="E4" s="3" t="s">
        <v>23</v>
      </c>
      <c r="F4" s="3">
        <v>13</v>
      </c>
      <c r="G4" s="3" t="s">
        <v>18</v>
      </c>
      <c r="H4" s="3" t="s">
        <v>19</v>
      </c>
      <c r="I4" s="3" t="s">
        <v>20</v>
      </c>
      <c r="J4" s="3">
        <v>28</v>
      </c>
      <c r="K4" s="3">
        <v>107</v>
      </c>
      <c r="L4" s="3" t="s">
        <v>24</v>
      </c>
      <c r="M4" s="3">
        <v>30</v>
      </c>
      <c r="N4" s="3">
        <v>50</v>
      </c>
      <c r="O4" s="3">
        <v>90</v>
      </c>
      <c r="P4" s="3">
        <v>36</v>
      </c>
      <c r="Q4">
        <f>SUM([1]!Table1[[#This Row],[Sales]])</f>
        <v>107</v>
      </c>
      <c r="R4">
        <f>SUM([1]!Table1[[#This Row],[Profit]])</f>
        <v>28</v>
      </c>
      <c r="S4" s="7">
        <f t="shared" si="0"/>
        <v>0.26168224299065418</v>
      </c>
      <c r="T4">
        <f t="shared" si="1"/>
        <v>13</v>
      </c>
      <c r="U4">
        <f t="shared" si="2"/>
        <v>17</v>
      </c>
      <c r="V4">
        <f t="shared" si="3"/>
        <v>13</v>
      </c>
      <c r="W4">
        <f t="shared" si="4"/>
        <v>2.1538461538461537</v>
      </c>
      <c r="X4" t="str">
        <f t="shared" si="5"/>
        <v>Low Profit</v>
      </c>
      <c r="Y4">
        <f t="shared" si="6"/>
        <v>43</v>
      </c>
      <c r="Z4">
        <f t="shared" si="7"/>
        <v>107</v>
      </c>
    </row>
    <row r="5" spans="1:26">
      <c r="A5" s="5">
        <v>850</v>
      </c>
      <c r="B5" s="5">
        <v>38</v>
      </c>
      <c r="C5" s="6">
        <v>41183</v>
      </c>
      <c r="D5" s="5" t="s">
        <v>16</v>
      </c>
      <c r="E5" s="5" t="s">
        <v>25</v>
      </c>
      <c r="F5" s="5">
        <v>10</v>
      </c>
      <c r="G5" s="5" t="s">
        <v>18</v>
      </c>
      <c r="H5" s="5" t="s">
        <v>26</v>
      </c>
      <c r="I5" s="5" t="s">
        <v>27</v>
      </c>
      <c r="J5" s="5">
        <v>35</v>
      </c>
      <c r="K5" s="5">
        <v>94</v>
      </c>
      <c r="L5" s="5" t="s">
        <v>28</v>
      </c>
      <c r="M5" s="5">
        <v>40</v>
      </c>
      <c r="N5" s="5">
        <v>50</v>
      </c>
      <c r="O5" s="5">
        <v>100</v>
      </c>
      <c r="P5" s="5">
        <v>21</v>
      </c>
      <c r="Q5">
        <f>SUM([1]!Table1[[#This Row],[Sales]])</f>
        <v>94</v>
      </c>
      <c r="R5">
        <f>SUM([1]!Table1[[#This Row],[Profit]])</f>
        <v>35</v>
      </c>
      <c r="S5" s="7">
        <f t="shared" si="0"/>
        <v>0.37234042553191488</v>
      </c>
      <c r="T5">
        <f t="shared" si="1"/>
        <v>10</v>
      </c>
      <c r="U5">
        <f t="shared" si="2"/>
        <v>-6</v>
      </c>
      <c r="V5">
        <f t="shared" si="3"/>
        <v>-2</v>
      </c>
      <c r="W5">
        <f t="shared" si="4"/>
        <v>3.5</v>
      </c>
      <c r="X5" t="str">
        <f t="shared" si="5"/>
        <v>Low Profit</v>
      </c>
      <c r="Y5">
        <f t="shared" si="6"/>
        <v>38</v>
      </c>
      <c r="Z5">
        <f t="shared" si="7"/>
        <v>94</v>
      </c>
    </row>
    <row r="6" spans="1:26">
      <c r="A6" s="3">
        <v>562</v>
      </c>
      <c r="B6" s="3">
        <v>72</v>
      </c>
      <c r="C6" s="4">
        <v>41183</v>
      </c>
      <c r="D6" s="3" t="s">
        <v>16</v>
      </c>
      <c r="E6" s="3" t="s">
        <v>29</v>
      </c>
      <c r="F6" s="3">
        <v>23</v>
      </c>
      <c r="G6" s="3" t="s">
        <v>18</v>
      </c>
      <c r="H6" s="3" t="s">
        <v>26</v>
      </c>
      <c r="I6" s="3" t="s">
        <v>30</v>
      </c>
      <c r="J6" s="3">
        <v>56</v>
      </c>
      <c r="K6" s="3">
        <v>182</v>
      </c>
      <c r="L6" s="3" t="s">
        <v>31</v>
      </c>
      <c r="M6" s="3">
        <v>20</v>
      </c>
      <c r="N6" s="3">
        <v>50</v>
      </c>
      <c r="O6" s="3">
        <v>80</v>
      </c>
      <c r="P6" s="3">
        <v>54</v>
      </c>
      <c r="Q6">
        <f>SUM([1]!Table1[[#This Row],[Sales]])</f>
        <v>182</v>
      </c>
      <c r="R6">
        <f>SUM([1]!Table1[[#This Row],[Profit]])</f>
        <v>56</v>
      </c>
      <c r="S6" s="7">
        <f t="shared" si="0"/>
        <v>0.30769230769230771</v>
      </c>
      <c r="T6">
        <f t="shared" si="1"/>
        <v>23</v>
      </c>
      <c r="U6">
        <f t="shared" si="2"/>
        <v>102</v>
      </c>
      <c r="V6">
        <f t="shared" si="3"/>
        <v>52</v>
      </c>
      <c r="W6">
        <f t="shared" si="4"/>
        <v>2.4347826086956523</v>
      </c>
      <c r="X6" t="str">
        <f t="shared" si="5"/>
        <v>Low Profit</v>
      </c>
      <c r="Y6">
        <f t="shared" si="6"/>
        <v>72</v>
      </c>
      <c r="Z6">
        <f t="shared" si="7"/>
        <v>182</v>
      </c>
    </row>
    <row r="7" spans="1:26">
      <c r="A7" s="5">
        <v>712</v>
      </c>
      <c r="B7" s="5">
        <v>0</v>
      </c>
      <c r="C7" s="6">
        <v>41183</v>
      </c>
      <c r="D7" s="5" t="s">
        <v>32</v>
      </c>
      <c r="E7" s="5" t="s">
        <v>17</v>
      </c>
      <c r="F7" s="5">
        <v>0</v>
      </c>
      <c r="G7" s="5" t="s">
        <v>33</v>
      </c>
      <c r="H7" s="5" t="s">
        <v>34</v>
      </c>
      <c r="I7" s="5" t="s">
        <v>35</v>
      </c>
      <c r="J7" s="5">
        <v>31</v>
      </c>
      <c r="K7" s="5">
        <v>43</v>
      </c>
      <c r="L7" s="5" t="s">
        <v>36</v>
      </c>
      <c r="M7" s="5">
        <v>0</v>
      </c>
      <c r="N7" s="5">
        <v>60</v>
      </c>
      <c r="O7" s="5">
        <v>60</v>
      </c>
      <c r="P7" s="5">
        <v>12</v>
      </c>
      <c r="Q7">
        <f>SUM([1]!Table1[[#This Row],[Sales]])</f>
        <v>43</v>
      </c>
      <c r="R7">
        <f>SUM([1]!Table1[[#This Row],[Profit]])</f>
        <v>31</v>
      </c>
      <c r="S7" s="7">
        <f t="shared" si="0"/>
        <v>0.72093023255813948</v>
      </c>
      <c r="T7">
        <f t="shared" si="1"/>
        <v>0</v>
      </c>
      <c r="U7">
        <f t="shared" si="2"/>
        <v>-17</v>
      </c>
      <c r="V7">
        <f t="shared" si="3"/>
        <v>0</v>
      </c>
      <c r="W7" t="e">
        <f t="shared" si="4"/>
        <v>#DIV/0!</v>
      </c>
      <c r="X7" t="str">
        <f t="shared" si="5"/>
        <v>Low Profit</v>
      </c>
      <c r="Y7">
        <f t="shared" si="6"/>
        <v>0</v>
      </c>
      <c r="Z7">
        <f t="shared" si="7"/>
        <v>43</v>
      </c>
    </row>
    <row r="8" spans="1:26">
      <c r="A8" s="3">
        <v>860</v>
      </c>
      <c r="B8" s="3">
        <v>47</v>
      </c>
      <c r="C8" s="4">
        <v>41183</v>
      </c>
      <c r="D8" s="3" t="s">
        <v>32</v>
      </c>
      <c r="E8" s="3" t="s">
        <v>25</v>
      </c>
      <c r="F8" s="3">
        <v>15</v>
      </c>
      <c r="G8" s="3" t="s">
        <v>33</v>
      </c>
      <c r="H8" s="3" t="s">
        <v>34</v>
      </c>
      <c r="I8" s="3" t="s">
        <v>35</v>
      </c>
      <c r="J8" s="3">
        <v>21</v>
      </c>
      <c r="K8" s="3">
        <v>111</v>
      </c>
      <c r="L8" s="3" t="s">
        <v>37</v>
      </c>
      <c r="M8" s="3">
        <v>30</v>
      </c>
      <c r="N8" s="3">
        <v>50</v>
      </c>
      <c r="O8" s="3">
        <v>90</v>
      </c>
      <c r="P8" s="3">
        <v>43</v>
      </c>
      <c r="Q8">
        <f>SUM([1]!Table1[[#This Row],[Sales]])</f>
        <v>111</v>
      </c>
      <c r="R8">
        <f>SUM([1]!Table1[[#This Row],[Profit]])</f>
        <v>21</v>
      </c>
      <c r="S8" s="7">
        <f t="shared" si="0"/>
        <v>0.1891891891891892</v>
      </c>
      <c r="T8">
        <f t="shared" si="1"/>
        <v>15</v>
      </c>
      <c r="U8">
        <f t="shared" si="2"/>
        <v>21</v>
      </c>
      <c r="V8">
        <f t="shared" si="3"/>
        <v>17</v>
      </c>
      <c r="W8">
        <f t="shared" si="4"/>
        <v>1.4</v>
      </c>
      <c r="X8" t="str">
        <f t="shared" si="5"/>
        <v>Low Profit</v>
      </c>
      <c r="Y8">
        <f t="shared" si="6"/>
        <v>47</v>
      </c>
      <c r="Z8">
        <f t="shared" si="7"/>
        <v>111</v>
      </c>
    </row>
    <row r="9" spans="1:26">
      <c r="A9" s="5">
        <v>918</v>
      </c>
      <c r="B9" s="5">
        <v>27</v>
      </c>
      <c r="C9" s="6">
        <v>41183</v>
      </c>
      <c r="D9" s="5" t="s">
        <v>32</v>
      </c>
      <c r="E9" s="5" t="s">
        <v>23</v>
      </c>
      <c r="F9" s="5">
        <v>7</v>
      </c>
      <c r="G9" s="5" t="s">
        <v>33</v>
      </c>
      <c r="H9" s="5" t="s">
        <v>38</v>
      </c>
      <c r="I9" s="5" t="s">
        <v>39</v>
      </c>
      <c r="J9" s="5">
        <v>21</v>
      </c>
      <c r="K9" s="5">
        <v>66</v>
      </c>
      <c r="L9" s="5" t="s">
        <v>40</v>
      </c>
      <c r="M9" s="5">
        <v>30</v>
      </c>
      <c r="N9" s="5">
        <v>60</v>
      </c>
      <c r="O9" s="5">
        <v>90</v>
      </c>
      <c r="P9" s="5">
        <v>18</v>
      </c>
      <c r="Q9">
        <f>SUM([1]!Table1[[#This Row],[Sales]])</f>
        <v>66</v>
      </c>
      <c r="R9">
        <f>SUM([1]!Table1[[#This Row],[Profit]])</f>
        <v>21</v>
      </c>
      <c r="S9" s="7">
        <f t="shared" si="0"/>
        <v>0.31818181818181818</v>
      </c>
      <c r="T9">
        <f t="shared" si="1"/>
        <v>7</v>
      </c>
      <c r="U9">
        <f t="shared" si="2"/>
        <v>-24</v>
      </c>
      <c r="V9">
        <f t="shared" si="3"/>
        <v>-3</v>
      </c>
      <c r="W9">
        <f t="shared" si="4"/>
        <v>3</v>
      </c>
      <c r="X9" t="str">
        <f t="shared" si="5"/>
        <v>Low Profit</v>
      </c>
      <c r="Y9">
        <f t="shared" si="6"/>
        <v>27</v>
      </c>
      <c r="Z9">
        <f t="shared" si="7"/>
        <v>66</v>
      </c>
    </row>
    <row r="10" spans="1:26">
      <c r="A10" s="3">
        <v>775</v>
      </c>
      <c r="B10" s="3">
        <v>31</v>
      </c>
      <c r="C10" s="4">
        <v>41183</v>
      </c>
      <c r="D10" s="3" t="s">
        <v>32</v>
      </c>
      <c r="E10" s="3" t="s">
        <v>29</v>
      </c>
      <c r="F10" s="3">
        <v>9</v>
      </c>
      <c r="G10" s="3" t="s">
        <v>33</v>
      </c>
      <c r="H10" s="3" t="s">
        <v>38</v>
      </c>
      <c r="I10" s="3" t="s">
        <v>39</v>
      </c>
      <c r="J10" s="3">
        <v>7</v>
      </c>
      <c r="K10" s="3">
        <v>68</v>
      </c>
      <c r="L10" s="3" t="s">
        <v>41</v>
      </c>
      <c r="M10" s="3">
        <v>30</v>
      </c>
      <c r="N10" s="3">
        <v>50</v>
      </c>
      <c r="O10" s="3">
        <v>90</v>
      </c>
      <c r="P10" s="3">
        <v>30</v>
      </c>
      <c r="Q10">
        <f>SUM([1]!Table1[[#This Row],[Sales]])</f>
        <v>68</v>
      </c>
      <c r="R10">
        <f>SUM([1]!Table1[[#This Row],[Profit]])</f>
        <v>7</v>
      </c>
      <c r="S10" s="7">
        <f t="shared" si="0"/>
        <v>0.10294117647058823</v>
      </c>
      <c r="T10">
        <f t="shared" si="1"/>
        <v>9</v>
      </c>
      <c r="U10">
        <f t="shared" si="2"/>
        <v>-22</v>
      </c>
      <c r="V10">
        <f t="shared" si="3"/>
        <v>1</v>
      </c>
      <c r="W10">
        <f t="shared" si="4"/>
        <v>0.77777777777777779</v>
      </c>
      <c r="X10" t="str">
        <f t="shared" si="5"/>
        <v>Low Profit</v>
      </c>
      <c r="Y10">
        <f t="shared" si="6"/>
        <v>31</v>
      </c>
      <c r="Z10">
        <f t="shared" si="7"/>
        <v>68</v>
      </c>
    </row>
    <row r="11" spans="1:26">
      <c r="A11" s="5">
        <v>435</v>
      </c>
      <c r="B11" s="5">
        <v>40</v>
      </c>
      <c r="C11" s="6">
        <v>41183</v>
      </c>
      <c r="D11" s="5" t="s">
        <v>32</v>
      </c>
      <c r="E11" s="5" t="s">
        <v>29</v>
      </c>
      <c r="F11" s="5">
        <v>11</v>
      </c>
      <c r="G11" s="5" t="s">
        <v>33</v>
      </c>
      <c r="H11" s="5" t="s">
        <v>34</v>
      </c>
      <c r="I11" s="5" t="s">
        <v>35</v>
      </c>
      <c r="J11" s="5">
        <v>37</v>
      </c>
      <c r="K11" s="5">
        <v>99</v>
      </c>
      <c r="L11" s="5" t="s">
        <v>42</v>
      </c>
      <c r="M11" s="5">
        <v>20</v>
      </c>
      <c r="N11" s="5">
        <v>60</v>
      </c>
      <c r="O11" s="5">
        <v>80</v>
      </c>
      <c r="P11" s="5">
        <v>22</v>
      </c>
      <c r="Q11">
        <f>SUM([1]!Table1[[#This Row],[Sales]])</f>
        <v>99</v>
      </c>
      <c r="R11">
        <f>SUM([1]!Table1[[#This Row],[Profit]])</f>
        <v>37</v>
      </c>
      <c r="S11" s="7">
        <f t="shared" si="0"/>
        <v>0.37373737373737376</v>
      </c>
      <c r="T11">
        <f t="shared" si="1"/>
        <v>11</v>
      </c>
      <c r="U11">
        <f t="shared" si="2"/>
        <v>19</v>
      </c>
      <c r="V11">
        <f t="shared" si="3"/>
        <v>20</v>
      </c>
      <c r="W11">
        <f t="shared" si="4"/>
        <v>3.3636363636363638</v>
      </c>
      <c r="X11" t="str">
        <f t="shared" si="5"/>
        <v>Low Profit</v>
      </c>
      <c r="Y11">
        <f t="shared" si="6"/>
        <v>40</v>
      </c>
      <c r="Z11">
        <f t="shared" si="7"/>
        <v>99</v>
      </c>
    </row>
    <row r="12" spans="1:26">
      <c r="A12" s="3">
        <v>603</v>
      </c>
      <c r="B12" s="3">
        <v>49</v>
      </c>
      <c r="C12" s="4">
        <v>41183</v>
      </c>
      <c r="D12" s="3" t="s">
        <v>32</v>
      </c>
      <c r="E12" s="3" t="s">
        <v>25</v>
      </c>
      <c r="F12" s="3">
        <v>15</v>
      </c>
      <c r="G12" s="3" t="s">
        <v>33</v>
      </c>
      <c r="H12" s="3" t="s">
        <v>38</v>
      </c>
      <c r="I12" s="3" t="s">
        <v>43</v>
      </c>
      <c r="J12" s="3">
        <v>33</v>
      </c>
      <c r="K12" s="3">
        <v>120</v>
      </c>
      <c r="L12" s="3" t="s">
        <v>44</v>
      </c>
      <c r="M12" s="3">
        <v>30</v>
      </c>
      <c r="N12" s="3">
        <v>60</v>
      </c>
      <c r="O12" s="3">
        <v>90</v>
      </c>
      <c r="P12" s="3">
        <v>38</v>
      </c>
      <c r="Q12">
        <f>SUM([1]!Table1[[#This Row],[Sales]])</f>
        <v>120</v>
      </c>
      <c r="R12">
        <f>SUM([1]!Table1[[#This Row],[Profit]])</f>
        <v>33</v>
      </c>
      <c r="S12" s="7">
        <f t="shared" si="0"/>
        <v>0.27500000000000002</v>
      </c>
      <c r="T12">
        <f t="shared" si="1"/>
        <v>15</v>
      </c>
      <c r="U12">
        <f t="shared" si="2"/>
        <v>30</v>
      </c>
      <c r="V12">
        <f t="shared" si="3"/>
        <v>19</v>
      </c>
      <c r="W12">
        <f t="shared" si="4"/>
        <v>2.2000000000000002</v>
      </c>
      <c r="X12" t="str">
        <f t="shared" si="5"/>
        <v>Low Profit</v>
      </c>
      <c r="Y12">
        <f t="shared" si="6"/>
        <v>49</v>
      </c>
      <c r="Z12">
        <f t="shared" si="7"/>
        <v>120</v>
      </c>
    </row>
    <row r="13" spans="1:26">
      <c r="A13" s="5">
        <v>603</v>
      </c>
      <c r="B13" s="5">
        <v>45</v>
      </c>
      <c r="C13" s="6">
        <v>41183</v>
      </c>
      <c r="D13" s="5" t="s">
        <v>32</v>
      </c>
      <c r="E13" s="5" t="s">
        <v>25</v>
      </c>
      <c r="F13" s="5">
        <v>14</v>
      </c>
      <c r="G13" s="5" t="s">
        <v>33</v>
      </c>
      <c r="H13" s="5" t="s">
        <v>38</v>
      </c>
      <c r="I13" s="5" t="s">
        <v>45</v>
      </c>
      <c r="J13" s="5">
        <v>24</v>
      </c>
      <c r="K13" s="5">
        <v>114</v>
      </c>
      <c r="L13" s="5" t="s">
        <v>44</v>
      </c>
      <c r="M13" s="5">
        <v>30</v>
      </c>
      <c r="N13" s="5">
        <v>50</v>
      </c>
      <c r="O13" s="5">
        <v>90</v>
      </c>
      <c r="P13" s="5">
        <v>45</v>
      </c>
      <c r="Q13">
        <f>SUM([1]!Table1[[#This Row],[Sales]])</f>
        <v>114</v>
      </c>
      <c r="R13">
        <f>SUM([1]!Table1[[#This Row],[Profit]])</f>
        <v>24</v>
      </c>
      <c r="S13" s="7">
        <f t="shared" si="0"/>
        <v>0.21052631578947367</v>
      </c>
      <c r="T13">
        <f t="shared" si="1"/>
        <v>14</v>
      </c>
      <c r="U13">
        <f t="shared" si="2"/>
        <v>24</v>
      </c>
      <c r="V13">
        <f t="shared" si="3"/>
        <v>15</v>
      </c>
      <c r="W13">
        <f t="shared" si="4"/>
        <v>1.7142857142857142</v>
      </c>
      <c r="X13" t="str">
        <f t="shared" si="5"/>
        <v>Low Profit</v>
      </c>
      <c r="Y13">
        <f t="shared" si="6"/>
        <v>45</v>
      </c>
      <c r="Z13">
        <f t="shared" si="7"/>
        <v>114</v>
      </c>
    </row>
    <row r="14" spans="1:26">
      <c r="A14" s="3">
        <v>603</v>
      </c>
      <c r="B14" s="3">
        <v>45</v>
      </c>
      <c r="C14" s="4">
        <v>41183</v>
      </c>
      <c r="D14" s="3" t="s">
        <v>32</v>
      </c>
      <c r="E14" s="3" t="s">
        <v>25</v>
      </c>
      <c r="F14" s="3">
        <v>41</v>
      </c>
      <c r="G14" s="3" t="s">
        <v>33</v>
      </c>
      <c r="H14" s="3" t="s">
        <v>34</v>
      </c>
      <c r="I14" s="3" t="s">
        <v>46</v>
      </c>
      <c r="J14" s="3">
        <v>-7</v>
      </c>
      <c r="K14" s="3">
        <v>109</v>
      </c>
      <c r="L14" s="3" t="s">
        <v>44</v>
      </c>
      <c r="M14" s="3">
        <v>30</v>
      </c>
      <c r="N14" s="3">
        <v>30</v>
      </c>
      <c r="O14" s="3">
        <v>90</v>
      </c>
      <c r="P14" s="3">
        <v>71</v>
      </c>
      <c r="Q14">
        <f>SUM([1]!Table1[[#This Row],[Sales]])</f>
        <v>109</v>
      </c>
      <c r="R14">
        <f>SUM([1]!Table1[[#This Row],[Profit]])</f>
        <v>-7</v>
      </c>
      <c r="S14" s="7">
        <f t="shared" si="0"/>
        <v>-6.4220183486238536E-2</v>
      </c>
      <c r="T14">
        <f t="shared" si="1"/>
        <v>41</v>
      </c>
      <c r="U14">
        <f t="shared" si="2"/>
        <v>19</v>
      </c>
      <c r="V14">
        <f t="shared" si="3"/>
        <v>15</v>
      </c>
      <c r="W14">
        <f t="shared" si="4"/>
        <v>-0.17073170731707318</v>
      </c>
      <c r="X14" t="str">
        <f t="shared" si="5"/>
        <v>Low Profit</v>
      </c>
      <c r="Y14">
        <f t="shared" si="6"/>
        <v>45</v>
      </c>
      <c r="Z14">
        <f t="shared" si="7"/>
        <v>109</v>
      </c>
    </row>
    <row r="15" spans="1:26">
      <c r="A15" s="5">
        <v>318</v>
      </c>
      <c r="B15" s="5">
        <v>60</v>
      </c>
      <c r="C15" s="6">
        <v>41183</v>
      </c>
      <c r="D15" s="5" t="s">
        <v>32</v>
      </c>
      <c r="E15" s="5" t="s">
        <v>23</v>
      </c>
      <c r="F15" s="5">
        <v>54</v>
      </c>
      <c r="G15" s="5" t="s">
        <v>33</v>
      </c>
      <c r="H15" s="5" t="s">
        <v>34</v>
      </c>
      <c r="I15" s="5" t="s">
        <v>47</v>
      </c>
      <c r="J15" s="5">
        <v>1</v>
      </c>
      <c r="K15" s="5">
        <v>144</v>
      </c>
      <c r="L15" s="5" t="s">
        <v>48</v>
      </c>
      <c r="M15" s="5">
        <v>30</v>
      </c>
      <c r="N15" s="5">
        <v>10</v>
      </c>
      <c r="O15" s="5">
        <v>90</v>
      </c>
      <c r="P15" s="5">
        <v>83</v>
      </c>
      <c r="Q15">
        <f>SUM([1]!Table1[[#This Row],[Sales]])</f>
        <v>144</v>
      </c>
      <c r="R15">
        <f>SUM([1]!Table1[[#This Row],[Profit]])</f>
        <v>1</v>
      </c>
      <c r="S15" s="7">
        <f t="shared" si="0"/>
        <v>6.9444444444444441E-3</v>
      </c>
      <c r="T15">
        <f t="shared" si="1"/>
        <v>54</v>
      </c>
      <c r="U15">
        <f t="shared" si="2"/>
        <v>54</v>
      </c>
      <c r="V15">
        <f t="shared" si="3"/>
        <v>30</v>
      </c>
      <c r="W15">
        <f t="shared" si="4"/>
        <v>1.8518518518518517E-2</v>
      </c>
      <c r="X15" t="str">
        <f t="shared" si="5"/>
        <v>Low Profit</v>
      </c>
      <c r="Y15">
        <f t="shared" si="6"/>
        <v>60</v>
      </c>
      <c r="Z15">
        <f t="shared" si="7"/>
        <v>144</v>
      </c>
    </row>
    <row r="16" spans="1:26">
      <c r="A16" s="3">
        <v>775</v>
      </c>
      <c r="B16" s="3">
        <v>34</v>
      </c>
      <c r="C16" s="4">
        <v>41183</v>
      </c>
      <c r="D16" s="3" t="s">
        <v>32</v>
      </c>
      <c r="E16" s="3" t="s">
        <v>29</v>
      </c>
      <c r="F16" s="3">
        <v>12</v>
      </c>
      <c r="G16" s="3" t="s">
        <v>33</v>
      </c>
      <c r="H16" s="3" t="s">
        <v>38</v>
      </c>
      <c r="I16" s="3" t="s">
        <v>45</v>
      </c>
      <c r="J16" s="3">
        <v>-2</v>
      </c>
      <c r="K16" s="3">
        <v>77</v>
      </c>
      <c r="L16" s="3" t="s">
        <v>41</v>
      </c>
      <c r="M16" s="3">
        <v>40</v>
      </c>
      <c r="N16" s="3">
        <v>30</v>
      </c>
      <c r="O16" s="3">
        <v>100</v>
      </c>
      <c r="P16" s="3">
        <v>45</v>
      </c>
      <c r="Q16">
        <f>SUM([1]!Table1[[#This Row],[Sales]])</f>
        <v>77</v>
      </c>
      <c r="R16">
        <f>SUM([1]!Table1[[#This Row],[Profit]])</f>
        <v>-2</v>
      </c>
      <c r="S16" s="7">
        <f t="shared" si="0"/>
        <v>-2.5974025974025976E-2</v>
      </c>
      <c r="T16">
        <f t="shared" si="1"/>
        <v>12</v>
      </c>
      <c r="U16">
        <f t="shared" si="2"/>
        <v>-23</v>
      </c>
      <c r="V16">
        <f t="shared" si="3"/>
        <v>-6</v>
      </c>
      <c r="W16">
        <f t="shared" si="4"/>
        <v>-0.16666666666666666</v>
      </c>
      <c r="X16" t="str">
        <f t="shared" si="5"/>
        <v>Low Profit</v>
      </c>
      <c r="Y16">
        <f t="shared" si="6"/>
        <v>34</v>
      </c>
      <c r="Z16">
        <f t="shared" si="7"/>
        <v>77</v>
      </c>
    </row>
    <row r="17" spans="1:26">
      <c r="A17" s="5">
        <v>503</v>
      </c>
      <c r="B17" s="5">
        <v>54</v>
      </c>
      <c r="C17" s="6">
        <v>41183</v>
      </c>
      <c r="D17" s="5" t="s">
        <v>32</v>
      </c>
      <c r="E17" s="5" t="s">
        <v>29</v>
      </c>
      <c r="F17" s="5">
        <v>20</v>
      </c>
      <c r="G17" s="5" t="s">
        <v>33</v>
      </c>
      <c r="H17" s="5" t="s">
        <v>34</v>
      </c>
      <c r="I17" s="5" t="s">
        <v>47</v>
      </c>
      <c r="J17" s="5">
        <v>12</v>
      </c>
      <c r="K17" s="5">
        <v>120</v>
      </c>
      <c r="L17" s="5" t="s">
        <v>49</v>
      </c>
      <c r="M17" s="5">
        <v>40</v>
      </c>
      <c r="N17" s="5">
        <v>40</v>
      </c>
      <c r="O17" s="5">
        <v>100</v>
      </c>
      <c r="P17" s="5">
        <v>54</v>
      </c>
      <c r="Q17">
        <f>SUM([1]!Table1[[#This Row],[Sales]])</f>
        <v>120</v>
      </c>
      <c r="R17">
        <f>SUM([1]!Table1[[#This Row],[Profit]])</f>
        <v>12</v>
      </c>
      <c r="S17" s="7">
        <f t="shared" si="0"/>
        <v>0.1</v>
      </c>
      <c r="T17">
        <f t="shared" si="1"/>
        <v>20</v>
      </c>
      <c r="U17">
        <f t="shared" si="2"/>
        <v>20</v>
      </c>
      <c r="V17">
        <f t="shared" si="3"/>
        <v>14</v>
      </c>
      <c r="W17">
        <f t="shared" si="4"/>
        <v>0.6</v>
      </c>
      <c r="X17" t="str">
        <f t="shared" si="5"/>
        <v>Low Profit</v>
      </c>
      <c r="Y17">
        <f t="shared" si="6"/>
        <v>54</v>
      </c>
      <c r="Z17">
        <f t="shared" si="7"/>
        <v>120</v>
      </c>
    </row>
    <row r="18" spans="1:26">
      <c r="A18" s="3">
        <v>573</v>
      </c>
      <c r="B18" s="3">
        <v>45</v>
      </c>
      <c r="C18" s="4">
        <v>41183</v>
      </c>
      <c r="D18" s="3" t="s">
        <v>32</v>
      </c>
      <c r="E18" s="3" t="s">
        <v>17</v>
      </c>
      <c r="F18" s="3">
        <v>41</v>
      </c>
      <c r="G18" s="3" t="s">
        <v>18</v>
      </c>
      <c r="H18" s="3" t="s">
        <v>19</v>
      </c>
      <c r="I18" s="3" t="s">
        <v>50</v>
      </c>
      <c r="J18" s="3">
        <v>-6</v>
      </c>
      <c r="K18" s="3">
        <v>109</v>
      </c>
      <c r="L18" s="3" t="s">
        <v>51</v>
      </c>
      <c r="M18" s="3">
        <v>20</v>
      </c>
      <c r="N18" s="3">
        <v>30</v>
      </c>
      <c r="O18" s="3">
        <v>80</v>
      </c>
      <c r="P18" s="3">
        <v>70</v>
      </c>
      <c r="Q18">
        <f>SUM([1]!Table1[[#This Row],[Sales]])</f>
        <v>109</v>
      </c>
      <c r="R18">
        <f>SUM([1]!Table1[[#This Row],[Profit]])</f>
        <v>-6</v>
      </c>
      <c r="S18" s="7">
        <f t="shared" si="0"/>
        <v>-5.5045871559633031E-2</v>
      </c>
      <c r="T18">
        <f t="shared" si="1"/>
        <v>41</v>
      </c>
      <c r="U18">
        <f t="shared" si="2"/>
        <v>29</v>
      </c>
      <c r="V18">
        <f t="shared" si="3"/>
        <v>25</v>
      </c>
      <c r="W18">
        <f t="shared" si="4"/>
        <v>-0.14634146341463414</v>
      </c>
      <c r="X18" t="str">
        <f t="shared" si="5"/>
        <v>Low Profit</v>
      </c>
      <c r="Y18">
        <f t="shared" si="6"/>
        <v>45</v>
      </c>
      <c r="Z18">
        <f t="shared" si="7"/>
        <v>109</v>
      </c>
    </row>
    <row r="19" spans="1:26">
      <c r="A19" s="5">
        <v>262</v>
      </c>
      <c r="B19" s="5">
        <v>48</v>
      </c>
      <c r="C19" s="6">
        <v>41183</v>
      </c>
      <c r="D19" s="5" t="s">
        <v>32</v>
      </c>
      <c r="E19" s="5" t="s">
        <v>17</v>
      </c>
      <c r="F19" s="5">
        <v>13</v>
      </c>
      <c r="G19" s="5" t="s">
        <v>18</v>
      </c>
      <c r="H19" s="5" t="s">
        <v>19</v>
      </c>
      <c r="I19" s="5" t="s">
        <v>20</v>
      </c>
      <c r="J19" s="5">
        <v>45</v>
      </c>
      <c r="K19" s="5">
        <v>118</v>
      </c>
      <c r="L19" s="5" t="s">
        <v>52</v>
      </c>
      <c r="M19" s="5">
        <v>30</v>
      </c>
      <c r="N19" s="5">
        <v>60</v>
      </c>
      <c r="O19" s="5">
        <v>90</v>
      </c>
      <c r="P19" s="5">
        <v>25</v>
      </c>
      <c r="Q19">
        <f>SUM([1]!Table1[[#This Row],[Sales]])</f>
        <v>118</v>
      </c>
      <c r="R19">
        <f>SUM([1]!Table1[[#This Row],[Profit]])</f>
        <v>45</v>
      </c>
      <c r="S19" s="7">
        <f t="shared" si="0"/>
        <v>0.38135593220338981</v>
      </c>
      <c r="T19">
        <f t="shared" si="1"/>
        <v>13</v>
      </c>
      <c r="U19">
        <f t="shared" si="2"/>
        <v>28</v>
      </c>
      <c r="V19">
        <f t="shared" si="3"/>
        <v>18</v>
      </c>
      <c r="W19">
        <f t="shared" si="4"/>
        <v>3.4615384615384617</v>
      </c>
      <c r="X19" t="str">
        <f t="shared" si="5"/>
        <v>Low Profit</v>
      </c>
      <c r="Y19">
        <f t="shared" si="6"/>
        <v>48</v>
      </c>
      <c r="Z19">
        <f t="shared" si="7"/>
        <v>118</v>
      </c>
    </row>
    <row r="20" spans="1:26">
      <c r="A20" s="3">
        <v>801</v>
      </c>
      <c r="B20" s="3">
        <v>49</v>
      </c>
      <c r="C20" s="4">
        <v>41183</v>
      </c>
      <c r="D20" s="3" t="s">
        <v>32</v>
      </c>
      <c r="E20" s="3" t="s">
        <v>29</v>
      </c>
      <c r="F20" s="3">
        <v>15</v>
      </c>
      <c r="G20" s="3" t="s">
        <v>18</v>
      </c>
      <c r="H20" s="3" t="s">
        <v>19</v>
      </c>
      <c r="I20" s="3" t="s">
        <v>50</v>
      </c>
      <c r="J20" s="3">
        <v>33</v>
      </c>
      <c r="K20" s="3">
        <v>120</v>
      </c>
      <c r="L20" s="3" t="s">
        <v>42</v>
      </c>
      <c r="M20" s="3">
        <v>30</v>
      </c>
      <c r="N20" s="3">
        <v>60</v>
      </c>
      <c r="O20" s="3">
        <v>90</v>
      </c>
      <c r="P20" s="3">
        <v>38</v>
      </c>
      <c r="Q20">
        <f>SUM([1]!Table1[[#This Row],[Sales]])</f>
        <v>120</v>
      </c>
      <c r="R20">
        <f>SUM([1]!Table1[[#This Row],[Profit]])</f>
        <v>33</v>
      </c>
      <c r="S20" s="7">
        <f t="shared" si="0"/>
        <v>0.27500000000000002</v>
      </c>
      <c r="T20">
        <f t="shared" si="1"/>
        <v>15</v>
      </c>
      <c r="U20">
        <f t="shared" si="2"/>
        <v>30</v>
      </c>
      <c r="V20">
        <f t="shared" si="3"/>
        <v>19</v>
      </c>
      <c r="W20">
        <f t="shared" si="4"/>
        <v>2.2000000000000002</v>
      </c>
      <c r="X20" t="str">
        <f t="shared" si="5"/>
        <v>Low Profit</v>
      </c>
      <c r="Y20">
        <f t="shared" si="6"/>
        <v>49</v>
      </c>
      <c r="Z20">
        <f t="shared" si="7"/>
        <v>120</v>
      </c>
    </row>
    <row r="21" spans="1:26">
      <c r="A21" s="5">
        <v>425</v>
      </c>
      <c r="B21" s="5">
        <v>48</v>
      </c>
      <c r="C21" s="6">
        <v>41183</v>
      </c>
      <c r="D21" s="5" t="s">
        <v>32</v>
      </c>
      <c r="E21" s="5" t="s">
        <v>29</v>
      </c>
      <c r="F21" s="5">
        <v>13</v>
      </c>
      <c r="G21" s="5" t="s">
        <v>18</v>
      </c>
      <c r="H21" s="5" t="s">
        <v>19</v>
      </c>
      <c r="I21" s="5" t="s">
        <v>20</v>
      </c>
      <c r="J21" s="5">
        <v>47</v>
      </c>
      <c r="K21" s="5">
        <v>119</v>
      </c>
      <c r="L21" s="5" t="s">
        <v>53</v>
      </c>
      <c r="M21" s="5">
        <v>30</v>
      </c>
      <c r="N21" s="5">
        <v>60</v>
      </c>
      <c r="O21" s="5">
        <v>90</v>
      </c>
      <c r="P21" s="5">
        <v>24</v>
      </c>
      <c r="Q21">
        <f>SUM([1]!Table1[[#This Row],[Sales]])</f>
        <v>119</v>
      </c>
      <c r="R21">
        <f>SUM([1]!Table1[[#This Row],[Profit]])</f>
        <v>47</v>
      </c>
      <c r="S21" s="7">
        <f t="shared" si="0"/>
        <v>0.3949579831932773</v>
      </c>
      <c r="T21">
        <f t="shared" si="1"/>
        <v>13</v>
      </c>
      <c r="U21">
        <f t="shared" si="2"/>
        <v>29</v>
      </c>
      <c r="V21">
        <f t="shared" si="3"/>
        <v>18</v>
      </c>
      <c r="W21">
        <f t="shared" si="4"/>
        <v>3.6153846153846154</v>
      </c>
      <c r="X21" t="str">
        <f t="shared" si="5"/>
        <v>Low Profit</v>
      </c>
      <c r="Y21">
        <f t="shared" si="6"/>
        <v>48</v>
      </c>
      <c r="Z21">
        <f t="shared" si="7"/>
        <v>119</v>
      </c>
    </row>
    <row r="22" spans="1:26">
      <c r="A22" s="3">
        <v>860</v>
      </c>
      <c r="B22" s="3">
        <v>40</v>
      </c>
      <c r="C22" s="4">
        <v>41183</v>
      </c>
      <c r="D22" s="3" t="s">
        <v>32</v>
      </c>
      <c r="E22" s="3" t="s">
        <v>25</v>
      </c>
      <c r="F22" s="3">
        <v>11</v>
      </c>
      <c r="G22" s="3" t="s">
        <v>18</v>
      </c>
      <c r="H22" s="3" t="s">
        <v>26</v>
      </c>
      <c r="I22" s="3" t="s">
        <v>27</v>
      </c>
      <c r="J22" s="3">
        <v>36</v>
      </c>
      <c r="K22" s="3">
        <v>99</v>
      </c>
      <c r="L22" s="3" t="s">
        <v>37</v>
      </c>
      <c r="M22" s="3">
        <v>40</v>
      </c>
      <c r="N22" s="3">
        <v>50</v>
      </c>
      <c r="O22" s="3">
        <v>100</v>
      </c>
      <c r="P22" s="3">
        <v>23</v>
      </c>
      <c r="Q22">
        <f>SUM([1]!Table1[[#This Row],[Sales]])</f>
        <v>99</v>
      </c>
      <c r="R22">
        <f>SUM([1]!Table1[[#This Row],[Profit]])</f>
        <v>36</v>
      </c>
      <c r="S22" s="7">
        <f t="shared" si="0"/>
        <v>0.36363636363636365</v>
      </c>
      <c r="T22">
        <f t="shared" si="1"/>
        <v>11</v>
      </c>
      <c r="U22">
        <f t="shared" si="2"/>
        <v>-1</v>
      </c>
      <c r="V22">
        <f t="shared" si="3"/>
        <v>0</v>
      </c>
      <c r="W22">
        <f t="shared" si="4"/>
        <v>3.2727272727272729</v>
      </c>
      <c r="X22" t="str">
        <f t="shared" si="5"/>
        <v>Low Profit</v>
      </c>
      <c r="Y22">
        <f t="shared" si="6"/>
        <v>40</v>
      </c>
      <c r="Z22">
        <f t="shared" si="7"/>
        <v>99</v>
      </c>
    </row>
    <row r="23" spans="1:26">
      <c r="A23" s="5">
        <v>971</v>
      </c>
      <c r="B23" s="5">
        <v>82</v>
      </c>
      <c r="C23" s="6">
        <v>41183</v>
      </c>
      <c r="D23" s="5" t="s">
        <v>32</v>
      </c>
      <c r="E23" s="5" t="s">
        <v>29</v>
      </c>
      <c r="F23" s="5">
        <v>27</v>
      </c>
      <c r="G23" s="5" t="s">
        <v>18</v>
      </c>
      <c r="H23" s="5" t="s">
        <v>26</v>
      </c>
      <c r="I23" s="5" t="s">
        <v>54</v>
      </c>
      <c r="J23" s="5">
        <v>64</v>
      </c>
      <c r="K23" s="5">
        <v>205</v>
      </c>
      <c r="L23" s="5" t="s">
        <v>49</v>
      </c>
      <c r="M23" s="5">
        <v>30</v>
      </c>
      <c r="N23" s="5">
        <v>50</v>
      </c>
      <c r="O23" s="5">
        <v>90</v>
      </c>
      <c r="P23" s="5">
        <v>59</v>
      </c>
      <c r="Q23">
        <f>SUM([1]!Table1[[#This Row],[Sales]])</f>
        <v>205</v>
      </c>
      <c r="R23">
        <f>SUM([1]!Table1[[#This Row],[Profit]])</f>
        <v>64</v>
      </c>
      <c r="S23" s="7">
        <f t="shared" si="0"/>
        <v>0.31219512195121951</v>
      </c>
      <c r="T23">
        <f t="shared" si="1"/>
        <v>27</v>
      </c>
      <c r="U23">
        <f t="shared" si="2"/>
        <v>115</v>
      </c>
      <c r="V23">
        <f t="shared" si="3"/>
        <v>52</v>
      </c>
      <c r="W23">
        <f t="shared" si="4"/>
        <v>2.3703703703703702</v>
      </c>
      <c r="X23" t="str">
        <f t="shared" si="5"/>
        <v>Low Profit</v>
      </c>
      <c r="Y23">
        <f t="shared" si="6"/>
        <v>82</v>
      </c>
      <c r="Z23">
        <f t="shared" si="7"/>
        <v>205</v>
      </c>
    </row>
    <row r="24" spans="1:26">
      <c r="A24" s="3">
        <v>971</v>
      </c>
      <c r="B24" s="3">
        <v>91</v>
      </c>
      <c r="C24" s="4">
        <v>41183</v>
      </c>
      <c r="D24" s="3" t="s">
        <v>32</v>
      </c>
      <c r="E24" s="3" t="s">
        <v>29</v>
      </c>
      <c r="F24" s="3">
        <v>28</v>
      </c>
      <c r="G24" s="3" t="s">
        <v>18</v>
      </c>
      <c r="H24" s="3" t="s">
        <v>26</v>
      </c>
      <c r="I24" s="3" t="s">
        <v>30</v>
      </c>
      <c r="J24" s="3">
        <v>76</v>
      </c>
      <c r="K24" s="3">
        <v>218</v>
      </c>
      <c r="L24" s="3" t="s">
        <v>49</v>
      </c>
      <c r="M24" s="3">
        <v>40</v>
      </c>
      <c r="N24" s="3">
        <v>50</v>
      </c>
      <c r="O24" s="3">
        <v>100</v>
      </c>
      <c r="P24" s="3">
        <v>51</v>
      </c>
      <c r="Q24">
        <f>SUM([1]!Table1[[#This Row],[Sales]])</f>
        <v>218</v>
      </c>
      <c r="R24">
        <f>SUM([1]!Table1[[#This Row],[Profit]])</f>
        <v>76</v>
      </c>
      <c r="S24" s="7">
        <f t="shared" si="0"/>
        <v>0.34862385321100919</v>
      </c>
      <c r="T24">
        <f t="shared" si="1"/>
        <v>28</v>
      </c>
      <c r="U24">
        <f t="shared" si="2"/>
        <v>118</v>
      </c>
      <c r="V24">
        <f t="shared" si="3"/>
        <v>51</v>
      </c>
      <c r="W24">
        <f t="shared" si="4"/>
        <v>2.7142857142857144</v>
      </c>
      <c r="X24" t="str">
        <f t="shared" si="5"/>
        <v>Low Profit</v>
      </c>
      <c r="Y24">
        <f t="shared" si="6"/>
        <v>91</v>
      </c>
      <c r="Z24">
        <f t="shared" si="7"/>
        <v>218</v>
      </c>
    </row>
    <row r="25" spans="1:26">
      <c r="A25" s="5">
        <v>915</v>
      </c>
      <c r="B25" s="5">
        <v>40</v>
      </c>
      <c r="C25" s="6">
        <v>41214</v>
      </c>
      <c r="D25" s="5" t="s">
        <v>16</v>
      </c>
      <c r="E25" s="5" t="s">
        <v>23</v>
      </c>
      <c r="F25" s="5">
        <v>13</v>
      </c>
      <c r="G25" s="5" t="s">
        <v>33</v>
      </c>
      <c r="H25" s="5" t="s">
        <v>38</v>
      </c>
      <c r="I25" s="5" t="s">
        <v>39</v>
      </c>
      <c r="J25" s="5">
        <v>26</v>
      </c>
      <c r="K25" s="5">
        <v>92</v>
      </c>
      <c r="L25" s="5" t="s">
        <v>24</v>
      </c>
      <c r="M25" s="5">
        <v>40</v>
      </c>
      <c r="N25" s="5">
        <v>40</v>
      </c>
      <c r="O25" s="5">
        <v>100</v>
      </c>
      <c r="P25" s="5">
        <v>26</v>
      </c>
      <c r="Q25">
        <f>SUM([1]!Table1[[#This Row],[Sales]])</f>
        <v>92</v>
      </c>
      <c r="R25">
        <f>SUM([1]!Table1[[#This Row],[Profit]])</f>
        <v>26</v>
      </c>
      <c r="S25" s="7">
        <f t="shared" si="0"/>
        <v>0.28260869565217389</v>
      </c>
      <c r="T25">
        <f t="shared" si="1"/>
        <v>13</v>
      </c>
      <c r="U25">
        <f t="shared" si="2"/>
        <v>-8</v>
      </c>
      <c r="V25">
        <f t="shared" si="3"/>
        <v>0</v>
      </c>
      <c r="W25">
        <f t="shared" si="4"/>
        <v>2</v>
      </c>
      <c r="X25" t="str">
        <f t="shared" si="5"/>
        <v>Low Profit</v>
      </c>
      <c r="Y25">
        <f t="shared" si="6"/>
        <v>40</v>
      </c>
      <c r="Z25">
        <f t="shared" si="7"/>
        <v>92</v>
      </c>
    </row>
    <row r="26" spans="1:26">
      <c r="A26" s="3">
        <v>210</v>
      </c>
      <c r="B26" s="3">
        <v>50</v>
      </c>
      <c r="C26" s="4">
        <v>41214</v>
      </c>
      <c r="D26" s="3" t="s">
        <v>16</v>
      </c>
      <c r="E26" s="3" t="s">
        <v>23</v>
      </c>
      <c r="F26" s="3">
        <v>14</v>
      </c>
      <c r="G26" s="3" t="s">
        <v>33</v>
      </c>
      <c r="H26" s="3" t="s">
        <v>34</v>
      </c>
      <c r="I26" s="3" t="s">
        <v>35</v>
      </c>
      <c r="J26" s="3">
        <v>48</v>
      </c>
      <c r="K26" s="3">
        <v>123</v>
      </c>
      <c r="L26" s="3" t="s">
        <v>24</v>
      </c>
      <c r="M26" s="3">
        <v>30</v>
      </c>
      <c r="N26" s="3">
        <v>40</v>
      </c>
      <c r="O26" s="3">
        <v>90</v>
      </c>
      <c r="P26" s="3">
        <v>25</v>
      </c>
      <c r="Q26">
        <f>SUM([1]!Table1[[#This Row],[Sales]])</f>
        <v>123</v>
      </c>
      <c r="R26">
        <f>SUM([1]!Table1[[#This Row],[Profit]])</f>
        <v>48</v>
      </c>
      <c r="S26" s="7">
        <f t="shared" si="0"/>
        <v>0.3902439024390244</v>
      </c>
      <c r="T26">
        <f t="shared" si="1"/>
        <v>14</v>
      </c>
      <c r="U26">
        <f t="shared" si="2"/>
        <v>33</v>
      </c>
      <c r="V26">
        <f t="shared" si="3"/>
        <v>20</v>
      </c>
      <c r="W26">
        <f t="shared" si="4"/>
        <v>3.4285714285714284</v>
      </c>
      <c r="X26" t="str">
        <f t="shared" si="5"/>
        <v>Low Profit</v>
      </c>
      <c r="Y26">
        <f t="shared" si="6"/>
        <v>50</v>
      </c>
      <c r="Z26">
        <f t="shared" si="7"/>
        <v>123</v>
      </c>
    </row>
    <row r="27" spans="1:26">
      <c r="A27" s="5">
        <v>970</v>
      </c>
      <c r="B27" s="5">
        <v>40</v>
      </c>
      <c r="C27" s="6">
        <v>41214</v>
      </c>
      <c r="D27" s="5" t="s">
        <v>16</v>
      </c>
      <c r="E27" s="5" t="s">
        <v>17</v>
      </c>
      <c r="F27" s="5">
        <v>13</v>
      </c>
      <c r="G27" s="5" t="s">
        <v>33</v>
      </c>
      <c r="H27" s="5" t="s">
        <v>38</v>
      </c>
      <c r="I27" s="5" t="s">
        <v>45</v>
      </c>
      <c r="J27" s="5">
        <v>27</v>
      </c>
      <c r="K27" s="5">
        <v>92</v>
      </c>
      <c r="L27" s="5" t="s">
        <v>21</v>
      </c>
      <c r="M27" s="5">
        <v>30</v>
      </c>
      <c r="N27" s="5">
        <v>40</v>
      </c>
      <c r="O27" s="5">
        <v>90</v>
      </c>
      <c r="P27" s="5">
        <v>25</v>
      </c>
      <c r="Q27">
        <f>SUM([1]!Table1[[#This Row],[Sales]])</f>
        <v>92</v>
      </c>
      <c r="R27">
        <f>SUM([1]!Table1[[#This Row],[Profit]])</f>
        <v>27</v>
      </c>
      <c r="S27" s="7">
        <f t="shared" si="0"/>
        <v>0.29347826086956524</v>
      </c>
      <c r="T27">
        <f t="shared" si="1"/>
        <v>13</v>
      </c>
      <c r="U27">
        <f t="shared" si="2"/>
        <v>2</v>
      </c>
      <c r="V27">
        <f t="shared" si="3"/>
        <v>10</v>
      </c>
      <c r="W27">
        <f t="shared" si="4"/>
        <v>2.0769230769230771</v>
      </c>
      <c r="X27" t="str">
        <f t="shared" si="5"/>
        <v>Low Profit</v>
      </c>
      <c r="Y27">
        <f t="shared" si="6"/>
        <v>40</v>
      </c>
      <c r="Z27">
        <f t="shared" si="7"/>
        <v>92</v>
      </c>
    </row>
    <row r="28" spans="1:26">
      <c r="A28" s="3">
        <v>774</v>
      </c>
      <c r="B28" s="3">
        <v>52</v>
      </c>
      <c r="C28" s="4">
        <v>41214</v>
      </c>
      <c r="D28" s="3" t="s">
        <v>16</v>
      </c>
      <c r="E28" s="3" t="s">
        <v>25</v>
      </c>
      <c r="F28" s="3">
        <v>47</v>
      </c>
      <c r="G28" s="3" t="s">
        <v>33</v>
      </c>
      <c r="H28" s="3" t="s">
        <v>34</v>
      </c>
      <c r="I28" s="3" t="s">
        <v>46</v>
      </c>
      <c r="J28" s="3">
        <v>-8</v>
      </c>
      <c r="K28" s="3">
        <v>120</v>
      </c>
      <c r="L28" s="3" t="s">
        <v>55</v>
      </c>
      <c r="M28" s="3">
        <v>50</v>
      </c>
      <c r="N28" s="3">
        <v>0</v>
      </c>
      <c r="O28" s="3">
        <v>110</v>
      </c>
      <c r="P28" s="3">
        <v>76</v>
      </c>
      <c r="Q28">
        <f>SUM([1]!Table1[[#This Row],[Sales]])</f>
        <v>120</v>
      </c>
      <c r="R28">
        <f>SUM([1]!Table1[[#This Row],[Profit]])</f>
        <v>-8</v>
      </c>
      <c r="S28" s="7">
        <f t="shared" si="0"/>
        <v>-6.6666666666666666E-2</v>
      </c>
      <c r="T28">
        <f t="shared" si="1"/>
        <v>47</v>
      </c>
      <c r="U28">
        <f t="shared" si="2"/>
        <v>10</v>
      </c>
      <c r="V28">
        <f t="shared" si="3"/>
        <v>2</v>
      </c>
      <c r="W28">
        <f t="shared" si="4"/>
        <v>-0.1702127659574468</v>
      </c>
      <c r="X28" t="str">
        <f t="shared" si="5"/>
        <v>Low Profit</v>
      </c>
      <c r="Y28">
        <f t="shared" si="6"/>
        <v>52</v>
      </c>
      <c r="Z28">
        <f t="shared" si="7"/>
        <v>120</v>
      </c>
    </row>
    <row r="29" spans="1:26">
      <c r="A29" s="5">
        <v>954</v>
      </c>
      <c r="B29" s="5">
        <v>75</v>
      </c>
      <c r="C29" s="6">
        <v>41214</v>
      </c>
      <c r="D29" s="5" t="s">
        <v>16</v>
      </c>
      <c r="E29" s="5" t="s">
        <v>25</v>
      </c>
      <c r="F29" s="5">
        <v>23</v>
      </c>
      <c r="G29" s="5" t="s">
        <v>18</v>
      </c>
      <c r="H29" s="5" t="s">
        <v>19</v>
      </c>
      <c r="I29" s="5" t="s">
        <v>22</v>
      </c>
      <c r="J29" s="5">
        <v>44</v>
      </c>
      <c r="K29" s="5">
        <v>164</v>
      </c>
      <c r="L29" s="5" t="s">
        <v>28</v>
      </c>
      <c r="M29" s="5">
        <v>50</v>
      </c>
      <c r="N29" s="5">
        <v>30</v>
      </c>
      <c r="O29" s="5">
        <v>110</v>
      </c>
      <c r="P29" s="5">
        <v>45</v>
      </c>
      <c r="Q29">
        <f>SUM([1]!Table1[[#This Row],[Sales]])</f>
        <v>164</v>
      </c>
      <c r="R29">
        <f>SUM([1]!Table1[[#This Row],[Profit]])</f>
        <v>44</v>
      </c>
      <c r="S29" s="7">
        <f t="shared" si="0"/>
        <v>0.26829268292682928</v>
      </c>
      <c r="T29">
        <f t="shared" si="1"/>
        <v>23</v>
      </c>
      <c r="U29">
        <f t="shared" si="2"/>
        <v>54</v>
      </c>
      <c r="V29">
        <f t="shared" si="3"/>
        <v>25</v>
      </c>
      <c r="W29">
        <f t="shared" si="4"/>
        <v>1.9130434782608696</v>
      </c>
      <c r="X29" t="str">
        <f t="shared" si="5"/>
        <v>Low Profit</v>
      </c>
      <c r="Y29">
        <f t="shared" si="6"/>
        <v>75</v>
      </c>
      <c r="Z29">
        <f t="shared" si="7"/>
        <v>164</v>
      </c>
    </row>
    <row r="30" spans="1:26">
      <c r="A30" s="3">
        <v>936</v>
      </c>
      <c r="B30" s="3">
        <v>46</v>
      </c>
      <c r="C30" s="4">
        <v>41214</v>
      </c>
      <c r="D30" s="3" t="s">
        <v>16</v>
      </c>
      <c r="E30" s="3" t="s">
        <v>23</v>
      </c>
      <c r="F30" s="3">
        <v>14</v>
      </c>
      <c r="G30" s="3" t="s">
        <v>18</v>
      </c>
      <c r="H30" s="3" t="s">
        <v>19</v>
      </c>
      <c r="I30" s="3" t="s">
        <v>20</v>
      </c>
      <c r="J30" s="3">
        <v>31</v>
      </c>
      <c r="K30" s="3">
        <v>114</v>
      </c>
      <c r="L30" s="3" t="s">
        <v>24</v>
      </c>
      <c r="M30" s="3">
        <v>40</v>
      </c>
      <c r="N30" s="3">
        <v>30</v>
      </c>
      <c r="O30" s="3">
        <v>100</v>
      </c>
      <c r="P30" s="3">
        <v>37</v>
      </c>
      <c r="Q30">
        <f>SUM([1]!Table1[[#This Row],[Sales]])</f>
        <v>114</v>
      </c>
      <c r="R30">
        <f>SUM([1]!Table1[[#This Row],[Profit]])</f>
        <v>31</v>
      </c>
      <c r="S30" s="7">
        <f t="shared" si="0"/>
        <v>0.27192982456140352</v>
      </c>
      <c r="T30">
        <f t="shared" si="1"/>
        <v>14</v>
      </c>
      <c r="U30">
        <f t="shared" si="2"/>
        <v>14</v>
      </c>
      <c r="V30">
        <f t="shared" si="3"/>
        <v>6</v>
      </c>
      <c r="W30">
        <f t="shared" si="4"/>
        <v>2.2142857142857144</v>
      </c>
      <c r="X30" t="str">
        <f t="shared" si="5"/>
        <v>Low Profit</v>
      </c>
      <c r="Y30">
        <f t="shared" si="6"/>
        <v>46</v>
      </c>
      <c r="Z30">
        <f t="shared" si="7"/>
        <v>114</v>
      </c>
    </row>
    <row r="31" spans="1:26">
      <c r="A31" s="5">
        <v>719</v>
      </c>
      <c r="B31" s="5">
        <v>55</v>
      </c>
      <c r="C31" s="6">
        <v>41214</v>
      </c>
      <c r="D31" s="5" t="s">
        <v>16</v>
      </c>
      <c r="E31" s="5" t="s">
        <v>17</v>
      </c>
      <c r="F31" s="5">
        <v>20</v>
      </c>
      <c r="G31" s="5" t="s">
        <v>18</v>
      </c>
      <c r="H31" s="5" t="s">
        <v>26</v>
      </c>
      <c r="I31" s="5" t="s">
        <v>27</v>
      </c>
      <c r="J31" s="5">
        <v>15</v>
      </c>
      <c r="K31" s="5">
        <v>124</v>
      </c>
      <c r="L31" s="5" t="s">
        <v>21</v>
      </c>
      <c r="M31" s="5">
        <v>40</v>
      </c>
      <c r="N31" s="5">
        <v>20</v>
      </c>
      <c r="O31" s="5">
        <v>100</v>
      </c>
      <c r="P31" s="5">
        <v>54</v>
      </c>
      <c r="Q31">
        <f>SUM([1]!Table1[[#This Row],[Sales]])</f>
        <v>124</v>
      </c>
      <c r="R31">
        <f>SUM([1]!Table1[[#This Row],[Profit]])</f>
        <v>15</v>
      </c>
      <c r="S31" s="7">
        <f t="shared" si="0"/>
        <v>0.12096774193548387</v>
      </c>
      <c r="T31">
        <f t="shared" si="1"/>
        <v>20</v>
      </c>
      <c r="U31">
        <f t="shared" si="2"/>
        <v>24</v>
      </c>
      <c r="V31">
        <f t="shared" si="3"/>
        <v>15</v>
      </c>
      <c r="W31">
        <f t="shared" si="4"/>
        <v>0.75</v>
      </c>
      <c r="X31" t="str">
        <f t="shared" si="5"/>
        <v>Low Profit</v>
      </c>
      <c r="Y31">
        <f t="shared" si="6"/>
        <v>55</v>
      </c>
      <c r="Z31">
        <f t="shared" si="7"/>
        <v>124</v>
      </c>
    </row>
    <row r="32" spans="1:26">
      <c r="A32" s="3">
        <v>847</v>
      </c>
      <c r="B32" s="3">
        <v>50</v>
      </c>
      <c r="C32" s="4">
        <v>41214</v>
      </c>
      <c r="D32" s="3" t="s">
        <v>16</v>
      </c>
      <c r="E32" s="3" t="s">
        <v>17</v>
      </c>
      <c r="F32" s="3">
        <v>14</v>
      </c>
      <c r="G32" s="3" t="s">
        <v>18</v>
      </c>
      <c r="H32" s="3" t="s">
        <v>26</v>
      </c>
      <c r="I32" s="3" t="s">
        <v>27</v>
      </c>
      <c r="J32" s="3">
        <v>48</v>
      </c>
      <c r="K32" s="3">
        <v>123</v>
      </c>
      <c r="L32" s="3" t="s">
        <v>56</v>
      </c>
      <c r="M32" s="3">
        <v>40</v>
      </c>
      <c r="N32" s="3">
        <v>40</v>
      </c>
      <c r="O32" s="3">
        <v>100</v>
      </c>
      <c r="P32" s="3">
        <v>25</v>
      </c>
      <c r="Q32">
        <f>SUM([1]!Table1[[#This Row],[Sales]])</f>
        <v>123</v>
      </c>
      <c r="R32">
        <f>SUM([1]!Table1[[#This Row],[Profit]])</f>
        <v>48</v>
      </c>
      <c r="S32" s="7">
        <f t="shared" si="0"/>
        <v>0.3902439024390244</v>
      </c>
      <c r="T32">
        <f t="shared" si="1"/>
        <v>14</v>
      </c>
      <c r="U32">
        <f t="shared" si="2"/>
        <v>23</v>
      </c>
      <c r="V32">
        <f t="shared" si="3"/>
        <v>10</v>
      </c>
      <c r="W32">
        <f t="shared" si="4"/>
        <v>3.4285714285714284</v>
      </c>
      <c r="X32" t="str">
        <f t="shared" si="5"/>
        <v>Low Profit</v>
      </c>
      <c r="Y32">
        <f t="shared" si="6"/>
        <v>50</v>
      </c>
      <c r="Z32">
        <f t="shared" si="7"/>
        <v>123</v>
      </c>
    </row>
    <row r="33" spans="1:26">
      <c r="A33" s="5">
        <v>719</v>
      </c>
      <c r="B33" s="5">
        <v>57</v>
      </c>
      <c r="C33" s="6">
        <v>41214</v>
      </c>
      <c r="D33" s="5" t="s">
        <v>16</v>
      </c>
      <c r="E33" s="5" t="s">
        <v>17</v>
      </c>
      <c r="F33" s="5">
        <v>17</v>
      </c>
      <c r="G33" s="5" t="s">
        <v>18</v>
      </c>
      <c r="H33" s="5" t="s">
        <v>26</v>
      </c>
      <c r="I33" s="5" t="s">
        <v>54</v>
      </c>
      <c r="J33" s="5">
        <v>29</v>
      </c>
      <c r="K33" s="5">
        <v>125</v>
      </c>
      <c r="L33" s="5" t="s">
        <v>21</v>
      </c>
      <c r="M33" s="5">
        <v>40</v>
      </c>
      <c r="N33" s="5">
        <v>30</v>
      </c>
      <c r="O33" s="5">
        <v>100</v>
      </c>
      <c r="P33" s="5">
        <v>39</v>
      </c>
      <c r="Q33">
        <f>SUM([1]!Table1[[#This Row],[Sales]])</f>
        <v>125</v>
      </c>
      <c r="R33">
        <f>SUM([1]!Table1[[#This Row],[Profit]])</f>
        <v>29</v>
      </c>
      <c r="S33" s="7">
        <f t="shared" si="0"/>
        <v>0.23200000000000001</v>
      </c>
      <c r="T33">
        <f t="shared" si="1"/>
        <v>17</v>
      </c>
      <c r="U33">
        <f t="shared" si="2"/>
        <v>25</v>
      </c>
      <c r="V33">
        <f t="shared" si="3"/>
        <v>17</v>
      </c>
      <c r="W33">
        <f t="shared" si="4"/>
        <v>1.7058823529411764</v>
      </c>
      <c r="X33" t="str">
        <f t="shared" si="5"/>
        <v>Low Profit</v>
      </c>
      <c r="Y33">
        <f t="shared" si="6"/>
        <v>57</v>
      </c>
      <c r="Z33">
        <f t="shared" si="7"/>
        <v>125</v>
      </c>
    </row>
    <row r="34" spans="1:26">
      <c r="A34" s="3">
        <v>339</v>
      </c>
      <c r="B34" s="3">
        <v>36</v>
      </c>
      <c r="C34" s="4">
        <v>41214</v>
      </c>
      <c r="D34" s="3" t="s">
        <v>16</v>
      </c>
      <c r="E34" s="3" t="s">
        <v>25</v>
      </c>
      <c r="F34" s="3">
        <v>10</v>
      </c>
      <c r="G34" s="3" t="s">
        <v>18</v>
      </c>
      <c r="H34" s="3" t="s">
        <v>26</v>
      </c>
      <c r="I34" s="3" t="s">
        <v>27</v>
      </c>
      <c r="J34" s="3">
        <v>31</v>
      </c>
      <c r="K34" s="3">
        <v>88</v>
      </c>
      <c r="L34" s="3" t="s">
        <v>55</v>
      </c>
      <c r="M34" s="3">
        <v>30</v>
      </c>
      <c r="N34" s="3">
        <v>40</v>
      </c>
      <c r="O34" s="3">
        <v>90</v>
      </c>
      <c r="P34" s="3">
        <v>21</v>
      </c>
      <c r="Q34">
        <f>SUM([1]!Table1[[#This Row],[Sales]])</f>
        <v>88</v>
      </c>
      <c r="R34">
        <f>SUM([1]!Table1[[#This Row],[Profit]])</f>
        <v>31</v>
      </c>
      <c r="S34" s="7">
        <f t="shared" si="0"/>
        <v>0.35227272727272729</v>
      </c>
      <c r="T34">
        <f t="shared" si="1"/>
        <v>10</v>
      </c>
      <c r="U34">
        <f t="shared" si="2"/>
        <v>-2</v>
      </c>
      <c r="V34">
        <f t="shared" si="3"/>
        <v>6</v>
      </c>
      <c r="W34">
        <f t="shared" si="4"/>
        <v>3.1</v>
      </c>
      <c r="X34" t="str">
        <f t="shared" si="5"/>
        <v>Low Profit</v>
      </c>
      <c r="Y34">
        <f t="shared" si="6"/>
        <v>36</v>
      </c>
      <c r="Z34">
        <f t="shared" si="7"/>
        <v>88</v>
      </c>
    </row>
    <row r="35" spans="1:26">
      <c r="A35" s="5">
        <v>314</v>
      </c>
      <c r="B35" s="5">
        <v>33</v>
      </c>
      <c r="C35" s="6">
        <v>41214</v>
      </c>
      <c r="D35" s="5" t="s">
        <v>32</v>
      </c>
      <c r="E35" s="5" t="s">
        <v>17</v>
      </c>
      <c r="F35" s="5">
        <v>9</v>
      </c>
      <c r="G35" s="5" t="s">
        <v>33</v>
      </c>
      <c r="H35" s="5" t="s">
        <v>34</v>
      </c>
      <c r="I35" s="5" t="s">
        <v>35</v>
      </c>
      <c r="J35" s="5">
        <v>27</v>
      </c>
      <c r="K35" s="5">
        <v>81</v>
      </c>
      <c r="L35" s="5" t="s">
        <v>51</v>
      </c>
      <c r="M35" s="5">
        <v>40</v>
      </c>
      <c r="N35" s="5">
        <v>50</v>
      </c>
      <c r="O35" s="5">
        <v>100</v>
      </c>
      <c r="P35" s="5">
        <v>21</v>
      </c>
      <c r="Q35">
        <f>SUM([1]!Table1[[#This Row],[Sales]])</f>
        <v>81</v>
      </c>
      <c r="R35">
        <f>SUM([1]!Table1[[#This Row],[Profit]])</f>
        <v>27</v>
      </c>
      <c r="S35" s="7">
        <f t="shared" si="0"/>
        <v>0.33333333333333331</v>
      </c>
      <c r="T35">
        <f t="shared" si="1"/>
        <v>9</v>
      </c>
      <c r="U35">
        <f t="shared" si="2"/>
        <v>-19</v>
      </c>
      <c r="V35">
        <f t="shared" si="3"/>
        <v>-7</v>
      </c>
      <c r="W35">
        <f t="shared" si="4"/>
        <v>3</v>
      </c>
      <c r="X35" t="str">
        <f t="shared" si="5"/>
        <v>Low Profit</v>
      </c>
      <c r="Y35">
        <f t="shared" si="6"/>
        <v>33</v>
      </c>
      <c r="Z35">
        <f t="shared" si="7"/>
        <v>81</v>
      </c>
    </row>
    <row r="36" spans="1:26">
      <c r="A36" s="3">
        <v>504</v>
      </c>
      <c r="B36" s="3">
        <v>31</v>
      </c>
      <c r="C36" s="4">
        <v>41214</v>
      </c>
      <c r="D36" s="3" t="s">
        <v>32</v>
      </c>
      <c r="E36" s="3" t="s">
        <v>23</v>
      </c>
      <c r="F36" s="3">
        <v>8</v>
      </c>
      <c r="G36" s="3" t="s">
        <v>33</v>
      </c>
      <c r="H36" s="3" t="s">
        <v>38</v>
      </c>
      <c r="I36" s="3" t="s">
        <v>39</v>
      </c>
      <c r="J36" s="3">
        <v>28</v>
      </c>
      <c r="K36" s="3">
        <v>78</v>
      </c>
      <c r="L36" s="3" t="s">
        <v>48</v>
      </c>
      <c r="M36" s="3">
        <v>30</v>
      </c>
      <c r="N36" s="3">
        <v>50</v>
      </c>
      <c r="O36" s="3">
        <v>90</v>
      </c>
      <c r="P36" s="3">
        <v>19</v>
      </c>
      <c r="Q36">
        <f>SUM([1]!Table1[[#This Row],[Sales]])</f>
        <v>78</v>
      </c>
      <c r="R36">
        <f>SUM([1]!Table1[[#This Row],[Profit]])</f>
        <v>28</v>
      </c>
      <c r="S36" s="7">
        <f t="shared" si="0"/>
        <v>0.35897435897435898</v>
      </c>
      <c r="T36">
        <f t="shared" si="1"/>
        <v>8</v>
      </c>
      <c r="U36">
        <f t="shared" si="2"/>
        <v>-12</v>
      </c>
      <c r="V36">
        <f t="shared" si="3"/>
        <v>1</v>
      </c>
      <c r="W36">
        <f t="shared" si="4"/>
        <v>3.5</v>
      </c>
      <c r="X36" t="str">
        <f t="shared" si="5"/>
        <v>Low Profit</v>
      </c>
      <c r="Y36">
        <f t="shared" si="6"/>
        <v>31</v>
      </c>
      <c r="Z36">
        <f t="shared" si="7"/>
        <v>78</v>
      </c>
    </row>
    <row r="37" spans="1:26">
      <c r="A37" s="5">
        <v>580</v>
      </c>
      <c r="B37" s="5">
        <v>36</v>
      </c>
      <c r="C37" s="6">
        <v>41214</v>
      </c>
      <c r="D37" s="5" t="s">
        <v>32</v>
      </c>
      <c r="E37" s="5" t="s">
        <v>23</v>
      </c>
      <c r="F37" s="5">
        <v>10</v>
      </c>
      <c r="G37" s="5" t="s">
        <v>33</v>
      </c>
      <c r="H37" s="5" t="s">
        <v>38</v>
      </c>
      <c r="I37" s="5" t="s">
        <v>39</v>
      </c>
      <c r="J37" s="5">
        <v>30</v>
      </c>
      <c r="K37" s="5">
        <v>88</v>
      </c>
      <c r="L37" s="5" t="s">
        <v>40</v>
      </c>
      <c r="M37" s="5">
        <v>40</v>
      </c>
      <c r="N37" s="5">
        <v>40</v>
      </c>
      <c r="O37" s="5">
        <v>100</v>
      </c>
      <c r="P37" s="5">
        <v>22</v>
      </c>
      <c r="Q37">
        <f>SUM([1]!Table1[[#This Row],[Sales]])</f>
        <v>88</v>
      </c>
      <c r="R37">
        <f>SUM([1]!Table1[[#This Row],[Profit]])</f>
        <v>30</v>
      </c>
      <c r="S37" s="7">
        <f t="shared" si="0"/>
        <v>0.34090909090909088</v>
      </c>
      <c r="T37">
        <f t="shared" si="1"/>
        <v>10</v>
      </c>
      <c r="U37">
        <f t="shared" si="2"/>
        <v>-12</v>
      </c>
      <c r="V37">
        <f t="shared" si="3"/>
        <v>-4</v>
      </c>
      <c r="W37">
        <f t="shared" si="4"/>
        <v>3</v>
      </c>
      <c r="X37" t="str">
        <f t="shared" si="5"/>
        <v>Low Profit</v>
      </c>
      <c r="Y37">
        <f t="shared" si="6"/>
        <v>36</v>
      </c>
      <c r="Z37">
        <f t="shared" si="7"/>
        <v>88</v>
      </c>
    </row>
    <row r="38" spans="1:26">
      <c r="A38" s="3">
        <v>225</v>
      </c>
      <c r="B38" s="3">
        <v>49</v>
      </c>
      <c r="C38" s="4">
        <v>41214</v>
      </c>
      <c r="D38" s="3" t="s">
        <v>32</v>
      </c>
      <c r="E38" s="3" t="s">
        <v>23</v>
      </c>
      <c r="F38" s="3">
        <v>15</v>
      </c>
      <c r="G38" s="3" t="s">
        <v>33</v>
      </c>
      <c r="H38" s="3" t="s">
        <v>34</v>
      </c>
      <c r="I38" s="3" t="s">
        <v>35</v>
      </c>
      <c r="J38" s="3">
        <v>34</v>
      </c>
      <c r="K38" s="3">
        <v>120</v>
      </c>
      <c r="L38" s="3" t="s">
        <v>48</v>
      </c>
      <c r="M38" s="3">
        <v>30</v>
      </c>
      <c r="N38" s="3">
        <v>30</v>
      </c>
      <c r="O38" s="3">
        <v>90</v>
      </c>
      <c r="P38" s="3">
        <v>37</v>
      </c>
      <c r="Q38">
        <f>SUM([1]!Table1[[#This Row],[Sales]])</f>
        <v>120</v>
      </c>
      <c r="R38">
        <f>SUM([1]!Table1[[#This Row],[Profit]])</f>
        <v>34</v>
      </c>
      <c r="S38" s="7">
        <f t="shared" si="0"/>
        <v>0.28333333333333333</v>
      </c>
      <c r="T38">
        <f t="shared" si="1"/>
        <v>15</v>
      </c>
      <c r="U38">
        <f t="shared" si="2"/>
        <v>30</v>
      </c>
      <c r="V38">
        <f t="shared" si="3"/>
        <v>19</v>
      </c>
      <c r="W38">
        <f t="shared" si="4"/>
        <v>2.2666666666666666</v>
      </c>
      <c r="X38" t="str">
        <f t="shared" si="5"/>
        <v>Low Profit</v>
      </c>
      <c r="Y38">
        <f t="shared" si="6"/>
        <v>49</v>
      </c>
      <c r="Z38">
        <f t="shared" si="7"/>
        <v>120</v>
      </c>
    </row>
    <row r="39" spans="1:26">
      <c r="A39" s="5">
        <v>262</v>
      </c>
      <c r="B39" s="5">
        <v>54</v>
      </c>
      <c r="C39" s="6">
        <v>41214</v>
      </c>
      <c r="D39" s="5" t="s">
        <v>32</v>
      </c>
      <c r="E39" s="5" t="s">
        <v>17</v>
      </c>
      <c r="F39" s="5">
        <v>20</v>
      </c>
      <c r="G39" s="5" t="s">
        <v>33</v>
      </c>
      <c r="H39" s="5" t="s">
        <v>38</v>
      </c>
      <c r="I39" s="5" t="s">
        <v>43</v>
      </c>
      <c r="J39" s="5">
        <v>14</v>
      </c>
      <c r="K39" s="5">
        <v>121</v>
      </c>
      <c r="L39" s="5" t="s">
        <v>52</v>
      </c>
      <c r="M39" s="5">
        <v>50</v>
      </c>
      <c r="N39" s="5">
        <v>20</v>
      </c>
      <c r="O39" s="5">
        <v>110</v>
      </c>
      <c r="P39" s="5">
        <v>53</v>
      </c>
      <c r="Q39">
        <f>SUM([1]!Table1[[#This Row],[Sales]])</f>
        <v>121</v>
      </c>
      <c r="R39">
        <f>SUM([1]!Table1[[#This Row],[Profit]])</f>
        <v>14</v>
      </c>
      <c r="S39" s="7">
        <f t="shared" si="0"/>
        <v>0.11570247933884298</v>
      </c>
      <c r="T39">
        <f t="shared" si="1"/>
        <v>20</v>
      </c>
      <c r="U39">
        <f t="shared" si="2"/>
        <v>11</v>
      </c>
      <c r="V39">
        <f t="shared" si="3"/>
        <v>4</v>
      </c>
      <c r="W39">
        <f t="shared" si="4"/>
        <v>0.7</v>
      </c>
      <c r="X39" t="str">
        <f t="shared" si="5"/>
        <v>Low Profit</v>
      </c>
      <c r="Y39">
        <f t="shared" si="6"/>
        <v>54</v>
      </c>
      <c r="Z39">
        <f t="shared" si="7"/>
        <v>121</v>
      </c>
    </row>
    <row r="40" spans="1:26">
      <c r="A40" s="3">
        <v>603</v>
      </c>
      <c r="B40" s="3">
        <v>46</v>
      </c>
      <c r="C40" s="4">
        <v>41214</v>
      </c>
      <c r="D40" s="3" t="s">
        <v>32</v>
      </c>
      <c r="E40" s="3" t="s">
        <v>25</v>
      </c>
      <c r="F40" s="3">
        <v>14</v>
      </c>
      <c r="G40" s="3" t="s">
        <v>33</v>
      </c>
      <c r="H40" s="3" t="s">
        <v>38</v>
      </c>
      <c r="I40" s="3" t="s">
        <v>43</v>
      </c>
      <c r="J40" s="3">
        <v>30</v>
      </c>
      <c r="K40" s="3">
        <v>113</v>
      </c>
      <c r="L40" s="3" t="s">
        <v>44</v>
      </c>
      <c r="M40" s="3">
        <v>40</v>
      </c>
      <c r="N40" s="3">
        <v>40</v>
      </c>
      <c r="O40" s="3">
        <v>100</v>
      </c>
      <c r="P40" s="3">
        <v>37</v>
      </c>
      <c r="Q40">
        <f>SUM([1]!Table1[[#This Row],[Sales]])</f>
        <v>113</v>
      </c>
      <c r="R40">
        <f>SUM([1]!Table1[[#This Row],[Profit]])</f>
        <v>30</v>
      </c>
      <c r="S40" s="7">
        <f t="shared" si="0"/>
        <v>0.26548672566371684</v>
      </c>
      <c r="T40">
        <f t="shared" si="1"/>
        <v>14</v>
      </c>
      <c r="U40">
        <f t="shared" si="2"/>
        <v>13</v>
      </c>
      <c r="V40">
        <f t="shared" si="3"/>
        <v>6</v>
      </c>
      <c r="W40">
        <f t="shared" si="4"/>
        <v>2.1428571428571428</v>
      </c>
      <c r="X40" t="str">
        <f t="shared" si="5"/>
        <v>Low Profit</v>
      </c>
      <c r="Y40">
        <f t="shared" si="6"/>
        <v>46</v>
      </c>
      <c r="Z40">
        <f t="shared" si="7"/>
        <v>113</v>
      </c>
    </row>
    <row r="41" spans="1:26">
      <c r="A41" s="5">
        <v>603</v>
      </c>
      <c r="B41" s="5">
        <v>43</v>
      </c>
      <c r="C41" s="6">
        <v>41214</v>
      </c>
      <c r="D41" s="5" t="s">
        <v>32</v>
      </c>
      <c r="E41" s="5" t="s">
        <v>25</v>
      </c>
      <c r="F41" s="5">
        <v>14</v>
      </c>
      <c r="G41" s="5" t="s">
        <v>33</v>
      </c>
      <c r="H41" s="5" t="s">
        <v>38</v>
      </c>
      <c r="I41" s="5" t="s">
        <v>45</v>
      </c>
      <c r="J41" s="5">
        <v>20</v>
      </c>
      <c r="K41" s="5">
        <v>109</v>
      </c>
      <c r="L41" s="5" t="s">
        <v>44</v>
      </c>
      <c r="M41" s="5">
        <v>30</v>
      </c>
      <c r="N41" s="5">
        <v>30</v>
      </c>
      <c r="O41" s="5">
        <v>90</v>
      </c>
      <c r="P41" s="5">
        <v>46</v>
      </c>
      <c r="Q41">
        <f>SUM([1]!Table1[[#This Row],[Sales]])</f>
        <v>109</v>
      </c>
      <c r="R41">
        <f>SUM([1]!Table1[[#This Row],[Profit]])</f>
        <v>20</v>
      </c>
      <c r="S41" s="7">
        <f t="shared" si="0"/>
        <v>0.1834862385321101</v>
      </c>
      <c r="T41">
        <f t="shared" si="1"/>
        <v>14</v>
      </c>
      <c r="U41">
        <f t="shared" si="2"/>
        <v>19</v>
      </c>
      <c r="V41">
        <f t="shared" si="3"/>
        <v>13</v>
      </c>
      <c r="W41">
        <f t="shared" si="4"/>
        <v>1.4285714285714286</v>
      </c>
      <c r="X41" t="str">
        <f t="shared" si="5"/>
        <v>Low Profit</v>
      </c>
      <c r="Y41">
        <f t="shared" si="6"/>
        <v>43</v>
      </c>
      <c r="Z41">
        <f t="shared" si="7"/>
        <v>109</v>
      </c>
    </row>
    <row r="42" spans="1:26">
      <c r="A42" s="3">
        <v>603</v>
      </c>
      <c r="B42" s="3">
        <v>44</v>
      </c>
      <c r="C42" s="4">
        <v>41214</v>
      </c>
      <c r="D42" s="3" t="s">
        <v>32</v>
      </c>
      <c r="E42" s="3" t="s">
        <v>25</v>
      </c>
      <c r="F42" s="3">
        <v>40</v>
      </c>
      <c r="G42" s="3" t="s">
        <v>33</v>
      </c>
      <c r="H42" s="3" t="s">
        <v>34</v>
      </c>
      <c r="I42" s="3" t="s">
        <v>46</v>
      </c>
      <c r="J42" s="3">
        <v>-8</v>
      </c>
      <c r="K42" s="3">
        <v>106</v>
      </c>
      <c r="L42" s="3" t="s">
        <v>44</v>
      </c>
      <c r="M42" s="3">
        <v>40</v>
      </c>
      <c r="N42" s="3">
        <v>10</v>
      </c>
      <c r="O42" s="3">
        <v>100</v>
      </c>
      <c r="P42" s="3">
        <v>70</v>
      </c>
      <c r="Q42">
        <f>SUM([1]!Table1[[#This Row],[Sales]])</f>
        <v>106</v>
      </c>
      <c r="R42">
        <f>SUM([1]!Table1[[#This Row],[Profit]])</f>
        <v>-8</v>
      </c>
      <c r="S42" s="7">
        <f t="shared" si="0"/>
        <v>-7.5471698113207544E-2</v>
      </c>
      <c r="T42">
        <f t="shared" si="1"/>
        <v>40</v>
      </c>
      <c r="U42">
        <f t="shared" si="2"/>
        <v>6</v>
      </c>
      <c r="V42">
        <f t="shared" si="3"/>
        <v>4</v>
      </c>
      <c r="W42">
        <f t="shared" si="4"/>
        <v>-0.2</v>
      </c>
      <c r="X42" t="str">
        <f t="shared" si="5"/>
        <v>Low Profit</v>
      </c>
      <c r="Y42">
        <f t="shared" si="6"/>
        <v>44</v>
      </c>
      <c r="Z42">
        <f t="shared" si="7"/>
        <v>106</v>
      </c>
    </row>
    <row r="43" spans="1:26">
      <c r="A43" s="5">
        <v>225</v>
      </c>
      <c r="B43" s="5">
        <v>53</v>
      </c>
      <c r="C43" s="6">
        <v>41214</v>
      </c>
      <c r="D43" s="5" t="s">
        <v>32</v>
      </c>
      <c r="E43" s="5" t="s">
        <v>23</v>
      </c>
      <c r="F43" s="5">
        <v>16</v>
      </c>
      <c r="G43" s="5" t="s">
        <v>33</v>
      </c>
      <c r="H43" s="5" t="s">
        <v>34</v>
      </c>
      <c r="I43" s="5" t="s">
        <v>46</v>
      </c>
      <c r="J43" s="5">
        <v>49</v>
      </c>
      <c r="K43" s="5">
        <v>141</v>
      </c>
      <c r="L43" s="5" t="s">
        <v>48</v>
      </c>
      <c r="M43" s="5">
        <v>40</v>
      </c>
      <c r="N43" s="5">
        <v>30</v>
      </c>
      <c r="O43" s="5">
        <v>100</v>
      </c>
      <c r="P43" s="5">
        <v>39</v>
      </c>
      <c r="Q43">
        <f>SUM([1]!Table1[[#This Row],[Sales]])</f>
        <v>141</v>
      </c>
      <c r="R43">
        <f>SUM([1]!Table1[[#This Row],[Profit]])</f>
        <v>49</v>
      </c>
      <c r="S43" s="7">
        <f t="shared" si="0"/>
        <v>0.3475177304964539</v>
      </c>
      <c r="T43">
        <f t="shared" si="1"/>
        <v>16</v>
      </c>
      <c r="U43">
        <f t="shared" si="2"/>
        <v>41</v>
      </c>
      <c r="V43">
        <f t="shared" si="3"/>
        <v>13</v>
      </c>
      <c r="W43">
        <f t="shared" si="4"/>
        <v>3.0625</v>
      </c>
      <c r="X43" t="str">
        <f t="shared" si="5"/>
        <v>Low Profit</v>
      </c>
      <c r="Y43">
        <f t="shared" si="6"/>
        <v>53</v>
      </c>
      <c r="Z43">
        <f t="shared" si="7"/>
        <v>141</v>
      </c>
    </row>
    <row r="44" spans="1:26">
      <c r="A44" s="3">
        <v>425</v>
      </c>
      <c r="B44" s="3">
        <v>54</v>
      </c>
      <c r="C44" s="4">
        <v>41214</v>
      </c>
      <c r="D44" s="3" t="s">
        <v>32</v>
      </c>
      <c r="E44" s="3" t="s">
        <v>29</v>
      </c>
      <c r="F44" s="3">
        <v>20</v>
      </c>
      <c r="G44" s="3" t="s">
        <v>33</v>
      </c>
      <c r="H44" s="3" t="s">
        <v>34</v>
      </c>
      <c r="I44" s="3" t="s">
        <v>46</v>
      </c>
      <c r="J44" s="3">
        <v>13</v>
      </c>
      <c r="K44" s="3">
        <v>121</v>
      </c>
      <c r="L44" s="3" t="s">
        <v>53</v>
      </c>
      <c r="M44" s="3">
        <v>50</v>
      </c>
      <c r="N44" s="3">
        <v>20</v>
      </c>
      <c r="O44" s="3">
        <v>110</v>
      </c>
      <c r="P44" s="3">
        <v>54</v>
      </c>
      <c r="Q44">
        <f>SUM([1]!Table1[[#This Row],[Sales]])</f>
        <v>121</v>
      </c>
      <c r="R44">
        <f>SUM([1]!Table1[[#This Row],[Profit]])</f>
        <v>13</v>
      </c>
      <c r="S44" s="7">
        <f t="shared" si="0"/>
        <v>0.10743801652892562</v>
      </c>
      <c r="T44">
        <f t="shared" si="1"/>
        <v>20</v>
      </c>
      <c r="U44">
        <f t="shared" si="2"/>
        <v>11</v>
      </c>
      <c r="V44">
        <f t="shared" si="3"/>
        <v>4</v>
      </c>
      <c r="W44">
        <f t="shared" si="4"/>
        <v>0.65</v>
      </c>
      <c r="X44" t="str">
        <f t="shared" si="5"/>
        <v>Low Profit</v>
      </c>
      <c r="Y44">
        <f t="shared" si="6"/>
        <v>54</v>
      </c>
      <c r="Z44">
        <f t="shared" si="7"/>
        <v>121</v>
      </c>
    </row>
    <row r="45" spans="1:26">
      <c r="A45" s="5">
        <v>918</v>
      </c>
      <c r="B45" s="5">
        <v>54</v>
      </c>
      <c r="C45" s="6">
        <v>41214</v>
      </c>
      <c r="D45" s="5" t="s">
        <v>32</v>
      </c>
      <c r="E45" s="5" t="s">
        <v>23</v>
      </c>
      <c r="F45" s="5">
        <v>20</v>
      </c>
      <c r="G45" s="5" t="s">
        <v>18</v>
      </c>
      <c r="H45" s="5" t="s">
        <v>19</v>
      </c>
      <c r="I45" s="5" t="s">
        <v>50</v>
      </c>
      <c r="J45" s="5">
        <v>13</v>
      </c>
      <c r="K45" s="5">
        <v>121</v>
      </c>
      <c r="L45" s="5" t="s">
        <v>40</v>
      </c>
      <c r="M45" s="5">
        <v>50</v>
      </c>
      <c r="N45" s="5">
        <v>20</v>
      </c>
      <c r="O45" s="5">
        <v>110</v>
      </c>
      <c r="P45" s="5">
        <v>54</v>
      </c>
      <c r="Q45">
        <f>SUM([1]!Table1[[#This Row],[Sales]])</f>
        <v>121</v>
      </c>
      <c r="R45">
        <f>SUM([1]!Table1[[#This Row],[Profit]])</f>
        <v>13</v>
      </c>
      <c r="S45" s="7">
        <f t="shared" si="0"/>
        <v>0.10743801652892562</v>
      </c>
      <c r="T45">
        <f t="shared" si="1"/>
        <v>20</v>
      </c>
      <c r="U45">
        <f t="shared" si="2"/>
        <v>11</v>
      </c>
      <c r="V45">
        <f t="shared" si="3"/>
        <v>4</v>
      </c>
      <c r="W45">
        <f t="shared" si="4"/>
        <v>0.65</v>
      </c>
      <c r="X45" t="str">
        <f t="shared" si="5"/>
        <v>Low Profit</v>
      </c>
      <c r="Y45">
        <f t="shared" si="6"/>
        <v>54</v>
      </c>
      <c r="Z45">
        <f t="shared" si="7"/>
        <v>121</v>
      </c>
    </row>
    <row r="46" spans="1:26">
      <c r="A46" s="3">
        <v>801</v>
      </c>
      <c r="B46" s="3">
        <v>46</v>
      </c>
      <c r="C46" s="4">
        <v>41214</v>
      </c>
      <c r="D46" s="3" t="s">
        <v>32</v>
      </c>
      <c r="E46" s="3" t="s">
        <v>29</v>
      </c>
      <c r="F46" s="3">
        <v>14</v>
      </c>
      <c r="G46" s="3" t="s">
        <v>18</v>
      </c>
      <c r="H46" s="3" t="s">
        <v>19</v>
      </c>
      <c r="I46" s="3" t="s">
        <v>50</v>
      </c>
      <c r="J46" s="3">
        <v>30</v>
      </c>
      <c r="K46" s="3">
        <v>113</v>
      </c>
      <c r="L46" s="3" t="s">
        <v>42</v>
      </c>
      <c r="M46" s="3">
        <v>40</v>
      </c>
      <c r="N46" s="3">
        <v>30</v>
      </c>
      <c r="O46" s="3">
        <v>100</v>
      </c>
      <c r="P46" s="3">
        <v>37</v>
      </c>
      <c r="Q46">
        <f>SUM([1]!Table1[[#This Row],[Sales]])</f>
        <v>113</v>
      </c>
      <c r="R46">
        <f>SUM([1]!Table1[[#This Row],[Profit]])</f>
        <v>30</v>
      </c>
      <c r="S46" s="7">
        <f t="shared" si="0"/>
        <v>0.26548672566371684</v>
      </c>
      <c r="T46">
        <f t="shared" si="1"/>
        <v>14</v>
      </c>
      <c r="U46">
        <f t="shared" si="2"/>
        <v>13</v>
      </c>
      <c r="V46">
        <f t="shared" si="3"/>
        <v>6</v>
      </c>
      <c r="W46">
        <f t="shared" si="4"/>
        <v>2.1428571428571428</v>
      </c>
      <c r="X46" t="str">
        <f t="shared" si="5"/>
        <v>Low Profit</v>
      </c>
      <c r="Y46">
        <f t="shared" si="6"/>
        <v>46</v>
      </c>
      <c r="Z46">
        <f t="shared" si="7"/>
        <v>113</v>
      </c>
    </row>
    <row r="47" spans="1:26">
      <c r="A47" s="5">
        <v>435</v>
      </c>
      <c r="B47" s="5">
        <v>43</v>
      </c>
      <c r="C47" s="6">
        <v>41214</v>
      </c>
      <c r="D47" s="5" t="s">
        <v>32</v>
      </c>
      <c r="E47" s="5" t="s">
        <v>29</v>
      </c>
      <c r="F47" s="5">
        <v>14</v>
      </c>
      <c r="G47" s="5" t="s">
        <v>18</v>
      </c>
      <c r="H47" s="5" t="s">
        <v>19</v>
      </c>
      <c r="I47" s="5" t="s">
        <v>20</v>
      </c>
      <c r="J47" s="5">
        <v>20</v>
      </c>
      <c r="K47" s="5">
        <v>109</v>
      </c>
      <c r="L47" s="5" t="s">
        <v>42</v>
      </c>
      <c r="M47" s="5">
        <v>40</v>
      </c>
      <c r="N47" s="5">
        <v>30</v>
      </c>
      <c r="O47" s="5">
        <v>100</v>
      </c>
      <c r="P47" s="5">
        <v>46</v>
      </c>
      <c r="Q47">
        <f>SUM([1]!Table1[[#This Row],[Sales]])</f>
        <v>109</v>
      </c>
      <c r="R47">
        <f>SUM([1]!Table1[[#This Row],[Profit]])</f>
        <v>20</v>
      </c>
      <c r="S47" s="7">
        <f t="shared" si="0"/>
        <v>0.1834862385321101</v>
      </c>
      <c r="T47">
        <f t="shared" si="1"/>
        <v>14</v>
      </c>
      <c r="U47">
        <f t="shared" si="2"/>
        <v>9</v>
      </c>
      <c r="V47">
        <f t="shared" si="3"/>
        <v>3</v>
      </c>
      <c r="W47">
        <f t="shared" si="4"/>
        <v>1.4285714285714286</v>
      </c>
      <c r="X47" t="str">
        <f t="shared" si="5"/>
        <v>Low Profit</v>
      </c>
      <c r="Y47">
        <f t="shared" si="6"/>
        <v>43</v>
      </c>
      <c r="Z47">
        <f t="shared" si="7"/>
        <v>109</v>
      </c>
    </row>
    <row r="48" spans="1:26">
      <c r="A48" s="3">
        <v>509</v>
      </c>
      <c r="B48" s="3">
        <v>47</v>
      </c>
      <c r="C48" s="4">
        <v>41214</v>
      </c>
      <c r="D48" s="3" t="s">
        <v>32</v>
      </c>
      <c r="E48" s="3" t="s">
        <v>29</v>
      </c>
      <c r="F48" s="3">
        <v>13</v>
      </c>
      <c r="G48" s="3" t="s">
        <v>18</v>
      </c>
      <c r="H48" s="3" t="s">
        <v>19</v>
      </c>
      <c r="I48" s="3" t="s">
        <v>20</v>
      </c>
      <c r="J48" s="3">
        <v>44</v>
      </c>
      <c r="K48" s="3">
        <v>115</v>
      </c>
      <c r="L48" s="3" t="s">
        <v>53</v>
      </c>
      <c r="M48" s="3">
        <v>40</v>
      </c>
      <c r="N48" s="3">
        <v>40</v>
      </c>
      <c r="O48" s="3">
        <v>100</v>
      </c>
      <c r="P48" s="3">
        <v>24</v>
      </c>
      <c r="Q48">
        <f>SUM([1]!Table1[[#This Row],[Sales]])</f>
        <v>115</v>
      </c>
      <c r="R48">
        <f>SUM([1]!Table1[[#This Row],[Profit]])</f>
        <v>44</v>
      </c>
      <c r="S48" s="7">
        <f t="shared" si="0"/>
        <v>0.38260869565217392</v>
      </c>
      <c r="T48">
        <f t="shared" si="1"/>
        <v>13</v>
      </c>
      <c r="U48">
        <f t="shared" si="2"/>
        <v>15</v>
      </c>
      <c r="V48">
        <f t="shared" si="3"/>
        <v>7</v>
      </c>
      <c r="W48">
        <f t="shared" si="4"/>
        <v>3.3846153846153846</v>
      </c>
      <c r="X48" t="str">
        <f t="shared" si="5"/>
        <v>Low Profit</v>
      </c>
      <c r="Y48">
        <f t="shared" si="6"/>
        <v>47</v>
      </c>
      <c r="Z48">
        <f t="shared" si="7"/>
        <v>115</v>
      </c>
    </row>
    <row r="49" spans="1:26">
      <c r="A49" s="5">
        <v>203</v>
      </c>
      <c r="B49" s="5">
        <v>36</v>
      </c>
      <c r="C49" s="6">
        <v>41214</v>
      </c>
      <c r="D49" s="5" t="s">
        <v>32</v>
      </c>
      <c r="E49" s="5" t="s">
        <v>25</v>
      </c>
      <c r="F49" s="5">
        <v>10</v>
      </c>
      <c r="G49" s="5" t="s">
        <v>18</v>
      </c>
      <c r="H49" s="5" t="s">
        <v>26</v>
      </c>
      <c r="I49" s="5" t="s">
        <v>30</v>
      </c>
      <c r="J49" s="5">
        <v>33</v>
      </c>
      <c r="K49" s="5">
        <v>90</v>
      </c>
      <c r="L49" s="5" t="s">
        <v>37</v>
      </c>
      <c r="M49" s="5">
        <v>30</v>
      </c>
      <c r="N49" s="5">
        <v>40</v>
      </c>
      <c r="O49" s="5">
        <v>90</v>
      </c>
      <c r="P49" s="5">
        <v>21</v>
      </c>
      <c r="Q49">
        <f>SUM([1]!Table1[[#This Row],[Sales]])</f>
        <v>90</v>
      </c>
      <c r="R49">
        <f>SUM([1]!Table1[[#This Row],[Profit]])</f>
        <v>33</v>
      </c>
      <c r="S49" s="7">
        <f t="shared" si="0"/>
        <v>0.36666666666666664</v>
      </c>
      <c r="T49">
        <f t="shared" si="1"/>
        <v>10</v>
      </c>
      <c r="U49">
        <f t="shared" si="2"/>
        <v>0</v>
      </c>
      <c r="V49">
        <f t="shared" si="3"/>
        <v>6</v>
      </c>
      <c r="W49">
        <f t="shared" si="4"/>
        <v>3.3</v>
      </c>
      <c r="X49" t="str">
        <f t="shared" si="5"/>
        <v>Low Profit</v>
      </c>
      <c r="Y49">
        <f t="shared" si="6"/>
        <v>36</v>
      </c>
      <c r="Z49">
        <f t="shared" si="7"/>
        <v>90</v>
      </c>
    </row>
    <row r="50" spans="1:26">
      <c r="A50" s="3">
        <v>206</v>
      </c>
      <c r="B50" s="3">
        <v>61</v>
      </c>
      <c r="C50" s="4">
        <v>41214</v>
      </c>
      <c r="D50" s="3" t="s">
        <v>32</v>
      </c>
      <c r="E50" s="3" t="s">
        <v>29</v>
      </c>
      <c r="F50" s="3">
        <v>55</v>
      </c>
      <c r="G50" s="3" t="s">
        <v>18</v>
      </c>
      <c r="H50" s="3" t="s">
        <v>26</v>
      </c>
      <c r="I50" s="3" t="s">
        <v>30</v>
      </c>
      <c r="J50" s="3">
        <v>1</v>
      </c>
      <c r="K50" s="3">
        <v>147</v>
      </c>
      <c r="L50" s="3" t="s">
        <v>53</v>
      </c>
      <c r="M50" s="3">
        <v>40</v>
      </c>
      <c r="N50" s="3">
        <v>0</v>
      </c>
      <c r="O50" s="3">
        <v>100</v>
      </c>
      <c r="P50" s="3">
        <v>85</v>
      </c>
      <c r="Q50">
        <f>SUM([1]!Table1[[#This Row],[Sales]])</f>
        <v>147</v>
      </c>
      <c r="R50">
        <f>SUM([1]!Table1[[#This Row],[Profit]])</f>
        <v>1</v>
      </c>
      <c r="S50" s="7">
        <f t="shared" si="0"/>
        <v>6.8027210884353739E-3</v>
      </c>
      <c r="T50">
        <f t="shared" si="1"/>
        <v>55</v>
      </c>
      <c r="U50">
        <f t="shared" si="2"/>
        <v>47</v>
      </c>
      <c r="V50">
        <f t="shared" si="3"/>
        <v>21</v>
      </c>
      <c r="W50">
        <f t="shared" si="4"/>
        <v>1.8181818181818181E-2</v>
      </c>
      <c r="X50" t="str">
        <f t="shared" si="5"/>
        <v>Low Profit</v>
      </c>
      <c r="Y50">
        <f t="shared" si="6"/>
        <v>61</v>
      </c>
      <c r="Z50">
        <f t="shared" si="7"/>
        <v>147</v>
      </c>
    </row>
    <row r="51" spans="1:26">
      <c r="A51" s="5">
        <v>682</v>
      </c>
      <c r="B51" s="5">
        <v>43</v>
      </c>
      <c r="C51" s="6">
        <v>41244</v>
      </c>
      <c r="D51" s="5" t="s">
        <v>16</v>
      </c>
      <c r="E51" s="5" t="s">
        <v>23</v>
      </c>
      <c r="F51" s="5">
        <v>14</v>
      </c>
      <c r="G51" s="5" t="s">
        <v>33</v>
      </c>
      <c r="H51" s="5" t="s">
        <v>38</v>
      </c>
      <c r="I51" s="5" t="s">
        <v>39</v>
      </c>
      <c r="J51" s="5">
        <v>30</v>
      </c>
      <c r="K51" s="5">
        <v>99</v>
      </c>
      <c r="L51" s="5" t="s">
        <v>24</v>
      </c>
      <c r="M51" s="5">
        <v>50</v>
      </c>
      <c r="N51" s="5">
        <v>40</v>
      </c>
      <c r="O51" s="5">
        <v>110</v>
      </c>
      <c r="P51" s="5">
        <v>26</v>
      </c>
      <c r="Q51">
        <f>SUM([1]!Table1[[#This Row],[Sales]])</f>
        <v>99</v>
      </c>
      <c r="R51">
        <f>SUM([1]!Table1[[#This Row],[Profit]])</f>
        <v>30</v>
      </c>
      <c r="S51" s="7">
        <f t="shared" si="0"/>
        <v>0.30303030303030304</v>
      </c>
      <c r="T51">
        <f t="shared" si="1"/>
        <v>14</v>
      </c>
      <c r="U51">
        <f t="shared" si="2"/>
        <v>-11</v>
      </c>
      <c r="V51">
        <f t="shared" si="3"/>
        <v>-7</v>
      </c>
      <c r="W51">
        <f t="shared" si="4"/>
        <v>2.1428571428571428</v>
      </c>
      <c r="X51" t="str">
        <f t="shared" si="5"/>
        <v>Low Profit</v>
      </c>
      <c r="Y51">
        <f t="shared" si="6"/>
        <v>43</v>
      </c>
      <c r="Z51">
        <f t="shared" si="7"/>
        <v>99</v>
      </c>
    </row>
    <row r="52" spans="1:26">
      <c r="A52" s="3">
        <v>214</v>
      </c>
      <c r="B52" s="3">
        <v>54</v>
      </c>
      <c r="C52" s="4">
        <v>41244</v>
      </c>
      <c r="D52" s="3" t="s">
        <v>16</v>
      </c>
      <c r="E52" s="3" t="s">
        <v>23</v>
      </c>
      <c r="F52" s="3">
        <v>15</v>
      </c>
      <c r="G52" s="3" t="s">
        <v>33</v>
      </c>
      <c r="H52" s="3" t="s">
        <v>34</v>
      </c>
      <c r="I52" s="3" t="s">
        <v>35</v>
      </c>
      <c r="J52" s="3">
        <v>52</v>
      </c>
      <c r="K52" s="3">
        <v>133</v>
      </c>
      <c r="L52" s="3" t="s">
        <v>24</v>
      </c>
      <c r="M52" s="3">
        <v>40</v>
      </c>
      <c r="N52" s="3">
        <v>40</v>
      </c>
      <c r="O52" s="3">
        <v>100</v>
      </c>
      <c r="P52" s="3">
        <v>27</v>
      </c>
      <c r="Q52">
        <f>SUM([1]!Table1[[#This Row],[Sales]])</f>
        <v>133</v>
      </c>
      <c r="R52">
        <f>SUM([1]!Table1[[#This Row],[Profit]])</f>
        <v>52</v>
      </c>
      <c r="S52" s="7">
        <f t="shared" si="0"/>
        <v>0.39097744360902253</v>
      </c>
      <c r="T52">
        <f t="shared" si="1"/>
        <v>15</v>
      </c>
      <c r="U52">
        <f t="shared" si="2"/>
        <v>33</v>
      </c>
      <c r="V52">
        <f t="shared" si="3"/>
        <v>14</v>
      </c>
      <c r="W52">
        <f t="shared" si="4"/>
        <v>3.4666666666666668</v>
      </c>
      <c r="X52" t="str">
        <f t="shared" si="5"/>
        <v>Low Profit</v>
      </c>
      <c r="Y52">
        <f t="shared" si="6"/>
        <v>54</v>
      </c>
      <c r="Z52">
        <f t="shared" si="7"/>
        <v>133</v>
      </c>
    </row>
    <row r="53" spans="1:26">
      <c r="A53" s="5">
        <v>970</v>
      </c>
      <c r="B53" s="5">
        <v>47</v>
      </c>
      <c r="C53" s="6">
        <v>41244</v>
      </c>
      <c r="D53" s="5" t="s">
        <v>16</v>
      </c>
      <c r="E53" s="5" t="s">
        <v>17</v>
      </c>
      <c r="F53" s="5">
        <v>42</v>
      </c>
      <c r="G53" s="5" t="s">
        <v>18</v>
      </c>
      <c r="H53" s="5" t="s">
        <v>19</v>
      </c>
      <c r="I53" s="5" t="s">
        <v>20</v>
      </c>
      <c r="J53" s="5">
        <v>-6</v>
      </c>
      <c r="K53" s="5">
        <v>112</v>
      </c>
      <c r="L53" s="5" t="s">
        <v>21</v>
      </c>
      <c r="M53" s="5">
        <v>40</v>
      </c>
      <c r="N53" s="5">
        <v>0</v>
      </c>
      <c r="O53" s="5">
        <v>100</v>
      </c>
      <c r="P53" s="5">
        <v>71</v>
      </c>
      <c r="Q53">
        <f>SUM([1]!Table1[[#This Row],[Sales]])</f>
        <v>112</v>
      </c>
      <c r="R53">
        <f>SUM([1]!Table1[[#This Row],[Profit]])</f>
        <v>-6</v>
      </c>
      <c r="S53" s="7">
        <f t="shared" si="0"/>
        <v>-5.3571428571428568E-2</v>
      </c>
      <c r="T53">
        <f t="shared" si="1"/>
        <v>42</v>
      </c>
      <c r="U53">
        <f t="shared" si="2"/>
        <v>12</v>
      </c>
      <c r="V53">
        <f t="shared" si="3"/>
        <v>7</v>
      </c>
      <c r="W53">
        <f t="shared" si="4"/>
        <v>-0.14285714285714285</v>
      </c>
      <c r="X53" t="str">
        <f t="shared" si="5"/>
        <v>Low Profit</v>
      </c>
      <c r="Y53">
        <f t="shared" si="6"/>
        <v>47</v>
      </c>
      <c r="Z53">
        <f t="shared" si="7"/>
        <v>112</v>
      </c>
    </row>
    <row r="54" spans="1:26">
      <c r="A54" s="3">
        <v>303</v>
      </c>
      <c r="B54" s="3">
        <v>54</v>
      </c>
      <c r="C54" s="4">
        <v>41244</v>
      </c>
      <c r="D54" s="3" t="s">
        <v>16</v>
      </c>
      <c r="E54" s="3" t="s">
        <v>17</v>
      </c>
      <c r="F54" s="3">
        <v>17</v>
      </c>
      <c r="G54" s="3" t="s">
        <v>18</v>
      </c>
      <c r="H54" s="3" t="s">
        <v>19</v>
      </c>
      <c r="I54" s="3" t="s">
        <v>22</v>
      </c>
      <c r="J54" s="3">
        <v>29</v>
      </c>
      <c r="K54" s="3">
        <v>127</v>
      </c>
      <c r="L54" s="3" t="s">
        <v>21</v>
      </c>
      <c r="M54" s="3">
        <v>50</v>
      </c>
      <c r="N54" s="3">
        <v>30</v>
      </c>
      <c r="O54" s="3">
        <v>110</v>
      </c>
      <c r="P54" s="3">
        <v>44</v>
      </c>
      <c r="Q54">
        <f>SUM([1]!Table1[[#This Row],[Sales]])</f>
        <v>127</v>
      </c>
      <c r="R54">
        <f>SUM([1]!Table1[[#This Row],[Profit]])</f>
        <v>29</v>
      </c>
      <c r="S54" s="7">
        <f t="shared" si="0"/>
        <v>0.2283464566929134</v>
      </c>
      <c r="T54">
        <f t="shared" si="1"/>
        <v>17</v>
      </c>
      <c r="U54">
        <f t="shared" si="2"/>
        <v>17</v>
      </c>
      <c r="V54">
        <f t="shared" si="3"/>
        <v>4</v>
      </c>
      <c r="W54">
        <f t="shared" si="4"/>
        <v>1.7058823529411764</v>
      </c>
      <c r="X54" t="str">
        <f t="shared" si="5"/>
        <v>Low Profit</v>
      </c>
      <c r="Y54">
        <f t="shared" si="6"/>
        <v>54</v>
      </c>
      <c r="Z54">
        <f t="shared" si="7"/>
        <v>127</v>
      </c>
    </row>
    <row r="55" spans="1:26">
      <c r="A55" s="5">
        <v>954</v>
      </c>
      <c r="B55" s="5">
        <v>65</v>
      </c>
      <c r="C55" s="6">
        <v>41244</v>
      </c>
      <c r="D55" s="5" t="s">
        <v>16</v>
      </c>
      <c r="E55" s="5" t="s">
        <v>25</v>
      </c>
      <c r="F55" s="5">
        <v>24</v>
      </c>
      <c r="G55" s="5" t="s">
        <v>18</v>
      </c>
      <c r="H55" s="5" t="s">
        <v>19</v>
      </c>
      <c r="I55" s="5" t="s">
        <v>20</v>
      </c>
      <c r="J55" s="5">
        <v>23</v>
      </c>
      <c r="K55" s="5">
        <v>145</v>
      </c>
      <c r="L55" s="5" t="s">
        <v>28</v>
      </c>
      <c r="M55" s="5">
        <v>40</v>
      </c>
      <c r="N55" s="5">
        <v>20</v>
      </c>
      <c r="O55" s="5">
        <v>100</v>
      </c>
      <c r="P55" s="5">
        <v>57</v>
      </c>
      <c r="Q55">
        <f>SUM([1]!Table1[[#This Row],[Sales]])</f>
        <v>145</v>
      </c>
      <c r="R55">
        <f>SUM([1]!Table1[[#This Row],[Profit]])</f>
        <v>23</v>
      </c>
      <c r="S55" s="7">
        <f t="shared" si="0"/>
        <v>0.15862068965517243</v>
      </c>
      <c r="T55">
        <f t="shared" si="1"/>
        <v>24</v>
      </c>
      <c r="U55">
        <f t="shared" si="2"/>
        <v>45</v>
      </c>
      <c r="V55">
        <f t="shared" si="3"/>
        <v>25</v>
      </c>
      <c r="W55">
        <f t="shared" si="4"/>
        <v>0.95833333333333337</v>
      </c>
      <c r="X55" t="str">
        <f t="shared" si="5"/>
        <v>Low Profit</v>
      </c>
      <c r="Y55">
        <f t="shared" si="6"/>
        <v>65</v>
      </c>
      <c r="Z55">
        <f t="shared" si="7"/>
        <v>145</v>
      </c>
    </row>
    <row r="56" spans="1:26">
      <c r="A56" s="3">
        <v>561</v>
      </c>
      <c r="B56" s="3">
        <v>80</v>
      </c>
      <c r="C56" s="4">
        <v>41244</v>
      </c>
      <c r="D56" s="3" t="s">
        <v>16</v>
      </c>
      <c r="E56" s="3" t="s">
        <v>25</v>
      </c>
      <c r="F56" s="3">
        <v>24</v>
      </c>
      <c r="G56" s="3" t="s">
        <v>18</v>
      </c>
      <c r="H56" s="3" t="s">
        <v>19</v>
      </c>
      <c r="I56" s="3" t="s">
        <v>22</v>
      </c>
      <c r="J56" s="3">
        <v>50</v>
      </c>
      <c r="K56" s="3">
        <v>176</v>
      </c>
      <c r="L56" s="3" t="s">
        <v>28</v>
      </c>
      <c r="M56" s="3">
        <v>60</v>
      </c>
      <c r="N56" s="3">
        <v>30</v>
      </c>
      <c r="O56" s="3">
        <v>120</v>
      </c>
      <c r="P56" s="3">
        <v>46</v>
      </c>
      <c r="Q56">
        <f>SUM([1]!Table1[[#This Row],[Sales]])</f>
        <v>176</v>
      </c>
      <c r="R56">
        <f>SUM([1]!Table1[[#This Row],[Profit]])</f>
        <v>50</v>
      </c>
      <c r="S56" s="7">
        <f t="shared" si="0"/>
        <v>0.28409090909090912</v>
      </c>
      <c r="T56">
        <f t="shared" si="1"/>
        <v>24</v>
      </c>
      <c r="U56">
        <f t="shared" si="2"/>
        <v>56</v>
      </c>
      <c r="V56">
        <f t="shared" si="3"/>
        <v>20</v>
      </c>
      <c r="W56">
        <f t="shared" si="4"/>
        <v>2.0833333333333335</v>
      </c>
      <c r="X56" t="str">
        <f t="shared" si="5"/>
        <v>Low Profit</v>
      </c>
      <c r="Y56">
        <f t="shared" si="6"/>
        <v>80</v>
      </c>
      <c r="Z56">
        <f t="shared" si="7"/>
        <v>176</v>
      </c>
    </row>
    <row r="57" spans="1:26">
      <c r="A57" s="5">
        <v>469</v>
      </c>
      <c r="B57" s="5">
        <v>54</v>
      </c>
      <c r="C57" s="6">
        <v>41244</v>
      </c>
      <c r="D57" s="5" t="s">
        <v>16</v>
      </c>
      <c r="E57" s="5" t="s">
        <v>23</v>
      </c>
      <c r="F57" s="5">
        <v>17</v>
      </c>
      <c r="G57" s="5" t="s">
        <v>18</v>
      </c>
      <c r="H57" s="5" t="s">
        <v>19</v>
      </c>
      <c r="I57" s="5" t="s">
        <v>50</v>
      </c>
      <c r="J57" s="5">
        <v>28</v>
      </c>
      <c r="K57" s="5">
        <v>127</v>
      </c>
      <c r="L57" s="5" t="s">
        <v>24</v>
      </c>
      <c r="M57" s="5">
        <v>50</v>
      </c>
      <c r="N57" s="5">
        <v>30</v>
      </c>
      <c r="O57" s="5">
        <v>110</v>
      </c>
      <c r="P57" s="5">
        <v>45</v>
      </c>
      <c r="Q57">
        <f>SUM([1]!Table1[[#This Row],[Sales]])</f>
        <v>127</v>
      </c>
      <c r="R57">
        <f>SUM([1]!Table1[[#This Row],[Profit]])</f>
        <v>28</v>
      </c>
      <c r="S57" s="7">
        <f t="shared" si="0"/>
        <v>0.22047244094488189</v>
      </c>
      <c r="T57">
        <f t="shared" si="1"/>
        <v>17</v>
      </c>
      <c r="U57">
        <f t="shared" si="2"/>
        <v>17</v>
      </c>
      <c r="V57">
        <f t="shared" si="3"/>
        <v>4</v>
      </c>
      <c r="W57">
        <f t="shared" si="4"/>
        <v>1.6470588235294117</v>
      </c>
      <c r="X57" t="str">
        <f t="shared" si="5"/>
        <v>Low Profit</v>
      </c>
      <c r="Y57">
        <f t="shared" si="6"/>
        <v>54</v>
      </c>
      <c r="Z57">
        <f t="shared" si="7"/>
        <v>127</v>
      </c>
    </row>
    <row r="58" spans="1:26">
      <c r="A58" s="3">
        <v>214</v>
      </c>
      <c r="B58" s="3">
        <v>41</v>
      </c>
      <c r="C58" s="4">
        <v>41244</v>
      </c>
      <c r="D58" s="3" t="s">
        <v>16</v>
      </c>
      <c r="E58" s="3" t="s">
        <v>23</v>
      </c>
      <c r="F58" s="3">
        <v>13</v>
      </c>
      <c r="G58" s="3" t="s">
        <v>18</v>
      </c>
      <c r="H58" s="3" t="s">
        <v>19</v>
      </c>
      <c r="I58" s="3" t="s">
        <v>20</v>
      </c>
      <c r="J58" s="3">
        <v>24</v>
      </c>
      <c r="K58" s="3">
        <v>101</v>
      </c>
      <c r="L58" s="3" t="s">
        <v>24</v>
      </c>
      <c r="M58" s="3">
        <v>30</v>
      </c>
      <c r="N58" s="3">
        <v>30</v>
      </c>
      <c r="O58" s="3">
        <v>90</v>
      </c>
      <c r="P58" s="3">
        <v>36</v>
      </c>
      <c r="Q58">
        <f>SUM([1]!Table1[[#This Row],[Sales]])</f>
        <v>101</v>
      </c>
      <c r="R58">
        <f>SUM([1]!Table1[[#This Row],[Profit]])</f>
        <v>24</v>
      </c>
      <c r="S58" s="7">
        <f t="shared" si="0"/>
        <v>0.23762376237623761</v>
      </c>
      <c r="T58">
        <f t="shared" si="1"/>
        <v>13</v>
      </c>
      <c r="U58">
        <f t="shared" si="2"/>
        <v>11</v>
      </c>
      <c r="V58">
        <f t="shared" si="3"/>
        <v>11</v>
      </c>
      <c r="W58">
        <f t="shared" si="4"/>
        <v>1.8461538461538463</v>
      </c>
      <c r="X58" t="str">
        <f t="shared" si="5"/>
        <v>Low Profit</v>
      </c>
      <c r="Y58">
        <f t="shared" si="6"/>
        <v>41</v>
      </c>
      <c r="Z58">
        <f t="shared" si="7"/>
        <v>101</v>
      </c>
    </row>
    <row r="59" spans="1:26">
      <c r="A59" s="5">
        <v>619</v>
      </c>
      <c r="B59" s="5">
        <v>54</v>
      </c>
      <c r="C59" s="6">
        <v>41244</v>
      </c>
      <c r="D59" s="5" t="s">
        <v>16</v>
      </c>
      <c r="E59" s="5" t="s">
        <v>29</v>
      </c>
      <c r="F59" s="5">
        <v>15</v>
      </c>
      <c r="G59" s="5" t="s">
        <v>18</v>
      </c>
      <c r="H59" s="5" t="s">
        <v>26</v>
      </c>
      <c r="I59" s="5" t="s">
        <v>54</v>
      </c>
      <c r="J59" s="5">
        <v>53</v>
      </c>
      <c r="K59" s="5">
        <v>133</v>
      </c>
      <c r="L59" s="5" t="s">
        <v>31</v>
      </c>
      <c r="M59" s="5">
        <v>30</v>
      </c>
      <c r="N59" s="5">
        <v>50</v>
      </c>
      <c r="O59" s="5">
        <v>90</v>
      </c>
      <c r="P59" s="5">
        <v>26</v>
      </c>
      <c r="Q59">
        <f>SUM([1]!Table1[[#This Row],[Sales]])</f>
        <v>133</v>
      </c>
      <c r="R59">
        <f>SUM([1]!Table1[[#This Row],[Profit]])</f>
        <v>53</v>
      </c>
      <c r="S59" s="7">
        <f t="shared" si="0"/>
        <v>0.39849624060150374</v>
      </c>
      <c r="T59">
        <f t="shared" si="1"/>
        <v>15</v>
      </c>
      <c r="U59">
        <f t="shared" si="2"/>
        <v>43</v>
      </c>
      <c r="V59">
        <f t="shared" si="3"/>
        <v>24</v>
      </c>
      <c r="W59">
        <f t="shared" si="4"/>
        <v>3.5333333333333332</v>
      </c>
      <c r="X59" t="str">
        <f t="shared" si="5"/>
        <v>Low Profit</v>
      </c>
      <c r="Y59">
        <f t="shared" si="6"/>
        <v>54</v>
      </c>
      <c r="Z59">
        <f t="shared" si="7"/>
        <v>133</v>
      </c>
    </row>
    <row r="60" spans="1:26">
      <c r="A60" s="3">
        <v>314</v>
      </c>
      <c r="B60" s="3">
        <v>31</v>
      </c>
      <c r="C60" s="4">
        <v>41244</v>
      </c>
      <c r="D60" s="3" t="s">
        <v>32</v>
      </c>
      <c r="E60" s="3" t="s">
        <v>17</v>
      </c>
      <c r="F60" s="3">
        <v>8</v>
      </c>
      <c r="G60" s="3" t="s">
        <v>33</v>
      </c>
      <c r="H60" s="3" t="s">
        <v>34</v>
      </c>
      <c r="I60" s="3" t="s">
        <v>35</v>
      </c>
      <c r="J60" s="3">
        <v>27</v>
      </c>
      <c r="K60" s="3">
        <v>77</v>
      </c>
      <c r="L60" s="3" t="s">
        <v>51</v>
      </c>
      <c r="M60" s="3">
        <v>30</v>
      </c>
      <c r="N60" s="3">
        <v>50</v>
      </c>
      <c r="O60" s="3">
        <v>90</v>
      </c>
      <c r="P60" s="3">
        <v>19</v>
      </c>
      <c r="Q60">
        <f>SUM([1]!Table1[[#This Row],[Sales]])</f>
        <v>77</v>
      </c>
      <c r="R60">
        <f>SUM([1]!Table1[[#This Row],[Profit]])</f>
        <v>27</v>
      </c>
      <c r="S60" s="7">
        <f t="shared" si="0"/>
        <v>0.35064935064935066</v>
      </c>
      <c r="T60">
        <f t="shared" si="1"/>
        <v>8</v>
      </c>
      <c r="U60">
        <f t="shared" si="2"/>
        <v>-13</v>
      </c>
      <c r="V60">
        <f t="shared" si="3"/>
        <v>1</v>
      </c>
      <c r="W60">
        <f t="shared" si="4"/>
        <v>3.375</v>
      </c>
      <c r="X60" t="str">
        <f t="shared" si="5"/>
        <v>Low Profit</v>
      </c>
      <c r="Y60">
        <f t="shared" si="6"/>
        <v>31</v>
      </c>
      <c r="Z60">
        <f t="shared" si="7"/>
        <v>77</v>
      </c>
    </row>
    <row r="61" spans="1:26">
      <c r="A61" s="5">
        <v>225</v>
      </c>
      <c r="B61" s="5">
        <v>34</v>
      </c>
      <c r="C61" s="6">
        <v>41244</v>
      </c>
      <c r="D61" s="5" t="s">
        <v>32</v>
      </c>
      <c r="E61" s="5" t="s">
        <v>23</v>
      </c>
      <c r="F61" s="5">
        <v>9</v>
      </c>
      <c r="G61" s="5" t="s">
        <v>33</v>
      </c>
      <c r="H61" s="5" t="s">
        <v>38</v>
      </c>
      <c r="I61" s="5" t="s">
        <v>39</v>
      </c>
      <c r="J61" s="5">
        <v>31</v>
      </c>
      <c r="K61" s="5">
        <v>85</v>
      </c>
      <c r="L61" s="5" t="s">
        <v>48</v>
      </c>
      <c r="M61" s="5">
        <v>40</v>
      </c>
      <c r="N61" s="5">
        <v>50</v>
      </c>
      <c r="O61" s="5">
        <v>100</v>
      </c>
      <c r="P61" s="5">
        <v>20</v>
      </c>
      <c r="Q61">
        <f>SUM([1]!Table1[[#This Row],[Sales]])</f>
        <v>85</v>
      </c>
      <c r="R61">
        <f>SUM([1]!Table1[[#This Row],[Profit]])</f>
        <v>31</v>
      </c>
      <c r="S61" s="7">
        <f t="shared" si="0"/>
        <v>0.36470588235294116</v>
      </c>
      <c r="T61">
        <f t="shared" si="1"/>
        <v>9</v>
      </c>
      <c r="U61">
        <f t="shared" si="2"/>
        <v>-15</v>
      </c>
      <c r="V61">
        <f t="shared" si="3"/>
        <v>-6</v>
      </c>
      <c r="W61">
        <f t="shared" si="4"/>
        <v>3.4444444444444446</v>
      </c>
      <c r="X61" t="str">
        <f t="shared" si="5"/>
        <v>Low Profit</v>
      </c>
      <c r="Y61">
        <f t="shared" si="6"/>
        <v>34</v>
      </c>
      <c r="Z61">
        <f t="shared" si="7"/>
        <v>85</v>
      </c>
    </row>
    <row r="62" spans="1:26">
      <c r="A62" s="3">
        <v>580</v>
      </c>
      <c r="B62" s="3">
        <v>33</v>
      </c>
      <c r="C62" s="4">
        <v>41244</v>
      </c>
      <c r="D62" s="3" t="s">
        <v>32</v>
      </c>
      <c r="E62" s="3" t="s">
        <v>23</v>
      </c>
      <c r="F62" s="3">
        <v>9</v>
      </c>
      <c r="G62" s="3" t="s">
        <v>33</v>
      </c>
      <c r="H62" s="3" t="s">
        <v>38</v>
      </c>
      <c r="I62" s="3" t="s">
        <v>39</v>
      </c>
      <c r="J62" s="3">
        <v>28</v>
      </c>
      <c r="K62" s="3">
        <v>82</v>
      </c>
      <c r="L62" s="3" t="s">
        <v>40</v>
      </c>
      <c r="M62" s="3">
        <v>30</v>
      </c>
      <c r="N62" s="3">
        <v>50</v>
      </c>
      <c r="O62" s="3">
        <v>90</v>
      </c>
      <c r="P62" s="3">
        <v>21</v>
      </c>
      <c r="Q62">
        <f>SUM([1]!Table1[[#This Row],[Sales]])</f>
        <v>82</v>
      </c>
      <c r="R62">
        <f>SUM([1]!Table1[[#This Row],[Profit]])</f>
        <v>28</v>
      </c>
      <c r="S62" s="7">
        <f t="shared" si="0"/>
        <v>0.34146341463414637</v>
      </c>
      <c r="T62">
        <f t="shared" si="1"/>
        <v>9</v>
      </c>
      <c r="U62">
        <f t="shared" si="2"/>
        <v>-8</v>
      </c>
      <c r="V62">
        <f t="shared" si="3"/>
        <v>3</v>
      </c>
      <c r="W62">
        <f t="shared" si="4"/>
        <v>3.1111111111111112</v>
      </c>
      <c r="X62" t="str">
        <f t="shared" si="5"/>
        <v>Low Profit</v>
      </c>
      <c r="Y62">
        <f t="shared" si="6"/>
        <v>33</v>
      </c>
      <c r="Z62">
        <f t="shared" si="7"/>
        <v>82</v>
      </c>
    </row>
    <row r="63" spans="1:26">
      <c r="A63" s="5">
        <v>603</v>
      </c>
      <c r="B63" s="5">
        <v>48</v>
      </c>
      <c r="C63" s="6">
        <v>41244</v>
      </c>
      <c r="D63" s="5" t="s">
        <v>32</v>
      </c>
      <c r="E63" s="5" t="s">
        <v>25</v>
      </c>
      <c r="F63" s="5">
        <v>15</v>
      </c>
      <c r="G63" s="5" t="s">
        <v>33</v>
      </c>
      <c r="H63" s="5" t="s">
        <v>38</v>
      </c>
      <c r="I63" s="5" t="s">
        <v>45</v>
      </c>
      <c r="J63" s="5">
        <v>28</v>
      </c>
      <c r="K63" s="5">
        <v>122</v>
      </c>
      <c r="L63" s="5" t="s">
        <v>44</v>
      </c>
      <c r="M63" s="5">
        <v>40</v>
      </c>
      <c r="N63" s="5">
        <v>30</v>
      </c>
      <c r="O63" s="5">
        <v>100</v>
      </c>
      <c r="P63" s="5">
        <v>46</v>
      </c>
      <c r="Q63">
        <f>SUM([1]!Table1[[#This Row],[Sales]])</f>
        <v>122</v>
      </c>
      <c r="R63">
        <f>SUM([1]!Table1[[#This Row],[Profit]])</f>
        <v>28</v>
      </c>
      <c r="S63" s="7">
        <f t="shared" si="0"/>
        <v>0.22950819672131148</v>
      </c>
      <c r="T63">
        <f t="shared" si="1"/>
        <v>15</v>
      </c>
      <c r="U63">
        <f t="shared" si="2"/>
        <v>22</v>
      </c>
      <c r="V63">
        <f t="shared" si="3"/>
        <v>8</v>
      </c>
      <c r="W63">
        <f t="shared" si="4"/>
        <v>1.8666666666666667</v>
      </c>
      <c r="X63" t="str">
        <f t="shared" si="5"/>
        <v>Low Profit</v>
      </c>
      <c r="Y63">
        <f t="shared" si="6"/>
        <v>48</v>
      </c>
      <c r="Z63">
        <f t="shared" si="7"/>
        <v>122</v>
      </c>
    </row>
    <row r="64" spans="1:26">
      <c r="A64" s="3">
        <v>985</v>
      </c>
      <c r="B64" s="3">
        <v>55</v>
      </c>
      <c r="C64" s="4">
        <v>41244</v>
      </c>
      <c r="D64" s="3" t="s">
        <v>32</v>
      </c>
      <c r="E64" s="3" t="s">
        <v>23</v>
      </c>
      <c r="F64" s="3">
        <v>49</v>
      </c>
      <c r="G64" s="3" t="s">
        <v>33</v>
      </c>
      <c r="H64" s="3" t="s">
        <v>34</v>
      </c>
      <c r="I64" s="3" t="s">
        <v>47</v>
      </c>
      <c r="J64" s="3">
        <v>-3</v>
      </c>
      <c r="K64" s="3">
        <v>131</v>
      </c>
      <c r="L64" s="3" t="s">
        <v>48</v>
      </c>
      <c r="M64" s="3">
        <v>40</v>
      </c>
      <c r="N64" s="3">
        <v>0</v>
      </c>
      <c r="O64" s="3">
        <v>100</v>
      </c>
      <c r="P64" s="3">
        <v>79</v>
      </c>
      <c r="Q64">
        <f>SUM([1]!Table1[[#This Row],[Sales]])</f>
        <v>131</v>
      </c>
      <c r="R64">
        <f>SUM([1]!Table1[[#This Row],[Profit]])</f>
        <v>-3</v>
      </c>
      <c r="S64" s="7">
        <f t="shared" si="0"/>
        <v>-2.2900763358778626E-2</v>
      </c>
      <c r="T64">
        <f t="shared" si="1"/>
        <v>49</v>
      </c>
      <c r="U64">
        <f t="shared" si="2"/>
        <v>31</v>
      </c>
      <c r="V64">
        <f t="shared" si="3"/>
        <v>15</v>
      </c>
      <c r="W64">
        <f t="shared" si="4"/>
        <v>-6.1224489795918366E-2</v>
      </c>
      <c r="X64" t="str">
        <f t="shared" si="5"/>
        <v>Low Profit</v>
      </c>
      <c r="Y64">
        <f t="shared" si="6"/>
        <v>55</v>
      </c>
      <c r="Z64">
        <f t="shared" si="7"/>
        <v>131</v>
      </c>
    </row>
    <row r="65" spans="1:26">
      <c r="A65" s="5">
        <v>505</v>
      </c>
      <c r="B65" s="5">
        <v>49</v>
      </c>
      <c r="C65" s="6">
        <v>41244</v>
      </c>
      <c r="D65" s="5" t="s">
        <v>32</v>
      </c>
      <c r="E65" s="5" t="s">
        <v>23</v>
      </c>
      <c r="F65" s="5">
        <v>44</v>
      </c>
      <c r="G65" s="5" t="s">
        <v>33</v>
      </c>
      <c r="H65" s="5" t="s">
        <v>34</v>
      </c>
      <c r="I65" s="5" t="s">
        <v>46</v>
      </c>
      <c r="J65" s="5">
        <v>-5</v>
      </c>
      <c r="K65" s="5">
        <v>118</v>
      </c>
      <c r="L65" s="5" t="s">
        <v>57</v>
      </c>
      <c r="M65" s="5">
        <v>30</v>
      </c>
      <c r="N65" s="5">
        <v>10</v>
      </c>
      <c r="O65" s="5">
        <v>90</v>
      </c>
      <c r="P65" s="5">
        <v>74</v>
      </c>
      <c r="Q65">
        <f>SUM([1]!Table1[[#This Row],[Sales]])</f>
        <v>118</v>
      </c>
      <c r="R65">
        <f>SUM([1]!Table1[[#This Row],[Profit]])</f>
        <v>-5</v>
      </c>
      <c r="S65" s="7">
        <f t="shared" si="0"/>
        <v>-4.2372881355932202E-2</v>
      </c>
      <c r="T65">
        <f t="shared" si="1"/>
        <v>44</v>
      </c>
      <c r="U65">
        <f t="shared" si="2"/>
        <v>28</v>
      </c>
      <c r="V65">
        <f t="shared" si="3"/>
        <v>19</v>
      </c>
      <c r="W65">
        <f t="shared" si="4"/>
        <v>-0.11363636363636363</v>
      </c>
      <c r="X65" t="str">
        <f t="shared" si="5"/>
        <v>Low Profit</v>
      </c>
      <c r="Y65">
        <f t="shared" si="6"/>
        <v>49</v>
      </c>
      <c r="Z65">
        <f t="shared" si="7"/>
        <v>118</v>
      </c>
    </row>
    <row r="66" spans="1:26">
      <c r="A66" s="3">
        <v>775</v>
      </c>
      <c r="B66" s="3">
        <v>39</v>
      </c>
      <c r="C66" s="4">
        <v>41244</v>
      </c>
      <c r="D66" s="3" t="s">
        <v>32</v>
      </c>
      <c r="E66" s="3" t="s">
        <v>29</v>
      </c>
      <c r="F66" s="3">
        <v>14</v>
      </c>
      <c r="G66" s="3" t="s">
        <v>33</v>
      </c>
      <c r="H66" s="3" t="s">
        <v>38</v>
      </c>
      <c r="I66" s="3" t="s">
        <v>45</v>
      </c>
      <c r="J66" s="3">
        <v>1</v>
      </c>
      <c r="K66" s="3">
        <v>88</v>
      </c>
      <c r="L66" s="3" t="s">
        <v>41</v>
      </c>
      <c r="M66" s="3">
        <v>40</v>
      </c>
      <c r="N66" s="3">
        <v>20</v>
      </c>
      <c r="O66" s="3">
        <v>100</v>
      </c>
      <c r="P66" s="3">
        <v>48</v>
      </c>
      <c r="Q66">
        <f>SUM([1]!Table1[[#This Row],[Sales]])</f>
        <v>88</v>
      </c>
      <c r="R66">
        <f>SUM([1]!Table1[[#This Row],[Profit]])</f>
        <v>1</v>
      </c>
      <c r="S66" s="7">
        <f t="shared" si="0"/>
        <v>1.1363636363636364E-2</v>
      </c>
      <c r="T66">
        <f t="shared" si="1"/>
        <v>14</v>
      </c>
      <c r="U66">
        <f t="shared" si="2"/>
        <v>-12</v>
      </c>
      <c r="V66">
        <f t="shared" si="3"/>
        <v>-1</v>
      </c>
      <c r="W66">
        <f t="shared" si="4"/>
        <v>7.1428571428571425E-2</v>
      </c>
      <c r="X66" t="str">
        <f t="shared" si="5"/>
        <v>Low Profit</v>
      </c>
      <c r="Y66">
        <f t="shared" si="6"/>
        <v>39</v>
      </c>
      <c r="Z66">
        <f t="shared" si="7"/>
        <v>88</v>
      </c>
    </row>
    <row r="67" spans="1:26">
      <c r="A67" s="5">
        <v>417</v>
      </c>
      <c r="B67" s="5">
        <v>49</v>
      </c>
      <c r="C67" s="6">
        <v>41244</v>
      </c>
      <c r="D67" s="5" t="s">
        <v>32</v>
      </c>
      <c r="E67" s="5" t="s">
        <v>17</v>
      </c>
      <c r="F67" s="5">
        <v>44</v>
      </c>
      <c r="G67" s="5" t="s">
        <v>18</v>
      </c>
      <c r="H67" s="5" t="s">
        <v>19</v>
      </c>
      <c r="I67" s="5" t="s">
        <v>50</v>
      </c>
      <c r="J67" s="5">
        <v>-5</v>
      </c>
      <c r="K67" s="5">
        <v>118</v>
      </c>
      <c r="L67" s="5" t="s">
        <v>51</v>
      </c>
      <c r="M67" s="5">
        <v>40</v>
      </c>
      <c r="N67" s="5">
        <v>0</v>
      </c>
      <c r="O67" s="5">
        <v>100</v>
      </c>
      <c r="P67" s="5">
        <v>74</v>
      </c>
      <c r="Q67">
        <f>SUM([1]!Table1[[#This Row],[Sales]])</f>
        <v>118</v>
      </c>
      <c r="R67">
        <f>SUM([1]!Table1[[#This Row],[Profit]])</f>
        <v>-5</v>
      </c>
      <c r="S67" s="7">
        <f t="shared" ref="S67:S130" si="8">J67/K67</f>
        <v>-4.2372881355932202E-2</v>
      </c>
      <c r="T67">
        <f t="shared" ref="T67:T130" si="9">SUM(F67)</f>
        <v>44</v>
      </c>
      <c r="U67">
        <f t="shared" ref="U67:U130" si="10">K67-O67</f>
        <v>18</v>
      </c>
      <c r="V67">
        <f t="shared" ref="V67:V130" si="11">B67-M67</f>
        <v>9</v>
      </c>
      <c r="W67">
        <f t="shared" ref="W67:W130" si="12">J67/F67</f>
        <v>-0.11363636363636363</v>
      </c>
      <c r="X67" t="str">
        <f t="shared" ref="X67:X130" si="13">IF(J67&gt;100,"High Profit","Low Profit")</f>
        <v>Low Profit</v>
      </c>
      <c r="Y67">
        <f t="shared" ref="Y67:Y130" si="14">SUM(B67)</f>
        <v>49</v>
      </c>
      <c r="Z67">
        <f t="shared" ref="Z67:Z130" si="15">SUM(K67)</f>
        <v>118</v>
      </c>
    </row>
    <row r="68" spans="1:26">
      <c r="A68" s="3">
        <v>920</v>
      </c>
      <c r="B68" s="3">
        <v>41</v>
      </c>
      <c r="C68" s="4">
        <v>41244</v>
      </c>
      <c r="D68" s="3" t="s">
        <v>32</v>
      </c>
      <c r="E68" s="3" t="s">
        <v>17</v>
      </c>
      <c r="F68" s="3">
        <v>12</v>
      </c>
      <c r="G68" s="3" t="s">
        <v>18</v>
      </c>
      <c r="H68" s="3" t="s">
        <v>19</v>
      </c>
      <c r="I68" s="3" t="s">
        <v>50</v>
      </c>
      <c r="J68" s="3">
        <v>30</v>
      </c>
      <c r="K68" s="3">
        <v>107</v>
      </c>
      <c r="L68" s="3" t="s">
        <v>52</v>
      </c>
      <c r="M68" s="3">
        <v>30</v>
      </c>
      <c r="N68" s="3">
        <v>30</v>
      </c>
      <c r="O68" s="3">
        <v>90</v>
      </c>
      <c r="P68" s="3">
        <v>36</v>
      </c>
      <c r="Q68">
        <f>SUM([1]!Table1[[#This Row],[Sales]])</f>
        <v>107</v>
      </c>
      <c r="R68">
        <f>SUM([1]!Table1[[#This Row],[Profit]])</f>
        <v>30</v>
      </c>
      <c r="S68" s="7">
        <f t="shared" si="8"/>
        <v>0.28037383177570091</v>
      </c>
      <c r="T68">
        <f t="shared" si="9"/>
        <v>12</v>
      </c>
      <c r="U68">
        <f t="shared" si="10"/>
        <v>17</v>
      </c>
      <c r="V68">
        <f t="shared" si="11"/>
        <v>11</v>
      </c>
      <c r="W68">
        <f t="shared" si="12"/>
        <v>2.5</v>
      </c>
      <c r="X68" t="str">
        <f t="shared" si="13"/>
        <v>Low Profit</v>
      </c>
      <c r="Y68">
        <f t="shared" si="14"/>
        <v>41</v>
      </c>
      <c r="Z68">
        <f t="shared" si="15"/>
        <v>107</v>
      </c>
    </row>
    <row r="69" spans="1:26">
      <c r="A69" s="5">
        <v>573</v>
      </c>
      <c r="B69" s="5">
        <v>92</v>
      </c>
      <c r="C69" s="6">
        <v>41244</v>
      </c>
      <c r="D69" s="5" t="s">
        <v>32</v>
      </c>
      <c r="E69" s="5" t="s">
        <v>17</v>
      </c>
      <c r="F69" s="5">
        <v>28</v>
      </c>
      <c r="G69" s="5" t="s">
        <v>18</v>
      </c>
      <c r="H69" s="5" t="s">
        <v>19</v>
      </c>
      <c r="I69" s="5" t="s">
        <v>20</v>
      </c>
      <c r="J69" s="5">
        <v>16</v>
      </c>
      <c r="K69" s="5">
        <v>160</v>
      </c>
      <c r="L69" s="5" t="s">
        <v>51</v>
      </c>
      <c r="M69" s="5">
        <v>80</v>
      </c>
      <c r="N69" s="5">
        <v>20</v>
      </c>
      <c r="O69" s="5">
        <v>140</v>
      </c>
      <c r="P69" s="5">
        <v>52</v>
      </c>
      <c r="Q69">
        <f>SUM([1]!Table1[[#This Row],[Sales]])</f>
        <v>160</v>
      </c>
      <c r="R69">
        <f>SUM([1]!Table1[[#This Row],[Profit]])</f>
        <v>16</v>
      </c>
      <c r="S69" s="7">
        <f t="shared" si="8"/>
        <v>0.1</v>
      </c>
      <c r="T69">
        <f t="shared" si="9"/>
        <v>28</v>
      </c>
      <c r="U69">
        <f t="shared" si="10"/>
        <v>20</v>
      </c>
      <c r="V69">
        <f t="shared" si="11"/>
        <v>12</v>
      </c>
      <c r="W69">
        <f t="shared" si="12"/>
        <v>0.5714285714285714</v>
      </c>
      <c r="X69" t="str">
        <f t="shared" si="13"/>
        <v>Low Profit</v>
      </c>
      <c r="Y69">
        <f t="shared" si="14"/>
        <v>92</v>
      </c>
      <c r="Z69">
        <f t="shared" si="15"/>
        <v>160</v>
      </c>
    </row>
    <row r="70" spans="1:26">
      <c r="A70" s="3">
        <v>475</v>
      </c>
      <c r="B70" s="3">
        <v>68</v>
      </c>
      <c r="C70" s="4">
        <v>41244</v>
      </c>
      <c r="D70" s="3" t="s">
        <v>32</v>
      </c>
      <c r="E70" s="3" t="s">
        <v>25</v>
      </c>
      <c r="F70" s="3">
        <v>25</v>
      </c>
      <c r="G70" s="3" t="s">
        <v>18</v>
      </c>
      <c r="H70" s="3" t="s">
        <v>19</v>
      </c>
      <c r="I70" s="3" t="s">
        <v>20</v>
      </c>
      <c r="J70" s="3">
        <v>27</v>
      </c>
      <c r="K70" s="3">
        <v>153</v>
      </c>
      <c r="L70" s="3" t="s">
        <v>37</v>
      </c>
      <c r="M70" s="3">
        <v>50</v>
      </c>
      <c r="N70" s="3">
        <v>20</v>
      </c>
      <c r="O70" s="3">
        <v>110</v>
      </c>
      <c r="P70" s="3">
        <v>58</v>
      </c>
      <c r="Q70">
        <f>SUM([1]!Table1[[#This Row],[Sales]])</f>
        <v>153</v>
      </c>
      <c r="R70">
        <f>SUM([1]!Table1[[#This Row],[Profit]])</f>
        <v>27</v>
      </c>
      <c r="S70" s="7">
        <f t="shared" si="8"/>
        <v>0.17647058823529413</v>
      </c>
      <c r="T70">
        <f t="shared" si="9"/>
        <v>25</v>
      </c>
      <c r="U70">
        <f t="shared" si="10"/>
        <v>43</v>
      </c>
      <c r="V70">
        <f t="shared" si="11"/>
        <v>18</v>
      </c>
      <c r="W70">
        <f t="shared" si="12"/>
        <v>1.08</v>
      </c>
      <c r="X70" t="str">
        <f t="shared" si="13"/>
        <v>Low Profit</v>
      </c>
      <c r="Y70">
        <f t="shared" si="14"/>
        <v>68</v>
      </c>
      <c r="Z70">
        <f t="shared" si="15"/>
        <v>153</v>
      </c>
    </row>
    <row r="71" spans="1:26">
      <c r="A71" s="5">
        <v>475</v>
      </c>
      <c r="B71" s="5">
        <v>63</v>
      </c>
      <c r="C71" s="6">
        <v>41244</v>
      </c>
      <c r="D71" s="5" t="s">
        <v>32</v>
      </c>
      <c r="E71" s="5" t="s">
        <v>25</v>
      </c>
      <c r="F71" s="5">
        <v>19</v>
      </c>
      <c r="G71" s="5" t="s">
        <v>18</v>
      </c>
      <c r="H71" s="5" t="s">
        <v>19</v>
      </c>
      <c r="I71" s="5" t="s">
        <v>22</v>
      </c>
      <c r="J71" s="5">
        <v>36</v>
      </c>
      <c r="K71" s="5">
        <v>139</v>
      </c>
      <c r="L71" s="5" t="s">
        <v>37</v>
      </c>
      <c r="M71" s="5">
        <v>40</v>
      </c>
      <c r="N71" s="5">
        <v>40</v>
      </c>
      <c r="O71" s="5">
        <v>100</v>
      </c>
      <c r="P71" s="5">
        <v>40</v>
      </c>
      <c r="Q71">
        <f>SUM([1]!Table1[[#This Row],[Sales]])</f>
        <v>139</v>
      </c>
      <c r="R71">
        <f>SUM([1]!Table1[[#This Row],[Profit]])</f>
        <v>36</v>
      </c>
      <c r="S71" s="7">
        <f t="shared" si="8"/>
        <v>0.25899280575539568</v>
      </c>
      <c r="T71">
        <f t="shared" si="9"/>
        <v>19</v>
      </c>
      <c r="U71">
        <f t="shared" si="10"/>
        <v>39</v>
      </c>
      <c r="V71">
        <f t="shared" si="11"/>
        <v>23</v>
      </c>
      <c r="W71">
        <f t="shared" si="12"/>
        <v>1.8947368421052631</v>
      </c>
      <c r="X71" t="str">
        <f t="shared" si="13"/>
        <v>Low Profit</v>
      </c>
      <c r="Y71">
        <f t="shared" si="14"/>
        <v>63</v>
      </c>
      <c r="Z71">
        <f t="shared" si="15"/>
        <v>139</v>
      </c>
    </row>
    <row r="72" spans="1:26">
      <c r="A72" s="3">
        <v>435</v>
      </c>
      <c r="B72" s="3">
        <v>92</v>
      </c>
      <c r="C72" s="4">
        <v>41244</v>
      </c>
      <c r="D72" s="3" t="s">
        <v>32</v>
      </c>
      <c r="E72" s="3" t="s">
        <v>29</v>
      </c>
      <c r="F72" s="3">
        <v>28</v>
      </c>
      <c r="G72" s="3" t="s">
        <v>18</v>
      </c>
      <c r="H72" s="3" t="s">
        <v>19</v>
      </c>
      <c r="I72" s="3" t="s">
        <v>22</v>
      </c>
      <c r="J72" s="3">
        <v>17</v>
      </c>
      <c r="K72" s="3">
        <v>160</v>
      </c>
      <c r="L72" s="3" t="s">
        <v>42</v>
      </c>
      <c r="M72" s="3">
        <v>80</v>
      </c>
      <c r="N72" s="3">
        <v>20</v>
      </c>
      <c r="O72" s="3">
        <v>140</v>
      </c>
      <c r="P72" s="3">
        <v>51</v>
      </c>
      <c r="Q72">
        <f>SUM([1]!Table1[[#This Row],[Sales]])</f>
        <v>160</v>
      </c>
      <c r="R72">
        <f>SUM([1]!Table1[[#This Row],[Profit]])</f>
        <v>17</v>
      </c>
      <c r="S72" s="7">
        <f t="shared" si="8"/>
        <v>0.10625</v>
      </c>
      <c r="T72">
        <f t="shared" si="9"/>
        <v>28</v>
      </c>
      <c r="U72">
        <f t="shared" si="10"/>
        <v>20</v>
      </c>
      <c r="V72">
        <f t="shared" si="11"/>
        <v>12</v>
      </c>
      <c r="W72">
        <f t="shared" si="12"/>
        <v>0.6071428571428571</v>
      </c>
      <c r="X72" t="str">
        <f t="shared" si="13"/>
        <v>Low Profit</v>
      </c>
      <c r="Y72">
        <f t="shared" si="14"/>
        <v>92</v>
      </c>
      <c r="Z72">
        <f t="shared" si="15"/>
        <v>160</v>
      </c>
    </row>
    <row r="73" spans="1:26">
      <c r="A73" s="5">
        <v>920</v>
      </c>
      <c r="B73" s="5">
        <v>55</v>
      </c>
      <c r="C73" s="6">
        <v>41244</v>
      </c>
      <c r="D73" s="5" t="s">
        <v>32</v>
      </c>
      <c r="E73" s="5" t="s">
        <v>17</v>
      </c>
      <c r="F73" s="5">
        <v>49</v>
      </c>
      <c r="G73" s="5" t="s">
        <v>18</v>
      </c>
      <c r="H73" s="5" t="s">
        <v>26</v>
      </c>
      <c r="I73" s="5" t="s">
        <v>54</v>
      </c>
      <c r="J73" s="5">
        <v>-3</v>
      </c>
      <c r="K73" s="5">
        <v>131</v>
      </c>
      <c r="L73" s="5" t="s">
        <v>52</v>
      </c>
      <c r="M73" s="5">
        <v>40</v>
      </c>
      <c r="N73" s="5">
        <v>0</v>
      </c>
      <c r="O73" s="5">
        <v>100</v>
      </c>
      <c r="P73" s="5">
        <v>79</v>
      </c>
      <c r="Q73">
        <f>SUM([1]!Table1[[#This Row],[Sales]])</f>
        <v>131</v>
      </c>
      <c r="R73">
        <f>SUM([1]!Table1[[#This Row],[Profit]])</f>
        <v>-3</v>
      </c>
      <c r="S73" s="7">
        <f t="shared" si="8"/>
        <v>-2.2900763358778626E-2</v>
      </c>
      <c r="T73">
        <f t="shared" si="9"/>
        <v>49</v>
      </c>
      <c r="U73">
        <f t="shared" si="10"/>
        <v>31</v>
      </c>
      <c r="V73">
        <f t="shared" si="11"/>
        <v>15</v>
      </c>
      <c r="W73">
        <f t="shared" si="12"/>
        <v>-6.1224489795918366E-2</v>
      </c>
      <c r="X73" t="str">
        <f t="shared" si="13"/>
        <v>Low Profit</v>
      </c>
      <c r="Y73">
        <f t="shared" si="14"/>
        <v>55</v>
      </c>
      <c r="Z73">
        <f t="shared" si="15"/>
        <v>131</v>
      </c>
    </row>
    <row r="74" spans="1:26">
      <c r="A74" s="3">
        <v>720</v>
      </c>
      <c r="B74" s="3">
        <v>51</v>
      </c>
      <c r="C74" s="4">
        <v>41548</v>
      </c>
      <c r="D74" s="3" t="s">
        <v>16</v>
      </c>
      <c r="E74" s="3" t="s">
        <v>17</v>
      </c>
      <c r="F74" s="3">
        <v>46</v>
      </c>
      <c r="G74" s="3" t="s">
        <v>18</v>
      </c>
      <c r="H74" s="3" t="s">
        <v>19</v>
      </c>
      <c r="I74" s="3" t="s">
        <v>20</v>
      </c>
      <c r="J74" s="3">
        <v>-7</v>
      </c>
      <c r="K74" s="3">
        <v>130</v>
      </c>
      <c r="L74" s="3" t="s">
        <v>21</v>
      </c>
      <c r="M74" s="3">
        <v>30</v>
      </c>
      <c r="N74" s="3">
        <v>30</v>
      </c>
      <c r="O74" s="3">
        <v>90</v>
      </c>
      <c r="P74" s="3">
        <v>76</v>
      </c>
      <c r="Q74">
        <f>SUM([1]!Table1[[#This Row],[Sales]])</f>
        <v>130</v>
      </c>
      <c r="R74">
        <f>SUM([1]!Table1[[#This Row],[Profit]])</f>
        <v>-7</v>
      </c>
      <c r="S74" s="7">
        <f t="shared" si="8"/>
        <v>-5.3846153846153849E-2</v>
      </c>
      <c r="T74">
        <f t="shared" si="9"/>
        <v>46</v>
      </c>
      <c r="U74">
        <f t="shared" si="10"/>
        <v>40</v>
      </c>
      <c r="V74">
        <f t="shared" si="11"/>
        <v>21</v>
      </c>
      <c r="W74">
        <f t="shared" si="12"/>
        <v>-0.15217391304347827</v>
      </c>
      <c r="X74" t="str">
        <f t="shared" si="13"/>
        <v>Low Profit</v>
      </c>
      <c r="Y74">
        <f t="shared" si="14"/>
        <v>51</v>
      </c>
      <c r="Z74">
        <f t="shared" si="15"/>
        <v>130</v>
      </c>
    </row>
    <row r="75" spans="1:26">
      <c r="A75" s="5">
        <v>970</v>
      </c>
      <c r="B75" s="5">
        <v>52</v>
      </c>
      <c r="C75" s="6">
        <v>41548</v>
      </c>
      <c r="D75" s="5" t="s">
        <v>16</v>
      </c>
      <c r="E75" s="5" t="s">
        <v>17</v>
      </c>
      <c r="F75" s="5">
        <v>17</v>
      </c>
      <c r="G75" s="5" t="s">
        <v>18</v>
      </c>
      <c r="H75" s="5" t="s">
        <v>19</v>
      </c>
      <c r="I75" s="5" t="s">
        <v>22</v>
      </c>
      <c r="J75" s="5">
        <v>39</v>
      </c>
      <c r="K75" s="5">
        <v>131</v>
      </c>
      <c r="L75" s="5" t="s">
        <v>21</v>
      </c>
      <c r="M75" s="5">
        <v>30</v>
      </c>
      <c r="N75" s="5">
        <v>50</v>
      </c>
      <c r="O75" s="5">
        <v>90</v>
      </c>
      <c r="P75" s="5">
        <v>45</v>
      </c>
      <c r="Q75">
        <f>SUM([1]!Table1[[#This Row],[Sales]])</f>
        <v>131</v>
      </c>
      <c r="R75">
        <f>SUM([1]!Table1[[#This Row],[Profit]])</f>
        <v>39</v>
      </c>
      <c r="S75" s="7">
        <f t="shared" si="8"/>
        <v>0.29770992366412213</v>
      </c>
      <c r="T75">
        <f t="shared" si="9"/>
        <v>17</v>
      </c>
      <c r="U75">
        <f t="shared" si="10"/>
        <v>41</v>
      </c>
      <c r="V75">
        <f t="shared" si="11"/>
        <v>22</v>
      </c>
      <c r="W75">
        <f t="shared" si="12"/>
        <v>2.2941176470588234</v>
      </c>
      <c r="X75" t="str">
        <f t="shared" si="13"/>
        <v>Low Profit</v>
      </c>
      <c r="Y75">
        <f t="shared" si="14"/>
        <v>52</v>
      </c>
      <c r="Z75">
        <f t="shared" si="15"/>
        <v>131</v>
      </c>
    </row>
    <row r="76" spans="1:26">
      <c r="A76" s="3">
        <v>430</v>
      </c>
      <c r="B76" s="3">
        <v>43</v>
      </c>
      <c r="C76" s="4">
        <v>41548</v>
      </c>
      <c r="D76" s="3" t="s">
        <v>16</v>
      </c>
      <c r="E76" s="3" t="s">
        <v>23</v>
      </c>
      <c r="F76" s="3">
        <v>13</v>
      </c>
      <c r="G76" s="3" t="s">
        <v>18</v>
      </c>
      <c r="H76" s="3" t="s">
        <v>19</v>
      </c>
      <c r="I76" s="3" t="s">
        <v>20</v>
      </c>
      <c r="J76" s="3">
        <v>42</v>
      </c>
      <c r="K76" s="3">
        <v>114</v>
      </c>
      <c r="L76" s="3" t="s">
        <v>24</v>
      </c>
      <c r="M76" s="3">
        <v>30</v>
      </c>
      <c r="N76" s="3">
        <v>50</v>
      </c>
      <c r="O76" s="3">
        <v>90</v>
      </c>
      <c r="P76" s="3">
        <v>36</v>
      </c>
      <c r="Q76">
        <f>SUM([1]!Table1[[#This Row],[Sales]])</f>
        <v>114</v>
      </c>
      <c r="R76">
        <f>SUM([1]!Table1[[#This Row],[Profit]])</f>
        <v>42</v>
      </c>
      <c r="S76" s="7">
        <f t="shared" si="8"/>
        <v>0.36842105263157893</v>
      </c>
      <c r="T76">
        <f t="shared" si="9"/>
        <v>13</v>
      </c>
      <c r="U76">
        <f t="shared" si="10"/>
        <v>24</v>
      </c>
      <c r="V76">
        <f t="shared" si="11"/>
        <v>13</v>
      </c>
      <c r="W76">
        <f t="shared" si="12"/>
        <v>3.2307692307692308</v>
      </c>
      <c r="X76" t="str">
        <f t="shared" si="13"/>
        <v>Low Profit</v>
      </c>
      <c r="Y76">
        <f t="shared" si="14"/>
        <v>43</v>
      </c>
      <c r="Z76">
        <f t="shared" si="15"/>
        <v>114</v>
      </c>
    </row>
    <row r="77" spans="1:26">
      <c r="A77" s="5">
        <v>561</v>
      </c>
      <c r="B77" s="5">
        <v>38</v>
      </c>
      <c r="C77" s="6">
        <v>41548</v>
      </c>
      <c r="D77" s="5" t="s">
        <v>16</v>
      </c>
      <c r="E77" s="5" t="s">
        <v>25</v>
      </c>
      <c r="F77" s="5">
        <v>10</v>
      </c>
      <c r="G77" s="5" t="s">
        <v>18</v>
      </c>
      <c r="H77" s="5" t="s">
        <v>26</v>
      </c>
      <c r="I77" s="5" t="s">
        <v>27</v>
      </c>
      <c r="J77" s="5">
        <v>52</v>
      </c>
      <c r="K77" s="5">
        <v>100</v>
      </c>
      <c r="L77" s="5" t="s">
        <v>28</v>
      </c>
      <c r="M77" s="5">
        <v>40</v>
      </c>
      <c r="N77" s="5">
        <v>50</v>
      </c>
      <c r="O77" s="5">
        <v>100</v>
      </c>
      <c r="P77" s="5">
        <v>21</v>
      </c>
      <c r="Q77">
        <f>SUM([1]!Table1[[#This Row],[Sales]])</f>
        <v>100</v>
      </c>
      <c r="R77">
        <f>SUM([1]!Table1[[#This Row],[Profit]])</f>
        <v>52</v>
      </c>
      <c r="S77" s="7">
        <f t="shared" si="8"/>
        <v>0.52</v>
      </c>
      <c r="T77">
        <f t="shared" si="9"/>
        <v>10</v>
      </c>
      <c r="U77">
        <f t="shared" si="10"/>
        <v>0</v>
      </c>
      <c r="V77">
        <f t="shared" si="11"/>
        <v>-2</v>
      </c>
      <c r="W77">
        <f t="shared" si="12"/>
        <v>5.2</v>
      </c>
      <c r="X77" t="str">
        <f t="shared" si="13"/>
        <v>Low Profit</v>
      </c>
      <c r="Y77">
        <f t="shared" si="14"/>
        <v>38</v>
      </c>
      <c r="Z77">
        <f t="shared" si="15"/>
        <v>100</v>
      </c>
    </row>
    <row r="78" spans="1:26">
      <c r="A78" s="3">
        <v>510</v>
      </c>
      <c r="B78" s="3">
        <v>72</v>
      </c>
      <c r="C78" s="4">
        <v>41548</v>
      </c>
      <c r="D78" s="3" t="s">
        <v>16</v>
      </c>
      <c r="E78" s="3" t="s">
        <v>29</v>
      </c>
      <c r="F78" s="3">
        <v>23</v>
      </c>
      <c r="G78" s="3" t="s">
        <v>18</v>
      </c>
      <c r="H78" s="3" t="s">
        <v>26</v>
      </c>
      <c r="I78" s="3" t="s">
        <v>30</v>
      </c>
      <c r="J78" s="3">
        <v>83</v>
      </c>
      <c r="K78" s="3">
        <v>194</v>
      </c>
      <c r="L78" s="3" t="s">
        <v>31</v>
      </c>
      <c r="M78" s="3">
        <v>20</v>
      </c>
      <c r="N78" s="3">
        <v>50</v>
      </c>
      <c r="O78" s="3">
        <v>80</v>
      </c>
      <c r="P78" s="3">
        <v>54</v>
      </c>
      <c r="Q78">
        <f>SUM([1]!Table1[[#This Row],[Sales]])</f>
        <v>194</v>
      </c>
      <c r="R78">
        <f>SUM([1]!Table1[[#This Row],[Profit]])</f>
        <v>83</v>
      </c>
      <c r="S78" s="7">
        <f t="shared" si="8"/>
        <v>0.42783505154639173</v>
      </c>
      <c r="T78">
        <f t="shared" si="9"/>
        <v>23</v>
      </c>
      <c r="U78">
        <f t="shared" si="10"/>
        <v>114</v>
      </c>
      <c r="V78">
        <f t="shared" si="11"/>
        <v>52</v>
      </c>
      <c r="W78">
        <f t="shared" si="12"/>
        <v>3.6086956521739131</v>
      </c>
      <c r="X78" t="str">
        <f t="shared" si="13"/>
        <v>Low Profit</v>
      </c>
      <c r="Y78">
        <f t="shared" si="14"/>
        <v>72</v>
      </c>
      <c r="Z78">
        <f t="shared" si="15"/>
        <v>194</v>
      </c>
    </row>
    <row r="79" spans="1:26">
      <c r="A79" s="5">
        <v>563</v>
      </c>
      <c r="B79" s="5">
        <v>0</v>
      </c>
      <c r="C79" s="6">
        <v>41548</v>
      </c>
      <c r="D79" s="5" t="s">
        <v>32</v>
      </c>
      <c r="E79" s="5" t="s">
        <v>17</v>
      </c>
      <c r="F79" s="5">
        <v>0</v>
      </c>
      <c r="G79" s="5" t="s">
        <v>33</v>
      </c>
      <c r="H79" s="5" t="s">
        <v>34</v>
      </c>
      <c r="I79" s="5" t="s">
        <v>35</v>
      </c>
      <c r="J79" s="5">
        <v>46</v>
      </c>
      <c r="K79" s="5">
        <v>46</v>
      </c>
      <c r="L79" s="5" t="s">
        <v>36</v>
      </c>
      <c r="M79" s="5">
        <v>0</v>
      </c>
      <c r="N79" s="5">
        <v>60</v>
      </c>
      <c r="O79" s="5">
        <v>60</v>
      </c>
      <c r="P79" s="5">
        <v>12</v>
      </c>
      <c r="Q79">
        <f>SUM([1]!Table1[[#This Row],[Sales]])</f>
        <v>46</v>
      </c>
      <c r="R79">
        <f>SUM([1]!Table1[[#This Row],[Profit]])</f>
        <v>46</v>
      </c>
      <c r="S79" s="7">
        <f t="shared" si="8"/>
        <v>1</v>
      </c>
      <c r="T79">
        <f t="shared" si="9"/>
        <v>0</v>
      </c>
      <c r="U79">
        <f t="shared" si="10"/>
        <v>-14</v>
      </c>
      <c r="V79">
        <f t="shared" si="11"/>
        <v>0</v>
      </c>
      <c r="W79" t="e">
        <f t="shared" si="12"/>
        <v>#DIV/0!</v>
      </c>
      <c r="X79" t="str">
        <f t="shared" si="13"/>
        <v>Low Profit</v>
      </c>
      <c r="Y79">
        <f t="shared" si="14"/>
        <v>0</v>
      </c>
      <c r="Z79">
        <f t="shared" si="15"/>
        <v>46</v>
      </c>
    </row>
    <row r="80" spans="1:26">
      <c r="A80" s="3">
        <v>203</v>
      </c>
      <c r="B80" s="3">
        <v>47</v>
      </c>
      <c r="C80" s="4">
        <v>41548</v>
      </c>
      <c r="D80" s="3" t="s">
        <v>32</v>
      </c>
      <c r="E80" s="3" t="s">
        <v>25</v>
      </c>
      <c r="F80" s="3">
        <v>15</v>
      </c>
      <c r="G80" s="3" t="s">
        <v>33</v>
      </c>
      <c r="H80" s="3" t="s">
        <v>34</v>
      </c>
      <c r="I80" s="3" t="s">
        <v>35</v>
      </c>
      <c r="J80" s="3">
        <v>31</v>
      </c>
      <c r="K80" s="3">
        <v>118</v>
      </c>
      <c r="L80" s="3" t="s">
        <v>37</v>
      </c>
      <c r="M80" s="3">
        <v>30</v>
      </c>
      <c r="N80" s="3">
        <v>50</v>
      </c>
      <c r="O80" s="3">
        <v>90</v>
      </c>
      <c r="P80" s="3">
        <v>43</v>
      </c>
      <c r="Q80">
        <f>SUM([1]!Table1[[#This Row],[Sales]])</f>
        <v>118</v>
      </c>
      <c r="R80">
        <f>SUM([1]!Table1[[#This Row],[Profit]])</f>
        <v>31</v>
      </c>
      <c r="S80" s="7">
        <f t="shared" si="8"/>
        <v>0.26271186440677968</v>
      </c>
      <c r="T80">
        <f t="shared" si="9"/>
        <v>15</v>
      </c>
      <c r="U80">
        <f t="shared" si="10"/>
        <v>28</v>
      </c>
      <c r="V80">
        <f t="shared" si="11"/>
        <v>17</v>
      </c>
      <c r="W80">
        <f t="shared" si="12"/>
        <v>2.0666666666666669</v>
      </c>
      <c r="X80" t="str">
        <f t="shared" si="13"/>
        <v>Low Profit</v>
      </c>
      <c r="Y80">
        <f t="shared" si="14"/>
        <v>47</v>
      </c>
      <c r="Z80">
        <f t="shared" si="15"/>
        <v>118</v>
      </c>
    </row>
    <row r="81" spans="1:26">
      <c r="A81" s="5">
        <v>405</v>
      </c>
      <c r="B81" s="5">
        <v>27</v>
      </c>
      <c r="C81" s="6">
        <v>41548</v>
      </c>
      <c r="D81" s="5" t="s">
        <v>32</v>
      </c>
      <c r="E81" s="5" t="s">
        <v>23</v>
      </c>
      <c r="F81" s="5">
        <v>7</v>
      </c>
      <c r="G81" s="5" t="s">
        <v>33</v>
      </c>
      <c r="H81" s="5" t="s">
        <v>38</v>
      </c>
      <c r="I81" s="5" t="s">
        <v>39</v>
      </c>
      <c r="J81" s="5">
        <v>31</v>
      </c>
      <c r="K81" s="5">
        <v>70</v>
      </c>
      <c r="L81" s="5" t="s">
        <v>40</v>
      </c>
      <c r="M81" s="5">
        <v>30</v>
      </c>
      <c r="N81" s="5">
        <v>60</v>
      </c>
      <c r="O81" s="5">
        <v>90</v>
      </c>
      <c r="P81" s="5">
        <v>18</v>
      </c>
      <c r="Q81">
        <f>SUM([1]!Table1[[#This Row],[Sales]])</f>
        <v>70</v>
      </c>
      <c r="R81">
        <f>SUM([1]!Table1[[#This Row],[Profit]])</f>
        <v>31</v>
      </c>
      <c r="S81" s="7">
        <f t="shared" si="8"/>
        <v>0.44285714285714284</v>
      </c>
      <c r="T81">
        <f t="shared" si="9"/>
        <v>7</v>
      </c>
      <c r="U81">
        <f t="shared" si="10"/>
        <v>-20</v>
      </c>
      <c r="V81">
        <f t="shared" si="11"/>
        <v>-3</v>
      </c>
      <c r="W81">
        <f t="shared" si="12"/>
        <v>4.4285714285714288</v>
      </c>
      <c r="X81" t="str">
        <f t="shared" si="13"/>
        <v>Low Profit</v>
      </c>
      <c r="Y81">
        <f t="shared" si="14"/>
        <v>27</v>
      </c>
      <c r="Z81">
        <f t="shared" si="15"/>
        <v>70</v>
      </c>
    </row>
    <row r="82" spans="1:26">
      <c r="A82" s="3">
        <v>775</v>
      </c>
      <c r="B82" s="3">
        <v>31</v>
      </c>
      <c r="C82" s="4">
        <v>41548</v>
      </c>
      <c r="D82" s="3" t="s">
        <v>32</v>
      </c>
      <c r="E82" s="3" t="s">
        <v>29</v>
      </c>
      <c r="F82" s="3">
        <v>9</v>
      </c>
      <c r="G82" s="3" t="s">
        <v>33</v>
      </c>
      <c r="H82" s="3" t="s">
        <v>38</v>
      </c>
      <c r="I82" s="3" t="s">
        <v>39</v>
      </c>
      <c r="J82" s="3">
        <v>10</v>
      </c>
      <c r="K82" s="3">
        <v>72</v>
      </c>
      <c r="L82" s="3" t="s">
        <v>41</v>
      </c>
      <c r="M82" s="3">
        <v>30</v>
      </c>
      <c r="N82" s="3">
        <v>50</v>
      </c>
      <c r="O82" s="3">
        <v>90</v>
      </c>
      <c r="P82" s="3">
        <v>30</v>
      </c>
      <c r="Q82">
        <f>SUM([1]!Table1[[#This Row],[Sales]])</f>
        <v>72</v>
      </c>
      <c r="R82">
        <f>SUM([1]!Table1[[#This Row],[Profit]])</f>
        <v>10</v>
      </c>
      <c r="S82" s="7">
        <f t="shared" si="8"/>
        <v>0.1388888888888889</v>
      </c>
      <c r="T82">
        <f t="shared" si="9"/>
        <v>9</v>
      </c>
      <c r="U82">
        <f t="shared" si="10"/>
        <v>-18</v>
      </c>
      <c r="V82">
        <f t="shared" si="11"/>
        <v>1</v>
      </c>
      <c r="W82">
        <f t="shared" si="12"/>
        <v>1.1111111111111112</v>
      </c>
      <c r="X82" t="str">
        <f t="shared" si="13"/>
        <v>Low Profit</v>
      </c>
      <c r="Y82">
        <f t="shared" si="14"/>
        <v>31</v>
      </c>
      <c r="Z82">
        <f t="shared" si="15"/>
        <v>72</v>
      </c>
    </row>
    <row r="83" spans="1:26">
      <c r="A83" s="5">
        <v>435</v>
      </c>
      <c r="B83" s="5">
        <v>40</v>
      </c>
      <c r="C83" s="6">
        <v>41548</v>
      </c>
      <c r="D83" s="5" t="s">
        <v>32</v>
      </c>
      <c r="E83" s="5" t="s">
        <v>29</v>
      </c>
      <c r="F83" s="5">
        <v>11</v>
      </c>
      <c r="G83" s="5" t="s">
        <v>33</v>
      </c>
      <c r="H83" s="5" t="s">
        <v>34</v>
      </c>
      <c r="I83" s="5" t="s">
        <v>35</v>
      </c>
      <c r="J83" s="5">
        <v>55</v>
      </c>
      <c r="K83" s="5">
        <v>106</v>
      </c>
      <c r="L83" s="5" t="s">
        <v>42</v>
      </c>
      <c r="M83" s="5">
        <v>20</v>
      </c>
      <c r="N83" s="5">
        <v>60</v>
      </c>
      <c r="O83" s="5">
        <v>80</v>
      </c>
      <c r="P83" s="5">
        <v>22</v>
      </c>
      <c r="Q83">
        <f>SUM([1]!Table1[[#This Row],[Sales]])</f>
        <v>106</v>
      </c>
      <c r="R83">
        <f>SUM([1]!Table1[[#This Row],[Profit]])</f>
        <v>55</v>
      </c>
      <c r="S83" s="7">
        <f t="shared" si="8"/>
        <v>0.51886792452830188</v>
      </c>
      <c r="T83">
        <f t="shared" si="9"/>
        <v>11</v>
      </c>
      <c r="U83">
        <f t="shared" si="10"/>
        <v>26</v>
      </c>
      <c r="V83">
        <f t="shared" si="11"/>
        <v>20</v>
      </c>
      <c r="W83">
        <f t="shared" si="12"/>
        <v>5</v>
      </c>
      <c r="X83" t="str">
        <f t="shared" si="13"/>
        <v>Low Profit</v>
      </c>
      <c r="Y83">
        <f t="shared" si="14"/>
        <v>40</v>
      </c>
      <c r="Z83">
        <f t="shared" si="15"/>
        <v>106</v>
      </c>
    </row>
    <row r="84" spans="1:26">
      <c r="A84" s="3">
        <v>603</v>
      </c>
      <c r="B84" s="3">
        <v>49</v>
      </c>
      <c r="C84" s="4">
        <v>41548</v>
      </c>
      <c r="D84" s="3" t="s">
        <v>32</v>
      </c>
      <c r="E84" s="3" t="s">
        <v>25</v>
      </c>
      <c r="F84" s="3">
        <v>15</v>
      </c>
      <c r="G84" s="3" t="s">
        <v>33</v>
      </c>
      <c r="H84" s="3" t="s">
        <v>38</v>
      </c>
      <c r="I84" s="3" t="s">
        <v>43</v>
      </c>
      <c r="J84" s="3">
        <v>49</v>
      </c>
      <c r="K84" s="3">
        <v>128</v>
      </c>
      <c r="L84" s="3" t="s">
        <v>44</v>
      </c>
      <c r="M84" s="3">
        <v>30</v>
      </c>
      <c r="N84" s="3">
        <v>60</v>
      </c>
      <c r="O84" s="3">
        <v>90</v>
      </c>
      <c r="P84" s="3">
        <v>38</v>
      </c>
      <c r="Q84">
        <f>SUM([1]!Table1[[#This Row],[Sales]])</f>
        <v>128</v>
      </c>
      <c r="R84">
        <f>SUM([1]!Table1[[#This Row],[Profit]])</f>
        <v>49</v>
      </c>
      <c r="S84" s="7">
        <f t="shared" si="8"/>
        <v>0.3828125</v>
      </c>
      <c r="T84">
        <f t="shared" si="9"/>
        <v>15</v>
      </c>
      <c r="U84">
        <f t="shared" si="10"/>
        <v>38</v>
      </c>
      <c r="V84">
        <f t="shared" si="11"/>
        <v>19</v>
      </c>
      <c r="W84">
        <f t="shared" si="12"/>
        <v>3.2666666666666666</v>
      </c>
      <c r="X84" t="str">
        <f t="shared" si="13"/>
        <v>Low Profit</v>
      </c>
      <c r="Y84">
        <f t="shared" si="14"/>
        <v>49</v>
      </c>
      <c r="Z84">
        <f t="shared" si="15"/>
        <v>128</v>
      </c>
    </row>
    <row r="85" spans="1:26">
      <c r="A85" s="5">
        <v>603</v>
      </c>
      <c r="B85" s="5">
        <v>45</v>
      </c>
      <c r="C85" s="6">
        <v>41548</v>
      </c>
      <c r="D85" s="5" t="s">
        <v>32</v>
      </c>
      <c r="E85" s="5" t="s">
        <v>25</v>
      </c>
      <c r="F85" s="5">
        <v>14</v>
      </c>
      <c r="G85" s="5" t="s">
        <v>33</v>
      </c>
      <c r="H85" s="5" t="s">
        <v>38</v>
      </c>
      <c r="I85" s="5" t="s">
        <v>45</v>
      </c>
      <c r="J85" s="5">
        <v>36</v>
      </c>
      <c r="K85" s="5">
        <v>121</v>
      </c>
      <c r="L85" s="5" t="s">
        <v>44</v>
      </c>
      <c r="M85" s="5">
        <v>30</v>
      </c>
      <c r="N85" s="5">
        <v>50</v>
      </c>
      <c r="O85" s="5">
        <v>90</v>
      </c>
      <c r="P85" s="5">
        <v>45</v>
      </c>
      <c r="Q85">
        <f>SUM([1]!Table1[[#This Row],[Sales]])</f>
        <v>121</v>
      </c>
      <c r="R85">
        <f>SUM([1]!Table1[[#This Row],[Profit]])</f>
        <v>36</v>
      </c>
      <c r="S85" s="7">
        <f t="shared" si="8"/>
        <v>0.2975206611570248</v>
      </c>
      <c r="T85">
        <f t="shared" si="9"/>
        <v>14</v>
      </c>
      <c r="U85">
        <f t="shared" si="10"/>
        <v>31</v>
      </c>
      <c r="V85">
        <f t="shared" si="11"/>
        <v>15</v>
      </c>
      <c r="W85">
        <f t="shared" si="12"/>
        <v>2.5714285714285716</v>
      </c>
      <c r="X85" t="str">
        <f t="shared" si="13"/>
        <v>Low Profit</v>
      </c>
      <c r="Y85">
        <f t="shared" si="14"/>
        <v>45</v>
      </c>
      <c r="Z85">
        <f t="shared" si="15"/>
        <v>121</v>
      </c>
    </row>
    <row r="86" spans="1:26">
      <c r="A86" s="3">
        <v>603</v>
      </c>
      <c r="B86" s="3">
        <v>45</v>
      </c>
      <c r="C86" s="4">
        <v>41548</v>
      </c>
      <c r="D86" s="3" t="s">
        <v>32</v>
      </c>
      <c r="E86" s="3" t="s">
        <v>25</v>
      </c>
      <c r="F86" s="3">
        <v>41</v>
      </c>
      <c r="G86" s="3" t="s">
        <v>33</v>
      </c>
      <c r="H86" s="3" t="s">
        <v>34</v>
      </c>
      <c r="I86" s="3" t="s">
        <v>46</v>
      </c>
      <c r="J86" s="3">
        <v>-10</v>
      </c>
      <c r="K86" s="3">
        <v>116</v>
      </c>
      <c r="L86" s="3" t="s">
        <v>44</v>
      </c>
      <c r="M86" s="3">
        <v>30</v>
      </c>
      <c r="N86" s="3">
        <v>30</v>
      </c>
      <c r="O86" s="3">
        <v>90</v>
      </c>
      <c r="P86" s="3">
        <v>71</v>
      </c>
      <c r="Q86">
        <f>SUM([1]!Table1[[#This Row],[Sales]])</f>
        <v>116</v>
      </c>
      <c r="R86">
        <f>SUM([1]!Table1[[#This Row],[Profit]])</f>
        <v>-10</v>
      </c>
      <c r="S86" s="7">
        <f t="shared" si="8"/>
        <v>-8.6206896551724144E-2</v>
      </c>
      <c r="T86">
        <f t="shared" si="9"/>
        <v>41</v>
      </c>
      <c r="U86">
        <f t="shared" si="10"/>
        <v>26</v>
      </c>
      <c r="V86">
        <f t="shared" si="11"/>
        <v>15</v>
      </c>
      <c r="W86">
        <f t="shared" si="12"/>
        <v>-0.24390243902439024</v>
      </c>
      <c r="X86" t="str">
        <f t="shared" si="13"/>
        <v>Low Profit</v>
      </c>
      <c r="Y86">
        <f t="shared" si="14"/>
        <v>45</v>
      </c>
      <c r="Z86">
        <f t="shared" si="15"/>
        <v>116</v>
      </c>
    </row>
    <row r="87" spans="1:26">
      <c r="A87" s="5">
        <v>504</v>
      </c>
      <c r="B87" s="5">
        <v>60</v>
      </c>
      <c r="C87" s="6">
        <v>41548</v>
      </c>
      <c r="D87" s="5" t="s">
        <v>32</v>
      </c>
      <c r="E87" s="5" t="s">
        <v>23</v>
      </c>
      <c r="F87" s="5">
        <v>54</v>
      </c>
      <c r="G87" s="5" t="s">
        <v>33</v>
      </c>
      <c r="H87" s="5" t="s">
        <v>34</v>
      </c>
      <c r="I87" s="5" t="s">
        <v>47</v>
      </c>
      <c r="J87" s="5">
        <v>1</v>
      </c>
      <c r="K87" s="5">
        <v>153</v>
      </c>
      <c r="L87" s="5" t="s">
        <v>48</v>
      </c>
      <c r="M87" s="5">
        <v>30</v>
      </c>
      <c r="N87" s="5">
        <v>10</v>
      </c>
      <c r="O87" s="5">
        <v>90</v>
      </c>
      <c r="P87" s="5">
        <v>83</v>
      </c>
      <c r="Q87">
        <f>SUM([1]!Table1[[#This Row],[Sales]])</f>
        <v>153</v>
      </c>
      <c r="R87">
        <f>SUM([1]!Table1[[#This Row],[Profit]])</f>
        <v>1</v>
      </c>
      <c r="S87" s="7">
        <f t="shared" si="8"/>
        <v>6.5359477124183009E-3</v>
      </c>
      <c r="T87">
        <f t="shared" si="9"/>
        <v>54</v>
      </c>
      <c r="U87">
        <f t="shared" si="10"/>
        <v>63</v>
      </c>
      <c r="V87">
        <f t="shared" si="11"/>
        <v>30</v>
      </c>
      <c r="W87">
        <f t="shared" si="12"/>
        <v>1.8518518518518517E-2</v>
      </c>
      <c r="X87" t="str">
        <f t="shared" si="13"/>
        <v>Low Profit</v>
      </c>
      <c r="Y87">
        <f t="shared" si="14"/>
        <v>60</v>
      </c>
      <c r="Z87">
        <f t="shared" si="15"/>
        <v>153</v>
      </c>
    </row>
    <row r="88" spans="1:26">
      <c r="A88" s="3">
        <v>702</v>
      </c>
      <c r="B88" s="3">
        <v>34</v>
      </c>
      <c r="C88" s="4">
        <v>41548</v>
      </c>
      <c r="D88" s="3" t="s">
        <v>32</v>
      </c>
      <c r="E88" s="3" t="s">
        <v>29</v>
      </c>
      <c r="F88" s="3">
        <v>12</v>
      </c>
      <c r="G88" s="3" t="s">
        <v>33</v>
      </c>
      <c r="H88" s="3" t="s">
        <v>38</v>
      </c>
      <c r="I88" s="3" t="s">
        <v>45</v>
      </c>
      <c r="J88" s="3">
        <v>-3</v>
      </c>
      <c r="K88" s="3">
        <v>82</v>
      </c>
      <c r="L88" s="3" t="s">
        <v>41</v>
      </c>
      <c r="M88" s="3">
        <v>40</v>
      </c>
      <c r="N88" s="3">
        <v>30</v>
      </c>
      <c r="O88" s="3">
        <v>100</v>
      </c>
      <c r="P88" s="3">
        <v>45</v>
      </c>
      <c r="Q88">
        <f>SUM([1]!Table1[[#This Row],[Sales]])</f>
        <v>82</v>
      </c>
      <c r="R88">
        <f>SUM([1]!Table1[[#This Row],[Profit]])</f>
        <v>-3</v>
      </c>
      <c r="S88" s="7">
        <f t="shared" si="8"/>
        <v>-3.6585365853658534E-2</v>
      </c>
      <c r="T88">
        <f t="shared" si="9"/>
        <v>12</v>
      </c>
      <c r="U88">
        <f t="shared" si="10"/>
        <v>-18</v>
      </c>
      <c r="V88">
        <f t="shared" si="11"/>
        <v>-6</v>
      </c>
      <c r="W88">
        <f t="shared" si="12"/>
        <v>-0.25</v>
      </c>
      <c r="X88" t="str">
        <f t="shared" si="13"/>
        <v>Low Profit</v>
      </c>
      <c r="Y88">
        <f t="shared" si="14"/>
        <v>34</v>
      </c>
      <c r="Z88">
        <f t="shared" si="15"/>
        <v>82</v>
      </c>
    </row>
    <row r="89" spans="1:26">
      <c r="A89" s="5">
        <v>971</v>
      </c>
      <c r="B89" s="5">
        <v>54</v>
      </c>
      <c r="C89" s="6">
        <v>41548</v>
      </c>
      <c r="D89" s="5" t="s">
        <v>32</v>
      </c>
      <c r="E89" s="5" t="s">
        <v>29</v>
      </c>
      <c r="F89" s="5">
        <v>20</v>
      </c>
      <c r="G89" s="5" t="s">
        <v>33</v>
      </c>
      <c r="H89" s="5" t="s">
        <v>34</v>
      </c>
      <c r="I89" s="5" t="s">
        <v>47</v>
      </c>
      <c r="J89" s="5">
        <v>18</v>
      </c>
      <c r="K89" s="5">
        <v>128</v>
      </c>
      <c r="L89" s="5" t="s">
        <v>49</v>
      </c>
      <c r="M89" s="5">
        <v>40</v>
      </c>
      <c r="N89" s="5">
        <v>40</v>
      </c>
      <c r="O89" s="5">
        <v>100</v>
      </c>
      <c r="P89" s="5">
        <v>54</v>
      </c>
      <c r="Q89">
        <f>SUM([1]!Table1[[#This Row],[Sales]])</f>
        <v>128</v>
      </c>
      <c r="R89">
        <f>SUM([1]!Table1[[#This Row],[Profit]])</f>
        <v>18</v>
      </c>
      <c r="S89" s="7">
        <f t="shared" si="8"/>
        <v>0.140625</v>
      </c>
      <c r="T89">
        <f t="shared" si="9"/>
        <v>20</v>
      </c>
      <c r="U89">
        <f t="shared" si="10"/>
        <v>28</v>
      </c>
      <c r="V89">
        <f t="shared" si="11"/>
        <v>14</v>
      </c>
      <c r="W89">
        <f t="shared" si="12"/>
        <v>0.9</v>
      </c>
      <c r="X89" t="str">
        <f t="shared" si="13"/>
        <v>Low Profit</v>
      </c>
      <c r="Y89">
        <f t="shared" si="14"/>
        <v>54</v>
      </c>
      <c r="Z89">
        <f t="shared" si="15"/>
        <v>128</v>
      </c>
    </row>
    <row r="90" spans="1:26">
      <c r="A90" s="3">
        <v>573</v>
      </c>
      <c r="B90" s="3">
        <v>45</v>
      </c>
      <c r="C90" s="4">
        <v>41548</v>
      </c>
      <c r="D90" s="3" t="s">
        <v>32</v>
      </c>
      <c r="E90" s="3" t="s">
        <v>17</v>
      </c>
      <c r="F90" s="3">
        <v>41</v>
      </c>
      <c r="G90" s="3" t="s">
        <v>18</v>
      </c>
      <c r="H90" s="3" t="s">
        <v>19</v>
      </c>
      <c r="I90" s="3" t="s">
        <v>50</v>
      </c>
      <c r="J90" s="3">
        <v>-9</v>
      </c>
      <c r="K90" s="3">
        <v>116</v>
      </c>
      <c r="L90" s="3" t="s">
        <v>51</v>
      </c>
      <c r="M90" s="3">
        <v>20</v>
      </c>
      <c r="N90" s="3">
        <v>30</v>
      </c>
      <c r="O90" s="3">
        <v>80</v>
      </c>
      <c r="P90" s="3">
        <v>70</v>
      </c>
      <c r="Q90">
        <f>SUM([1]!Table1[[#This Row],[Sales]])</f>
        <v>116</v>
      </c>
      <c r="R90">
        <f>SUM([1]!Table1[[#This Row],[Profit]])</f>
        <v>-9</v>
      </c>
      <c r="S90" s="7">
        <f t="shared" si="8"/>
        <v>-7.7586206896551727E-2</v>
      </c>
      <c r="T90">
        <f t="shared" si="9"/>
        <v>41</v>
      </c>
      <c r="U90">
        <f t="shared" si="10"/>
        <v>36</v>
      </c>
      <c r="V90">
        <f t="shared" si="11"/>
        <v>25</v>
      </c>
      <c r="W90">
        <f t="shared" si="12"/>
        <v>-0.21951219512195122</v>
      </c>
      <c r="X90" t="str">
        <f t="shared" si="13"/>
        <v>Low Profit</v>
      </c>
      <c r="Y90">
        <f t="shared" si="14"/>
        <v>45</v>
      </c>
      <c r="Z90">
        <f t="shared" si="15"/>
        <v>116</v>
      </c>
    </row>
    <row r="91" spans="1:26">
      <c r="A91" s="5">
        <v>262</v>
      </c>
      <c r="B91" s="5">
        <v>48</v>
      </c>
      <c r="C91" s="6">
        <v>41548</v>
      </c>
      <c r="D91" s="5" t="s">
        <v>32</v>
      </c>
      <c r="E91" s="5" t="s">
        <v>17</v>
      </c>
      <c r="F91" s="5">
        <v>13</v>
      </c>
      <c r="G91" s="5" t="s">
        <v>18</v>
      </c>
      <c r="H91" s="5" t="s">
        <v>19</v>
      </c>
      <c r="I91" s="5" t="s">
        <v>20</v>
      </c>
      <c r="J91" s="5">
        <v>67</v>
      </c>
      <c r="K91" s="5">
        <v>126</v>
      </c>
      <c r="L91" s="5" t="s">
        <v>52</v>
      </c>
      <c r="M91" s="5">
        <v>30</v>
      </c>
      <c r="N91" s="5">
        <v>60</v>
      </c>
      <c r="O91" s="5">
        <v>90</v>
      </c>
      <c r="P91" s="5">
        <v>25</v>
      </c>
      <c r="Q91">
        <f>SUM([1]!Table1[[#This Row],[Sales]])</f>
        <v>126</v>
      </c>
      <c r="R91">
        <f>SUM([1]!Table1[[#This Row],[Profit]])</f>
        <v>67</v>
      </c>
      <c r="S91" s="7">
        <f t="shared" si="8"/>
        <v>0.53174603174603174</v>
      </c>
      <c r="T91">
        <f t="shared" si="9"/>
        <v>13</v>
      </c>
      <c r="U91">
        <f t="shared" si="10"/>
        <v>36</v>
      </c>
      <c r="V91">
        <f t="shared" si="11"/>
        <v>18</v>
      </c>
      <c r="W91">
        <f t="shared" si="12"/>
        <v>5.1538461538461542</v>
      </c>
      <c r="X91" t="str">
        <f t="shared" si="13"/>
        <v>Low Profit</v>
      </c>
      <c r="Y91">
        <f t="shared" si="14"/>
        <v>48</v>
      </c>
      <c r="Z91">
        <f t="shared" si="15"/>
        <v>126</v>
      </c>
    </row>
    <row r="92" spans="1:26">
      <c r="A92" s="3">
        <v>801</v>
      </c>
      <c r="B92" s="3">
        <v>49</v>
      </c>
      <c r="C92" s="4">
        <v>41548</v>
      </c>
      <c r="D92" s="3" t="s">
        <v>32</v>
      </c>
      <c r="E92" s="3" t="s">
        <v>29</v>
      </c>
      <c r="F92" s="3">
        <v>15</v>
      </c>
      <c r="G92" s="3" t="s">
        <v>18</v>
      </c>
      <c r="H92" s="3" t="s">
        <v>19</v>
      </c>
      <c r="I92" s="3" t="s">
        <v>50</v>
      </c>
      <c r="J92" s="3">
        <v>49</v>
      </c>
      <c r="K92" s="3">
        <v>128</v>
      </c>
      <c r="L92" s="3" t="s">
        <v>42</v>
      </c>
      <c r="M92" s="3">
        <v>30</v>
      </c>
      <c r="N92" s="3">
        <v>60</v>
      </c>
      <c r="O92" s="3">
        <v>90</v>
      </c>
      <c r="P92" s="3">
        <v>38</v>
      </c>
      <c r="Q92">
        <f>SUM([1]!Table1[[#This Row],[Sales]])</f>
        <v>128</v>
      </c>
      <c r="R92">
        <f>SUM([1]!Table1[[#This Row],[Profit]])</f>
        <v>49</v>
      </c>
      <c r="S92" s="7">
        <f t="shared" si="8"/>
        <v>0.3828125</v>
      </c>
      <c r="T92">
        <f t="shared" si="9"/>
        <v>15</v>
      </c>
      <c r="U92">
        <f t="shared" si="10"/>
        <v>38</v>
      </c>
      <c r="V92">
        <f t="shared" si="11"/>
        <v>19</v>
      </c>
      <c r="W92">
        <f t="shared" si="12"/>
        <v>3.2666666666666666</v>
      </c>
      <c r="X92" t="str">
        <f t="shared" si="13"/>
        <v>Low Profit</v>
      </c>
      <c r="Y92">
        <f t="shared" si="14"/>
        <v>49</v>
      </c>
      <c r="Z92">
        <f t="shared" si="15"/>
        <v>128</v>
      </c>
    </row>
    <row r="93" spans="1:26">
      <c r="A93" s="5">
        <v>509</v>
      </c>
      <c r="B93" s="5">
        <v>48</v>
      </c>
      <c r="C93" s="6">
        <v>41548</v>
      </c>
      <c r="D93" s="5" t="s">
        <v>32</v>
      </c>
      <c r="E93" s="5" t="s">
        <v>29</v>
      </c>
      <c r="F93" s="5">
        <v>13</v>
      </c>
      <c r="G93" s="5" t="s">
        <v>18</v>
      </c>
      <c r="H93" s="5" t="s">
        <v>19</v>
      </c>
      <c r="I93" s="5" t="s">
        <v>20</v>
      </c>
      <c r="J93" s="5">
        <v>70</v>
      </c>
      <c r="K93" s="5">
        <v>127</v>
      </c>
      <c r="L93" s="5" t="s">
        <v>53</v>
      </c>
      <c r="M93" s="5">
        <v>30</v>
      </c>
      <c r="N93" s="5">
        <v>60</v>
      </c>
      <c r="O93" s="5">
        <v>90</v>
      </c>
      <c r="P93" s="5">
        <v>24</v>
      </c>
      <c r="Q93">
        <f>SUM([1]!Table1[[#This Row],[Sales]])</f>
        <v>127</v>
      </c>
      <c r="R93">
        <f>SUM([1]!Table1[[#This Row],[Profit]])</f>
        <v>70</v>
      </c>
      <c r="S93" s="7">
        <f t="shared" si="8"/>
        <v>0.55118110236220474</v>
      </c>
      <c r="T93">
        <f t="shared" si="9"/>
        <v>13</v>
      </c>
      <c r="U93">
        <f t="shared" si="10"/>
        <v>37</v>
      </c>
      <c r="V93">
        <f t="shared" si="11"/>
        <v>18</v>
      </c>
      <c r="W93">
        <f t="shared" si="12"/>
        <v>5.384615384615385</v>
      </c>
      <c r="X93" t="str">
        <f t="shared" si="13"/>
        <v>Low Profit</v>
      </c>
      <c r="Y93">
        <f t="shared" si="14"/>
        <v>48</v>
      </c>
      <c r="Z93">
        <f t="shared" si="15"/>
        <v>127</v>
      </c>
    </row>
    <row r="94" spans="1:26">
      <c r="A94" s="3">
        <v>475</v>
      </c>
      <c r="B94" s="3">
        <v>40</v>
      </c>
      <c r="C94" s="4">
        <v>41548</v>
      </c>
      <c r="D94" s="3" t="s">
        <v>32</v>
      </c>
      <c r="E94" s="3" t="s">
        <v>25</v>
      </c>
      <c r="F94" s="3">
        <v>11</v>
      </c>
      <c r="G94" s="3" t="s">
        <v>18</v>
      </c>
      <c r="H94" s="3" t="s">
        <v>26</v>
      </c>
      <c r="I94" s="3" t="s">
        <v>27</v>
      </c>
      <c r="J94" s="3">
        <v>53</v>
      </c>
      <c r="K94" s="3">
        <v>106</v>
      </c>
      <c r="L94" s="3" t="s">
        <v>37</v>
      </c>
      <c r="M94" s="3">
        <v>40</v>
      </c>
      <c r="N94" s="3">
        <v>50</v>
      </c>
      <c r="O94" s="3">
        <v>100</v>
      </c>
      <c r="P94" s="3">
        <v>23</v>
      </c>
      <c r="Q94">
        <f>SUM([1]!Table1[[#This Row],[Sales]])</f>
        <v>106</v>
      </c>
      <c r="R94">
        <f>SUM([1]!Table1[[#This Row],[Profit]])</f>
        <v>53</v>
      </c>
      <c r="S94" s="7">
        <f t="shared" si="8"/>
        <v>0.5</v>
      </c>
      <c r="T94">
        <f t="shared" si="9"/>
        <v>11</v>
      </c>
      <c r="U94">
        <f t="shared" si="10"/>
        <v>6</v>
      </c>
      <c r="V94">
        <f t="shared" si="11"/>
        <v>0</v>
      </c>
      <c r="W94">
        <f t="shared" si="12"/>
        <v>4.8181818181818183</v>
      </c>
      <c r="X94" t="str">
        <f t="shared" si="13"/>
        <v>Low Profit</v>
      </c>
      <c r="Y94">
        <f t="shared" si="14"/>
        <v>40</v>
      </c>
      <c r="Z94">
        <f t="shared" si="15"/>
        <v>106</v>
      </c>
    </row>
    <row r="95" spans="1:26">
      <c r="A95" s="5">
        <v>503</v>
      </c>
      <c r="B95" s="5">
        <v>82</v>
      </c>
      <c r="C95" s="6">
        <v>41548</v>
      </c>
      <c r="D95" s="5" t="s">
        <v>32</v>
      </c>
      <c r="E95" s="5" t="s">
        <v>29</v>
      </c>
      <c r="F95" s="5">
        <v>27</v>
      </c>
      <c r="G95" s="5" t="s">
        <v>18</v>
      </c>
      <c r="H95" s="5" t="s">
        <v>26</v>
      </c>
      <c r="I95" s="5" t="s">
        <v>54</v>
      </c>
      <c r="J95" s="5">
        <v>95</v>
      </c>
      <c r="K95" s="5">
        <v>218</v>
      </c>
      <c r="L95" s="5" t="s">
        <v>49</v>
      </c>
      <c r="M95" s="5">
        <v>30</v>
      </c>
      <c r="N95" s="5">
        <v>50</v>
      </c>
      <c r="O95" s="5">
        <v>90</v>
      </c>
      <c r="P95" s="5">
        <v>59</v>
      </c>
      <c r="Q95">
        <f>SUM([1]!Table1[[#This Row],[Sales]])</f>
        <v>218</v>
      </c>
      <c r="R95">
        <f>SUM([1]!Table1[[#This Row],[Profit]])</f>
        <v>95</v>
      </c>
      <c r="S95" s="7">
        <f t="shared" si="8"/>
        <v>0.43577981651376146</v>
      </c>
      <c r="T95">
        <f t="shared" si="9"/>
        <v>27</v>
      </c>
      <c r="U95">
        <f t="shared" si="10"/>
        <v>128</v>
      </c>
      <c r="V95">
        <f t="shared" si="11"/>
        <v>52</v>
      </c>
      <c r="W95">
        <f t="shared" si="12"/>
        <v>3.5185185185185186</v>
      </c>
      <c r="X95" t="str">
        <f t="shared" si="13"/>
        <v>Low Profit</v>
      </c>
      <c r="Y95">
        <f t="shared" si="14"/>
        <v>82</v>
      </c>
      <c r="Z95">
        <f t="shared" si="15"/>
        <v>218</v>
      </c>
    </row>
    <row r="96" spans="1:26">
      <c r="A96" s="3">
        <v>541</v>
      </c>
      <c r="B96" s="3">
        <v>91</v>
      </c>
      <c r="C96" s="4">
        <v>41548</v>
      </c>
      <c r="D96" s="3" t="s">
        <v>32</v>
      </c>
      <c r="E96" s="3" t="s">
        <v>29</v>
      </c>
      <c r="F96" s="3">
        <v>28</v>
      </c>
      <c r="G96" s="3" t="s">
        <v>18</v>
      </c>
      <c r="H96" s="3" t="s">
        <v>26</v>
      </c>
      <c r="I96" s="3" t="s">
        <v>30</v>
      </c>
      <c r="J96" s="3">
        <v>113</v>
      </c>
      <c r="K96" s="3">
        <v>232</v>
      </c>
      <c r="L96" s="3" t="s">
        <v>49</v>
      </c>
      <c r="M96" s="3">
        <v>40</v>
      </c>
      <c r="N96" s="3">
        <v>50</v>
      </c>
      <c r="O96" s="3">
        <v>100</v>
      </c>
      <c r="P96" s="3">
        <v>51</v>
      </c>
      <c r="Q96">
        <f>SUM([1]!Table1[[#This Row],[Sales]])</f>
        <v>232</v>
      </c>
      <c r="R96">
        <f>SUM([1]!Table1[[#This Row],[Profit]])</f>
        <v>113</v>
      </c>
      <c r="S96" s="7">
        <f t="shared" si="8"/>
        <v>0.48706896551724138</v>
      </c>
      <c r="T96">
        <f t="shared" si="9"/>
        <v>28</v>
      </c>
      <c r="U96">
        <f t="shared" si="10"/>
        <v>132</v>
      </c>
      <c r="V96">
        <f t="shared" si="11"/>
        <v>51</v>
      </c>
      <c r="W96">
        <f t="shared" si="12"/>
        <v>4.0357142857142856</v>
      </c>
      <c r="X96" t="str">
        <f t="shared" si="13"/>
        <v>High Profit</v>
      </c>
      <c r="Y96">
        <f t="shared" si="14"/>
        <v>91</v>
      </c>
      <c r="Z96">
        <f t="shared" si="15"/>
        <v>232</v>
      </c>
    </row>
    <row r="97" spans="1:26">
      <c r="A97" s="5">
        <v>936</v>
      </c>
      <c r="B97" s="5">
        <v>40</v>
      </c>
      <c r="C97" s="6">
        <v>41579</v>
      </c>
      <c r="D97" s="5" t="s">
        <v>16</v>
      </c>
      <c r="E97" s="5" t="s">
        <v>23</v>
      </c>
      <c r="F97" s="5">
        <v>13</v>
      </c>
      <c r="G97" s="5" t="s">
        <v>33</v>
      </c>
      <c r="H97" s="5" t="s">
        <v>38</v>
      </c>
      <c r="I97" s="5" t="s">
        <v>39</v>
      </c>
      <c r="J97" s="5">
        <v>39</v>
      </c>
      <c r="K97" s="5">
        <v>98</v>
      </c>
      <c r="L97" s="5" t="s">
        <v>24</v>
      </c>
      <c r="M97" s="5">
        <v>40</v>
      </c>
      <c r="N97" s="5">
        <v>40</v>
      </c>
      <c r="O97" s="5">
        <v>100</v>
      </c>
      <c r="P97" s="5">
        <v>26</v>
      </c>
      <c r="Q97">
        <f>SUM([1]!Table1[[#This Row],[Sales]])</f>
        <v>98</v>
      </c>
      <c r="R97">
        <f>SUM([1]!Table1[[#This Row],[Profit]])</f>
        <v>39</v>
      </c>
      <c r="S97" s="7">
        <f t="shared" si="8"/>
        <v>0.39795918367346939</v>
      </c>
      <c r="T97">
        <f t="shared" si="9"/>
        <v>13</v>
      </c>
      <c r="U97">
        <f t="shared" si="10"/>
        <v>-2</v>
      </c>
      <c r="V97">
        <f t="shared" si="11"/>
        <v>0</v>
      </c>
      <c r="W97">
        <f t="shared" si="12"/>
        <v>3</v>
      </c>
      <c r="X97" t="str">
        <f t="shared" si="13"/>
        <v>Low Profit</v>
      </c>
      <c r="Y97">
        <f t="shared" si="14"/>
        <v>40</v>
      </c>
      <c r="Z97">
        <f t="shared" si="15"/>
        <v>98</v>
      </c>
    </row>
    <row r="98" spans="1:26">
      <c r="A98" s="3">
        <v>254</v>
      </c>
      <c r="B98" s="3">
        <v>50</v>
      </c>
      <c r="C98" s="4">
        <v>41579</v>
      </c>
      <c r="D98" s="3" t="s">
        <v>16</v>
      </c>
      <c r="E98" s="3" t="s">
        <v>23</v>
      </c>
      <c r="F98" s="3">
        <v>14</v>
      </c>
      <c r="G98" s="3" t="s">
        <v>33</v>
      </c>
      <c r="H98" s="3" t="s">
        <v>34</v>
      </c>
      <c r="I98" s="3" t="s">
        <v>35</v>
      </c>
      <c r="J98" s="3">
        <v>71</v>
      </c>
      <c r="K98" s="3">
        <v>131</v>
      </c>
      <c r="L98" s="3" t="s">
        <v>24</v>
      </c>
      <c r="M98" s="3">
        <v>30</v>
      </c>
      <c r="N98" s="3">
        <v>40</v>
      </c>
      <c r="O98" s="3">
        <v>90</v>
      </c>
      <c r="P98" s="3">
        <v>25</v>
      </c>
      <c r="Q98">
        <f>SUM([1]!Table1[[#This Row],[Sales]])</f>
        <v>131</v>
      </c>
      <c r="R98">
        <f>SUM([1]!Table1[[#This Row],[Profit]])</f>
        <v>71</v>
      </c>
      <c r="S98" s="7">
        <f t="shared" si="8"/>
        <v>0.5419847328244275</v>
      </c>
      <c r="T98">
        <f t="shared" si="9"/>
        <v>14</v>
      </c>
      <c r="U98">
        <f t="shared" si="10"/>
        <v>41</v>
      </c>
      <c r="V98">
        <f t="shared" si="11"/>
        <v>20</v>
      </c>
      <c r="W98">
        <f t="shared" si="12"/>
        <v>5.0714285714285712</v>
      </c>
      <c r="X98" t="str">
        <f t="shared" si="13"/>
        <v>Low Profit</v>
      </c>
      <c r="Y98">
        <f t="shared" si="14"/>
        <v>50</v>
      </c>
      <c r="Z98">
        <f t="shared" si="15"/>
        <v>131</v>
      </c>
    </row>
    <row r="99" spans="1:26">
      <c r="A99" s="5">
        <v>719</v>
      </c>
      <c r="B99" s="5">
        <v>40</v>
      </c>
      <c r="C99" s="6">
        <v>41579</v>
      </c>
      <c r="D99" s="5" t="s">
        <v>16</v>
      </c>
      <c r="E99" s="5" t="s">
        <v>17</v>
      </c>
      <c r="F99" s="5">
        <v>13</v>
      </c>
      <c r="G99" s="5" t="s">
        <v>33</v>
      </c>
      <c r="H99" s="5" t="s">
        <v>38</v>
      </c>
      <c r="I99" s="5" t="s">
        <v>45</v>
      </c>
      <c r="J99" s="5">
        <v>40</v>
      </c>
      <c r="K99" s="5">
        <v>98</v>
      </c>
      <c r="L99" s="5" t="s">
        <v>21</v>
      </c>
      <c r="M99" s="5">
        <v>30</v>
      </c>
      <c r="N99" s="5">
        <v>40</v>
      </c>
      <c r="O99" s="5">
        <v>90</v>
      </c>
      <c r="P99" s="5">
        <v>25</v>
      </c>
      <c r="Q99">
        <f>SUM([1]!Table1[[#This Row],[Sales]])</f>
        <v>98</v>
      </c>
      <c r="R99">
        <f>SUM([1]!Table1[[#This Row],[Profit]])</f>
        <v>40</v>
      </c>
      <c r="S99" s="7">
        <f t="shared" si="8"/>
        <v>0.40816326530612246</v>
      </c>
      <c r="T99">
        <f t="shared" si="9"/>
        <v>13</v>
      </c>
      <c r="U99">
        <f t="shared" si="10"/>
        <v>8</v>
      </c>
      <c r="V99">
        <f t="shared" si="11"/>
        <v>10</v>
      </c>
      <c r="W99">
        <f t="shared" si="12"/>
        <v>3.0769230769230771</v>
      </c>
      <c r="X99" t="str">
        <f t="shared" si="13"/>
        <v>Low Profit</v>
      </c>
      <c r="Y99">
        <f t="shared" si="14"/>
        <v>40</v>
      </c>
      <c r="Z99">
        <f t="shared" si="15"/>
        <v>98</v>
      </c>
    </row>
    <row r="100" spans="1:26">
      <c r="A100" s="3">
        <v>339</v>
      </c>
      <c r="B100" s="3">
        <v>52</v>
      </c>
      <c r="C100" s="4">
        <v>41579</v>
      </c>
      <c r="D100" s="3" t="s">
        <v>16</v>
      </c>
      <c r="E100" s="3" t="s">
        <v>25</v>
      </c>
      <c r="F100" s="3">
        <v>47</v>
      </c>
      <c r="G100" s="3" t="s">
        <v>33</v>
      </c>
      <c r="H100" s="3" t="s">
        <v>34</v>
      </c>
      <c r="I100" s="3" t="s">
        <v>46</v>
      </c>
      <c r="J100" s="3">
        <v>-12</v>
      </c>
      <c r="K100" s="3">
        <v>128</v>
      </c>
      <c r="L100" s="3" t="s">
        <v>55</v>
      </c>
      <c r="M100" s="3">
        <v>50</v>
      </c>
      <c r="N100" s="3">
        <v>0</v>
      </c>
      <c r="O100" s="3">
        <v>110</v>
      </c>
      <c r="P100" s="3">
        <v>76</v>
      </c>
      <c r="Q100">
        <f>SUM([1]!Table1[[#This Row],[Sales]])</f>
        <v>128</v>
      </c>
      <c r="R100">
        <f>SUM([1]!Table1[[#This Row],[Profit]])</f>
        <v>-12</v>
      </c>
      <c r="S100" s="7">
        <f t="shared" si="8"/>
        <v>-9.375E-2</v>
      </c>
      <c r="T100">
        <f t="shared" si="9"/>
        <v>47</v>
      </c>
      <c r="U100">
        <f t="shared" si="10"/>
        <v>18</v>
      </c>
      <c r="V100">
        <f t="shared" si="11"/>
        <v>2</v>
      </c>
      <c r="W100">
        <f t="shared" si="12"/>
        <v>-0.25531914893617019</v>
      </c>
      <c r="X100" t="str">
        <f t="shared" si="13"/>
        <v>Low Profit</v>
      </c>
      <c r="Y100">
        <f t="shared" si="14"/>
        <v>52</v>
      </c>
      <c r="Z100">
        <f t="shared" si="15"/>
        <v>128</v>
      </c>
    </row>
    <row r="101" spans="1:26">
      <c r="A101" s="5">
        <v>561</v>
      </c>
      <c r="B101" s="5">
        <v>75</v>
      </c>
      <c r="C101" s="6">
        <v>41579</v>
      </c>
      <c r="D101" s="5" t="s">
        <v>16</v>
      </c>
      <c r="E101" s="5" t="s">
        <v>25</v>
      </c>
      <c r="F101" s="5">
        <v>23</v>
      </c>
      <c r="G101" s="5" t="s">
        <v>18</v>
      </c>
      <c r="H101" s="5" t="s">
        <v>19</v>
      </c>
      <c r="I101" s="5" t="s">
        <v>22</v>
      </c>
      <c r="J101" s="5">
        <v>65</v>
      </c>
      <c r="K101" s="5">
        <v>175</v>
      </c>
      <c r="L101" s="5" t="s">
        <v>28</v>
      </c>
      <c r="M101" s="5">
        <v>50</v>
      </c>
      <c r="N101" s="5">
        <v>30</v>
      </c>
      <c r="O101" s="5">
        <v>110</v>
      </c>
      <c r="P101" s="5">
        <v>45</v>
      </c>
      <c r="Q101">
        <f>SUM([1]!Table1[[#This Row],[Sales]])</f>
        <v>175</v>
      </c>
      <c r="R101">
        <f>SUM([1]!Table1[[#This Row],[Profit]])</f>
        <v>65</v>
      </c>
      <c r="S101" s="7">
        <f t="shared" si="8"/>
        <v>0.37142857142857144</v>
      </c>
      <c r="T101">
        <f t="shared" si="9"/>
        <v>23</v>
      </c>
      <c r="U101">
        <f t="shared" si="10"/>
        <v>65</v>
      </c>
      <c r="V101">
        <f t="shared" si="11"/>
        <v>25</v>
      </c>
      <c r="W101">
        <f t="shared" si="12"/>
        <v>2.8260869565217392</v>
      </c>
      <c r="X101" t="str">
        <f t="shared" si="13"/>
        <v>Low Profit</v>
      </c>
      <c r="Y101">
        <f t="shared" si="14"/>
        <v>75</v>
      </c>
      <c r="Z101">
        <f t="shared" si="15"/>
        <v>175</v>
      </c>
    </row>
    <row r="102" spans="1:26">
      <c r="A102" s="3">
        <v>806</v>
      </c>
      <c r="B102" s="3">
        <v>46</v>
      </c>
      <c r="C102" s="4">
        <v>41579</v>
      </c>
      <c r="D102" s="3" t="s">
        <v>16</v>
      </c>
      <c r="E102" s="3" t="s">
        <v>23</v>
      </c>
      <c r="F102" s="3">
        <v>14</v>
      </c>
      <c r="G102" s="3" t="s">
        <v>18</v>
      </c>
      <c r="H102" s="3" t="s">
        <v>19</v>
      </c>
      <c r="I102" s="3" t="s">
        <v>20</v>
      </c>
      <c r="J102" s="3">
        <v>46</v>
      </c>
      <c r="K102" s="3">
        <v>121</v>
      </c>
      <c r="L102" s="3" t="s">
        <v>24</v>
      </c>
      <c r="M102" s="3">
        <v>40</v>
      </c>
      <c r="N102" s="3">
        <v>30</v>
      </c>
      <c r="O102" s="3">
        <v>100</v>
      </c>
      <c r="P102" s="3">
        <v>37</v>
      </c>
      <c r="Q102">
        <f>SUM([1]!Table1[[#This Row],[Sales]])</f>
        <v>121</v>
      </c>
      <c r="R102">
        <f>SUM([1]!Table1[[#This Row],[Profit]])</f>
        <v>46</v>
      </c>
      <c r="S102" s="7">
        <f t="shared" si="8"/>
        <v>0.38016528925619836</v>
      </c>
      <c r="T102">
        <f t="shared" si="9"/>
        <v>14</v>
      </c>
      <c r="U102">
        <f t="shared" si="10"/>
        <v>21</v>
      </c>
      <c r="V102">
        <f t="shared" si="11"/>
        <v>6</v>
      </c>
      <c r="W102">
        <f t="shared" si="12"/>
        <v>3.2857142857142856</v>
      </c>
      <c r="X102" t="str">
        <f t="shared" si="13"/>
        <v>Low Profit</v>
      </c>
      <c r="Y102">
        <f t="shared" si="14"/>
        <v>46</v>
      </c>
      <c r="Z102">
        <f t="shared" si="15"/>
        <v>121</v>
      </c>
    </row>
    <row r="103" spans="1:26">
      <c r="A103" s="5">
        <v>719</v>
      </c>
      <c r="B103" s="5">
        <v>55</v>
      </c>
      <c r="C103" s="6">
        <v>41579</v>
      </c>
      <c r="D103" s="5" t="s">
        <v>16</v>
      </c>
      <c r="E103" s="5" t="s">
        <v>17</v>
      </c>
      <c r="F103" s="5">
        <v>20</v>
      </c>
      <c r="G103" s="5" t="s">
        <v>18</v>
      </c>
      <c r="H103" s="5" t="s">
        <v>26</v>
      </c>
      <c r="I103" s="5" t="s">
        <v>27</v>
      </c>
      <c r="J103" s="5">
        <v>22</v>
      </c>
      <c r="K103" s="5">
        <v>132</v>
      </c>
      <c r="L103" s="5" t="s">
        <v>21</v>
      </c>
      <c r="M103" s="5">
        <v>40</v>
      </c>
      <c r="N103" s="5">
        <v>20</v>
      </c>
      <c r="O103" s="5">
        <v>100</v>
      </c>
      <c r="P103" s="5">
        <v>54</v>
      </c>
      <c r="Q103">
        <f>SUM([1]!Table1[[#This Row],[Sales]])</f>
        <v>132</v>
      </c>
      <c r="R103">
        <f>SUM([1]!Table1[[#This Row],[Profit]])</f>
        <v>22</v>
      </c>
      <c r="S103" s="7">
        <f t="shared" si="8"/>
        <v>0.16666666666666666</v>
      </c>
      <c r="T103">
        <f t="shared" si="9"/>
        <v>20</v>
      </c>
      <c r="U103">
        <f t="shared" si="10"/>
        <v>32</v>
      </c>
      <c r="V103">
        <f t="shared" si="11"/>
        <v>15</v>
      </c>
      <c r="W103">
        <f t="shared" si="12"/>
        <v>1.1000000000000001</v>
      </c>
      <c r="X103" t="str">
        <f t="shared" si="13"/>
        <v>Low Profit</v>
      </c>
      <c r="Y103">
        <f t="shared" si="14"/>
        <v>55</v>
      </c>
      <c r="Z103">
        <f t="shared" si="15"/>
        <v>132</v>
      </c>
    </row>
    <row r="104" spans="1:26">
      <c r="A104" s="3">
        <v>708</v>
      </c>
      <c r="B104" s="3">
        <v>50</v>
      </c>
      <c r="C104" s="4">
        <v>41579</v>
      </c>
      <c r="D104" s="3" t="s">
        <v>16</v>
      </c>
      <c r="E104" s="3" t="s">
        <v>17</v>
      </c>
      <c r="F104" s="3">
        <v>14</v>
      </c>
      <c r="G104" s="3" t="s">
        <v>18</v>
      </c>
      <c r="H104" s="3" t="s">
        <v>26</v>
      </c>
      <c r="I104" s="3" t="s">
        <v>27</v>
      </c>
      <c r="J104" s="3">
        <v>71</v>
      </c>
      <c r="K104" s="3">
        <v>131</v>
      </c>
      <c r="L104" s="3" t="s">
        <v>56</v>
      </c>
      <c r="M104" s="3">
        <v>40</v>
      </c>
      <c r="N104" s="3">
        <v>40</v>
      </c>
      <c r="O104" s="3">
        <v>100</v>
      </c>
      <c r="P104" s="3">
        <v>25</v>
      </c>
      <c r="Q104">
        <f>SUM([1]!Table1[[#This Row],[Sales]])</f>
        <v>131</v>
      </c>
      <c r="R104">
        <f>SUM([1]!Table1[[#This Row],[Profit]])</f>
        <v>71</v>
      </c>
      <c r="S104" s="7">
        <f t="shared" si="8"/>
        <v>0.5419847328244275</v>
      </c>
      <c r="T104">
        <f t="shared" si="9"/>
        <v>14</v>
      </c>
      <c r="U104">
        <f t="shared" si="10"/>
        <v>31</v>
      </c>
      <c r="V104">
        <f t="shared" si="11"/>
        <v>10</v>
      </c>
      <c r="W104">
        <f t="shared" si="12"/>
        <v>5.0714285714285712</v>
      </c>
      <c r="X104" t="str">
        <f t="shared" si="13"/>
        <v>Low Profit</v>
      </c>
      <c r="Y104">
        <f t="shared" si="14"/>
        <v>50</v>
      </c>
      <c r="Z104">
        <f t="shared" si="15"/>
        <v>131</v>
      </c>
    </row>
    <row r="105" spans="1:26">
      <c r="A105" s="5">
        <v>719</v>
      </c>
      <c r="B105" s="5">
        <v>57</v>
      </c>
      <c r="C105" s="6">
        <v>41579</v>
      </c>
      <c r="D105" s="5" t="s">
        <v>16</v>
      </c>
      <c r="E105" s="5" t="s">
        <v>17</v>
      </c>
      <c r="F105" s="5">
        <v>17</v>
      </c>
      <c r="G105" s="5" t="s">
        <v>18</v>
      </c>
      <c r="H105" s="5" t="s">
        <v>26</v>
      </c>
      <c r="I105" s="5" t="s">
        <v>54</v>
      </c>
      <c r="J105" s="5">
        <v>43</v>
      </c>
      <c r="K105" s="5">
        <v>133</v>
      </c>
      <c r="L105" s="5" t="s">
        <v>21</v>
      </c>
      <c r="M105" s="5">
        <v>40</v>
      </c>
      <c r="N105" s="5">
        <v>30</v>
      </c>
      <c r="O105" s="5">
        <v>100</v>
      </c>
      <c r="P105" s="5">
        <v>39</v>
      </c>
      <c r="Q105">
        <f>SUM([1]!Table1[[#This Row],[Sales]])</f>
        <v>133</v>
      </c>
      <c r="R105">
        <f>SUM([1]!Table1[[#This Row],[Profit]])</f>
        <v>43</v>
      </c>
      <c r="S105" s="7">
        <f t="shared" si="8"/>
        <v>0.32330827067669171</v>
      </c>
      <c r="T105">
        <f t="shared" si="9"/>
        <v>17</v>
      </c>
      <c r="U105">
        <f t="shared" si="10"/>
        <v>33</v>
      </c>
      <c r="V105">
        <f t="shared" si="11"/>
        <v>17</v>
      </c>
      <c r="W105">
        <f t="shared" si="12"/>
        <v>2.5294117647058822</v>
      </c>
      <c r="X105" t="str">
        <f t="shared" si="13"/>
        <v>Low Profit</v>
      </c>
      <c r="Y105">
        <f t="shared" si="14"/>
        <v>57</v>
      </c>
      <c r="Z105">
        <f t="shared" si="15"/>
        <v>133</v>
      </c>
    </row>
    <row r="106" spans="1:26">
      <c r="A106" s="3">
        <v>351</v>
      </c>
      <c r="B106" s="3">
        <v>36</v>
      </c>
      <c r="C106" s="4">
        <v>41579</v>
      </c>
      <c r="D106" s="3" t="s">
        <v>16</v>
      </c>
      <c r="E106" s="3" t="s">
        <v>25</v>
      </c>
      <c r="F106" s="3">
        <v>10</v>
      </c>
      <c r="G106" s="3" t="s">
        <v>18</v>
      </c>
      <c r="H106" s="3" t="s">
        <v>26</v>
      </c>
      <c r="I106" s="3" t="s">
        <v>27</v>
      </c>
      <c r="J106" s="3">
        <v>46</v>
      </c>
      <c r="K106" s="3">
        <v>94</v>
      </c>
      <c r="L106" s="3" t="s">
        <v>55</v>
      </c>
      <c r="M106" s="3">
        <v>30</v>
      </c>
      <c r="N106" s="3">
        <v>40</v>
      </c>
      <c r="O106" s="3">
        <v>90</v>
      </c>
      <c r="P106" s="3">
        <v>21</v>
      </c>
      <c r="Q106">
        <f>SUM([1]!Table1[[#This Row],[Sales]])</f>
        <v>94</v>
      </c>
      <c r="R106">
        <f>SUM([1]!Table1[[#This Row],[Profit]])</f>
        <v>46</v>
      </c>
      <c r="S106" s="7">
        <f t="shared" si="8"/>
        <v>0.48936170212765956</v>
      </c>
      <c r="T106">
        <f t="shared" si="9"/>
        <v>10</v>
      </c>
      <c r="U106">
        <f t="shared" si="10"/>
        <v>4</v>
      </c>
      <c r="V106">
        <f t="shared" si="11"/>
        <v>6</v>
      </c>
      <c r="W106">
        <f t="shared" si="12"/>
        <v>4.5999999999999996</v>
      </c>
      <c r="X106" t="str">
        <f t="shared" si="13"/>
        <v>Low Profit</v>
      </c>
      <c r="Y106">
        <f t="shared" si="14"/>
        <v>36</v>
      </c>
      <c r="Z106">
        <f t="shared" si="15"/>
        <v>94</v>
      </c>
    </row>
    <row r="107" spans="1:26">
      <c r="A107" s="5">
        <v>636</v>
      </c>
      <c r="B107" s="5">
        <v>33</v>
      </c>
      <c r="C107" s="6">
        <v>41579</v>
      </c>
      <c r="D107" s="5" t="s">
        <v>32</v>
      </c>
      <c r="E107" s="5" t="s">
        <v>17</v>
      </c>
      <c r="F107" s="5">
        <v>9</v>
      </c>
      <c r="G107" s="5" t="s">
        <v>33</v>
      </c>
      <c r="H107" s="5" t="s">
        <v>34</v>
      </c>
      <c r="I107" s="5" t="s">
        <v>35</v>
      </c>
      <c r="J107" s="5">
        <v>40</v>
      </c>
      <c r="K107" s="5">
        <v>86</v>
      </c>
      <c r="L107" s="5" t="s">
        <v>51</v>
      </c>
      <c r="M107" s="5">
        <v>40</v>
      </c>
      <c r="N107" s="5">
        <v>50</v>
      </c>
      <c r="O107" s="5">
        <v>100</v>
      </c>
      <c r="P107" s="5">
        <v>21</v>
      </c>
      <c r="Q107">
        <f>SUM([1]!Table1[[#This Row],[Sales]])</f>
        <v>86</v>
      </c>
      <c r="R107">
        <f>SUM([1]!Table1[[#This Row],[Profit]])</f>
        <v>40</v>
      </c>
      <c r="S107" s="7">
        <f t="shared" si="8"/>
        <v>0.46511627906976744</v>
      </c>
      <c r="T107">
        <f t="shared" si="9"/>
        <v>9</v>
      </c>
      <c r="U107">
        <f t="shared" si="10"/>
        <v>-14</v>
      </c>
      <c r="V107">
        <f t="shared" si="11"/>
        <v>-7</v>
      </c>
      <c r="W107">
        <f t="shared" si="12"/>
        <v>4.4444444444444446</v>
      </c>
      <c r="X107" t="str">
        <f t="shared" si="13"/>
        <v>Low Profit</v>
      </c>
      <c r="Y107">
        <f t="shared" si="14"/>
        <v>33</v>
      </c>
      <c r="Z107">
        <f t="shared" si="15"/>
        <v>86</v>
      </c>
    </row>
    <row r="108" spans="1:26">
      <c r="A108" s="3">
        <v>504</v>
      </c>
      <c r="B108" s="3">
        <v>31</v>
      </c>
      <c r="C108" s="4">
        <v>41579</v>
      </c>
      <c r="D108" s="3" t="s">
        <v>32</v>
      </c>
      <c r="E108" s="3" t="s">
        <v>23</v>
      </c>
      <c r="F108" s="3">
        <v>8</v>
      </c>
      <c r="G108" s="3" t="s">
        <v>33</v>
      </c>
      <c r="H108" s="3" t="s">
        <v>38</v>
      </c>
      <c r="I108" s="3" t="s">
        <v>39</v>
      </c>
      <c r="J108" s="3">
        <v>42</v>
      </c>
      <c r="K108" s="3">
        <v>83</v>
      </c>
      <c r="L108" s="3" t="s">
        <v>48</v>
      </c>
      <c r="M108" s="3">
        <v>30</v>
      </c>
      <c r="N108" s="3">
        <v>50</v>
      </c>
      <c r="O108" s="3">
        <v>90</v>
      </c>
      <c r="P108" s="3">
        <v>19</v>
      </c>
      <c r="Q108">
        <f>SUM([1]!Table1[[#This Row],[Sales]])</f>
        <v>83</v>
      </c>
      <c r="R108">
        <f>SUM([1]!Table1[[#This Row],[Profit]])</f>
        <v>42</v>
      </c>
      <c r="S108" s="7">
        <f t="shared" si="8"/>
        <v>0.50602409638554213</v>
      </c>
      <c r="T108">
        <f t="shared" si="9"/>
        <v>8</v>
      </c>
      <c r="U108">
        <f t="shared" si="10"/>
        <v>-7</v>
      </c>
      <c r="V108">
        <f t="shared" si="11"/>
        <v>1</v>
      </c>
      <c r="W108">
        <f t="shared" si="12"/>
        <v>5.25</v>
      </c>
      <c r="X108" t="str">
        <f t="shared" si="13"/>
        <v>Low Profit</v>
      </c>
      <c r="Y108">
        <f t="shared" si="14"/>
        <v>31</v>
      </c>
      <c r="Z108">
        <f t="shared" si="15"/>
        <v>83</v>
      </c>
    </row>
    <row r="109" spans="1:26">
      <c r="A109" s="5">
        <v>580</v>
      </c>
      <c r="B109" s="5">
        <v>36</v>
      </c>
      <c r="C109" s="6">
        <v>41579</v>
      </c>
      <c r="D109" s="5" t="s">
        <v>32</v>
      </c>
      <c r="E109" s="5" t="s">
        <v>23</v>
      </c>
      <c r="F109" s="5">
        <v>10</v>
      </c>
      <c r="G109" s="5" t="s">
        <v>33</v>
      </c>
      <c r="H109" s="5" t="s">
        <v>38</v>
      </c>
      <c r="I109" s="5" t="s">
        <v>39</v>
      </c>
      <c r="J109" s="5">
        <v>45</v>
      </c>
      <c r="K109" s="5">
        <v>94</v>
      </c>
      <c r="L109" s="5" t="s">
        <v>40</v>
      </c>
      <c r="M109" s="5">
        <v>40</v>
      </c>
      <c r="N109" s="5">
        <v>40</v>
      </c>
      <c r="O109" s="5">
        <v>100</v>
      </c>
      <c r="P109" s="5">
        <v>22</v>
      </c>
      <c r="Q109">
        <f>SUM([1]!Table1[[#This Row],[Sales]])</f>
        <v>94</v>
      </c>
      <c r="R109">
        <f>SUM([1]!Table1[[#This Row],[Profit]])</f>
        <v>45</v>
      </c>
      <c r="S109" s="7">
        <f t="shared" si="8"/>
        <v>0.47872340425531917</v>
      </c>
      <c r="T109">
        <f t="shared" si="9"/>
        <v>10</v>
      </c>
      <c r="U109">
        <f t="shared" si="10"/>
        <v>-6</v>
      </c>
      <c r="V109">
        <f t="shared" si="11"/>
        <v>-4</v>
      </c>
      <c r="W109">
        <f t="shared" si="12"/>
        <v>4.5</v>
      </c>
      <c r="X109" t="str">
        <f t="shared" si="13"/>
        <v>Low Profit</v>
      </c>
      <c r="Y109">
        <f t="shared" si="14"/>
        <v>36</v>
      </c>
      <c r="Z109">
        <f t="shared" si="15"/>
        <v>94</v>
      </c>
    </row>
    <row r="110" spans="1:26">
      <c r="A110" s="3">
        <v>337</v>
      </c>
      <c r="B110" s="3">
        <v>49</v>
      </c>
      <c r="C110" s="4">
        <v>41579</v>
      </c>
      <c r="D110" s="3" t="s">
        <v>32</v>
      </c>
      <c r="E110" s="3" t="s">
        <v>23</v>
      </c>
      <c r="F110" s="3">
        <v>15</v>
      </c>
      <c r="G110" s="3" t="s">
        <v>33</v>
      </c>
      <c r="H110" s="3" t="s">
        <v>34</v>
      </c>
      <c r="I110" s="3" t="s">
        <v>35</v>
      </c>
      <c r="J110" s="3">
        <v>50</v>
      </c>
      <c r="K110" s="3">
        <v>128</v>
      </c>
      <c r="L110" s="3" t="s">
        <v>48</v>
      </c>
      <c r="M110" s="3">
        <v>30</v>
      </c>
      <c r="N110" s="3">
        <v>30</v>
      </c>
      <c r="O110" s="3">
        <v>90</v>
      </c>
      <c r="P110" s="3">
        <v>37</v>
      </c>
      <c r="Q110">
        <f>SUM([1]!Table1[[#This Row],[Sales]])</f>
        <v>128</v>
      </c>
      <c r="R110">
        <f>SUM([1]!Table1[[#This Row],[Profit]])</f>
        <v>50</v>
      </c>
      <c r="S110" s="7">
        <f t="shared" si="8"/>
        <v>0.390625</v>
      </c>
      <c r="T110">
        <f t="shared" si="9"/>
        <v>15</v>
      </c>
      <c r="U110">
        <f t="shared" si="10"/>
        <v>38</v>
      </c>
      <c r="V110">
        <f t="shared" si="11"/>
        <v>19</v>
      </c>
      <c r="W110">
        <f t="shared" si="12"/>
        <v>3.3333333333333335</v>
      </c>
      <c r="X110" t="str">
        <f t="shared" si="13"/>
        <v>Low Profit</v>
      </c>
      <c r="Y110">
        <f t="shared" si="14"/>
        <v>49</v>
      </c>
      <c r="Z110">
        <f t="shared" si="15"/>
        <v>128</v>
      </c>
    </row>
    <row r="111" spans="1:26">
      <c r="A111" s="5">
        <v>262</v>
      </c>
      <c r="B111" s="5">
        <v>54</v>
      </c>
      <c r="C111" s="6">
        <v>41579</v>
      </c>
      <c r="D111" s="5" t="s">
        <v>32</v>
      </c>
      <c r="E111" s="5" t="s">
        <v>17</v>
      </c>
      <c r="F111" s="5">
        <v>20</v>
      </c>
      <c r="G111" s="5" t="s">
        <v>33</v>
      </c>
      <c r="H111" s="5" t="s">
        <v>38</v>
      </c>
      <c r="I111" s="5" t="s">
        <v>43</v>
      </c>
      <c r="J111" s="5">
        <v>21</v>
      </c>
      <c r="K111" s="5">
        <v>129</v>
      </c>
      <c r="L111" s="5" t="s">
        <v>52</v>
      </c>
      <c r="M111" s="5">
        <v>50</v>
      </c>
      <c r="N111" s="5">
        <v>20</v>
      </c>
      <c r="O111" s="5">
        <v>110</v>
      </c>
      <c r="P111" s="5">
        <v>53</v>
      </c>
      <c r="Q111">
        <f>SUM([1]!Table1[[#This Row],[Sales]])</f>
        <v>129</v>
      </c>
      <c r="R111">
        <f>SUM([1]!Table1[[#This Row],[Profit]])</f>
        <v>21</v>
      </c>
      <c r="S111" s="7">
        <f t="shared" si="8"/>
        <v>0.16279069767441862</v>
      </c>
      <c r="T111">
        <f t="shared" si="9"/>
        <v>20</v>
      </c>
      <c r="U111">
        <f t="shared" si="10"/>
        <v>19</v>
      </c>
      <c r="V111">
        <f t="shared" si="11"/>
        <v>4</v>
      </c>
      <c r="W111">
        <f t="shared" si="12"/>
        <v>1.05</v>
      </c>
      <c r="X111" t="str">
        <f t="shared" si="13"/>
        <v>Low Profit</v>
      </c>
      <c r="Y111">
        <f t="shared" si="14"/>
        <v>54</v>
      </c>
      <c r="Z111">
        <f t="shared" si="15"/>
        <v>129</v>
      </c>
    </row>
    <row r="112" spans="1:26">
      <c r="A112" s="3">
        <v>603</v>
      </c>
      <c r="B112" s="3">
        <v>46</v>
      </c>
      <c r="C112" s="4">
        <v>41579</v>
      </c>
      <c r="D112" s="3" t="s">
        <v>32</v>
      </c>
      <c r="E112" s="3" t="s">
        <v>25</v>
      </c>
      <c r="F112" s="3">
        <v>14</v>
      </c>
      <c r="G112" s="3" t="s">
        <v>33</v>
      </c>
      <c r="H112" s="3" t="s">
        <v>38</v>
      </c>
      <c r="I112" s="3" t="s">
        <v>43</v>
      </c>
      <c r="J112" s="3">
        <v>45</v>
      </c>
      <c r="K112" s="3">
        <v>120</v>
      </c>
      <c r="L112" s="3" t="s">
        <v>44</v>
      </c>
      <c r="M112" s="3">
        <v>40</v>
      </c>
      <c r="N112" s="3">
        <v>40</v>
      </c>
      <c r="O112" s="3">
        <v>100</v>
      </c>
      <c r="P112" s="3">
        <v>37</v>
      </c>
      <c r="Q112">
        <f>SUM([1]!Table1[[#This Row],[Sales]])</f>
        <v>120</v>
      </c>
      <c r="R112">
        <f>SUM([1]!Table1[[#This Row],[Profit]])</f>
        <v>45</v>
      </c>
      <c r="S112" s="7">
        <f t="shared" si="8"/>
        <v>0.375</v>
      </c>
      <c r="T112">
        <f t="shared" si="9"/>
        <v>14</v>
      </c>
      <c r="U112">
        <f t="shared" si="10"/>
        <v>20</v>
      </c>
      <c r="V112">
        <f t="shared" si="11"/>
        <v>6</v>
      </c>
      <c r="W112">
        <f t="shared" si="12"/>
        <v>3.2142857142857144</v>
      </c>
      <c r="X112" t="str">
        <f t="shared" si="13"/>
        <v>Low Profit</v>
      </c>
      <c r="Y112">
        <f t="shared" si="14"/>
        <v>46</v>
      </c>
      <c r="Z112">
        <f t="shared" si="15"/>
        <v>120</v>
      </c>
    </row>
    <row r="113" spans="1:26">
      <c r="A113" s="5">
        <v>603</v>
      </c>
      <c r="B113" s="5">
        <v>43</v>
      </c>
      <c r="C113" s="6">
        <v>41579</v>
      </c>
      <c r="D113" s="5" t="s">
        <v>32</v>
      </c>
      <c r="E113" s="5" t="s">
        <v>25</v>
      </c>
      <c r="F113" s="5">
        <v>14</v>
      </c>
      <c r="G113" s="5" t="s">
        <v>33</v>
      </c>
      <c r="H113" s="5" t="s">
        <v>38</v>
      </c>
      <c r="I113" s="5" t="s">
        <v>45</v>
      </c>
      <c r="J113" s="5">
        <v>30</v>
      </c>
      <c r="K113" s="5">
        <v>116</v>
      </c>
      <c r="L113" s="5" t="s">
        <v>44</v>
      </c>
      <c r="M113" s="5">
        <v>30</v>
      </c>
      <c r="N113" s="5">
        <v>30</v>
      </c>
      <c r="O113" s="5">
        <v>90</v>
      </c>
      <c r="P113" s="5">
        <v>46</v>
      </c>
      <c r="Q113">
        <f>SUM([1]!Table1[[#This Row],[Sales]])</f>
        <v>116</v>
      </c>
      <c r="R113">
        <f>SUM([1]!Table1[[#This Row],[Profit]])</f>
        <v>30</v>
      </c>
      <c r="S113" s="7">
        <f t="shared" si="8"/>
        <v>0.25862068965517243</v>
      </c>
      <c r="T113">
        <f t="shared" si="9"/>
        <v>14</v>
      </c>
      <c r="U113">
        <f t="shared" si="10"/>
        <v>26</v>
      </c>
      <c r="V113">
        <f t="shared" si="11"/>
        <v>13</v>
      </c>
      <c r="W113">
        <f t="shared" si="12"/>
        <v>2.1428571428571428</v>
      </c>
      <c r="X113" t="str">
        <f t="shared" si="13"/>
        <v>Low Profit</v>
      </c>
      <c r="Y113">
        <f t="shared" si="14"/>
        <v>43</v>
      </c>
      <c r="Z113">
        <f t="shared" si="15"/>
        <v>116</v>
      </c>
    </row>
    <row r="114" spans="1:26">
      <c r="A114" s="3">
        <v>603</v>
      </c>
      <c r="B114" s="3">
        <v>44</v>
      </c>
      <c r="C114" s="4">
        <v>41579</v>
      </c>
      <c r="D114" s="3" t="s">
        <v>32</v>
      </c>
      <c r="E114" s="3" t="s">
        <v>25</v>
      </c>
      <c r="F114" s="3">
        <v>40</v>
      </c>
      <c r="G114" s="3" t="s">
        <v>33</v>
      </c>
      <c r="H114" s="3" t="s">
        <v>34</v>
      </c>
      <c r="I114" s="3" t="s">
        <v>46</v>
      </c>
      <c r="J114" s="3">
        <v>-12</v>
      </c>
      <c r="K114" s="3">
        <v>113</v>
      </c>
      <c r="L114" s="3" t="s">
        <v>44</v>
      </c>
      <c r="M114" s="3">
        <v>40</v>
      </c>
      <c r="N114" s="3">
        <v>10</v>
      </c>
      <c r="O114" s="3">
        <v>100</v>
      </c>
      <c r="P114" s="3">
        <v>70</v>
      </c>
      <c r="Q114">
        <f>SUM([1]!Table1[[#This Row],[Sales]])</f>
        <v>113</v>
      </c>
      <c r="R114">
        <f>SUM([1]!Table1[[#This Row],[Profit]])</f>
        <v>-12</v>
      </c>
      <c r="S114" s="7">
        <f t="shared" si="8"/>
        <v>-0.10619469026548672</v>
      </c>
      <c r="T114">
        <f t="shared" si="9"/>
        <v>40</v>
      </c>
      <c r="U114">
        <f t="shared" si="10"/>
        <v>13</v>
      </c>
      <c r="V114">
        <f t="shared" si="11"/>
        <v>4</v>
      </c>
      <c r="W114">
        <f t="shared" si="12"/>
        <v>-0.3</v>
      </c>
      <c r="X114" t="str">
        <f t="shared" si="13"/>
        <v>Low Profit</v>
      </c>
      <c r="Y114">
        <f t="shared" si="14"/>
        <v>44</v>
      </c>
      <c r="Z114">
        <f t="shared" si="15"/>
        <v>113</v>
      </c>
    </row>
    <row r="115" spans="1:26">
      <c r="A115" s="5">
        <v>318</v>
      </c>
      <c r="B115" s="5">
        <v>53</v>
      </c>
      <c r="C115" s="6">
        <v>41579</v>
      </c>
      <c r="D115" s="5" t="s">
        <v>32</v>
      </c>
      <c r="E115" s="5" t="s">
        <v>23</v>
      </c>
      <c r="F115" s="5">
        <v>16</v>
      </c>
      <c r="G115" s="5" t="s">
        <v>33</v>
      </c>
      <c r="H115" s="5" t="s">
        <v>34</v>
      </c>
      <c r="I115" s="5" t="s">
        <v>46</v>
      </c>
      <c r="J115" s="5">
        <v>73</v>
      </c>
      <c r="K115" s="5">
        <v>150</v>
      </c>
      <c r="L115" s="5" t="s">
        <v>48</v>
      </c>
      <c r="M115" s="5">
        <v>40</v>
      </c>
      <c r="N115" s="5">
        <v>30</v>
      </c>
      <c r="O115" s="5">
        <v>100</v>
      </c>
      <c r="P115" s="5">
        <v>39</v>
      </c>
      <c r="Q115">
        <f>SUM([1]!Table1[[#This Row],[Sales]])</f>
        <v>150</v>
      </c>
      <c r="R115">
        <f>SUM([1]!Table1[[#This Row],[Profit]])</f>
        <v>73</v>
      </c>
      <c r="S115" s="7">
        <f t="shared" si="8"/>
        <v>0.48666666666666669</v>
      </c>
      <c r="T115">
        <f t="shared" si="9"/>
        <v>16</v>
      </c>
      <c r="U115">
        <f t="shared" si="10"/>
        <v>50</v>
      </c>
      <c r="V115">
        <f t="shared" si="11"/>
        <v>13</v>
      </c>
      <c r="W115">
        <f t="shared" si="12"/>
        <v>4.5625</v>
      </c>
      <c r="X115" t="str">
        <f t="shared" si="13"/>
        <v>Low Profit</v>
      </c>
      <c r="Y115">
        <f t="shared" si="14"/>
        <v>53</v>
      </c>
      <c r="Z115">
        <f t="shared" si="15"/>
        <v>150</v>
      </c>
    </row>
    <row r="116" spans="1:26">
      <c r="A116" s="3">
        <v>206</v>
      </c>
      <c r="B116" s="3">
        <v>54</v>
      </c>
      <c r="C116" s="4">
        <v>41579</v>
      </c>
      <c r="D116" s="3" t="s">
        <v>32</v>
      </c>
      <c r="E116" s="3" t="s">
        <v>29</v>
      </c>
      <c r="F116" s="3">
        <v>20</v>
      </c>
      <c r="G116" s="3" t="s">
        <v>33</v>
      </c>
      <c r="H116" s="3" t="s">
        <v>34</v>
      </c>
      <c r="I116" s="3" t="s">
        <v>46</v>
      </c>
      <c r="J116" s="3">
        <v>19</v>
      </c>
      <c r="K116" s="3">
        <v>129</v>
      </c>
      <c r="L116" s="3" t="s">
        <v>53</v>
      </c>
      <c r="M116" s="3">
        <v>50</v>
      </c>
      <c r="N116" s="3">
        <v>20</v>
      </c>
      <c r="O116" s="3">
        <v>110</v>
      </c>
      <c r="P116" s="3">
        <v>54</v>
      </c>
      <c r="Q116">
        <f>SUM([1]!Table1[[#This Row],[Sales]])</f>
        <v>129</v>
      </c>
      <c r="R116">
        <f>SUM([1]!Table1[[#This Row],[Profit]])</f>
        <v>19</v>
      </c>
      <c r="S116" s="7">
        <f t="shared" si="8"/>
        <v>0.14728682170542637</v>
      </c>
      <c r="T116">
        <f t="shared" si="9"/>
        <v>20</v>
      </c>
      <c r="U116">
        <f t="shared" si="10"/>
        <v>19</v>
      </c>
      <c r="V116">
        <f t="shared" si="11"/>
        <v>4</v>
      </c>
      <c r="W116">
        <f t="shared" si="12"/>
        <v>0.95</v>
      </c>
      <c r="X116" t="str">
        <f t="shared" si="13"/>
        <v>Low Profit</v>
      </c>
      <c r="Y116">
        <f t="shared" si="14"/>
        <v>54</v>
      </c>
      <c r="Z116">
        <f t="shared" si="15"/>
        <v>129</v>
      </c>
    </row>
    <row r="117" spans="1:26">
      <c r="A117" s="5">
        <v>580</v>
      </c>
      <c r="B117" s="5">
        <v>54</v>
      </c>
      <c r="C117" s="6">
        <v>41579</v>
      </c>
      <c r="D117" s="5" t="s">
        <v>32</v>
      </c>
      <c r="E117" s="5" t="s">
        <v>23</v>
      </c>
      <c r="F117" s="5">
        <v>20</v>
      </c>
      <c r="G117" s="5" t="s">
        <v>18</v>
      </c>
      <c r="H117" s="5" t="s">
        <v>19</v>
      </c>
      <c r="I117" s="5" t="s">
        <v>50</v>
      </c>
      <c r="J117" s="5">
        <v>19</v>
      </c>
      <c r="K117" s="5">
        <v>129</v>
      </c>
      <c r="L117" s="5" t="s">
        <v>40</v>
      </c>
      <c r="M117" s="5">
        <v>50</v>
      </c>
      <c r="N117" s="5">
        <v>20</v>
      </c>
      <c r="O117" s="5">
        <v>110</v>
      </c>
      <c r="P117" s="5">
        <v>54</v>
      </c>
      <c r="Q117">
        <f>SUM([1]!Table1[[#This Row],[Sales]])</f>
        <v>129</v>
      </c>
      <c r="R117">
        <f>SUM([1]!Table1[[#This Row],[Profit]])</f>
        <v>19</v>
      </c>
      <c r="S117" s="7">
        <f t="shared" si="8"/>
        <v>0.14728682170542637</v>
      </c>
      <c r="T117">
        <f t="shared" si="9"/>
        <v>20</v>
      </c>
      <c r="U117">
        <f t="shared" si="10"/>
        <v>19</v>
      </c>
      <c r="V117">
        <f t="shared" si="11"/>
        <v>4</v>
      </c>
      <c r="W117">
        <f t="shared" si="12"/>
        <v>0.95</v>
      </c>
      <c r="X117" t="str">
        <f t="shared" si="13"/>
        <v>Low Profit</v>
      </c>
      <c r="Y117">
        <f t="shared" si="14"/>
        <v>54</v>
      </c>
      <c r="Z117">
        <f t="shared" si="15"/>
        <v>129</v>
      </c>
    </row>
    <row r="118" spans="1:26">
      <c r="A118" s="3">
        <v>435</v>
      </c>
      <c r="B118" s="3">
        <v>46</v>
      </c>
      <c r="C118" s="4">
        <v>41579</v>
      </c>
      <c r="D118" s="3" t="s">
        <v>32</v>
      </c>
      <c r="E118" s="3" t="s">
        <v>29</v>
      </c>
      <c r="F118" s="3">
        <v>14</v>
      </c>
      <c r="G118" s="3" t="s">
        <v>18</v>
      </c>
      <c r="H118" s="3" t="s">
        <v>19</v>
      </c>
      <c r="I118" s="3" t="s">
        <v>50</v>
      </c>
      <c r="J118" s="3">
        <v>45</v>
      </c>
      <c r="K118" s="3">
        <v>120</v>
      </c>
      <c r="L118" s="3" t="s">
        <v>42</v>
      </c>
      <c r="M118" s="3">
        <v>40</v>
      </c>
      <c r="N118" s="3">
        <v>30</v>
      </c>
      <c r="O118" s="3">
        <v>100</v>
      </c>
      <c r="P118" s="3">
        <v>37</v>
      </c>
      <c r="Q118">
        <f>SUM([1]!Table1[[#This Row],[Sales]])</f>
        <v>120</v>
      </c>
      <c r="R118">
        <f>SUM([1]!Table1[[#This Row],[Profit]])</f>
        <v>45</v>
      </c>
      <c r="S118" s="7">
        <f t="shared" si="8"/>
        <v>0.375</v>
      </c>
      <c r="T118">
        <f t="shared" si="9"/>
        <v>14</v>
      </c>
      <c r="U118">
        <f t="shared" si="10"/>
        <v>20</v>
      </c>
      <c r="V118">
        <f t="shared" si="11"/>
        <v>6</v>
      </c>
      <c r="W118">
        <f t="shared" si="12"/>
        <v>3.2142857142857144</v>
      </c>
      <c r="X118" t="str">
        <f t="shared" si="13"/>
        <v>Low Profit</v>
      </c>
      <c r="Y118">
        <f t="shared" si="14"/>
        <v>46</v>
      </c>
      <c r="Z118">
        <f t="shared" si="15"/>
        <v>120</v>
      </c>
    </row>
    <row r="119" spans="1:26">
      <c r="A119" s="5">
        <v>435</v>
      </c>
      <c r="B119" s="5">
        <v>43</v>
      </c>
      <c r="C119" s="6">
        <v>41579</v>
      </c>
      <c r="D119" s="5" t="s">
        <v>32</v>
      </c>
      <c r="E119" s="5" t="s">
        <v>29</v>
      </c>
      <c r="F119" s="5">
        <v>14</v>
      </c>
      <c r="G119" s="5" t="s">
        <v>18</v>
      </c>
      <c r="H119" s="5" t="s">
        <v>19</v>
      </c>
      <c r="I119" s="5" t="s">
        <v>20</v>
      </c>
      <c r="J119" s="5">
        <v>30</v>
      </c>
      <c r="K119" s="5">
        <v>116</v>
      </c>
      <c r="L119" s="5" t="s">
        <v>42</v>
      </c>
      <c r="M119" s="5">
        <v>40</v>
      </c>
      <c r="N119" s="5">
        <v>30</v>
      </c>
      <c r="O119" s="5">
        <v>100</v>
      </c>
      <c r="P119" s="5">
        <v>46</v>
      </c>
      <c r="Q119">
        <f>SUM([1]!Table1[[#This Row],[Sales]])</f>
        <v>116</v>
      </c>
      <c r="R119">
        <f>SUM([1]!Table1[[#This Row],[Profit]])</f>
        <v>30</v>
      </c>
      <c r="S119" s="7">
        <f t="shared" si="8"/>
        <v>0.25862068965517243</v>
      </c>
      <c r="T119">
        <f t="shared" si="9"/>
        <v>14</v>
      </c>
      <c r="U119">
        <f t="shared" si="10"/>
        <v>16</v>
      </c>
      <c r="V119">
        <f t="shared" si="11"/>
        <v>3</v>
      </c>
      <c r="W119">
        <f t="shared" si="12"/>
        <v>2.1428571428571428</v>
      </c>
      <c r="X119" t="str">
        <f t="shared" si="13"/>
        <v>Low Profit</v>
      </c>
      <c r="Y119">
        <f t="shared" si="14"/>
        <v>43</v>
      </c>
      <c r="Z119">
        <f t="shared" si="15"/>
        <v>116</v>
      </c>
    </row>
    <row r="120" spans="1:26">
      <c r="A120" s="3">
        <v>253</v>
      </c>
      <c r="B120" s="3">
        <v>47</v>
      </c>
      <c r="C120" s="4">
        <v>41579</v>
      </c>
      <c r="D120" s="3" t="s">
        <v>32</v>
      </c>
      <c r="E120" s="3" t="s">
        <v>29</v>
      </c>
      <c r="F120" s="3">
        <v>13</v>
      </c>
      <c r="G120" s="3" t="s">
        <v>18</v>
      </c>
      <c r="H120" s="3" t="s">
        <v>19</v>
      </c>
      <c r="I120" s="3" t="s">
        <v>20</v>
      </c>
      <c r="J120" s="3">
        <v>65</v>
      </c>
      <c r="K120" s="3">
        <v>123</v>
      </c>
      <c r="L120" s="3" t="s">
        <v>53</v>
      </c>
      <c r="M120" s="3">
        <v>40</v>
      </c>
      <c r="N120" s="3">
        <v>40</v>
      </c>
      <c r="O120" s="3">
        <v>100</v>
      </c>
      <c r="P120" s="3">
        <v>24</v>
      </c>
      <c r="Q120">
        <f>SUM([1]!Table1[[#This Row],[Sales]])</f>
        <v>123</v>
      </c>
      <c r="R120">
        <f>SUM([1]!Table1[[#This Row],[Profit]])</f>
        <v>65</v>
      </c>
      <c r="S120" s="7">
        <f t="shared" si="8"/>
        <v>0.52845528455284552</v>
      </c>
      <c r="T120">
        <f t="shared" si="9"/>
        <v>13</v>
      </c>
      <c r="U120">
        <f t="shared" si="10"/>
        <v>23</v>
      </c>
      <c r="V120">
        <f t="shared" si="11"/>
        <v>7</v>
      </c>
      <c r="W120">
        <f t="shared" si="12"/>
        <v>5</v>
      </c>
      <c r="X120" t="str">
        <f t="shared" si="13"/>
        <v>Low Profit</v>
      </c>
      <c r="Y120">
        <f t="shared" si="14"/>
        <v>47</v>
      </c>
      <c r="Z120">
        <f t="shared" si="15"/>
        <v>123</v>
      </c>
    </row>
    <row r="121" spans="1:26">
      <c r="A121" s="5">
        <v>203</v>
      </c>
      <c r="B121" s="5">
        <v>36</v>
      </c>
      <c r="C121" s="6">
        <v>41579</v>
      </c>
      <c r="D121" s="5" t="s">
        <v>32</v>
      </c>
      <c r="E121" s="5" t="s">
        <v>25</v>
      </c>
      <c r="F121" s="5">
        <v>10</v>
      </c>
      <c r="G121" s="5" t="s">
        <v>18</v>
      </c>
      <c r="H121" s="5" t="s">
        <v>26</v>
      </c>
      <c r="I121" s="5" t="s">
        <v>30</v>
      </c>
      <c r="J121" s="5">
        <v>49</v>
      </c>
      <c r="K121" s="5">
        <v>96</v>
      </c>
      <c r="L121" s="5" t="s">
        <v>37</v>
      </c>
      <c r="M121" s="5">
        <v>30</v>
      </c>
      <c r="N121" s="5">
        <v>40</v>
      </c>
      <c r="O121" s="5">
        <v>90</v>
      </c>
      <c r="P121" s="5">
        <v>21</v>
      </c>
      <c r="Q121">
        <f>SUM([1]!Table1[[#This Row],[Sales]])</f>
        <v>96</v>
      </c>
      <c r="R121">
        <f>SUM([1]!Table1[[#This Row],[Profit]])</f>
        <v>49</v>
      </c>
      <c r="S121" s="7">
        <f t="shared" si="8"/>
        <v>0.51041666666666663</v>
      </c>
      <c r="T121">
        <f t="shared" si="9"/>
        <v>10</v>
      </c>
      <c r="U121">
        <f t="shared" si="10"/>
        <v>6</v>
      </c>
      <c r="V121">
        <f t="shared" si="11"/>
        <v>6</v>
      </c>
      <c r="W121">
        <f t="shared" si="12"/>
        <v>4.9000000000000004</v>
      </c>
      <c r="X121" t="str">
        <f t="shared" si="13"/>
        <v>Low Profit</v>
      </c>
      <c r="Y121">
        <f t="shared" si="14"/>
        <v>36</v>
      </c>
      <c r="Z121">
        <f t="shared" si="15"/>
        <v>96</v>
      </c>
    </row>
    <row r="122" spans="1:26">
      <c r="A122" s="3">
        <v>509</v>
      </c>
      <c r="B122" s="3">
        <v>61</v>
      </c>
      <c r="C122" s="4">
        <v>41579</v>
      </c>
      <c r="D122" s="3" t="s">
        <v>32</v>
      </c>
      <c r="E122" s="3" t="s">
        <v>29</v>
      </c>
      <c r="F122" s="3">
        <v>55</v>
      </c>
      <c r="G122" s="3" t="s">
        <v>18</v>
      </c>
      <c r="H122" s="3" t="s">
        <v>26</v>
      </c>
      <c r="I122" s="3" t="s">
        <v>30</v>
      </c>
      <c r="J122" s="3">
        <v>1</v>
      </c>
      <c r="K122" s="3">
        <v>157</v>
      </c>
      <c r="L122" s="3" t="s">
        <v>53</v>
      </c>
      <c r="M122" s="3">
        <v>40</v>
      </c>
      <c r="N122" s="3">
        <v>0</v>
      </c>
      <c r="O122" s="3">
        <v>100</v>
      </c>
      <c r="P122" s="3">
        <v>85</v>
      </c>
      <c r="Q122">
        <f>SUM([1]!Table1[[#This Row],[Sales]])</f>
        <v>157</v>
      </c>
      <c r="R122">
        <f>SUM([1]!Table1[[#This Row],[Profit]])</f>
        <v>1</v>
      </c>
      <c r="S122" s="7">
        <f t="shared" si="8"/>
        <v>6.369426751592357E-3</v>
      </c>
      <c r="T122">
        <f t="shared" si="9"/>
        <v>55</v>
      </c>
      <c r="U122">
        <f t="shared" si="10"/>
        <v>57</v>
      </c>
      <c r="V122">
        <f t="shared" si="11"/>
        <v>21</v>
      </c>
      <c r="W122">
        <f t="shared" si="12"/>
        <v>1.8181818181818181E-2</v>
      </c>
      <c r="X122" t="str">
        <f t="shared" si="13"/>
        <v>Low Profit</v>
      </c>
      <c r="Y122">
        <f t="shared" si="14"/>
        <v>61</v>
      </c>
      <c r="Z122">
        <f t="shared" si="15"/>
        <v>157</v>
      </c>
    </row>
    <row r="123" spans="1:26">
      <c r="A123" s="5">
        <v>956</v>
      </c>
      <c r="B123" s="5">
        <v>43</v>
      </c>
      <c r="C123" s="6">
        <v>41609</v>
      </c>
      <c r="D123" s="5" t="s">
        <v>16</v>
      </c>
      <c r="E123" s="5" t="s">
        <v>23</v>
      </c>
      <c r="F123" s="5">
        <v>14</v>
      </c>
      <c r="G123" s="5" t="s">
        <v>33</v>
      </c>
      <c r="H123" s="5" t="s">
        <v>38</v>
      </c>
      <c r="I123" s="5" t="s">
        <v>39</v>
      </c>
      <c r="J123" s="5">
        <v>45</v>
      </c>
      <c r="K123" s="5">
        <v>106</v>
      </c>
      <c r="L123" s="5" t="s">
        <v>24</v>
      </c>
      <c r="M123" s="5">
        <v>50</v>
      </c>
      <c r="N123" s="5">
        <v>40</v>
      </c>
      <c r="O123" s="5">
        <v>110</v>
      </c>
      <c r="P123" s="5">
        <v>26</v>
      </c>
      <c r="Q123">
        <f>SUM([1]!Table1[[#This Row],[Sales]])</f>
        <v>106</v>
      </c>
      <c r="R123">
        <f>SUM([1]!Table1[[#This Row],[Profit]])</f>
        <v>45</v>
      </c>
      <c r="S123" s="7">
        <f t="shared" si="8"/>
        <v>0.42452830188679247</v>
      </c>
      <c r="T123">
        <f t="shared" si="9"/>
        <v>14</v>
      </c>
      <c r="U123">
        <f t="shared" si="10"/>
        <v>-4</v>
      </c>
      <c r="V123">
        <f t="shared" si="11"/>
        <v>-7</v>
      </c>
      <c r="W123">
        <f t="shared" si="12"/>
        <v>3.2142857142857144</v>
      </c>
      <c r="X123" t="str">
        <f t="shared" si="13"/>
        <v>Low Profit</v>
      </c>
      <c r="Y123">
        <f t="shared" si="14"/>
        <v>43</v>
      </c>
      <c r="Z123">
        <f t="shared" si="15"/>
        <v>106</v>
      </c>
    </row>
    <row r="124" spans="1:26">
      <c r="A124" s="3">
        <v>430</v>
      </c>
      <c r="B124" s="3">
        <v>54</v>
      </c>
      <c r="C124" s="4">
        <v>41609</v>
      </c>
      <c r="D124" s="3" t="s">
        <v>16</v>
      </c>
      <c r="E124" s="3" t="s">
        <v>23</v>
      </c>
      <c r="F124" s="3">
        <v>15</v>
      </c>
      <c r="G124" s="3" t="s">
        <v>33</v>
      </c>
      <c r="H124" s="3" t="s">
        <v>34</v>
      </c>
      <c r="I124" s="3" t="s">
        <v>35</v>
      </c>
      <c r="J124" s="3">
        <v>77</v>
      </c>
      <c r="K124" s="3">
        <v>142</v>
      </c>
      <c r="L124" s="3" t="s">
        <v>24</v>
      </c>
      <c r="M124" s="3">
        <v>40</v>
      </c>
      <c r="N124" s="3">
        <v>40</v>
      </c>
      <c r="O124" s="3">
        <v>100</v>
      </c>
      <c r="P124" s="3">
        <v>27</v>
      </c>
      <c r="Q124">
        <f>SUM([1]!Table1[[#This Row],[Sales]])</f>
        <v>142</v>
      </c>
      <c r="R124">
        <f>SUM([1]!Table1[[#This Row],[Profit]])</f>
        <v>77</v>
      </c>
      <c r="S124" s="7">
        <f t="shared" si="8"/>
        <v>0.54225352112676062</v>
      </c>
      <c r="T124">
        <f t="shared" si="9"/>
        <v>15</v>
      </c>
      <c r="U124">
        <f t="shared" si="10"/>
        <v>42</v>
      </c>
      <c r="V124">
        <f t="shared" si="11"/>
        <v>14</v>
      </c>
      <c r="W124">
        <f t="shared" si="12"/>
        <v>5.1333333333333337</v>
      </c>
      <c r="X124" t="str">
        <f t="shared" si="13"/>
        <v>Low Profit</v>
      </c>
      <c r="Y124">
        <f t="shared" si="14"/>
        <v>54</v>
      </c>
      <c r="Z124">
        <f t="shared" si="15"/>
        <v>142</v>
      </c>
    </row>
    <row r="125" spans="1:26">
      <c r="A125" s="5">
        <v>719</v>
      </c>
      <c r="B125" s="5">
        <v>47</v>
      </c>
      <c r="C125" s="6">
        <v>41609</v>
      </c>
      <c r="D125" s="5" t="s">
        <v>16</v>
      </c>
      <c r="E125" s="5" t="s">
        <v>17</v>
      </c>
      <c r="F125" s="5">
        <v>42</v>
      </c>
      <c r="G125" s="5" t="s">
        <v>18</v>
      </c>
      <c r="H125" s="5" t="s">
        <v>19</v>
      </c>
      <c r="I125" s="5" t="s">
        <v>20</v>
      </c>
      <c r="J125" s="5">
        <v>-9</v>
      </c>
      <c r="K125" s="5">
        <v>119</v>
      </c>
      <c r="L125" s="5" t="s">
        <v>21</v>
      </c>
      <c r="M125" s="5">
        <v>40</v>
      </c>
      <c r="N125" s="5">
        <v>0</v>
      </c>
      <c r="O125" s="5">
        <v>100</v>
      </c>
      <c r="P125" s="5">
        <v>71</v>
      </c>
      <c r="Q125">
        <f>SUM([1]!Table1[[#This Row],[Sales]])</f>
        <v>119</v>
      </c>
      <c r="R125">
        <f>SUM([1]!Table1[[#This Row],[Profit]])</f>
        <v>-9</v>
      </c>
      <c r="S125" s="7">
        <f t="shared" si="8"/>
        <v>-7.5630252100840331E-2</v>
      </c>
      <c r="T125">
        <f t="shared" si="9"/>
        <v>42</v>
      </c>
      <c r="U125">
        <f t="shared" si="10"/>
        <v>19</v>
      </c>
      <c r="V125">
        <f t="shared" si="11"/>
        <v>7</v>
      </c>
      <c r="W125">
        <f t="shared" si="12"/>
        <v>-0.21428571428571427</v>
      </c>
      <c r="X125" t="str">
        <f t="shared" si="13"/>
        <v>Low Profit</v>
      </c>
      <c r="Y125">
        <f t="shared" si="14"/>
        <v>47</v>
      </c>
      <c r="Z125">
        <f t="shared" si="15"/>
        <v>119</v>
      </c>
    </row>
    <row r="126" spans="1:26">
      <c r="A126" s="3">
        <v>970</v>
      </c>
      <c r="B126" s="3">
        <v>54</v>
      </c>
      <c r="C126" s="4">
        <v>41609</v>
      </c>
      <c r="D126" s="3" t="s">
        <v>16</v>
      </c>
      <c r="E126" s="3" t="s">
        <v>17</v>
      </c>
      <c r="F126" s="3">
        <v>17</v>
      </c>
      <c r="G126" s="3" t="s">
        <v>18</v>
      </c>
      <c r="H126" s="3" t="s">
        <v>19</v>
      </c>
      <c r="I126" s="3" t="s">
        <v>22</v>
      </c>
      <c r="J126" s="3">
        <v>43</v>
      </c>
      <c r="K126" s="3">
        <v>135</v>
      </c>
      <c r="L126" s="3" t="s">
        <v>21</v>
      </c>
      <c r="M126" s="3">
        <v>50</v>
      </c>
      <c r="N126" s="3">
        <v>30</v>
      </c>
      <c r="O126" s="3">
        <v>110</v>
      </c>
      <c r="P126" s="3">
        <v>44</v>
      </c>
      <c r="Q126">
        <f>SUM([1]!Table1[[#This Row],[Sales]])</f>
        <v>135</v>
      </c>
      <c r="R126">
        <f>SUM([1]!Table1[[#This Row],[Profit]])</f>
        <v>43</v>
      </c>
      <c r="S126" s="7">
        <f t="shared" si="8"/>
        <v>0.31851851851851853</v>
      </c>
      <c r="T126">
        <f t="shared" si="9"/>
        <v>17</v>
      </c>
      <c r="U126">
        <f t="shared" si="10"/>
        <v>25</v>
      </c>
      <c r="V126">
        <f t="shared" si="11"/>
        <v>4</v>
      </c>
      <c r="W126">
        <f t="shared" si="12"/>
        <v>2.5294117647058822</v>
      </c>
      <c r="X126" t="str">
        <f t="shared" si="13"/>
        <v>Low Profit</v>
      </c>
      <c r="Y126">
        <f t="shared" si="14"/>
        <v>54</v>
      </c>
      <c r="Z126">
        <f t="shared" si="15"/>
        <v>135</v>
      </c>
    </row>
    <row r="127" spans="1:26">
      <c r="A127" s="5">
        <v>305</v>
      </c>
      <c r="B127" s="5">
        <v>65</v>
      </c>
      <c r="C127" s="6">
        <v>41609</v>
      </c>
      <c r="D127" s="5" t="s">
        <v>16</v>
      </c>
      <c r="E127" s="5" t="s">
        <v>25</v>
      </c>
      <c r="F127" s="5">
        <v>24</v>
      </c>
      <c r="G127" s="5" t="s">
        <v>18</v>
      </c>
      <c r="H127" s="5" t="s">
        <v>19</v>
      </c>
      <c r="I127" s="5" t="s">
        <v>20</v>
      </c>
      <c r="J127" s="5">
        <v>34</v>
      </c>
      <c r="K127" s="5">
        <v>155</v>
      </c>
      <c r="L127" s="5" t="s">
        <v>28</v>
      </c>
      <c r="M127" s="5">
        <v>40</v>
      </c>
      <c r="N127" s="5">
        <v>20</v>
      </c>
      <c r="O127" s="5">
        <v>100</v>
      </c>
      <c r="P127" s="5">
        <v>57</v>
      </c>
      <c r="Q127">
        <f>SUM([1]!Table1[[#This Row],[Sales]])</f>
        <v>155</v>
      </c>
      <c r="R127">
        <f>SUM([1]!Table1[[#This Row],[Profit]])</f>
        <v>34</v>
      </c>
      <c r="S127" s="7">
        <f t="shared" si="8"/>
        <v>0.21935483870967742</v>
      </c>
      <c r="T127">
        <f t="shared" si="9"/>
        <v>24</v>
      </c>
      <c r="U127">
        <f t="shared" si="10"/>
        <v>55</v>
      </c>
      <c r="V127">
        <f t="shared" si="11"/>
        <v>25</v>
      </c>
      <c r="W127">
        <f t="shared" si="12"/>
        <v>1.4166666666666667</v>
      </c>
      <c r="X127" t="str">
        <f t="shared" si="13"/>
        <v>Low Profit</v>
      </c>
      <c r="Y127">
        <f t="shared" si="14"/>
        <v>65</v>
      </c>
      <c r="Z127">
        <f t="shared" si="15"/>
        <v>155</v>
      </c>
    </row>
    <row r="128" spans="1:26">
      <c r="A128" s="3">
        <v>407</v>
      </c>
      <c r="B128" s="3">
        <v>80</v>
      </c>
      <c r="C128" s="4">
        <v>41609</v>
      </c>
      <c r="D128" s="3" t="s">
        <v>16</v>
      </c>
      <c r="E128" s="3" t="s">
        <v>25</v>
      </c>
      <c r="F128" s="3">
        <v>24</v>
      </c>
      <c r="G128" s="3" t="s">
        <v>18</v>
      </c>
      <c r="H128" s="3" t="s">
        <v>19</v>
      </c>
      <c r="I128" s="3" t="s">
        <v>22</v>
      </c>
      <c r="J128" s="3">
        <v>74</v>
      </c>
      <c r="K128" s="3">
        <v>188</v>
      </c>
      <c r="L128" s="3" t="s">
        <v>28</v>
      </c>
      <c r="M128" s="3">
        <v>60</v>
      </c>
      <c r="N128" s="3">
        <v>30</v>
      </c>
      <c r="O128" s="3">
        <v>120</v>
      </c>
      <c r="P128" s="3">
        <v>46</v>
      </c>
      <c r="Q128">
        <f>SUM([1]!Table1[[#This Row],[Sales]])</f>
        <v>188</v>
      </c>
      <c r="R128">
        <f>SUM([1]!Table1[[#This Row],[Profit]])</f>
        <v>74</v>
      </c>
      <c r="S128" s="7">
        <f t="shared" si="8"/>
        <v>0.39361702127659576</v>
      </c>
      <c r="T128">
        <f t="shared" si="9"/>
        <v>24</v>
      </c>
      <c r="U128">
        <f t="shared" si="10"/>
        <v>68</v>
      </c>
      <c r="V128">
        <f t="shared" si="11"/>
        <v>20</v>
      </c>
      <c r="W128">
        <f t="shared" si="12"/>
        <v>3.0833333333333335</v>
      </c>
      <c r="X128" t="str">
        <f t="shared" si="13"/>
        <v>Low Profit</v>
      </c>
      <c r="Y128">
        <f t="shared" si="14"/>
        <v>80</v>
      </c>
      <c r="Z128">
        <f t="shared" si="15"/>
        <v>188</v>
      </c>
    </row>
    <row r="129" spans="1:26">
      <c r="A129" s="5">
        <v>325</v>
      </c>
      <c r="B129" s="5">
        <v>54</v>
      </c>
      <c r="C129" s="6">
        <v>41609</v>
      </c>
      <c r="D129" s="5" t="s">
        <v>16</v>
      </c>
      <c r="E129" s="5" t="s">
        <v>23</v>
      </c>
      <c r="F129" s="5">
        <v>17</v>
      </c>
      <c r="G129" s="5" t="s">
        <v>18</v>
      </c>
      <c r="H129" s="5" t="s">
        <v>19</v>
      </c>
      <c r="I129" s="5" t="s">
        <v>50</v>
      </c>
      <c r="J129" s="5">
        <v>42</v>
      </c>
      <c r="K129" s="5">
        <v>135</v>
      </c>
      <c r="L129" s="5" t="s">
        <v>24</v>
      </c>
      <c r="M129" s="5">
        <v>50</v>
      </c>
      <c r="N129" s="5">
        <v>30</v>
      </c>
      <c r="O129" s="5">
        <v>110</v>
      </c>
      <c r="P129" s="5">
        <v>45</v>
      </c>
      <c r="Q129">
        <f>SUM([1]!Table1[[#This Row],[Sales]])</f>
        <v>135</v>
      </c>
      <c r="R129">
        <f>SUM([1]!Table1[[#This Row],[Profit]])</f>
        <v>42</v>
      </c>
      <c r="S129" s="7">
        <f t="shared" si="8"/>
        <v>0.31111111111111112</v>
      </c>
      <c r="T129">
        <f t="shared" si="9"/>
        <v>17</v>
      </c>
      <c r="U129">
        <f t="shared" si="10"/>
        <v>25</v>
      </c>
      <c r="V129">
        <f t="shared" si="11"/>
        <v>4</v>
      </c>
      <c r="W129">
        <f t="shared" si="12"/>
        <v>2.4705882352941178</v>
      </c>
      <c r="X129" t="str">
        <f t="shared" si="13"/>
        <v>Low Profit</v>
      </c>
      <c r="Y129">
        <f t="shared" si="14"/>
        <v>54</v>
      </c>
      <c r="Z129">
        <f t="shared" si="15"/>
        <v>135</v>
      </c>
    </row>
    <row r="130" spans="1:26">
      <c r="A130" s="3">
        <v>430</v>
      </c>
      <c r="B130" s="3">
        <v>41</v>
      </c>
      <c r="C130" s="4">
        <v>41609</v>
      </c>
      <c r="D130" s="3" t="s">
        <v>16</v>
      </c>
      <c r="E130" s="3" t="s">
        <v>23</v>
      </c>
      <c r="F130" s="3">
        <v>13</v>
      </c>
      <c r="G130" s="3" t="s">
        <v>18</v>
      </c>
      <c r="H130" s="3" t="s">
        <v>19</v>
      </c>
      <c r="I130" s="3" t="s">
        <v>20</v>
      </c>
      <c r="J130" s="3">
        <v>36</v>
      </c>
      <c r="K130" s="3">
        <v>108</v>
      </c>
      <c r="L130" s="3" t="s">
        <v>24</v>
      </c>
      <c r="M130" s="3">
        <v>30</v>
      </c>
      <c r="N130" s="3">
        <v>30</v>
      </c>
      <c r="O130" s="3">
        <v>90</v>
      </c>
      <c r="P130" s="3">
        <v>36</v>
      </c>
      <c r="Q130">
        <f>SUM([1]!Table1[[#This Row],[Sales]])</f>
        <v>108</v>
      </c>
      <c r="R130">
        <f>SUM([1]!Table1[[#This Row],[Profit]])</f>
        <v>36</v>
      </c>
      <c r="S130" s="7">
        <f t="shared" si="8"/>
        <v>0.33333333333333331</v>
      </c>
      <c r="T130">
        <f t="shared" si="9"/>
        <v>13</v>
      </c>
      <c r="U130">
        <f t="shared" si="10"/>
        <v>18</v>
      </c>
      <c r="V130">
        <f t="shared" si="11"/>
        <v>11</v>
      </c>
      <c r="W130">
        <f t="shared" si="12"/>
        <v>2.7692307692307692</v>
      </c>
      <c r="X130" t="str">
        <f t="shared" si="13"/>
        <v>Low Profit</v>
      </c>
      <c r="Y130">
        <f t="shared" si="14"/>
        <v>41</v>
      </c>
      <c r="Z130">
        <f t="shared" si="15"/>
        <v>108</v>
      </c>
    </row>
    <row r="131" spans="1:26">
      <c r="A131" s="5">
        <v>408</v>
      </c>
      <c r="B131" s="5">
        <v>54</v>
      </c>
      <c r="C131" s="6">
        <v>41609</v>
      </c>
      <c r="D131" s="5" t="s">
        <v>16</v>
      </c>
      <c r="E131" s="5" t="s">
        <v>29</v>
      </c>
      <c r="F131" s="5">
        <v>15</v>
      </c>
      <c r="G131" s="5" t="s">
        <v>18</v>
      </c>
      <c r="H131" s="5" t="s">
        <v>26</v>
      </c>
      <c r="I131" s="5" t="s">
        <v>54</v>
      </c>
      <c r="J131" s="5">
        <v>79</v>
      </c>
      <c r="K131" s="5">
        <v>142</v>
      </c>
      <c r="L131" s="5" t="s">
        <v>31</v>
      </c>
      <c r="M131" s="5">
        <v>30</v>
      </c>
      <c r="N131" s="5">
        <v>50</v>
      </c>
      <c r="O131" s="5">
        <v>90</v>
      </c>
      <c r="P131" s="5">
        <v>26</v>
      </c>
      <c r="Q131">
        <f>SUM([1]!Table1[[#This Row],[Sales]])</f>
        <v>142</v>
      </c>
      <c r="R131">
        <f>SUM([1]!Table1[[#This Row],[Profit]])</f>
        <v>79</v>
      </c>
      <c r="S131" s="7">
        <f t="shared" ref="S131:S194" si="16">J131/K131</f>
        <v>0.55633802816901412</v>
      </c>
      <c r="T131">
        <f t="shared" ref="T131:T194" si="17">SUM(F131)</f>
        <v>15</v>
      </c>
      <c r="U131">
        <f t="shared" ref="U131:U194" si="18">K131-O131</f>
        <v>52</v>
      </c>
      <c r="V131">
        <f t="shared" ref="V131:V194" si="19">B131-M131</f>
        <v>24</v>
      </c>
      <c r="W131">
        <f t="shared" ref="W131:W194" si="20">J131/F131</f>
        <v>5.2666666666666666</v>
      </c>
      <c r="X131" t="str">
        <f t="shared" ref="X131:X194" si="21">IF(J131&gt;100,"High Profit","Low Profit")</f>
        <v>Low Profit</v>
      </c>
      <c r="Y131">
        <f t="shared" ref="Y131:Y194" si="22">SUM(B131)</f>
        <v>54</v>
      </c>
      <c r="Z131">
        <f t="shared" ref="Z131:Z194" si="23">SUM(K131)</f>
        <v>142</v>
      </c>
    </row>
    <row r="132" spans="1:26">
      <c r="A132" s="3">
        <v>816</v>
      </c>
      <c r="B132" s="3">
        <v>31</v>
      </c>
      <c r="C132" s="4">
        <v>41609</v>
      </c>
      <c r="D132" s="3" t="s">
        <v>32</v>
      </c>
      <c r="E132" s="3" t="s">
        <v>17</v>
      </c>
      <c r="F132" s="3">
        <v>8</v>
      </c>
      <c r="G132" s="3" t="s">
        <v>33</v>
      </c>
      <c r="H132" s="3" t="s">
        <v>34</v>
      </c>
      <c r="I132" s="3" t="s">
        <v>35</v>
      </c>
      <c r="J132" s="3">
        <v>40</v>
      </c>
      <c r="K132" s="3">
        <v>82</v>
      </c>
      <c r="L132" s="3" t="s">
        <v>51</v>
      </c>
      <c r="M132" s="3">
        <v>30</v>
      </c>
      <c r="N132" s="3">
        <v>50</v>
      </c>
      <c r="O132" s="3">
        <v>90</v>
      </c>
      <c r="P132" s="3">
        <v>19</v>
      </c>
      <c r="Q132">
        <f>SUM([1]!Table1[[#This Row],[Sales]])</f>
        <v>82</v>
      </c>
      <c r="R132">
        <f>SUM([1]!Table1[[#This Row],[Profit]])</f>
        <v>40</v>
      </c>
      <c r="S132" s="7">
        <f t="shared" si="16"/>
        <v>0.48780487804878048</v>
      </c>
      <c r="T132">
        <f t="shared" si="17"/>
        <v>8</v>
      </c>
      <c r="U132">
        <f t="shared" si="18"/>
        <v>-8</v>
      </c>
      <c r="V132">
        <f t="shared" si="19"/>
        <v>1</v>
      </c>
      <c r="W132">
        <f t="shared" si="20"/>
        <v>5</v>
      </c>
      <c r="X132" t="str">
        <f t="shared" si="21"/>
        <v>Low Profit</v>
      </c>
      <c r="Y132">
        <f t="shared" si="22"/>
        <v>31</v>
      </c>
      <c r="Z132">
        <f t="shared" si="23"/>
        <v>82</v>
      </c>
    </row>
    <row r="133" spans="1:26">
      <c r="A133" s="5">
        <v>337</v>
      </c>
      <c r="B133" s="5">
        <v>34</v>
      </c>
      <c r="C133" s="6">
        <v>41609</v>
      </c>
      <c r="D133" s="5" t="s">
        <v>32</v>
      </c>
      <c r="E133" s="5" t="s">
        <v>23</v>
      </c>
      <c r="F133" s="5">
        <v>9</v>
      </c>
      <c r="G133" s="5" t="s">
        <v>33</v>
      </c>
      <c r="H133" s="5" t="s">
        <v>38</v>
      </c>
      <c r="I133" s="5" t="s">
        <v>39</v>
      </c>
      <c r="J133" s="5">
        <v>46</v>
      </c>
      <c r="K133" s="5">
        <v>91</v>
      </c>
      <c r="L133" s="5" t="s">
        <v>48</v>
      </c>
      <c r="M133" s="5">
        <v>40</v>
      </c>
      <c r="N133" s="5">
        <v>50</v>
      </c>
      <c r="O133" s="5">
        <v>100</v>
      </c>
      <c r="P133" s="5">
        <v>20</v>
      </c>
      <c r="Q133">
        <f>SUM([1]!Table1[[#This Row],[Sales]])</f>
        <v>91</v>
      </c>
      <c r="R133">
        <f>SUM([1]!Table1[[#This Row],[Profit]])</f>
        <v>46</v>
      </c>
      <c r="S133" s="7">
        <f t="shared" si="16"/>
        <v>0.50549450549450547</v>
      </c>
      <c r="T133">
        <f t="shared" si="17"/>
        <v>9</v>
      </c>
      <c r="U133">
        <f t="shared" si="18"/>
        <v>-9</v>
      </c>
      <c r="V133">
        <f t="shared" si="19"/>
        <v>-6</v>
      </c>
      <c r="W133">
        <f t="shared" si="20"/>
        <v>5.1111111111111107</v>
      </c>
      <c r="X133" t="str">
        <f t="shared" si="21"/>
        <v>Low Profit</v>
      </c>
      <c r="Y133">
        <f t="shared" si="22"/>
        <v>34</v>
      </c>
      <c r="Z133">
        <f t="shared" si="23"/>
        <v>91</v>
      </c>
    </row>
    <row r="134" spans="1:26">
      <c r="A134" s="3">
        <v>918</v>
      </c>
      <c r="B134" s="3">
        <v>33</v>
      </c>
      <c r="C134" s="4">
        <v>41609</v>
      </c>
      <c r="D134" s="3" t="s">
        <v>32</v>
      </c>
      <c r="E134" s="3" t="s">
        <v>23</v>
      </c>
      <c r="F134" s="3">
        <v>9</v>
      </c>
      <c r="G134" s="3" t="s">
        <v>33</v>
      </c>
      <c r="H134" s="3" t="s">
        <v>38</v>
      </c>
      <c r="I134" s="3" t="s">
        <v>39</v>
      </c>
      <c r="J134" s="3">
        <v>42</v>
      </c>
      <c r="K134" s="3">
        <v>87</v>
      </c>
      <c r="L134" s="3" t="s">
        <v>40</v>
      </c>
      <c r="M134" s="3">
        <v>30</v>
      </c>
      <c r="N134" s="3">
        <v>50</v>
      </c>
      <c r="O134" s="3">
        <v>90</v>
      </c>
      <c r="P134" s="3">
        <v>21</v>
      </c>
      <c r="Q134">
        <f>SUM([1]!Table1[[#This Row],[Sales]])</f>
        <v>87</v>
      </c>
      <c r="R134">
        <f>SUM([1]!Table1[[#This Row],[Profit]])</f>
        <v>42</v>
      </c>
      <c r="S134" s="7">
        <f t="shared" si="16"/>
        <v>0.48275862068965519</v>
      </c>
      <c r="T134">
        <f t="shared" si="17"/>
        <v>9</v>
      </c>
      <c r="U134">
        <f t="shared" si="18"/>
        <v>-3</v>
      </c>
      <c r="V134">
        <f t="shared" si="19"/>
        <v>3</v>
      </c>
      <c r="W134">
        <f t="shared" si="20"/>
        <v>4.666666666666667</v>
      </c>
      <c r="X134" t="str">
        <f t="shared" si="21"/>
        <v>Low Profit</v>
      </c>
      <c r="Y134">
        <f t="shared" si="22"/>
        <v>33</v>
      </c>
      <c r="Z134">
        <f t="shared" si="23"/>
        <v>87</v>
      </c>
    </row>
    <row r="135" spans="1:26">
      <c r="A135" s="5">
        <v>603</v>
      </c>
      <c r="B135" s="5">
        <v>48</v>
      </c>
      <c r="C135" s="6">
        <v>41609</v>
      </c>
      <c r="D135" s="5" t="s">
        <v>32</v>
      </c>
      <c r="E135" s="5" t="s">
        <v>25</v>
      </c>
      <c r="F135" s="5">
        <v>15</v>
      </c>
      <c r="G135" s="5" t="s">
        <v>33</v>
      </c>
      <c r="H135" s="5" t="s">
        <v>38</v>
      </c>
      <c r="I135" s="5" t="s">
        <v>45</v>
      </c>
      <c r="J135" s="5">
        <v>42</v>
      </c>
      <c r="K135" s="5">
        <v>130</v>
      </c>
      <c r="L135" s="5" t="s">
        <v>44</v>
      </c>
      <c r="M135" s="5">
        <v>40</v>
      </c>
      <c r="N135" s="5">
        <v>30</v>
      </c>
      <c r="O135" s="5">
        <v>100</v>
      </c>
      <c r="P135" s="5">
        <v>46</v>
      </c>
      <c r="Q135">
        <f>SUM([1]!Table1[[#This Row],[Sales]])</f>
        <v>130</v>
      </c>
      <c r="R135">
        <f>SUM([1]!Table1[[#This Row],[Profit]])</f>
        <v>42</v>
      </c>
      <c r="S135" s="7">
        <f t="shared" si="16"/>
        <v>0.32307692307692309</v>
      </c>
      <c r="T135">
        <f t="shared" si="17"/>
        <v>15</v>
      </c>
      <c r="U135">
        <f t="shared" si="18"/>
        <v>30</v>
      </c>
      <c r="V135">
        <f t="shared" si="19"/>
        <v>8</v>
      </c>
      <c r="W135">
        <f t="shared" si="20"/>
        <v>2.8</v>
      </c>
      <c r="X135" t="str">
        <f t="shared" si="21"/>
        <v>Low Profit</v>
      </c>
      <c r="Y135">
        <f t="shared" si="22"/>
        <v>48</v>
      </c>
      <c r="Z135">
        <f t="shared" si="23"/>
        <v>130</v>
      </c>
    </row>
    <row r="136" spans="1:26">
      <c r="A136" s="3">
        <v>225</v>
      </c>
      <c r="B136" s="3">
        <v>55</v>
      </c>
      <c r="C136" s="4">
        <v>41609</v>
      </c>
      <c r="D136" s="3" t="s">
        <v>32</v>
      </c>
      <c r="E136" s="3" t="s">
        <v>23</v>
      </c>
      <c r="F136" s="3">
        <v>49</v>
      </c>
      <c r="G136" s="3" t="s">
        <v>33</v>
      </c>
      <c r="H136" s="3" t="s">
        <v>34</v>
      </c>
      <c r="I136" s="3" t="s">
        <v>47</v>
      </c>
      <c r="J136" s="3">
        <v>-4</v>
      </c>
      <c r="K136" s="3">
        <v>140</v>
      </c>
      <c r="L136" s="3" t="s">
        <v>48</v>
      </c>
      <c r="M136" s="3">
        <v>40</v>
      </c>
      <c r="N136" s="3">
        <v>0</v>
      </c>
      <c r="O136" s="3">
        <v>100</v>
      </c>
      <c r="P136" s="3">
        <v>79</v>
      </c>
      <c r="Q136">
        <f>SUM([1]!Table1[[#This Row],[Sales]])</f>
        <v>140</v>
      </c>
      <c r="R136">
        <f>SUM([1]!Table1[[#This Row],[Profit]])</f>
        <v>-4</v>
      </c>
      <c r="S136" s="7">
        <f t="shared" si="16"/>
        <v>-2.8571428571428571E-2</v>
      </c>
      <c r="T136">
        <f t="shared" si="17"/>
        <v>49</v>
      </c>
      <c r="U136">
        <f t="shared" si="18"/>
        <v>40</v>
      </c>
      <c r="V136">
        <f t="shared" si="19"/>
        <v>15</v>
      </c>
      <c r="W136">
        <f t="shared" si="20"/>
        <v>-8.1632653061224483E-2</v>
      </c>
      <c r="X136" t="str">
        <f t="shared" si="21"/>
        <v>Low Profit</v>
      </c>
      <c r="Y136">
        <f t="shared" si="22"/>
        <v>55</v>
      </c>
      <c r="Z136">
        <f t="shared" si="23"/>
        <v>140</v>
      </c>
    </row>
    <row r="137" spans="1:26">
      <c r="A137" s="5">
        <v>505</v>
      </c>
      <c r="B137" s="5">
        <v>49</v>
      </c>
      <c r="C137" s="6">
        <v>41609</v>
      </c>
      <c r="D137" s="5" t="s">
        <v>32</v>
      </c>
      <c r="E137" s="5" t="s">
        <v>23</v>
      </c>
      <c r="F137" s="5">
        <v>44</v>
      </c>
      <c r="G137" s="5" t="s">
        <v>33</v>
      </c>
      <c r="H137" s="5" t="s">
        <v>34</v>
      </c>
      <c r="I137" s="5" t="s">
        <v>46</v>
      </c>
      <c r="J137" s="5">
        <v>-7</v>
      </c>
      <c r="K137" s="5">
        <v>126</v>
      </c>
      <c r="L137" s="5" t="s">
        <v>57</v>
      </c>
      <c r="M137" s="5">
        <v>30</v>
      </c>
      <c r="N137" s="5">
        <v>10</v>
      </c>
      <c r="O137" s="5">
        <v>90</v>
      </c>
      <c r="P137" s="5">
        <v>74</v>
      </c>
      <c r="Q137">
        <f>SUM([1]!Table1[[#This Row],[Sales]])</f>
        <v>126</v>
      </c>
      <c r="R137">
        <f>SUM([1]!Table1[[#This Row],[Profit]])</f>
        <v>-7</v>
      </c>
      <c r="S137" s="7">
        <f t="shared" si="16"/>
        <v>-5.5555555555555552E-2</v>
      </c>
      <c r="T137">
        <f t="shared" si="17"/>
        <v>44</v>
      </c>
      <c r="U137">
        <f t="shared" si="18"/>
        <v>36</v>
      </c>
      <c r="V137">
        <f t="shared" si="19"/>
        <v>19</v>
      </c>
      <c r="W137">
        <f t="shared" si="20"/>
        <v>-0.15909090909090909</v>
      </c>
      <c r="X137" t="str">
        <f t="shared" si="21"/>
        <v>Low Profit</v>
      </c>
      <c r="Y137">
        <f t="shared" si="22"/>
        <v>49</v>
      </c>
      <c r="Z137">
        <f t="shared" si="23"/>
        <v>126</v>
      </c>
    </row>
    <row r="138" spans="1:26">
      <c r="A138" s="3">
        <v>702</v>
      </c>
      <c r="B138" s="3">
        <v>39</v>
      </c>
      <c r="C138" s="4">
        <v>41609</v>
      </c>
      <c r="D138" s="3" t="s">
        <v>32</v>
      </c>
      <c r="E138" s="3" t="s">
        <v>29</v>
      </c>
      <c r="F138" s="3">
        <v>14</v>
      </c>
      <c r="G138" s="3" t="s">
        <v>33</v>
      </c>
      <c r="H138" s="3" t="s">
        <v>38</v>
      </c>
      <c r="I138" s="3" t="s">
        <v>45</v>
      </c>
      <c r="J138" s="3">
        <v>1</v>
      </c>
      <c r="K138" s="3">
        <v>94</v>
      </c>
      <c r="L138" s="3" t="s">
        <v>41</v>
      </c>
      <c r="M138" s="3">
        <v>40</v>
      </c>
      <c r="N138" s="3">
        <v>20</v>
      </c>
      <c r="O138" s="3">
        <v>100</v>
      </c>
      <c r="P138" s="3">
        <v>48</v>
      </c>
      <c r="Q138">
        <f>SUM([1]!Table1[[#This Row],[Sales]])</f>
        <v>94</v>
      </c>
      <c r="R138">
        <f>SUM([1]!Table1[[#This Row],[Profit]])</f>
        <v>1</v>
      </c>
      <c r="S138" s="7">
        <f t="shared" si="16"/>
        <v>1.0638297872340425E-2</v>
      </c>
      <c r="T138">
        <f t="shared" si="17"/>
        <v>14</v>
      </c>
      <c r="U138">
        <f t="shared" si="18"/>
        <v>-6</v>
      </c>
      <c r="V138">
        <f t="shared" si="19"/>
        <v>-1</v>
      </c>
      <c r="W138">
        <f t="shared" si="20"/>
        <v>7.1428571428571425E-2</v>
      </c>
      <c r="X138" t="str">
        <f t="shared" si="21"/>
        <v>Low Profit</v>
      </c>
      <c r="Y138">
        <f t="shared" si="22"/>
        <v>39</v>
      </c>
      <c r="Z138">
        <f t="shared" si="23"/>
        <v>94</v>
      </c>
    </row>
    <row r="139" spans="1:26">
      <c r="A139" s="5">
        <v>314</v>
      </c>
      <c r="B139" s="5">
        <v>49</v>
      </c>
      <c r="C139" s="6">
        <v>41609</v>
      </c>
      <c r="D139" s="5" t="s">
        <v>32</v>
      </c>
      <c r="E139" s="5" t="s">
        <v>17</v>
      </c>
      <c r="F139" s="5">
        <v>44</v>
      </c>
      <c r="G139" s="5" t="s">
        <v>18</v>
      </c>
      <c r="H139" s="5" t="s">
        <v>19</v>
      </c>
      <c r="I139" s="5" t="s">
        <v>50</v>
      </c>
      <c r="J139" s="5">
        <v>-7</v>
      </c>
      <c r="K139" s="5">
        <v>126</v>
      </c>
      <c r="L139" s="5" t="s">
        <v>51</v>
      </c>
      <c r="M139" s="5">
        <v>40</v>
      </c>
      <c r="N139" s="5">
        <v>0</v>
      </c>
      <c r="O139" s="5">
        <v>100</v>
      </c>
      <c r="P139" s="5">
        <v>74</v>
      </c>
      <c r="Q139">
        <f>SUM([1]!Table1[[#This Row],[Sales]])</f>
        <v>126</v>
      </c>
      <c r="R139">
        <f>SUM([1]!Table1[[#This Row],[Profit]])</f>
        <v>-7</v>
      </c>
      <c r="S139" s="7">
        <f t="shared" si="16"/>
        <v>-5.5555555555555552E-2</v>
      </c>
      <c r="T139">
        <f t="shared" si="17"/>
        <v>44</v>
      </c>
      <c r="U139">
        <f t="shared" si="18"/>
        <v>26</v>
      </c>
      <c r="V139">
        <f t="shared" si="19"/>
        <v>9</v>
      </c>
      <c r="W139">
        <f t="shared" si="20"/>
        <v>-0.15909090909090909</v>
      </c>
      <c r="X139" t="str">
        <f t="shared" si="21"/>
        <v>Low Profit</v>
      </c>
      <c r="Y139">
        <f t="shared" si="22"/>
        <v>49</v>
      </c>
      <c r="Z139">
        <f t="shared" si="23"/>
        <v>126</v>
      </c>
    </row>
    <row r="140" spans="1:26">
      <c r="A140" s="3">
        <v>920</v>
      </c>
      <c r="B140" s="3">
        <v>41</v>
      </c>
      <c r="C140" s="4">
        <v>41609</v>
      </c>
      <c r="D140" s="3" t="s">
        <v>32</v>
      </c>
      <c r="E140" s="3" t="s">
        <v>17</v>
      </c>
      <c r="F140" s="3">
        <v>12</v>
      </c>
      <c r="G140" s="3" t="s">
        <v>18</v>
      </c>
      <c r="H140" s="3" t="s">
        <v>19</v>
      </c>
      <c r="I140" s="3" t="s">
        <v>50</v>
      </c>
      <c r="J140" s="3">
        <v>45</v>
      </c>
      <c r="K140" s="3">
        <v>114</v>
      </c>
      <c r="L140" s="3" t="s">
        <v>52</v>
      </c>
      <c r="M140" s="3">
        <v>30</v>
      </c>
      <c r="N140" s="3">
        <v>30</v>
      </c>
      <c r="O140" s="3">
        <v>90</v>
      </c>
      <c r="P140" s="3">
        <v>36</v>
      </c>
      <c r="Q140">
        <f>SUM([1]!Table1[[#This Row],[Sales]])</f>
        <v>114</v>
      </c>
      <c r="R140">
        <f>SUM([1]!Table1[[#This Row],[Profit]])</f>
        <v>45</v>
      </c>
      <c r="S140" s="7">
        <f t="shared" si="16"/>
        <v>0.39473684210526316</v>
      </c>
      <c r="T140">
        <f t="shared" si="17"/>
        <v>12</v>
      </c>
      <c r="U140">
        <f t="shared" si="18"/>
        <v>24</v>
      </c>
      <c r="V140">
        <f t="shared" si="19"/>
        <v>11</v>
      </c>
      <c r="W140">
        <f t="shared" si="20"/>
        <v>3.75</v>
      </c>
      <c r="X140" t="str">
        <f t="shared" si="21"/>
        <v>Low Profit</v>
      </c>
      <c r="Y140">
        <f t="shared" si="22"/>
        <v>41</v>
      </c>
      <c r="Z140">
        <f t="shared" si="23"/>
        <v>114</v>
      </c>
    </row>
    <row r="141" spans="1:26">
      <c r="A141" s="5">
        <v>417</v>
      </c>
      <c r="B141" s="5">
        <v>92</v>
      </c>
      <c r="C141" s="6">
        <v>41609</v>
      </c>
      <c r="D141" s="5" t="s">
        <v>32</v>
      </c>
      <c r="E141" s="5" t="s">
        <v>17</v>
      </c>
      <c r="F141" s="5">
        <v>28</v>
      </c>
      <c r="G141" s="5" t="s">
        <v>18</v>
      </c>
      <c r="H141" s="5" t="s">
        <v>19</v>
      </c>
      <c r="I141" s="5" t="s">
        <v>20</v>
      </c>
      <c r="J141" s="5">
        <v>24</v>
      </c>
      <c r="K141" s="5">
        <v>171</v>
      </c>
      <c r="L141" s="5" t="s">
        <v>51</v>
      </c>
      <c r="M141" s="5">
        <v>80</v>
      </c>
      <c r="N141" s="5">
        <v>20</v>
      </c>
      <c r="O141" s="5">
        <v>140</v>
      </c>
      <c r="P141" s="5">
        <v>52</v>
      </c>
      <c r="Q141">
        <f>SUM([1]!Table1[[#This Row],[Sales]])</f>
        <v>171</v>
      </c>
      <c r="R141">
        <f>SUM([1]!Table1[[#This Row],[Profit]])</f>
        <v>24</v>
      </c>
      <c r="S141" s="7">
        <f t="shared" si="16"/>
        <v>0.14035087719298245</v>
      </c>
      <c r="T141">
        <f t="shared" si="17"/>
        <v>28</v>
      </c>
      <c r="U141">
        <f t="shared" si="18"/>
        <v>31</v>
      </c>
      <c r="V141">
        <f t="shared" si="19"/>
        <v>12</v>
      </c>
      <c r="W141">
        <f t="shared" si="20"/>
        <v>0.8571428571428571</v>
      </c>
      <c r="X141" t="str">
        <f t="shared" si="21"/>
        <v>Low Profit</v>
      </c>
      <c r="Y141">
        <f t="shared" si="22"/>
        <v>92</v>
      </c>
      <c r="Z141">
        <f t="shared" si="23"/>
        <v>171</v>
      </c>
    </row>
    <row r="142" spans="1:26">
      <c r="A142" s="3">
        <v>860</v>
      </c>
      <c r="B142" s="3">
        <v>68</v>
      </c>
      <c r="C142" s="4">
        <v>41609</v>
      </c>
      <c r="D142" s="3" t="s">
        <v>32</v>
      </c>
      <c r="E142" s="3" t="s">
        <v>25</v>
      </c>
      <c r="F142" s="3">
        <v>25</v>
      </c>
      <c r="G142" s="3" t="s">
        <v>18</v>
      </c>
      <c r="H142" s="3" t="s">
        <v>19</v>
      </c>
      <c r="I142" s="3" t="s">
        <v>20</v>
      </c>
      <c r="J142" s="3">
        <v>40</v>
      </c>
      <c r="K142" s="3">
        <v>163</v>
      </c>
      <c r="L142" s="3" t="s">
        <v>37</v>
      </c>
      <c r="M142" s="3">
        <v>50</v>
      </c>
      <c r="N142" s="3">
        <v>20</v>
      </c>
      <c r="O142" s="3">
        <v>110</v>
      </c>
      <c r="P142" s="3">
        <v>58</v>
      </c>
      <c r="Q142">
        <f>SUM([1]!Table1[[#This Row],[Sales]])</f>
        <v>163</v>
      </c>
      <c r="R142">
        <f>SUM([1]!Table1[[#This Row],[Profit]])</f>
        <v>40</v>
      </c>
      <c r="S142" s="7">
        <f t="shared" si="16"/>
        <v>0.24539877300613497</v>
      </c>
      <c r="T142">
        <f t="shared" si="17"/>
        <v>25</v>
      </c>
      <c r="U142">
        <f t="shared" si="18"/>
        <v>53</v>
      </c>
      <c r="V142">
        <f t="shared" si="19"/>
        <v>18</v>
      </c>
      <c r="W142">
        <f t="shared" si="20"/>
        <v>1.6</v>
      </c>
      <c r="X142" t="str">
        <f t="shared" si="21"/>
        <v>Low Profit</v>
      </c>
      <c r="Y142">
        <f t="shared" si="22"/>
        <v>68</v>
      </c>
      <c r="Z142">
        <f t="shared" si="23"/>
        <v>163</v>
      </c>
    </row>
    <row r="143" spans="1:26">
      <c r="A143" s="5">
        <v>203</v>
      </c>
      <c r="B143" s="5">
        <v>63</v>
      </c>
      <c r="C143" s="6">
        <v>41609</v>
      </c>
      <c r="D143" s="5" t="s">
        <v>32</v>
      </c>
      <c r="E143" s="5" t="s">
        <v>25</v>
      </c>
      <c r="F143" s="5">
        <v>19</v>
      </c>
      <c r="G143" s="5" t="s">
        <v>18</v>
      </c>
      <c r="H143" s="5" t="s">
        <v>19</v>
      </c>
      <c r="I143" s="5" t="s">
        <v>22</v>
      </c>
      <c r="J143" s="5">
        <v>53</v>
      </c>
      <c r="K143" s="5">
        <v>148</v>
      </c>
      <c r="L143" s="5" t="s">
        <v>37</v>
      </c>
      <c r="M143" s="5">
        <v>40</v>
      </c>
      <c r="N143" s="5">
        <v>40</v>
      </c>
      <c r="O143" s="5">
        <v>100</v>
      </c>
      <c r="P143" s="5">
        <v>40</v>
      </c>
      <c r="Q143">
        <f>SUM([1]!Table1[[#This Row],[Sales]])</f>
        <v>148</v>
      </c>
      <c r="R143">
        <f>SUM([1]!Table1[[#This Row],[Profit]])</f>
        <v>53</v>
      </c>
      <c r="S143" s="7">
        <f t="shared" si="16"/>
        <v>0.35810810810810811</v>
      </c>
      <c r="T143">
        <f t="shared" si="17"/>
        <v>19</v>
      </c>
      <c r="U143">
        <f t="shared" si="18"/>
        <v>48</v>
      </c>
      <c r="V143">
        <f t="shared" si="19"/>
        <v>23</v>
      </c>
      <c r="W143">
        <f t="shared" si="20"/>
        <v>2.7894736842105261</v>
      </c>
      <c r="X143" t="str">
        <f t="shared" si="21"/>
        <v>Low Profit</v>
      </c>
      <c r="Y143">
        <f t="shared" si="22"/>
        <v>63</v>
      </c>
      <c r="Z143">
        <f t="shared" si="23"/>
        <v>148</v>
      </c>
    </row>
    <row r="144" spans="1:26">
      <c r="A144" s="3">
        <v>435</v>
      </c>
      <c r="B144" s="3">
        <v>92</v>
      </c>
      <c r="C144" s="4">
        <v>41609</v>
      </c>
      <c r="D144" s="3" t="s">
        <v>32</v>
      </c>
      <c r="E144" s="3" t="s">
        <v>29</v>
      </c>
      <c r="F144" s="3">
        <v>28</v>
      </c>
      <c r="G144" s="3" t="s">
        <v>18</v>
      </c>
      <c r="H144" s="3" t="s">
        <v>19</v>
      </c>
      <c r="I144" s="3" t="s">
        <v>22</v>
      </c>
      <c r="J144" s="3">
        <v>25</v>
      </c>
      <c r="K144" s="3">
        <v>171</v>
      </c>
      <c r="L144" s="3" t="s">
        <v>42</v>
      </c>
      <c r="M144" s="3">
        <v>80</v>
      </c>
      <c r="N144" s="3">
        <v>20</v>
      </c>
      <c r="O144" s="3">
        <v>140</v>
      </c>
      <c r="P144" s="3">
        <v>51</v>
      </c>
      <c r="Q144">
        <f>SUM([1]!Table1[[#This Row],[Sales]])</f>
        <v>171</v>
      </c>
      <c r="R144">
        <f>SUM([1]!Table1[[#This Row],[Profit]])</f>
        <v>25</v>
      </c>
      <c r="S144" s="7">
        <f t="shared" si="16"/>
        <v>0.14619883040935672</v>
      </c>
      <c r="T144">
        <f t="shared" si="17"/>
        <v>28</v>
      </c>
      <c r="U144">
        <f t="shared" si="18"/>
        <v>31</v>
      </c>
      <c r="V144">
        <f t="shared" si="19"/>
        <v>12</v>
      </c>
      <c r="W144">
        <f t="shared" si="20"/>
        <v>0.8928571428571429</v>
      </c>
      <c r="X144" t="str">
        <f t="shared" si="21"/>
        <v>Low Profit</v>
      </c>
      <c r="Y144">
        <f t="shared" si="22"/>
        <v>92</v>
      </c>
      <c r="Z144">
        <f t="shared" si="23"/>
        <v>171</v>
      </c>
    </row>
    <row r="145" spans="1:26">
      <c r="A145" s="5">
        <v>262</v>
      </c>
      <c r="B145" s="5">
        <v>55</v>
      </c>
      <c r="C145" s="6">
        <v>41609</v>
      </c>
      <c r="D145" s="5" t="s">
        <v>32</v>
      </c>
      <c r="E145" s="5" t="s">
        <v>17</v>
      </c>
      <c r="F145" s="5">
        <v>49</v>
      </c>
      <c r="G145" s="5" t="s">
        <v>18</v>
      </c>
      <c r="H145" s="5" t="s">
        <v>26</v>
      </c>
      <c r="I145" s="5" t="s">
        <v>54</v>
      </c>
      <c r="J145" s="5">
        <v>-4</v>
      </c>
      <c r="K145" s="5">
        <v>140</v>
      </c>
      <c r="L145" s="5" t="s">
        <v>52</v>
      </c>
      <c r="M145" s="5">
        <v>40</v>
      </c>
      <c r="N145" s="5">
        <v>0</v>
      </c>
      <c r="O145" s="5">
        <v>100</v>
      </c>
      <c r="P145" s="5">
        <v>79</v>
      </c>
      <c r="Q145">
        <f>SUM([1]!Table1[[#This Row],[Sales]])</f>
        <v>140</v>
      </c>
      <c r="R145">
        <f>SUM([1]!Table1[[#This Row],[Profit]])</f>
        <v>-4</v>
      </c>
      <c r="S145" s="7">
        <f t="shared" si="16"/>
        <v>-2.8571428571428571E-2</v>
      </c>
      <c r="T145">
        <f t="shared" si="17"/>
        <v>49</v>
      </c>
      <c r="U145">
        <f t="shared" si="18"/>
        <v>40</v>
      </c>
      <c r="V145">
        <f t="shared" si="19"/>
        <v>15</v>
      </c>
      <c r="W145">
        <f t="shared" si="20"/>
        <v>-8.1632653061224483E-2</v>
      </c>
      <c r="X145" t="str">
        <f t="shared" si="21"/>
        <v>Low Profit</v>
      </c>
      <c r="Y145">
        <f t="shared" si="22"/>
        <v>55</v>
      </c>
      <c r="Z145">
        <f t="shared" si="23"/>
        <v>140</v>
      </c>
    </row>
    <row r="146" spans="1:26">
      <c r="A146" s="3">
        <v>719</v>
      </c>
      <c r="B146" s="3">
        <v>39</v>
      </c>
      <c r="C146" s="4">
        <v>41183</v>
      </c>
      <c r="D146" s="3" t="s">
        <v>16</v>
      </c>
      <c r="E146" s="3" t="s">
        <v>17</v>
      </c>
      <c r="F146" s="3">
        <v>12</v>
      </c>
      <c r="G146" s="3" t="s">
        <v>33</v>
      </c>
      <c r="H146" s="3" t="s">
        <v>38</v>
      </c>
      <c r="I146" s="3" t="s">
        <v>45</v>
      </c>
      <c r="J146" s="3">
        <v>27</v>
      </c>
      <c r="K146" s="3">
        <v>90</v>
      </c>
      <c r="L146" s="3" t="s">
        <v>21</v>
      </c>
      <c r="M146" s="3">
        <v>30</v>
      </c>
      <c r="N146" s="3">
        <v>50</v>
      </c>
      <c r="O146" s="3">
        <v>80</v>
      </c>
      <c r="P146" s="3">
        <v>24</v>
      </c>
      <c r="Q146">
        <f>SUM([1]!Table1[[#This Row],[Sales]])</f>
        <v>90</v>
      </c>
      <c r="R146">
        <f>SUM([1]!Table1[[#This Row],[Profit]])</f>
        <v>27</v>
      </c>
      <c r="S146" s="7">
        <f t="shared" si="16"/>
        <v>0.3</v>
      </c>
      <c r="T146">
        <f t="shared" si="17"/>
        <v>12</v>
      </c>
      <c r="U146">
        <f t="shared" si="18"/>
        <v>10</v>
      </c>
      <c r="V146">
        <f t="shared" si="19"/>
        <v>9</v>
      </c>
      <c r="W146">
        <f t="shared" si="20"/>
        <v>2.25</v>
      </c>
      <c r="X146" t="str">
        <f t="shared" si="21"/>
        <v>Low Profit</v>
      </c>
      <c r="Y146">
        <f t="shared" si="22"/>
        <v>39</v>
      </c>
      <c r="Z146">
        <f t="shared" si="23"/>
        <v>90</v>
      </c>
    </row>
    <row r="147" spans="1:26">
      <c r="A147" s="5">
        <v>305</v>
      </c>
      <c r="B147" s="5">
        <v>80</v>
      </c>
      <c r="C147" s="6">
        <v>41183</v>
      </c>
      <c r="D147" s="5" t="s">
        <v>16</v>
      </c>
      <c r="E147" s="5" t="s">
        <v>25</v>
      </c>
      <c r="F147" s="5">
        <v>24</v>
      </c>
      <c r="G147" s="5" t="s">
        <v>18</v>
      </c>
      <c r="H147" s="5" t="s">
        <v>19</v>
      </c>
      <c r="I147" s="5" t="s">
        <v>22</v>
      </c>
      <c r="J147" s="5">
        <v>48</v>
      </c>
      <c r="K147" s="5">
        <v>174</v>
      </c>
      <c r="L147" s="5" t="s">
        <v>28</v>
      </c>
      <c r="M147" s="5">
        <v>40</v>
      </c>
      <c r="N147" s="5">
        <v>40</v>
      </c>
      <c r="O147" s="5">
        <v>90</v>
      </c>
      <c r="P147" s="5">
        <v>46</v>
      </c>
      <c r="Q147">
        <f>SUM([1]!Table1[[#This Row],[Sales]])</f>
        <v>174</v>
      </c>
      <c r="R147">
        <f>SUM([1]!Table1[[#This Row],[Profit]])</f>
        <v>48</v>
      </c>
      <c r="S147" s="7">
        <f t="shared" si="16"/>
        <v>0.27586206896551724</v>
      </c>
      <c r="T147">
        <f t="shared" si="17"/>
        <v>24</v>
      </c>
      <c r="U147">
        <f t="shared" si="18"/>
        <v>84</v>
      </c>
      <c r="V147">
        <f t="shared" si="19"/>
        <v>40</v>
      </c>
      <c r="W147">
        <f t="shared" si="20"/>
        <v>2</v>
      </c>
      <c r="X147" t="str">
        <f t="shared" si="21"/>
        <v>Low Profit</v>
      </c>
      <c r="Y147">
        <f t="shared" si="22"/>
        <v>80</v>
      </c>
      <c r="Z147">
        <f t="shared" si="23"/>
        <v>174</v>
      </c>
    </row>
    <row r="148" spans="1:26">
      <c r="A148" s="3">
        <v>303</v>
      </c>
      <c r="B148" s="3">
        <v>54</v>
      </c>
      <c r="C148" s="4">
        <v>41183</v>
      </c>
      <c r="D148" s="3" t="s">
        <v>16</v>
      </c>
      <c r="E148" s="3" t="s">
        <v>17</v>
      </c>
      <c r="F148" s="3">
        <v>20</v>
      </c>
      <c r="G148" s="3" t="s">
        <v>18</v>
      </c>
      <c r="H148" s="3" t="s">
        <v>26</v>
      </c>
      <c r="I148" s="3" t="s">
        <v>27</v>
      </c>
      <c r="J148" s="3">
        <v>13</v>
      </c>
      <c r="K148" s="3">
        <v>120</v>
      </c>
      <c r="L148" s="3" t="s">
        <v>21</v>
      </c>
      <c r="M148" s="3">
        <v>30</v>
      </c>
      <c r="N148" s="3">
        <v>30</v>
      </c>
      <c r="O148" s="3">
        <v>80</v>
      </c>
      <c r="P148" s="3">
        <v>53</v>
      </c>
      <c r="Q148">
        <f>SUM([1]!Table1[[#This Row],[Sales]])</f>
        <v>120</v>
      </c>
      <c r="R148">
        <f>SUM([1]!Table1[[#This Row],[Profit]])</f>
        <v>13</v>
      </c>
      <c r="S148" s="7">
        <f t="shared" si="16"/>
        <v>0.10833333333333334</v>
      </c>
      <c r="T148">
        <f t="shared" si="17"/>
        <v>20</v>
      </c>
      <c r="U148">
        <f t="shared" si="18"/>
        <v>40</v>
      </c>
      <c r="V148">
        <f t="shared" si="19"/>
        <v>24</v>
      </c>
      <c r="W148">
        <f t="shared" si="20"/>
        <v>0.65</v>
      </c>
      <c r="X148" t="str">
        <f t="shared" si="21"/>
        <v>Low Profit</v>
      </c>
      <c r="Y148">
        <f t="shared" si="22"/>
        <v>54</v>
      </c>
      <c r="Z148">
        <f t="shared" si="23"/>
        <v>120</v>
      </c>
    </row>
    <row r="149" spans="1:26">
      <c r="A149" s="5">
        <v>303</v>
      </c>
      <c r="B149" s="5">
        <v>54</v>
      </c>
      <c r="C149" s="6">
        <v>41183</v>
      </c>
      <c r="D149" s="5" t="s">
        <v>16</v>
      </c>
      <c r="E149" s="5" t="s">
        <v>17</v>
      </c>
      <c r="F149" s="5">
        <v>16</v>
      </c>
      <c r="G149" s="5" t="s">
        <v>18</v>
      </c>
      <c r="H149" s="5" t="s">
        <v>26</v>
      </c>
      <c r="I149" s="5" t="s">
        <v>54</v>
      </c>
      <c r="J149" s="5">
        <v>27</v>
      </c>
      <c r="K149" s="5">
        <v>118</v>
      </c>
      <c r="L149" s="5" t="s">
        <v>21</v>
      </c>
      <c r="M149" s="5">
        <v>30</v>
      </c>
      <c r="N149" s="5">
        <v>40</v>
      </c>
      <c r="O149" s="5">
        <v>80</v>
      </c>
      <c r="P149" s="5">
        <v>37</v>
      </c>
      <c r="Q149">
        <f>SUM([1]!Table1[[#This Row],[Sales]])</f>
        <v>118</v>
      </c>
      <c r="R149">
        <f>SUM([1]!Table1[[#This Row],[Profit]])</f>
        <v>27</v>
      </c>
      <c r="S149" s="7">
        <f t="shared" si="16"/>
        <v>0.2288135593220339</v>
      </c>
      <c r="T149">
        <f t="shared" si="17"/>
        <v>16</v>
      </c>
      <c r="U149">
        <f t="shared" si="18"/>
        <v>38</v>
      </c>
      <c r="V149">
        <f t="shared" si="19"/>
        <v>24</v>
      </c>
      <c r="W149">
        <f t="shared" si="20"/>
        <v>1.6875</v>
      </c>
      <c r="X149" t="str">
        <f t="shared" si="21"/>
        <v>Low Profit</v>
      </c>
      <c r="Y149">
        <f t="shared" si="22"/>
        <v>54</v>
      </c>
      <c r="Z149">
        <f t="shared" si="23"/>
        <v>118</v>
      </c>
    </row>
    <row r="150" spans="1:26">
      <c r="A150" s="3">
        <v>508</v>
      </c>
      <c r="B150" s="3">
        <v>27</v>
      </c>
      <c r="C150" s="4">
        <v>41183</v>
      </c>
      <c r="D150" s="3" t="s">
        <v>16</v>
      </c>
      <c r="E150" s="3" t="s">
        <v>25</v>
      </c>
      <c r="F150" s="3">
        <v>7</v>
      </c>
      <c r="G150" s="3" t="s">
        <v>18</v>
      </c>
      <c r="H150" s="3" t="s">
        <v>26</v>
      </c>
      <c r="I150" s="3" t="s">
        <v>27</v>
      </c>
      <c r="J150" s="3">
        <v>20</v>
      </c>
      <c r="K150" s="3">
        <v>66</v>
      </c>
      <c r="L150" s="3" t="s">
        <v>55</v>
      </c>
      <c r="M150" s="3">
        <v>20</v>
      </c>
      <c r="N150" s="3">
        <v>50</v>
      </c>
      <c r="O150" s="3">
        <v>70</v>
      </c>
      <c r="P150" s="3">
        <v>19</v>
      </c>
      <c r="Q150">
        <f>SUM([1]!Table1[[#This Row],[Sales]])</f>
        <v>66</v>
      </c>
      <c r="R150">
        <f>SUM([1]!Table1[[#This Row],[Profit]])</f>
        <v>20</v>
      </c>
      <c r="S150" s="7">
        <f t="shared" si="16"/>
        <v>0.30303030303030304</v>
      </c>
      <c r="T150">
        <f t="shared" si="17"/>
        <v>7</v>
      </c>
      <c r="U150">
        <f t="shared" si="18"/>
        <v>-4</v>
      </c>
      <c r="V150">
        <f t="shared" si="19"/>
        <v>7</v>
      </c>
      <c r="W150">
        <f t="shared" si="20"/>
        <v>2.8571428571428572</v>
      </c>
      <c r="X150" t="str">
        <f t="shared" si="21"/>
        <v>Low Profit</v>
      </c>
      <c r="Y150">
        <f t="shared" si="22"/>
        <v>27</v>
      </c>
      <c r="Z150">
        <f t="shared" si="23"/>
        <v>66</v>
      </c>
    </row>
    <row r="151" spans="1:26">
      <c r="A151" s="5">
        <v>209</v>
      </c>
      <c r="B151" s="5">
        <v>76</v>
      </c>
      <c r="C151" s="6">
        <v>41183</v>
      </c>
      <c r="D151" s="5" t="s">
        <v>16</v>
      </c>
      <c r="E151" s="5" t="s">
        <v>29</v>
      </c>
      <c r="F151" s="5">
        <v>21</v>
      </c>
      <c r="G151" s="5" t="s">
        <v>18</v>
      </c>
      <c r="H151" s="5" t="s">
        <v>26</v>
      </c>
      <c r="I151" s="5" t="s">
        <v>54</v>
      </c>
      <c r="J151" s="5">
        <v>79</v>
      </c>
      <c r="K151" s="5">
        <v>187</v>
      </c>
      <c r="L151" s="5" t="s">
        <v>31</v>
      </c>
      <c r="M151" s="5">
        <v>30</v>
      </c>
      <c r="N151" s="5">
        <v>50</v>
      </c>
      <c r="O151" s="5">
        <v>80</v>
      </c>
      <c r="P151" s="5">
        <v>32</v>
      </c>
      <c r="Q151">
        <f>SUM([1]!Table1[[#This Row],[Sales]])</f>
        <v>187</v>
      </c>
      <c r="R151">
        <f>SUM([1]!Table1[[#This Row],[Profit]])</f>
        <v>79</v>
      </c>
      <c r="S151" s="7">
        <f t="shared" si="16"/>
        <v>0.42245989304812837</v>
      </c>
      <c r="T151">
        <f t="shared" si="17"/>
        <v>21</v>
      </c>
      <c r="U151">
        <f t="shared" si="18"/>
        <v>107</v>
      </c>
      <c r="V151">
        <f t="shared" si="19"/>
        <v>46</v>
      </c>
      <c r="W151">
        <f t="shared" si="20"/>
        <v>3.7619047619047619</v>
      </c>
      <c r="X151" t="str">
        <f t="shared" si="21"/>
        <v>Low Profit</v>
      </c>
      <c r="Y151">
        <f t="shared" si="22"/>
        <v>76</v>
      </c>
      <c r="Z151">
        <f t="shared" si="23"/>
        <v>187</v>
      </c>
    </row>
    <row r="152" spans="1:26">
      <c r="A152" s="3">
        <v>715</v>
      </c>
      <c r="B152" s="3">
        <v>22</v>
      </c>
      <c r="C152" s="4">
        <v>41183</v>
      </c>
      <c r="D152" s="3" t="s">
        <v>32</v>
      </c>
      <c r="E152" s="3" t="s">
        <v>17</v>
      </c>
      <c r="F152" s="3">
        <v>7</v>
      </c>
      <c r="G152" s="3" t="s">
        <v>33</v>
      </c>
      <c r="H152" s="3" t="s">
        <v>34</v>
      </c>
      <c r="I152" s="3" t="s">
        <v>35</v>
      </c>
      <c r="J152" s="3">
        <v>10</v>
      </c>
      <c r="K152" s="3">
        <v>51</v>
      </c>
      <c r="L152" s="3" t="s">
        <v>52</v>
      </c>
      <c r="M152" s="3">
        <v>20</v>
      </c>
      <c r="N152" s="3">
        <v>50</v>
      </c>
      <c r="O152" s="3">
        <v>70</v>
      </c>
      <c r="P152" s="3">
        <v>19</v>
      </c>
      <c r="Q152">
        <f>SUM([1]!Table1[[#This Row],[Sales]])</f>
        <v>51</v>
      </c>
      <c r="R152">
        <f>SUM([1]!Table1[[#This Row],[Profit]])</f>
        <v>10</v>
      </c>
      <c r="S152" s="7">
        <f t="shared" si="16"/>
        <v>0.19607843137254902</v>
      </c>
      <c r="T152">
        <f t="shared" si="17"/>
        <v>7</v>
      </c>
      <c r="U152">
        <f t="shared" si="18"/>
        <v>-19</v>
      </c>
      <c r="V152">
        <f t="shared" si="19"/>
        <v>2</v>
      </c>
      <c r="W152">
        <f t="shared" si="20"/>
        <v>1.4285714285714286</v>
      </c>
      <c r="X152" t="str">
        <f t="shared" si="21"/>
        <v>Low Profit</v>
      </c>
      <c r="Y152">
        <f t="shared" si="22"/>
        <v>22</v>
      </c>
      <c r="Z152">
        <f t="shared" si="23"/>
        <v>51</v>
      </c>
    </row>
    <row r="153" spans="1:26">
      <c r="A153" s="5">
        <v>319</v>
      </c>
      <c r="B153" s="5">
        <v>23</v>
      </c>
      <c r="C153" s="6">
        <v>41183</v>
      </c>
      <c r="D153" s="5" t="s">
        <v>32</v>
      </c>
      <c r="E153" s="5" t="s">
        <v>17</v>
      </c>
      <c r="F153" s="5">
        <v>6</v>
      </c>
      <c r="G153" s="5" t="s">
        <v>33</v>
      </c>
      <c r="H153" s="5" t="s">
        <v>34</v>
      </c>
      <c r="I153" s="5" t="s">
        <v>46</v>
      </c>
      <c r="J153" s="5">
        <v>18</v>
      </c>
      <c r="K153" s="5">
        <v>58</v>
      </c>
      <c r="L153" s="5" t="s">
        <v>36</v>
      </c>
      <c r="M153" s="5">
        <v>20</v>
      </c>
      <c r="N153" s="5">
        <v>50</v>
      </c>
      <c r="O153" s="5">
        <v>70</v>
      </c>
      <c r="P153" s="5">
        <v>17</v>
      </c>
      <c r="Q153">
        <f>SUM([1]!Table1[[#This Row],[Sales]])</f>
        <v>58</v>
      </c>
      <c r="R153">
        <f>SUM([1]!Table1[[#This Row],[Profit]])</f>
        <v>18</v>
      </c>
      <c r="S153" s="7">
        <f t="shared" si="16"/>
        <v>0.31034482758620691</v>
      </c>
      <c r="T153">
        <f t="shared" si="17"/>
        <v>6</v>
      </c>
      <c r="U153">
        <f t="shared" si="18"/>
        <v>-12</v>
      </c>
      <c r="V153">
        <f t="shared" si="19"/>
        <v>3</v>
      </c>
      <c r="W153">
        <f t="shared" si="20"/>
        <v>3</v>
      </c>
      <c r="X153" t="str">
        <f t="shared" si="21"/>
        <v>Low Profit</v>
      </c>
      <c r="Y153">
        <f t="shared" si="22"/>
        <v>23</v>
      </c>
      <c r="Z153">
        <f t="shared" si="23"/>
        <v>58</v>
      </c>
    </row>
    <row r="154" spans="1:26">
      <c r="A154" s="3">
        <v>959</v>
      </c>
      <c r="B154" s="3">
        <v>79</v>
      </c>
      <c r="C154" s="4">
        <v>41183</v>
      </c>
      <c r="D154" s="3" t="s">
        <v>32</v>
      </c>
      <c r="E154" s="3" t="s">
        <v>25</v>
      </c>
      <c r="F154" s="3">
        <v>30</v>
      </c>
      <c r="G154" s="3" t="s">
        <v>18</v>
      </c>
      <c r="H154" s="3" t="s">
        <v>19</v>
      </c>
      <c r="I154" s="3" t="s">
        <v>20</v>
      </c>
      <c r="J154" s="3">
        <v>34</v>
      </c>
      <c r="K154" s="3">
        <v>177</v>
      </c>
      <c r="L154" s="3" t="s">
        <v>37</v>
      </c>
      <c r="M154" s="3">
        <v>40</v>
      </c>
      <c r="N154" s="3">
        <v>30</v>
      </c>
      <c r="O154" s="3">
        <v>90</v>
      </c>
      <c r="P154" s="3">
        <v>64</v>
      </c>
      <c r="Q154">
        <f>SUM([1]!Table1[[#This Row],[Sales]])</f>
        <v>177</v>
      </c>
      <c r="R154">
        <f>SUM([1]!Table1[[#This Row],[Profit]])</f>
        <v>34</v>
      </c>
      <c r="S154" s="7">
        <f t="shared" si="16"/>
        <v>0.19209039548022599</v>
      </c>
      <c r="T154">
        <f t="shared" si="17"/>
        <v>30</v>
      </c>
      <c r="U154">
        <f t="shared" si="18"/>
        <v>87</v>
      </c>
      <c r="V154">
        <f t="shared" si="19"/>
        <v>39</v>
      </c>
      <c r="W154">
        <f t="shared" si="20"/>
        <v>1.1333333333333333</v>
      </c>
      <c r="X154" t="str">
        <f t="shared" si="21"/>
        <v>Low Profit</v>
      </c>
      <c r="Y154">
        <f t="shared" si="22"/>
        <v>79</v>
      </c>
      <c r="Z154">
        <f t="shared" si="23"/>
        <v>177</v>
      </c>
    </row>
    <row r="155" spans="1:26">
      <c r="A155" s="5">
        <v>860</v>
      </c>
      <c r="B155" s="5">
        <v>65</v>
      </c>
      <c r="C155" s="6">
        <v>41183</v>
      </c>
      <c r="D155" s="5" t="s">
        <v>32</v>
      </c>
      <c r="E155" s="5" t="s">
        <v>25</v>
      </c>
      <c r="F155" s="5">
        <v>20</v>
      </c>
      <c r="G155" s="5" t="s">
        <v>18</v>
      </c>
      <c r="H155" s="5" t="s">
        <v>19</v>
      </c>
      <c r="I155" s="5" t="s">
        <v>22</v>
      </c>
      <c r="J155" s="5">
        <v>35</v>
      </c>
      <c r="K155" s="5">
        <v>142</v>
      </c>
      <c r="L155" s="5" t="s">
        <v>37</v>
      </c>
      <c r="M155" s="5">
        <v>30</v>
      </c>
      <c r="N155" s="5">
        <v>50</v>
      </c>
      <c r="O155" s="5">
        <v>80</v>
      </c>
      <c r="P155" s="5">
        <v>42</v>
      </c>
      <c r="Q155">
        <f>SUM([1]!Table1[[#This Row],[Sales]])</f>
        <v>142</v>
      </c>
      <c r="R155">
        <f>SUM([1]!Table1[[#This Row],[Profit]])</f>
        <v>35</v>
      </c>
      <c r="S155" s="7">
        <f t="shared" si="16"/>
        <v>0.24647887323943662</v>
      </c>
      <c r="T155">
        <f t="shared" si="17"/>
        <v>20</v>
      </c>
      <c r="U155">
        <f t="shared" si="18"/>
        <v>62</v>
      </c>
      <c r="V155">
        <f t="shared" si="19"/>
        <v>35</v>
      </c>
      <c r="W155">
        <f t="shared" si="20"/>
        <v>1.75</v>
      </c>
      <c r="X155" t="str">
        <f t="shared" si="21"/>
        <v>Low Profit</v>
      </c>
      <c r="Y155">
        <f t="shared" si="22"/>
        <v>65</v>
      </c>
      <c r="Z155">
        <f t="shared" si="23"/>
        <v>142</v>
      </c>
    </row>
    <row r="156" spans="1:26">
      <c r="A156" s="3">
        <v>262</v>
      </c>
      <c r="B156" s="3">
        <v>46</v>
      </c>
      <c r="C156" s="4">
        <v>41183</v>
      </c>
      <c r="D156" s="3" t="s">
        <v>32</v>
      </c>
      <c r="E156" s="3" t="s">
        <v>17</v>
      </c>
      <c r="F156" s="3">
        <v>14</v>
      </c>
      <c r="G156" s="3" t="s">
        <v>18</v>
      </c>
      <c r="H156" s="3" t="s">
        <v>26</v>
      </c>
      <c r="I156" s="3" t="s">
        <v>27</v>
      </c>
      <c r="J156" s="3">
        <v>30</v>
      </c>
      <c r="K156" s="3">
        <v>113</v>
      </c>
      <c r="L156" s="3" t="s">
        <v>52</v>
      </c>
      <c r="M156" s="3">
        <v>20</v>
      </c>
      <c r="N156" s="3">
        <v>40</v>
      </c>
      <c r="O156" s="3">
        <v>70</v>
      </c>
      <c r="P156" s="3">
        <v>37</v>
      </c>
      <c r="Q156">
        <f>SUM([1]!Table1[[#This Row],[Sales]])</f>
        <v>113</v>
      </c>
      <c r="R156">
        <f>SUM([1]!Table1[[#This Row],[Profit]])</f>
        <v>30</v>
      </c>
      <c r="S156" s="7">
        <f t="shared" si="16"/>
        <v>0.26548672566371684</v>
      </c>
      <c r="T156">
        <f t="shared" si="17"/>
        <v>14</v>
      </c>
      <c r="U156">
        <f t="shared" si="18"/>
        <v>43</v>
      </c>
      <c r="V156">
        <f t="shared" si="19"/>
        <v>26</v>
      </c>
      <c r="W156">
        <f t="shared" si="20"/>
        <v>2.1428571428571428</v>
      </c>
      <c r="X156" t="str">
        <f t="shared" si="21"/>
        <v>Low Profit</v>
      </c>
      <c r="Y156">
        <f t="shared" si="22"/>
        <v>46</v>
      </c>
      <c r="Z156">
        <f t="shared" si="23"/>
        <v>113</v>
      </c>
    </row>
    <row r="157" spans="1:26">
      <c r="A157" s="5">
        <v>715</v>
      </c>
      <c r="B157" s="5">
        <v>60</v>
      </c>
      <c r="C157" s="6">
        <v>41183</v>
      </c>
      <c r="D157" s="5" t="s">
        <v>32</v>
      </c>
      <c r="E157" s="5" t="s">
        <v>17</v>
      </c>
      <c r="F157" s="5">
        <v>54</v>
      </c>
      <c r="G157" s="5" t="s">
        <v>18</v>
      </c>
      <c r="H157" s="5" t="s">
        <v>26</v>
      </c>
      <c r="I157" s="5" t="s">
        <v>54</v>
      </c>
      <c r="J157" s="5">
        <v>0</v>
      </c>
      <c r="K157" s="5">
        <v>144</v>
      </c>
      <c r="L157" s="5" t="s">
        <v>52</v>
      </c>
      <c r="M157" s="5">
        <v>40</v>
      </c>
      <c r="N157" s="5">
        <v>0</v>
      </c>
      <c r="O157" s="5">
        <v>90</v>
      </c>
      <c r="P157" s="5">
        <v>84</v>
      </c>
      <c r="Q157">
        <f>SUM([1]!Table1[[#This Row],[Sales]])</f>
        <v>144</v>
      </c>
      <c r="R157">
        <f>SUM([1]!Table1[[#This Row],[Profit]])</f>
        <v>0</v>
      </c>
      <c r="S157" s="7">
        <f t="shared" si="16"/>
        <v>0</v>
      </c>
      <c r="T157">
        <f t="shared" si="17"/>
        <v>54</v>
      </c>
      <c r="U157">
        <f t="shared" si="18"/>
        <v>54</v>
      </c>
      <c r="V157">
        <f t="shared" si="19"/>
        <v>20</v>
      </c>
      <c r="W157">
        <f t="shared" si="20"/>
        <v>0</v>
      </c>
      <c r="X157" t="str">
        <f t="shared" si="21"/>
        <v>Low Profit</v>
      </c>
      <c r="Y157">
        <f t="shared" si="22"/>
        <v>60</v>
      </c>
      <c r="Z157">
        <f t="shared" si="23"/>
        <v>144</v>
      </c>
    </row>
    <row r="158" spans="1:26">
      <c r="A158" s="3">
        <v>206</v>
      </c>
      <c r="B158" s="3">
        <v>60</v>
      </c>
      <c r="C158" s="4">
        <v>41183</v>
      </c>
      <c r="D158" s="3" t="s">
        <v>32</v>
      </c>
      <c r="E158" s="3" t="s">
        <v>29</v>
      </c>
      <c r="F158" s="3">
        <v>18</v>
      </c>
      <c r="G158" s="3" t="s">
        <v>18</v>
      </c>
      <c r="H158" s="3" t="s">
        <v>26</v>
      </c>
      <c r="I158" s="3" t="s">
        <v>27</v>
      </c>
      <c r="J158" s="3">
        <v>57</v>
      </c>
      <c r="K158" s="3">
        <v>159</v>
      </c>
      <c r="L158" s="3" t="s">
        <v>53</v>
      </c>
      <c r="M158" s="3">
        <v>20</v>
      </c>
      <c r="N158" s="3">
        <v>40</v>
      </c>
      <c r="O158" s="3">
        <v>70</v>
      </c>
      <c r="P158" s="3">
        <v>42</v>
      </c>
      <c r="Q158">
        <f>SUM([1]!Table1[[#This Row],[Sales]])</f>
        <v>159</v>
      </c>
      <c r="R158">
        <f>SUM([1]!Table1[[#This Row],[Profit]])</f>
        <v>57</v>
      </c>
      <c r="S158" s="7">
        <f t="shared" si="16"/>
        <v>0.35849056603773582</v>
      </c>
      <c r="T158">
        <f t="shared" si="17"/>
        <v>18</v>
      </c>
      <c r="U158">
        <f t="shared" si="18"/>
        <v>89</v>
      </c>
      <c r="V158">
        <f t="shared" si="19"/>
        <v>40</v>
      </c>
      <c r="W158">
        <f t="shared" si="20"/>
        <v>3.1666666666666665</v>
      </c>
      <c r="X158" t="str">
        <f t="shared" si="21"/>
        <v>Low Profit</v>
      </c>
      <c r="Y158">
        <f t="shared" si="22"/>
        <v>60</v>
      </c>
      <c r="Z158">
        <f t="shared" si="23"/>
        <v>159</v>
      </c>
    </row>
    <row r="159" spans="1:26">
      <c r="A159" s="5">
        <v>773</v>
      </c>
      <c r="B159" s="5">
        <v>40</v>
      </c>
      <c r="C159" s="6">
        <v>41214</v>
      </c>
      <c r="D159" s="5" t="s">
        <v>16</v>
      </c>
      <c r="E159" s="5" t="s">
        <v>17</v>
      </c>
      <c r="F159" s="5">
        <v>13</v>
      </c>
      <c r="G159" s="5" t="s">
        <v>18</v>
      </c>
      <c r="H159" s="5" t="s">
        <v>19</v>
      </c>
      <c r="I159" s="5" t="s">
        <v>20</v>
      </c>
      <c r="J159" s="5">
        <v>27</v>
      </c>
      <c r="K159" s="5">
        <v>92</v>
      </c>
      <c r="L159" s="5" t="s">
        <v>56</v>
      </c>
      <c r="M159" s="5">
        <v>30</v>
      </c>
      <c r="N159" s="5">
        <v>30</v>
      </c>
      <c r="O159" s="5">
        <v>80</v>
      </c>
      <c r="P159" s="5">
        <v>25</v>
      </c>
      <c r="Q159">
        <f>SUM([1]!Table1[[#This Row],[Sales]])</f>
        <v>92</v>
      </c>
      <c r="R159">
        <f>SUM([1]!Table1[[#This Row],[Profit]])</f>
        <v>27</v>
      </c>
      <c r="S159" s="7">
        <f t="shared" si="16"/>
        <v>0.29347826086956524</v>
      </c>
      <c r="T159">
        <f t="shared" si="17"/>
        <v>13</v>
      </c>
      <c r="U159">
        <f t="shared" si="18"/>
        <v>12</v>
      </c>
      <c r="V159">
        <f t="shared" si="19"/>
        <v>10</v>
      </c>
      <c r="W159">
        <f t="shared" si="20"/>
        <v>2.0769230769230771</v>
      </c>
      <c r="X159" t="str">
        <f t="shared" si="21"/>
        <v>Low Profit</v>
      </c>
      <c r="Y159">
        <f t="shared" si="22"/>
        <v>40</v>
      </c>
      <c r="Z159">
        <f t="shared" si="23"/>
        <v>92</v>
      </c>
    </row>
    <row r="160" spans="1:26">
      <c r="A160" s="3">
        <v>614</v>
      </c>
      <c r="B160" s="3">
        <v>36</v>
      </c>
      <c r="C160" s="4">
        <v>41214</v>
      </c>
      <c r="D160" s="3" t="s">
        <v>16</v>
      </c>
      <c r="E160" s="3" t="s">
        <v>17</v>
      </c>
      <c r="F160" s="3">
        <v>10</v>
      </c>
      <c r="G160" s="3" t="s">
        <v>18</v>
      </c>
      <c r="H160" s="3" t="s">
        <v>19</v>
      </c>
      <c r="I160" s="3" t="s">
        <v>20</v>
      </c>
      <c r="J160" s="3">
        <v>30</v>
      </c>
      <c r="K160" s="3">
        <v>88</v>
      </c>
      <c r="L160" s="3" t="s">
        <v>58</v>
      </c>
      <c r="M160" s="3">
        <v>30</v>
      </c>
      <c r="N160" s="3">
        <v>40</v>
      </c>
      <c r="O160" s="3">
        <v>80</v>
      </c>
      <c r="P160" s="3">
        <v>22</v>
      </c>
      <c r="Q160">
        <f>SUM([1]!Table1[[#This Row],[Sales]])</f>
        <v>88</v>
      </c>
      <c r="R160">
        <f>SUM([1]!Table1[[#This Row],[Profit]])</f>
        <v>30</v>
      </c>
      <c r="S160" s="7">
        <f t="shared" si="16"/>
        <v>0.34090909090909088</v>
      </c>
      <c r="T160">
        <f t="shared" si="17"/>
        <v>10</v>
      </c>
      <c r="U160">
        <f t="shared" si="18"/>
        <v>8</v>
      </c>
      <c r="V160">
        <f t="shared" si="19"/>
        <v>6</v>
      </c>
      <c r="W160">
        <f t="shared" si="20"/>
        <v>3</v>
      </c>
      <c r="X160" t="str">
        <f t="shared" si="21"/>
        <v>Low Profit</v>
      </c>
      <c r="Y160">
        <f t="shared" si="22"/>
        <v>36</v>
      </c>
      <c r="Z160">
        <f t="shared" si="23"/>
        <v>88</v>
      </c>
    </row>
    <row r="161" spans="1:26">
      <c r="A161" s="5">
        <v>617</v>
      </c>
      <c r="B161" s="5">
        <v>55</v>
      </c>
      <c r="C161" s="6">
        <v>41214</v>
      </c>
      <c r="D161" s="5" t="s">
        <v>16</v>
      </c>
      <c r="E161" s="5" t="s">
        <v>25</v>
      </c>
      <c r="F161" s="5">
        <v>20</v>
      </c>
      <c r="G161" s="5" t="s">
        <v>18</v>
      </c>
      <c r="H161" s="5" t="s">
        <v>19</v>
      </c>
      <c r="I161" s="5" t="s">
        <v>20</v>
      </c>
      <c r="J161" s="5">
        <v>15</v>
      </c>
      <c r="K161" s="5">
        <v>124</v>
      </c>
      <c r="L161" s="5" t="s">
        <v>55</v>
      </c>
      <c r="M161" s="5">
        <v>40</v>
      </c>
      <c r="N161" s="5">
        <v>20</v>
      </c>
      <c r="O161" s="5">
        <v>90</v>
      </c>
      <c r="P161" s="5">
        <v>54</v>
      </c>
      <c r="Q161">
        <f>SUM([1]!Table1[[#This Row],[Sales]])</f>
        <v>124</v>
      </c>
      <c r="R161">
        <f>SUM([1]!Table1[[#This Row],[Profit]])</f>
        <v>15</v>
      </c>
      <c r="S161" s="7">
        <f t="shared" si="16"/>
        <v>0.12096774193548387</v>
      </c>
      <c r="T161">
        <f t="shared" si="17"/>
        <v>20</v>
      </c>
      <c r="U161">
        <f t="shared" si="18"/>
        <v>34</v>
      </c>
      <c r="V161">
        <f t="shared" si="19"/>
        <v>15</v>
      </c>
      <c r="W161">
        <f t="shared" si="20"/>
        <v>0.75</v>
      </c>
      <c r="X161" t="str">
        <f t="shared" si="21"/>
        <v>Low Profit</v>
      </c>
      <c r="Y161">
        <f t="shared" si="22"/>
        <v>55</v>
      </c>
      <c r="Z161">
        <f t="shared" si="23"/>
        <v>124</v>
      </c>
    </row>
    <row r="162" spans="1:26">
      <c r="A162" s="3">
        <v>707</v>
      </c>
      <c r="B162" s="3">
        <v>40</v>
      </c>
      <c r="C162" s="4">
        <v>41214</v>
      </c>
      <c r="D162" s="3" t="s">
        <v>16</v>
      </c>
      <c r="E162" s="3" t="s">
        <v>29</v>
      </c>
      <c r="F162" s="3">
        <v>13</v>
      </c>
      <c r="G162" s="3" t="s">
        <v>18</v>
      </c>
      <c r="H162" s="3" t="s">
        <v>19</v>
      </c>
      <c r="I162" s="3" t="s">
        <v>22</v>
      </c>
      <c r="J162" s="3">
        <v>27</v>
      </c>
      <c r="K162" s="3">
        <v>92</v>
      </c>
      <c r="L162" s="3" t="s">
        <v>31</v>
      </c>
      <c r="M162" s="3">
        <v>30</v>
      </c>
      <c r="N162" s="3">
        <v>30</v>
      </c>
      <c r="O162" s="3">
        <v>80</v>
      </c>
      <c r="P162" s="3">
        <v>25</v>
      </c>
      <c r="Q162">
        <f>SUM([1]!Table1[[#This Row],[Sales]])</f>
        <v>92</v>
      </c>
      <c r="R162">
        <f>SUM([1]!Table1[[#This Row],[Profit]])</f>
        <v>27</v>
      </c>
      <c r="S162" s="7">
        <f t="shared" si="16"/>
        <v>0.29347826086956524</v>
      </c>
      <c r="T162">
        <f t="shared" si="17"/>
        <v>13</v>
      </c>
      <c r="U162">
        <f t="shared" si="18"/>
        <v>12</v>
      </c>
      <c r="V162">
        <f t="shared" si="19"/>
        <v>10</v>
      </c>
      <c r="W162">
        <f t="shared" si="20"/>
        <v>2.0769230769230771</v>
      </c>
      <c r="X162" t="str">
        <f t="shared" si="21"/>
        <v>Low Profit</v>
      </c>
      <c r="Y162">
        <f t="shared" si="22"/>
        <v>40</v>
      </c>
      <c r="Z162">
        <f t="shared" si="23"/>
        <v>92</v>
      </c>
    </row>
    <row r="163" spans="1:26">
      <c r="A163" s="5">
        <v>352</v>
      </c>
      <c r="B163" s="5">
        <v>28</v>
      </c>
      <c r="C163" s="6">
        <v>41214</v>
      </c>
      <c r="D163" s="5" t="s">
        <v>16</v>
      </c>
      <c r="E163" s="5" t="s">
        <v>25</v>
      </c>
      <c r="F163" s="5">
        <v>7</v>
      </c>
      <c r="G163" s="5" t="s">
        <v>18</v>
      </c>
      <c r="H163" s="5" t="s">
        <v>26</v>
      </c>
      <c r="I163" s="5" t="s">
        <v>27</v>
      </c>
      <c r="J163" s="5">
        <v>23</v>
      </c>
      <c r="K163" s="5">
        <v>70</v>
      </c>
      <c r="L163" s="5" t="s">
        <v>28</v>
      </c>
      <c r="M163" s="5">
        <v>20</v>
      </c>
      <c r="N163" s="5">
        <v>40</v>
      </c>
      <c r="O163" s="5">
        <v>70</v>
      </c>
      <c r="P163" s="5">
        <v>19</v>
      </c>
      <c r="Q163">
        <f>SUM([1]!Table1[[#This Row],[Sales]])</f>
        <v>70</v>
      </c>
      <c r="R163">
        <f>SUM([1]!Table1[[#This Row],[Profit]])</f>
        <v>23</v>
      </c>
      <c r="S163" s="7">
        <f t="shared" si="16"/>
        <v>0.32857142857142857</v>
      </c>
      <c r="T163">
        <f t="shared" si="17"/>
        <v>7</v>
      </c>
      <c r="U163">
        <f t="shared" si="18"/>
        <v>0</v>
      </c>
      <c r="V163">
        <f t="shared" si="19"/>
        <v>8</v>
      </c>
      <c r="W163">
        <f t="shared" si="20"/>
        <v>3.2857142857142856</v>
      </c>
      <c r="X163" t="str">
        <f t="shared" si="21"/>
        <v>Low Profit</v>
      </c>
      <c r="Y163">
        <f t="shared" si="22"/>
        <v>28</v>
      </c>
      <c r="Z163">
        <f t="shared" si="23"/>
        <v>70</v>
      </c>
    </row>
    <row r="164" spans="1:26">
      <c r="A164" s="3">
        <v>561</v>
      </c>
      <c r="B164" s="3">
        <v>31</v>
      </c>
      <c r="C164" s="4">
        <v>41214</v>
      </c>
      <c r="D164" s="3" t="s">
        <v>16</v>
      </c>
      <c r="E164" s="3" t="s">
        <v>25</v>
      </c>
      <c r="F164" s="3">
        <v>8</v>
      </c>
      <c r="G164" s="3" t="s">
        <v>18</v>
      </c>
      <c r="H164" s="3" t="s">
        <v>26</v>
      </c>
      <c r="I164" s="3" t="s">
        <v>30</v>
      </c>
      <c r="J164" s="3">
        <v>28</v>
      </c>
      <c r="K164" s="3">
        <v>78</v>
      </c>
      <c r="L164" s="3" t="s">
        <v>28</v>
      </c>
      <c r="M164" s="3">
        <v>30</v>
      </c>
      <c r="N164" s="3">
        <v>40</v>
      </c>
      <c r="O164" s="3">
        <v>80</v>
      </c>
      <c r="P164" s="3">
        <v>19</v>
      </c>
      <c r="Q164">
        <f>SUM([1]!Table1[[#This Row],[Sales]])</f>
        <v>78</v>
      </c>
      <c r="R164">
        <f>SUM([1]!Table1[[#This Row],[Profit]])</f>
        <v>28</v>
      </c>
      <c r="S164" s="7">
        <f t="shared" si="16"/>
        <v>0.35897435897435898</v>
      </c>
      <c r="T164">
        <f t="shared" si="17"/>
        <v>8</v>
      </c>
      <c r="U164">
        <f t="shared" si="18"/>
        <v>-2</v>
      </c>
      <c r="V164">
        <f t="shared" si="19"/>
        <v>1</v>
      </c>
      <c r="W164">
        <f t="shared" si="20"/>
        <v>3.5</v>
      </c>
      <c r="X164" t="str">
        <f t="shared" si="21"/>
        <v>Low Profit</v>
      </c>
      <c r="Y164">
        <f t="shared" si="22"/>
        <v>31</v>
      </c>
      <c r="Z164">
        <f t="shared" si="23"/>
        <v>78</v>
      </c>
    </row>
    <row r="165" spans="1:26">
      <c r="A165" s="5">
        <v>351</v>
      </c>
      <c r="B165" s="5">
        <v>32</v>
      </c>
      <c r="C165" s="6">
        <v>41214</v>
      </c>
      <c r="D165" s="5" t="s">
        <v>16</v>
      </c>
      <c r="E165" s="5" t="s">
        <v>25</v>
      </c>
      <c r="F165" s="5">
        <v>8</v>
      </c>
      <c r="G165" s="5" t="s">
        <v>18</v>
      </c>
      <c r="H165" s="5" t="s">
        <v>26</v>
      </c>
      <c r="I165" s="5" t="s">
        <v>30</v>
      </c>
      <c r="J165" s="5">
        <v>29</v>
      </c>
      <c r="K165" s="5">
        <v>80</v>
      </c>
      <c r="L165" s="5" t="s">
        <v>55</v>
      </c>
      <c r="M165" s="5">
        <v>30</v>
      </c>
      <c r="N165" s="5">
        <v>40</v>
      </c>
      <c r="O165" s="5">
        <v>80</v>
      </c>
      <c r="P165" s="5">
        <v>19</v>
      </c>
      <c r="Q165">
        <f>SUM([1]!Table1[[#This Row],[Sales]])</f>
        <v>80</v>
      </c>
      <c r="R165">
        <f>SUM([1]!Table1[[#This Row],[Profit]])</f>
        <v>29</v>
      </c>
      <c r="S165" s="7">
        <f t="shared" si="16"/>
        <v>0.36249999999999999</v>
      </c>
      <c r="T165">
        <f t="shared" si="17"/>
        <v>8</v>
      </c>
      <c r="U165">
        <f t="shared" si="18"/>
        <v>0</v>
      </c>
      <c r="V165">
        <f t="shared" si="19"/>
        <v>2</v>
      </c>
      <c r="W165">
        <f t="shared" si="20"/>
        <v>3.625</v>
      </c>
      <c r="X165" t="str">
        <f t="shared" si="21"/>
        <v>Low Profit</v>
      </c>
      <c r="Y165">
        <f t="shared" si="22"/>
        <v>32</v>
      </c>
      <c r="Z165">
        <f t="shared" si="23"/>
        <v>80</v>
      </c>
    </row>
    <row r="166" spans="1:26">
      <c r="A166" s="3">
        <v>650</v>
      </c>
      <c r="B166" s="3">
        <v>50</v>
      </c>
      <c r="C166" s="4">
        <v>41214</v>
      </c>
      <c r="D166" s="3" t="s">
        <v>16</v>
      </c>
      <c r="E166" s="3" t="s">
        <v>29</v>
      </c>
      <c r="F166" s="3">
        <v>14</v>
      </c>
      <c r="G166" s="3" t="s">
        <v>18</v>
      </c>
      <c r="H166" s="3" t="s">
        <v>26</v>
      </c>
      <c r="I166" s="3" t="s">
        <v>54</v>
      </c>
      <c r="J166" s="3">
        <v>47</v>
      </c>
      <c r="K166" s="3">
        <v>123</v>
      </c>
      <c r="L166" s="3" t="s">
        <v>31</v>
      </c>
      <c r="M166" s="3">
        <v>30</v>
      </c>
      <c r="N166" s="3">
        <v>40</v>
      </c>
      <c r="O166" s="3">
        <v>80</v>
      </c>
      <c r="P166" s="3">
        <v>26</v>
      </c>
      <c r="Q166">
        <f>SUM([1]!Table1[[#This Row],[Sales]])</f>
        <v>123</v>
      </c>
      <c r="R166">
        <f>SUM([1]!Table1[[#This Row],[Profit]])</f>
        <v>47</v>
      </c>
      <c r="S166" s="7">
        <f t="shared" si="16"/>
        <v>0.38211382113821141</v>
      </c>
      <c r="T166">
        <f t="shared" si="17"/>
        <v>14</v>
      </c>
      <c r="U166">
        <f t="shared" si="18"/>
        <v>43</v>
      </c>
      <c r="V166">
        <f t="shared" si="19"/>
        <v>20</v>
      </c>
      <c r="W166">
        <f t="shared" si="20"/>
        <v>3.3571428571428572</v>
      </c>
      <c r="X166" t="str">
        <f t="shared" si="21"/>
        <v>Low Profit</v>
      </c>
      <c r="Y166">
        <f t="shared" si="22"/>
        <v>50</v>
      </c>
      <c r="Z166">
        <f t="shared" si="23"/>
        <v>123</v>
      </c>
    </row>
    <row r="167" spans="1:26">
      <c r="A167" s="5">
        <v>712</v>
      </c>
      <c r="B167" s="5">
        <v>0</v>
      </c>
      <c r="C167" s="6">
        <v>41214</v>
      </c>
      <c r="D167" s="5" t="s">
        <v>32</v>
      </c>
      <c r="E167" s="5" t="s">
        <v>17</v>
      </c>
      <c r="F167" s="5">
        <v>0</v>
      </c>
      <c r="G167" s="5" t="s">
        <v>33</v>
      </c>
      <c r="H167" s="5" t="s">
        <v>34</v>
      </c>
      <c r="I167" s="5" t="s">
        <v>35</v>
      </c>
      <c r="J167" s="5">
        <v>31</v>
      </c>
      <c r="K167" s="5">
        <v>43</v>
      </c>
      <c r="L167" s="5" t="s">
        <v>36</v>
      </c>
      <c r="M167" s="5">
        <v>0</v>
      </c>
      <c r="N167" s="5">
        <v>40</v>
      </c>
      <c r="O167" s="5">
        <v>50</v>
      </c>
      <c r="P167" s="5">
        <v>12</v>
      </c>
      <c r="Q167">
        <f>SUM([1]!Table1[[#This Row],[Sales]])</f>
        <v>43</v>
      </c>
      <c r="R167">
        <f>SUM([1]!Table1[[#This Row],[Profit]])</f>
        <v>31</v>
      </c>
      <c r="S167" s="7">
        <f t="shared" si="16"/>
        <v>0.72093023255813948</v>
      </c>
      <c r="T167">
        <f t="shared" si="17"/>
        <v>0</v>
      </c>
      <c r="U167">
        <f t="shared" si="18"/>
        <v>-7</v>
      </c>
      <c r="V167">
        <f t="shared" si="19"/>
        <v>0</v>
      </c>
      <c r="W167" t="e">
        <f t="shared" si="20"/>
        <v>#DIV/0!</v>
      </c>
      <c r="X167" t="str">
        <f t="shared" si="21"/>
        <v>Low Profit</v>
      </c>
      <c r="Y167">
        <f t="shared" si="22"/>
        <v>0</v>
      </c>
      <c r="Z167">
        <f t="shared" si="23"/>
        <v>43</v>
      </c>
    </row>
    <row r="168" spans="1:26">
      <c r="A168" s="3">
        <v>505</v>
      </c>
      <c r="B168" s="3">
        <v>82</v>
      </c>
      <c r="C168" s="4">
        <v>41214</v>
      </c>
      <c r="D168" s="3" t="s">
        <v>32</v>
      </c>
      <c r="E168" s="3" t="s">
        <v>23</v>
      </c>
      <c r="F168" s="3">
        <v>25</v>
      </c>
      <c r="G168" s="3" t="s">
        <v>33</v>
      </c>
      <c r="H168" s="3" t="s">
        <v>38</v>
      </c>
      <c r="I168" s="3" t="s">
        <v>39</v>
      </c>
      <c r="J168" s="3">
        <v>-8</v>
      </c>
      <c r="K168" s="3">
        <v>122</v>
      </c>
      <c r="L168" s="3" t="s">
        <v>57</v>
      </c>
      <c r="M168" s="3">
        <v>90</v>
      </c>
      <c r="N168" s="3">
        <v>10</v>
      </c>
      <c r="O168" s="3">
        <v>140</v>
      </c>
      <c r="P168" s="3">
        <v>48</v>
      </c>
      <c r="Q168">
        <f>SUM([1]!Table1[[#This Row],[Sales]])</f>
        <v>122</v>
      </c>
      <c r="R168">
        <f>SUM([1]!Table1[[#This Row],[Profit]])</f>
        <v>-8</v>
      </c>
      <c r="S168" s="7">
        <f t="shared" si="16"/>
        <v>-6.5573770491803282E-2</v>
      </c>
      <c r="T168">
        <f t="shared" si="17"/>
        <v>25</v>
      </c>
      <c r="U168">
        <f t="shared" si="18"/>
        <v>-18</v>
      </c>
      <c r="V168">
        <f t="shared" si="19"/>
        <v>-8</v>
      </c>
      <c r="W168">
        <f t="shared" si="20"/>
        <v>-0.32</v>
      </c>
      <c r="X168" t="str">
        <f t="shared" si="21"/>
        <v>Low Profit</v>
      </c>
      <c r="Y168">
        <f t="shared" si="22"/>
        <v>82</v>
      </c>
      <c r="Z168">
        <f t="shared" si="23"/>
        <v>122</v>
      </c>
    </row>
    <row r="169" spans="1:26">
      <c r="A169" s="5">
        <v>515</v>
      </c>
      <c r="B169" s="5">
        <v>22</v>
      </c>
      <c r="C169" s="6">
        <v>41214</v>
      </c>
      <c r="D169" s="5" t="s">
        <v>32</v>
      </c>
      <c r="E169" s="5" t="s">
        <v>17</v>
      </c>
      <c r="F169" s="5">
        <v>6</v>
      </c>
      <c r="G169" s="5" t="s">
        <v>33</v>
      </c>
      <c r="H169" s="5" t="s">
        <v>34</v>
      </c>
      <c r="I169" s="5" t="s">
        <v>46</v>
      </c>
      <c r="J169" s="5">
        <v>16</v>
      </c>
      <c r="K169" s="5">
        <v>56</v>
      </c>
      <c r="L169" s="5" t="s">
        <v>36</v>
      </c>
      <c r="M169" s="5">
        <v>20</v>
      </c>
      <c r="N169" s="5">
        <v>40</v>
      </c>
      <c r="O169" s="5">
        <v>70</v>
      </c>
      <c r="P169" s="5">
        <v>18</v>
      </c>
      <c r="Q169">
        <f>SUM([1]!Table1[[#This Row],[Sales]])</f>
        <v>56</v>
      </c>
      <c r="R169">
        <f>SUM([1]!Table1[[#This Row],[Profit]])</f>
        <v>16</v>
      </c>
      <c r="S169" s="7">
        <f t="shared" si="16"/>
        <v>0.2857142857142857</v>
      </c>
      <c r="T169">
        <f t="shared" si="17"/>
        <v>6</v>
      </c>
      <c r="U169">
        <f t="shared" si="18"/>
        <v>-14</v>
      </c>
      <c r="V169">
        <f t="shared" si="19"/>
        <v>2</v>
      </c>
      <c r="W169">
        <f t="shared" si="20"/>
        <v>2.6666666666666665</v>
      </c>
      <c r="X169" t="str">
        <f t="shared" si="21"/>
        <v>Low Profit</v>
      </c>
      <c r="Y169">
        <f t="shared" si="22"/>
        <v>22</v>
      </c>
      <c r="Z169">
        <f t="shared" si="23"/>
        <v>56</v>
      </c>
    </row>
    <row r="170" spans="1:26">
      <c r="A170" s="3">
        <v>505</v>
      </c>
      <c r="B170" s="3">
        <v>44</v>
      </c>
      <c r="C170" s="4">
        <v>41214</v>
      </c>
      <c r="D170" s="3" t="s">
        <v>32</v>
      </c>
      <c r="E170" s="3" t="s">
        <v>23</v>
      </c>
      <c r="F170" s="3">
        <v>40</v>
      </c>
      <c r="G170" s="3" t="s">
        <v>33</v>
      </c>
      <c r="H170" s="3" t="s">
        <v>34</v>
      </c>
      <c r="I170" s="3" t="s">
        <v>46</v>
      </c>
      <c r="J170" s="3">
        <v>-7</v>
      </c>
      <c r="K170" s="3">
        <v>106</v>
      </c>
      <c r="L170" s="3" t="s">
        <v>57</v>
      </c>
      <c r="M170" s="3">
        <v>30</v>
      </c>
      <c r="N170" s="3">
        <v>0</v>
      </c>
      <c r="O170" s="3">
        <v>80</v>
      </c>
      <c r="P170" s="3">
        <v>69</v>
      </c>
      <c r="Q170">
        <f>SUM([1]!Table1[[#This Row],[Sales]])</f>
        <v>106</v>
      </c>
      <c r="R170">
        <f>SUM([1]!Table1[[#This Row],[Profit]])</f>
        <v>-7</v>
      </c>
      <c r="S170" s="7">
        <f t="shared" si="16"/>
        <v>-6.6037735849056603E-2</v>
      </c>
      <c r="T170">
        <f t="shared" si="17"/>
        <v>40</v>
      </c>
      <c r="U170">
        <f t="shared" si="18"/>
        <v>26</v>
      </c>
      <c r="V170">
        <f t="shared" si="19"/>
        <v>14</v>
      </c>
      <c r="W170">
        <f t="shared" si="20"/>
        <v>-0.17499999999999999</v>
      </c>
      <c r="X170" t="str">
        <f t="shared" si="21"/>
        <v>Low Profit</v>
      </c>
      <c r="Y170">
        <f t="shared" si="22"/>
        <v>44</v>
      </c>
      <c r="Z170">
        <f t="shared" si="23"/>
        <v>106</v>
      </c>
    </row>
    <row r="171" spans="1:26">
      <c r="A171" s="5">
        <v>775</v>
      </c>
      <c r="B171" s="5">
        <v>33</v>
      </c>
      <c r="C171" s="6">
        <v>41214</v>
      </c>
      <c r="D171" s="5" t="s">
        <v>32</v>
      </c>
      <c r="E171" s="5" t="s">
        <v>29</v>
      </c>
      <c r="F171" s="5">
        <v>12</v>
      </c>
      <c r="G171" s="5" t="s">
        <v>33</v>
      </c>
      <c r="H171" s="5" t="s">
        <v>38</v>
      </c>
      <c r="I171" s="5" t="s">
        <v>45</v>
      </c>
      <c r="J171" s="5">
        <v>-4</v>
      </c>
      <c r="K171" s="5">
        <v>74</v>
      </c>
      <c r="L171" s="5" t="s">
        <v>41</v>
      </c>
      <c r="M171" s="5">
        <v>30</v>
      </c>
      <c r="N171" s="5">
        <v>10</v>
      </c>
      <c r="O171" s="5">
        <v>80</v>
      </c>
      <c r="P171" s="5">
        <v>45</v>
      </c>
      <c r="Q171">
        <f>SUM([1]!Table1[[#This Row],[Sales]])</f>
        <v>74</v>
      </c>
      <c r="R171">
        <f>SUM([1]!Table1[[#This Row],[Profit]])</f>
        <v>-4</v>
      </c>
      <c r="S171" s="7">
        <f t="shared" si="16"/>
        <v>-5.4054054054054057E-2</v>
      </c>
      <c r="T171">
        <f t="shared" si="17"/>
        <v>12</v>
      </c>
      <c r="U171">
        <f t="shared" si="18"/>
        <v>-6</v>
      </c>
      <c r="V171">
        <f t="shared" si="19"/>
        <v>3</v>
      </c>
      <c r="W171">
        <f t="shared" si="20"/>
        <v>-0.33333333333333331</v>
      </c>
      <c r="X171" t="str">
        <f t="shared" si="21"/>
        <v>Low Profit</v>
      </c>
      <c r="Y171">
        <f t="shared" si="22"/>
        <v>33</v>
      </c>
      <c r="Z171">
        <f t="shared" si="23"/>
        <v>74</v>
      </c>
    </row>
    <row r="172" spans="1:26">
      <c r="A172" s="3">
        <v>573</v>
      </c>
      <c r="B172" s="3">
        <v>44</v>
      </c>
      <c r="C172" s="4">
        <v>41214</v>
      </c>
      <c r="D172" s="3" t="s">
        <v>32</v>
      </c>
      <c r="E172" s="3" t="s">
        <v>17</v>
      </c>
      <c r="F172" s="3">
        <v>40</v>
      </c>
      <c r="G172" s="3" t="s">
        <v>18</v>
      </c>
      <c r="H172" s="3" t="s">
        <v>19</v>
      </c>
      <c r="I172" s="3" t="s">
        <v>50</v>
      </c>
      <c r="J172" s="3">
        <v>-8</v>
      </c>
      <c r="K172" s="3">
        <v>106</v>
      </c>
      <c r="L172" s="3" t="s">
        <v>51</v>
      </c>
      <c r="M172" s="3">
        <v>40</v>
      </c>
      <c r="N172" s="3">
        <v>0</v>
      </c>
      <c r="O172" s="3">
        <v>90</v>
      </c>
      <c r="P172" s="3">
        <v>70</v>
      </c>
      <c r="Q172">
        <f>SUM([1]!Table1[[#This Row],[Sales]])</f>
        <v>106</v>
      </c>
      <c r="R172">
        <f>SUM([1]!Table1[[#This Row],[Profit]])</f>
        <v>-8</v>
      </c>
      <c r="S172" s="7">
        <f t="shared" si="16"/>
        <v>-7.5471698113207544E-2</v>
      </c>
      <c r="T172">
        <f t="shared" si="17"/>
        <v>40</v>
      </c>
      <c r="U172">
        <f t="shared" si="18"/>
        <v>16</v>
      </c>
      <c r="V172">
        <f t="shared" si="19"/>
        <v>4</v>
      </c>
      <c r="W172">
        <f t="shared" si="20"/>
        <v>-0.2</v>
      </c>
      <c r="X172" t="str">
        <f t="shared" si="21"/>
        <v>Low Profit</v>
      </c>
      <c r="Y172">
        <f t="shared" si="22"/>
        <v>44</v>
      </c>
      <c r="Z172">
        <f t="shared" si="23"/>
        <v>106</v>
      </c>
    </row>
    <row r="173" spans="1:26">
      <c r="A173" s="5">
        <v>262</v>
      </c>
      <c r="B173" s="5">
        <v>31</v>
      </c>
      <c r="C173" s="6">
        <v>41214</v>
      </c>
      <c r="D173" s="5" t="s">
        <v>32</v>
      </c>
      <c r="E173" s="5" t="s">
        <v>17</v>
      </c>
      <c r="F173" s="5">
        <v>8</v>
      </c>
      <c r="G173" s="5" t="s">
        <v>18</v>
      </c>
      <c r="H173" s="5" t="s">
        <v>19</v>
      </c>
      <c r="I173" s="5" t="s">
        <v>20</v>
      </c>
      <c r="J173" s="5">
        <v>27</v>
      </c>
      <c r="K173" s="5">
        <v>78</v>
      </c>
      <c r="L173" s="5" t="s">
        <v>52</v>
      </c>
      <c r="M173" s="5">
        <v>20</v>
      </c>
      <c r="N173" s="5">
        <v>40</v>
      </c>
      <c r="O173" s="5">
        <v>70</v>
      </c>
      <c r="P173" s="5">
        <v>20</v>
      </c>
      <c r="Q173">
        <f>SUM([1]!Table1[[#This Row],[Sales]])</f>
        <v>78</v>
      </c>
      <c r="R173">
        <f>SUM([1]!Table1[[#This Row],[Profit]])</f>
        <v>27</v>
      </c>
      <c r="S173" s="7">
        <f t="shared" si="16"/>
        <v>0.34615384615384615</v>
      </c>
      <c r="T173">
        <f t="shared" si="17"/>
        <v>8</v>
      </c>
      <c r="U173">
        <f t="shared" si="18"/>
        <v>8</v>
      </c>
      <c r="V173">
        <f t="shared" si="19"/>
        <v>11</v>
      </c>
      <c r="W173">
        <f t="shared" si="20"/>
        <v>3.375</v>
      </c>
      <c r="X173" t="str">
        <f t="shared" si="21"/>
        <v>Low Profit</v>
      </c>
      <c r="Y173">
        <f t="shared" si="22"/>
        <v>31</v>
      </c>
      <c r="Z173">
        <f t="shared" si="23"/>
        <v>78</v>
      </c>
    </row>
    <row r="174" spans="1:26">
      <c r="A174" s="3">
        <v>475</v>
      </c>
      <c r="B174" s="3">
        <v>69</v>
      </c>
      <c r="C174" s="4">
        <v>41214</v>
      </c>
      <c r="D174" s="3" t="s">
        <v>32</v>
      </c>
      <c r="E174" s="3" t="s">
        <v>25</v>
      </c>
      <c r="F174" s="3">
        <v>21</v>
      </c>
      <c r="G174" s="3" t="s">
        <v>18</v>
      </c>
      <c r="H174" s="3" t="s">
        <v>19</v>
      </c>
      <c r="I174" s="3" t="s">
        <v>22</v>
      </c>
      <c r="J174" s="3">
        <v>38</v>
      </c>
      <c r="K174" s="3">
        <v>150</v>
      </c>
      <c r="L174" s="3" t="s">
        <v>37</v>
      </c>
      <c r="M174" s="3">
        <v>50</v>
      </c>
      <c r="N174" s="3">
        <v>30</v>
      </c>
      <c r="O174" s="3">
        <v>100</v>
      </c>
      <c r="P174" s="3">
        <v>43</v>
      </c>
      <c r="Q174">
        <f>SUM([1]!Table1[[#This Row],[Sales]])</f>
        <v>150</v>
      </c>
      <c r="R174">
        <f>SUM([1]!Table1[[#This Row],[Profit]])</f>
        <v>38</v>
      </c>
      <c r="S174" s="7">
        <f t="shared" si="16"/>
        <v>0.25333333333333335</v>
      </c>
      <c r="T174">
        <f t="shared" si="17"/>
        <v>21</v>
      </c>
      <c r="U174">
        <f t="shared" si="18"/>
        <v>50</v>
      </c>
      <c r="V174">
        <f t="shared" si="19"/>
        <v>19</v>
      </c>
      <c r="W174">
        <f t="shared" si="20"/>
        <v>1.8095238095238095</v>
      </c>
      <c r="X174" t="str">
        <f t="shared" si="21"/>
        <v>Low Profit</v>
      </c>
      <c r="Y174">
        <f t="shared" si="22"/>
        <v>69</v>
      </c>
      <c r="Z174">
        <f t="shared" si="23"/>
        <v>150</v>
      </c>
    </row>
    <row r="175" spans="1:26">
      <c r="A175" s="5">
        <v>262</v>
      </c>
      <c r="B175" s="5">
        <v>49</v>
      </c>
      <c r="C175" s="6">
        <v>41214</v>
      </c>
      <c r="D175" s="5" t="s">
        <v>32</v>
      </c>
      <c r="E175" s="5" t="s">
        <v>17</v>
      </c>
      <c r="F175" s="5">
        <v>15</v>
      </c>
      <c r="G175" s="5" t="s">
        <v>18</v>
      </c>
      <c r="H175" s="5" t="s">
        <v>26</v>
      </c>
      <c r="I175" s="5" t="s">
        <v>27</v>
      </c>
      <c r="J175" s="5">
        <v>33</v>
      </c>
      <c r="K175" s="5">
        <v>120</v>
      </c>
      <c r="L175" s="5" t="s">
        <v>52</v>
      </c>
      <c r="M175" s="5">
        <v>40</v>
      </c>
      <c r="N175" s="5">
        <v>20</v>
      </c>
      <c r="O175" s="5">
        <v>90</v>
      </c>
      <c r="P175" s="5">
        <v>38</v>
      </c>
      <c r="Q175">
        <f>SUM([1]!Table1[[#This Row],[Sales]])</f>
        <v>120</v>
      </c>
      <c r="R175">
        <f>SUM([1]!Table1[[#This Row],[Profit]])</f>
        <v>33</v>
      </c>
      <c r="S175" s="7">
        <f t="shared" si="16"/>
        <v>0.27500000000000002</v>
      </c>
      <c r="T175">
        <f t="shared" si="17"/>
        <v>15</v>
      </c>
      <c r="U175">
        <f t="shared" si="18"/>
        <v>30</v>
      </c>
      <c r="V175">
        <f t="shared" si="19"/>
        <v>9</v>
      </c>
      <c r="W175">
        <f t="shared" si="20"/>
        <v>2.2000000000000002</v>
      </c>
      <c r="X175" t="str">
        <f t="shared" si="21"/>
        <v>Low Profit</v>
      </c>
      <c r="Y175">
        <f t="shared" si="22"/>
        <v>49</v>
      </c>
      <c r="Z175">
        <f t="shared" si="23"/>
        <v>120</v>
      </c>
    </row>
    <row r="176" spans="1:26">
      <c r="A176" s="3">
        <v>206</v>
      </c>
      <c r="B176" s="3">
        <v>49</v>
      </c>
      <c r="C176" s="4">
        <v>41214</v>
      </c>
      <c r="D176" s="3" t="s">
        <v>32</v>
      </c>
      <c r="E176" s="3" t="s">
        <v>29</v>
      </c>
      <c r="F176" s="3">
        <v>15</v>
      </c>
      <c r="G176" s="3" t="s">
        <v>18</v>
      </c>
      <c r="H176" s="3" t="s">
        <v>26</v>
      </c>
      <c r="I176" s="3" t="s">
        <v>54</v>
      </c>
      <c r="J176" s="3">
        <v>34</v>
      </c>
      <c r="K176" s="3">
        <v>120</v>
      </c>
      <c r="L176" s="3" t="s">
        <v>53</v>
      </c>
      <c r="M176" s="3">
        <v>30</v>
      </c>
      <c r="N176" s="3">
        <v>30</v>
      </c>
      <c r="O176" s="3">
        <v>80</v>
      </c>
      <c r="P176" s="3">
        <v>37</v>
      </c>
      <c r="Q176">
        <f>SUM([1]!Table1[[#This Row],[Sales]])</f>
        <v>120</v>
      </c>
      <c r="R176">
        <f>SUM([1]!Table1[[#This Row],[Profit]])</f>
        <v>34</v>
      </c>
      <c r="S176" s="7">
        <f t="shared" si="16"/>
        <v>0.28333333333333333</v>
      </c>
      <c r="T176">
        <f t="shared" si="17"/>
        <v>15</v>
      </c>
      <c r="U176">
        <f t="shared" si="18"/>
        <v>40</v>
      </c>
      <c r="V176">
        <f t="shared" si="19"/>
        <v>19</v>
      </c>
      <c r="W176">
        <f t="shared" si="20"/>
        <v>2.2666666666666666</v>
      </c>
      <c r="X176" t="str">
        <f t="shared" si="21"/>
        <v>Low Profit</v>
      </c>
      <c r="Y176">
        <f t="shared" si="22"/>
        <v>49</v>
      </c>
      <c r="Z176">
        <f t="shared" si="23"/>
        <v>120</v>
      </c>
    </row>
    <row r="177" spans="1:26">
      <c r="A177" s="5">
        <v>970</v>
      </c>
      <c r="B177" s="5">
        <v>43</v>
      </c>
      <c r="C177" s="6">
        <v>41244</v>
      </c>
      <c r="D177" s="5" t="s">
        <v>16</v>
      </c>
      <c r="E177" s="5" t="s">
        <v>17</v>
      </c>
      <c r="F177" s="5">
        <v>14</v>
      </c>
      <c r="G177" s="5" t="s">
        <v>33</v>
      </c>
      <c r="H177" s="5" t="s">
        <v>38</v>
      </c>
      <c r="I177" s="5" t="s">
        <v>45</v>
      </c>
      <c r="J177" s="5">
        <v>29</v>
      </c>
      <c r="K177" s="5">
        <v>99</v>
      </c>
      <c r="L177" s="5" t="s">
        <v>21</v>
      </c>
      <c r="M177" s="5">
        <v>40</v>
      </c>
      <c r="N177" s="5">
        <v>30</v>
      </c>
      <c r="O177" s="5">
        <v>90</v>
      </c>
      <c r="P177" s="5">
        <v>27</v>
      </c>
      <c r="Q177">
        <f>SUM([1]!Table1[[#This Row],[Sales]])</f>
        <v>99</v>
      </c>
      <c r="R177">
        <f>SUM([1]!Table1[[#This Row],[Profit]])</f>
        <v>29</v>
      </c>
      <c r="S177" s="7">
        <f t="shared" si="16"/>
        <v>0.29292929292929293</v>
      </c>
      <c r="T177">
        <f t="shared" si="17"/>
        <v>14</v>
      </c>
      <c r="U177">
        <f t="shared" si="18"/>
        <v>9</v>
      </c>
      <c r="V177">
        <f t="shared" si="19"/>
        <v>3</v>
      </c>
      <c r="W177">
        <f t="shared" si="20"/>
        <v>2.0714285714285716</v>
      </c>
      <c r="X177" t="str">
        <f t="shared" si="21"/>
        <v>Low Profit</v>
      </c>
      <c r="Y177">
        <f t="shared" si="22"/>
        <v>43</v>
      </c>
      <c r="Z177">
        <f t="shared" si="23"/>
        <v>99</v>
      </c>
    </row>
    <row r="178" spans="1:26">
      <c r="A178" s="3">
        <v>614</v>
      </c>
      <c r="B178" s="3">
        <v>41</v>
      </c>
      <c r="C178" s="4">
        <v>41244</v>
      </c>
      <c r="D178" s="3" t="s">
        <v>16</v>
      </c>
      <c r="E178" s="3" t="s">
        <v>17</v>
      </c>
      <c r="F178" s="3">
        <v>13</v>
      </c>
      <c r="G178" s="3" t="s">
        <v>33</v>
      </c>
      <c r="H178" s="3" t="s">
        <v>38</v>
      </c>
      <c r="I178" s="3" t="s">
        <v>45</v>
      </c>
      <c r="J178" s="3">
        <v>24</v>
      </c>
      <c r="K178" s="3">
        <v>101</v>
      </c>
      <c r="L178" s="3" t="s">
        <v>58</v>
      </c>
      <c r="M178" s="3">
        <v>40</v>
      </c>
      <c r="N178" s="3">
        <v>20</v>
      </c>
      <c r="O178" s="3">
        <v>90</v>
      </c>
      <c r="P178" s="3">
        <v>36</v>
      </c>
      <c r="Q178">
        <f>SUM([1]!Table1[[#This Row],[Sales]])</f>
        <v>101</v>
      </c>
      <c r="R178">
        <f>SUM([1]!Table1[[#This Row],[Profit]])</f>
        <v>24</v>
      </c>
      <c r="S178" s="7">
        <f t="shared" si="16"/>
        <v>0.23762376237623761</v>
      </c>
      <c r="T178">
        <f t="shared" si="17"/>
        <v>13</v>
      </c>
      <c r="U178">
        <f t="shared" si="18"/>
        <v>11</v>
      </c>
      <c r="V178">
        <f t="shared" si="19"/>
        <v>1</v>
      </c>
      <c r="W178">
        <f t="shared" si="20"/>
        <v>1.8461538461538463</v>
      </c>
      <c r="X178" t="str">
        <f t="shared" si="21"/>
        <v>Low Profit</v>
      </c>
      <c r="Y178">
        <f t="shared" si="22"/>
        <v>41</v>
      </c>
      <c r="Z178">
        <f t="shared" si="23"/>
        <v>101</v>
      </c>
    </row>
    <row r="179" spans="1:26">
      <c r="A179" s="5">
        <v>339</v>
      </c>
      <c r="B179" s="5">
        <v>47</v>
      </c>
      <c r="C179" s="6">
        <v>41244</v>
      </c>
      <c r="D179" s="5" t="s">
        <v>16</v>
      </c>
      <c r="E179" s="5" t="s">
        <v>25</v>
      </c>
      <c r="F179" s="5">
        <v>42</v>
      </c>
      <c r="G179" s="5" t="s">
        <v>33</v>
      </c>
      <c r="H179" s="5" t="s">
        <v>34</v>
      </c>
      <c r="I179" s="5" t="s">
        <v>46</v>
      </c>
      <c r="J179" s="5">
        <v>-20</v>
      </c>
      <c r="K179" s="5">
        <v>99</v>
      </c>
      <c r="L179" s="5" t="s">
        <v>55</v>
      </c>
      <c r="M179" s="5">
        <v>40</v>
      </c>
      <c r="N179" s="5">
        <v>-10</v>
      </c>
      <c r="O179" s="5">
        <v>90</v>
      </c>
      <c r="P179" s="5">
        <v>72</v>
      </c>
      <c r="Q179">
        <f>SUM([1]!Table1[[#This Row],[Sales]])</f>
        <v>99</v>
      </c>
      <c r="R179">
        <f>SUM([1]!Table1[[#This Row],[Profit]])</f>
        <v>-20</v>
      </c>
      <c r="S179" s="7">
        <f t="shared" si="16"/>
        <v>-0.20202020202020202</v>
      </c>
      <c r="T179">
        <f t="shared" si="17"/>
        <v>42</v>
      </c>
      <c r="U179">
        <f t="shared" si="18"/>
        <v>9</v>
      </c>
      <c r="V179">
        <f t="shared" si="19"/>
        <v>7</v>
      </c>
      <c r="W179">
        <f t="shared" si="20"/>
        <v>-0.47619047619047616</v>
      </c>
      <c r="X179" t="str">
        <f t="shared" si="21"/>
        <v>Low Profit</v>
      </c>
      <c r="Y179">
        <f t="shared" si="22"/>
        <v>47</v>
      </c>
      <c r="Z179">
        <f t="shared" si="23"/>
        <v>99</v>
      </c>
    </row>
    <row r="180" spans="1:26">
      <c r="A180" s="3">
        <v>773</v>
      </c>
      <c r="B180" s="3">
        <v>43</v>
      </c>
      <c r="C180" s="4">
        <v>41244</v>
      </c>
      <c r="D180" s="3" t="s">
        <v>16</v>
      </c>
      <c r="E180" s="3" t="s">
        <v>17</v>
      </c>
      <c r="F180" s="3">
        <v>14</v>
      </c>
      <c r="G180" s="3" t="s">
        <v>18</v>
      </c>
      <c r="H180" s="3" t="s">
        <v>19</v>
      </c>
      <c r="I180" s="3" t="s">
        <v>20</v>
      </c>
      <c r="J180" s="3">
        <v>29</v>
      </c>
      <c r="K180" s="3">
        <v>99</v>
      </c>
      <c r="L180" s="3" t="s">
        <v>56</v>
      </c>
      <c r="M180" s="3">
        <v>40</v>
      </c>
      <c r="N180" s="3">
        <v>30</v>
      </c>
      <c r="O180" s="3">
        <v>90</v>
      </c>
      <c r="P180" s="3">
        <v>27</v>
      </c>
      <c r="Q180">
        <f>SUM([1]!Table1[[#This Row],[Sales]])</f>
        <v>99</v>
      </c>
      <c r="R180">
        <f>SUM([1]!Table1[[#This Row],[Profit]])</f>
        <v>29</v>
      </c>
      <c r="S180" s="7">
        <f t="shared" si="16"/>
        <v>0.29292929292929293</v>
      </c>
      <c r="T180">
        <f t="shared" si="17"/>
        <v>14</v>
      </c>
      <c r="U180">
        <f t="shared" si="18"/>
        <v>9</v>
      </c>
      <c r="V180">
        <f t="shared" si="19"/>
        <v>3</v>
      </c>
      <c r="W180">
        <f t="shared" si="20"/>
        <v>2.0714285714285716</v>
      </c>
      <c r="X180" t="str">
        <f t="shared" si="21"/>
        <v>Low Profit</v>
      </c>
      <c r="Y180">
        <f t="shared" si="22"/>
        <v>43</v>
      </c>
      <c r="Z180">
        <f t="shared" si="23"/>
        <v>99</v>
      </c>
    </row>
    <row r="181" spans="1:26">
      <c r="A181" s="5">
        <v>805</v>
      </c>
      <c r="B181" s="5">
        <v>43</v>
      </c>
      <c r="C181" s="6">
        <v>41244</v>
      </c>
      <c r="D181" s="5" t="s">
        <v>16</v>
      </c>
      <c r="E181" s="5" t="s">
        <v>29</v>
      </c>
      <c r="F181" s="5">
        <v>14</v>
      </c>
      <c r="G181" s="5" t="s">
        <v>18</v>
      </c>
      <c r="H181" s="5" t="s">
        <v>19</v>
      </c>
      <c r="I181" s="5" t="s">
        <v>22</v>
      </c>
      <c r="J181" s="5">
        <v>29</v>
      </c>
      <c r="K181" s="5">
        <v>99</v>
      </c>
      <c r="L181" s="5" t="s">
        <v>31</v>
      </c>
      <c r="M181" s="5">
        <v>40</v>
      </c>
      <c r="N181" s="5">
        <v>30</v>
      </c>
      <c r="O181" s="5">
        <v>90</v>
      </c>
      <c r="P181" s="5">
        <v>27</v>
      </c>
      <c r="Q181">
        <f>SUM([1]!Table1[[#This Row],[Sales]])</f>
        <v>99</v>
      </c>
      <c r="R181">
        <f>SUM([1]!Table1[[#This Row],[Profit]])</f>
        <v>29</v>
      </c>
      <c r="S181" s="7">
        <f t="shared" si="16"/>
        <v>0.29292929292929293</v>
      </c>
      <c r="T181">
        <f t="shared" si="17"/>
        <v>14</v>
      </c>
      <c r="U181">
        <f t="shared" si="18"/>
        <v>9</v>
      </c>
      <c r="V181">
        <f t="shared" si="19"/>
        <v>3</v>
      </c>
      <c r="W181">
        <f t="shared" si="20"/>
        <v>2.0714285714285716</v>
      </c>
      <c r="X181" t="str">
        <f t="shared" si="21"/>
        <v>Low Profit</v>
      </c>
      <c r="Y181">
        <f t="shared" si="22"/>
        <v>43</v>
      </c>
      <c r="Z181">
        <f t="shared" si="23"/>
        <v>99</v>
      </c>
    </row>
    <row r="182" spans="1:26">
      <c r="A182" s="3">
        <v>303</v>
      </c>
      <c r="B182" s="3">
        <v>46</v>
      </c>
      <c r="C182" s="4">
        <v>41244</v>
      </c>
      <c r="D182" s="3" t="s">
        <v>16</v>
      </c>
      <c r="E182" s="3" t="s">
        <v>17</v>
      </c>
      <c r="F182" s="3">
        <v>17</v>
      </c>
      <c r="G182" s="3" t="s">
        <v>18</v>
      </c>
      <c r="H182" s="3" t="s">
        <v>26</v>
      </c>
      <c r="I182" s="3" t="s">
        <v>27</v>
      </c>
      <c r="J182" s="3">
        <v>6</v>
      </c>
      <c r="K182" s="3">
        <v>103</v>
      </c>
      <c r="L182" s="3" t="s">
        <v>21</v>
      </c>
      <c r="M182" s="3">
        <v>30</v>
      </c>
      <c r="N182" s="3">
        <v>10</v>
      </c>
      <c r="O182" s="3">
        <v>80</v>
      </c>
      <c r="P182" s="3">
        <v>51</v>
      </c>
      <c r="Q182">
        <f>SUM([1]!Table1[[#This Row],[Sales]])</f>
        <v>103</v>
      </c>
      <c r="R182">
        <f>SUM([1]!Table1[[#This Row],[Profit]])</f>
        <v>6</v>
      </c>
      <c r="S182" s="7">
        <f t="shared" si="16"/>
        <v>5.8252427184466021E-2</v>
      </c>
      <c r="T182">
        <f t="shared" si="17"/>
        <v>17</v>
      </c>
      <c r="U182">
        <f t="shared" si="18"/>
        <v>23</v>
      </c>
      <c r="V182">
        <f t="shared" si="19"/>
        <v>16</v>
      </c>
      <c r="W182">
        <f t="shared" si="20"/>
        <v>0.35294117647058826</v>
      </c>
      <c r="X182" t="str">
        <f t="shared" si="21"/>
        <v>Low Profit</v>
      </c>
      <c r="Y182">
        <f t="shared" si="22"/>
        <v>46</v>
      </c>
      <c r="Z182">
        <f t="shared" si="23"/>
        <v>103</v>
      </c>
    </row>
    <row r="183" spans="1:26">
      <c r="A183" s="5">
        <v>303</v>
      </c>
      <c r="B183" s="5">
        <v>53</v>
      </c>
      <c r="C183" s="6">
        <v>41244</v>
      </c>
      <c r="D183" s="5" t="s">
        <v>16</v>
      </c>
      <c r="E183" s="5" t="s">
        <v>17</v>
      </c>
      <c r="F183" s="5">
        <v>16</v>
      </c>
      <c r="G183" s="5" t="s">
        <v>18</v>
      </c>
      <c r="H183" s="5" t="s">
        <v>26</v>
      </c>
      <c r="I183" s="5" t="s">
        <v>54</v>
      </c>
      <c r="J183" s="5">
        <v>26</v>
      </c>
      <c r="K183" s="5">
        <v>116</v>
      </c>
      <c r="L183" s="5" t="s">
        <v>21</v>
      </c>
      <c r="M183" s="5">
        <v>40</v>
      </c>
      <c r="N183" s="5">
        <v>20</v>
      </c>
      <c r="O183" s="5">
        <v>90</v>
      </c>
      <c r="P183" s="5">
        <v>37</v>
      </c>
      <c r="Q183">
        <f>SUM([1]!Table1[[#This Row],[Sales]])</f>
        <v>116</v>
      </c>
      <c r="R183">
        <f>SUM([1]!Table1[[#This Row],[Profit]])</f>
        <v>26</v>
      </c>
      <c r="S183" s="7">
        <f t="shared" si="16"/>
        <v>0.22413793103448276</v>
      </c>
      <c r="T183">
        <f t="shared" si="17"/>
        <v>16</v>
      </c>
      <c r="U183">
        <f t="shared" si="18"/>
        <v>26</v>
      </c>
      <c r="V183">
        <f t="shared" si="19"/>
        <v>13</v>
      </c>
      <c r="W183">
        <f t="shared" si="20"/>
        <v>1.625</v>
      </c>
      <c r="X183" t="str">
        <f t="shared" si="21"/>
        <v>Low Profit</v>
      </c>
      <c r="Y183">
        <f t="shared" si="22"/>
        <v>53</v>
      </c>
      <c r="Z183">
        <f t="shared" si="23"/>
        <v>116</v>
      </c>
    </row>
    <row r="184" spans="1:26">
      <c r="A184" s="3">
        <v>617</v>
      </c>
      <c r="B184" s="3">
        <v>33</v>
      </c>
      <c r="C184" s="4">
        <v>41244</v>
      </c>
      <c r="D184" s="3" t="s">
        <v>16</v>
      </c>
      <c r="E184" s="3" t="s">
        <v>25</v>
      </c>
      <c r="F184" s="3">
        <v>9</v>
      </c>
      <c r="G184" s="3" t="s">
        <v>18</v>
      </c>
      <c r="H184" s="3" t="s">
        <v>26</v>
      </c>
      <c r="I184" s="3" t="s">
        <v>27</v>
      </c>
      <c r="J184" s="3">
        <v>29</v>
      </c>
      <c r="K184" s="3">
        <v>82</v>
      </c>
      <c r="L184" s="3" t="s">
        <v>55</v>
      </c>
      <c r="M184" s="3">
        <v>30</v>
      </c>
      <c r="N184" s="3">
        <v>40</v>
      </c>
      <c r="O184" s="3">
        <v>80</v>
      </c>
      <c r="P184" s="3">
        <v>20</v>
      </c>
      <c r="Q184">
        <f>SUM([1]!Table1[[#This Row],[Sales]])</f>
        <v>82</v>
      </c>
      <c r="R184">
        <f>SUM([1]!Table1[[#This Row],[Profit]])</f>
        <v>29</v>
      </c>
      <c r="S184" s="7">
        <f t="shared" si="16"/>
        <v>0.35365853658536583</v>
      </c>
      <c r="T184">
        <f t="shared" si="17"/>
        <v>9</v>
      </c>
      <c r="U184">
        <f t="shared" si="18"/>
        <v>2</v>
      </c>
      <c r="V184">
        <f t="shared" si="19"/>
        <v>3</v>
      </c>
      <c r="W184">
        <f t="shared" si="20"/>
        <v>3.2222222222222223</v>
      </c>
      <c r="X184" t="str">
        <f t="shared" si="21"/>
        <v>Low Profit</v>
      </c>
      <c r="Y184">
        <f t="shared" si="22"/>
        <v>33</v>
      </c>
      <c r="Z184">
        <f t="shared" si="23"/>
        <v>82</v>
      </c>
    </row>
    <row r="185" spans="1:26">
      <c r="A185" s="5">
        <v>863</v>
      </c>
      <c r="B185" s="5">
        <v>34</v>
      </c>
      <c r="C185" s="6">
        <v>41244</v>
      </c>
      <c r="D185" s="5" t="s">
        <v>16</v>
      </c>
      <c r="E185" s="5" t="s">
        <v>25</v>
      </c>
      <c r="F185" s="5">
        <v>9</v>
      </c>
      <c r="G185" s="5" t="s">
        <v>18</v>
      </c>
      <c r="H185" s="5" t="s">
        <v>26</v>
      </c>
      <c r="I185" s="5" t="s">
        <v>30</v>
      </c>
      <c r="J185" s="5">
        <v>30</v>
      </c>
      <c r="K185" s="5">
        <v>85</v>
      </c>
      <c r="L185" s="5" t="s">
        <v>28</v>
      </c>
      <c r="M185" s="5">
        <v>30</v>
      </c>
      <c r="N185" s="5">
        <v>40</v>
      </c>
      <c r="O185" s="5">
        <v>80</v>
      </c>
      <c r="P185" s="5">
        <v>21</v>
      </c>
      <c r="Q185">
        <f>SUM([1]!Table1[[#This Row],[Sales]])</f>
        <v>85</v>
      </c>
      <c r="R185">
        <f>SUM([1]!Table1[[#This Row],[Profit]])</f>
        <v>30</v>
      </c>
      <c r="S185" s="7">
        <f t="shared" si="16"/>
        <v>0.35294117647058826</v>
      </c>
      <c r="T185">
        <f t="shared" si="17"/>
        <v>9</v>
      </c>
      <c r="U185">
        <f t="shared" si="18"/>
        <v>5</v>
      </c>
      <c r="V185">
        <f t="shared" si="19"/>
        <v>4</v>
      </c>
      <c r="W185">
        <f t="shared" si="20"/>
        <v>3.3333333333333335</v>
      </c>
      <c r="X185" t="str">
        <f t="shared" si="21"/>
        <v>Low Profit</v>
      </c>
      <c r="Y185">
        <f t="shared" si="22"/>
        <v>34</v>
      </c>
      <c r="Z185">
        <f t="shared" si="23"/>
        <v>85</v>
      </c>
    </row>
    <row r="186" spans="1:26">
      <c r="A186" s="3">
        <v>641</v>
      </c>
      <c r="B186" s="3">
        <v>0</v>
      </c>
      <c r="C186" s="4">
        <v>41244</v>
      </c>
      <c r="D186" s="3" t="s">
        <v>32</v>
      </c>
      <c r="E186" s="3" t="s">
        <v>17</v>
      </c>
      <c r="F186" s="3">
        <v>0</v>
      </c>
      <c r="G186" s="3" t="s">
        <v>33</v>
      </c>
      <c r="H186" s="3" t="s">
        <v>34</v>
      </c>
      <c r="I186" s="3" t="s">
        <v>35</v>
      </c>
      <c r="J186" s="3">
        <v>32</v>
      </c>
      <c r="K186" s="3">
        <v>43</v>
      </c>
      <c r="L186" s="3" t="s">
        <v>36</v>
      </c>
      <c r="M186" s="3">
        <v>0</v>
      </c>
      <c r="N186" s="3">
        <v>40</v>
      </c>
      <c r="O186" s="3">
        <v>50</v>
      </c>
      <c r="P186" s="3">
        <v>11</v>
      </c>
      <c r="Q186">
        <f>SUM([1]!Table1[[#This Row],[Sales]])</f>
        <v>43</v>
      </c>
      <c r="R186">
        <f>SUM([1]!Table1[[#This Row],[Profit]])</f>
        <v>32</v>
      </c>
      <c r="S186" s="7">
        <f t="shared" si="16"/>
        <v>0.7441860465116279</v>
      </c>
      <c r="T186">
        <f t="shared" si="17"/>
        <v>0</v>
      </c>
      <c r="U186">
        <f t="shared" si="18"/>
        <v>-7</v>
      </c>
      <c r="V186">
        <f t="shared" si="19"/>
        <v>0</v>
      </c>
      <c r="W186" t="e">
        <f t="shared" si="20"/>
        <v>#DIV/0!</v>
      </c>
      <c r="X186" t="str">
        <f t="shared" si="21"/>
        <v>Low Profit</v>
      </c>
      <c r="Y186">
        <f t="shared" si="22"/>
        <v>0</v>
      </c>
      <c r="Z186">
        <f t="shared" si="23"/>
        <v>43</v>
      </c>
    </row>
    <row r="187" spans="1:26">
      <c r="A187" s="5">
        <v>225</v>
      </c>
      <c r="B187" s="5">
        <v>43</v>
      </c>
      <c r="C187" s="6">
        <v>41244</v>
      </c>
      <c r="D187" s="5" t="s">
        <v>32</v>
      </c>
      <c r="E187" s="5" t="s">
        <v>23</v>
      </c>
      <c r="F187" s="5">
        <v>13</v>
      </c>
      <c r="G187" s="5" t="s">
        <v>33</v>
      </c>
      <c r="H187" s="5" t="s">
        <v>34</v>
      </c>
      <c r="I187" s="5" t="s">
        <v>35</v>
      </c>
      <c r="J187" s="5">
        <v>27</v>
      </c>
      <c r="K187" s="5">
        <v>106</v>
      </c>
      <c r="L187" s="5" t="s">
        <v>48</v>
      </c>
      <c r="M187" s="5">
        <v>30</v>
      </c>
      <c r="N187" s="5">
        <v>20</v>
      </c>
      <c r="O187" s="5">
        <v>80</v>
      </c>
      <c r="P187" s="5">
        <v>36</v>
      </c>
      <c r="Q187">
        <f>SUM([1]!Table1[[#This Row],[Sales]])</f>
        <v>106</v>
      </c>
      <c r="R187">
        <f>SUM([1]!Table1[[#This Row],[Profit]])</f>
        <v>27</v>
      </c>
      <c r="S187" s="7">
        <f t="shared" si="16"/>
        <v>0.25471698113207547</v>
      </c>
      <c r="T187">
        <f t="shared" si="17"/>
        <v>13</v>
      </c>
      <c r="U187">
        <f t="shared" si="18"/>
        <v>26</v>
      </c>
      <c r="V187">
        <f t="shared" si="19"/>
        <v>13</v>
      </c>
      <c r="W187">
        <f t="shared" si="20"/>
        <v>2.0769230769230771</v>
      </c>
      <c r="X187" t="str">
        <f t="shared" si="21"/>
        <v>Low Profit</v>
      </c>
      <c r="Y187">
        <f t="shared" si="22"/>
        <v>43</v>
      </c>
      <c r="Z187">
        <f t="shared" si="23"/>
        <v>106</v>
      </c>
    </row>
    <row r="188" spans="1:26">
      <c r="A188" s="3">
        <v>702</v>
      </c>
      <c r="B188" s="3">
        <v>31</v>
      </c>
      <c r="C188" s="4">
        <v>41244</v>
      </c>
      <c r="D188" s="3" t="s">
        <v>32</v>
      </c>
      <c r="E188" s="3" t="s">
        <v>29</v>
      </c>
      <c r="F188" s="3">
        <v>9</v>
      </c>
      <c r="G188" s="3" t="s">
        <v>33</v>
      </c>
      <c r="H188" s="3" t="s">
        <v>38</v>
      </c>
      <c r="I188" s="3" t="s">
        <v>39</v>
      </c>
      <c r="J188" s="3">
        <v>8</v>
      </c>
      <c r="K188" s="3">
        <v>69</v>
      </c>
      <c r="L188" s="3" t="s">
        <v>41</v>
      </c>
      <c r="M188" s="3">
        <v>30</v>
      </c>
      <c r="N188" s="3">
        <v>30</v>
      </c>
      <c r="O188" s="3">
        <v>80</v>
      </c>
      <c r="P188" s="3">
        <v>30</v>
      </c>
      <c r="Q188">
        <f>SUM([1]!Table1[[#This Row],[Sales]])</f>
        <v>69</v>
      </c>
      <c r="R188">
        <f>SUM([1]!Table1[[#This Row],[Profit]])</f>
        <v>8</v>
      </c>
      <c r="S188" s="7">
        <f t="shared" si="16"/>
        <v>0.11594202898550725</v>
      </c>
      <c r="T188">
        <f t="shared" si="17"/>
        <v>9</v>
      </c>
      <c r="U188">
        <f t="shared" si="18"/>
        <v>-11</v>
      </c>
      <c r="V188">
        <f t="shared" si="19"/>
        <v>1</v>
      </c>
      <c r="W188">
        <f t="shared" si="20"/>
        <v>0.88888888888888884</v>
      </c>
      <c r="X188" t="str">
        <f t="shared" si="21"/>
        <v>Low Profit</v>
      </c>
      <c r="Y188">
        <f t="shared" si="22"/>
        <v>31</v>
      </c>
      <c r="Z188">
        <f t="shared" si="23"/>
        <v>69</v>
      </c>
    </row>
    <row r="189" spans="1:26">
      <c r="A189" s="5">
        <v>515</v>
      </c>
      <c r="B189" s="5">
        <v>23</v>
      </c>
      <c r="C189" s="6">
        <v>41244</v>
      </c>
      <c r="D189" s="5" t="s">
        <v>32</v>
      </c>
      <c r="E189" s="5" t="s">
        <v>17</v>
      </c>
      <c r="F189" s="5">
        <v>6</v>
      </c>
      <c r="G189" s="5" t="s">
        <v>33</v>
      </c>
      <c r="H189" s="5" t="s">
        <v>34</v>
      </c>
      <c r="I189" s="5" t="s">
        <v>46</v>
      </c>
      <c r="J189" s="5">
        <v>17</v>
      </c>
      <c r="K189" s="5">
        <v>58</v>
      </c>
      <c r="L189" s="5" t="s">
        <v>36</v>
      </c>
      <c r="M189" s="5">
        <v>20</v>
      </c>
      <c r="N189" s="5">
        <v>40</v>
      </c>
      <c r="O189" s="5">
        <v>70</v>
      </c>
      <c r="P189" s="5">
        <v>18</v>
      </c>
      <c r="Q189">
        <f>SUM([1]!Table1[[#This Row],[Sales]])</f>
        <v>58</v>
      </c>
      <c r="R189">
        <f>SUM([1]!Table1[[#This Row],[Profit]])</f>
        <v>17</v>
      </c>
      <c r="S189" s="7">
        <f t="shared" si="16"/>
        <v>0.29310344827586204</v>
      </c>
      <c r="T189">
        <f t="shared" si="17"/>
        <v>6</v>
      </c>
      <c r="U189">
        <f t="shared" si="18"/>
        <v>-12</v>
      </c>
      <c r="V189">
        <f t="shared" si="19"/>
        <v>3</v>
      </c>
      <c r="W189">
        <f t="shared" si="20"/>
        <v>2.8333333333333335</v>
      </c>
      <c r="X189" t="str">
        <f t="shared" si="21"/>
        <v>Low Profit</v>
      </c>
      <c r="Y189">
        <f t="shared" si="22"/>
        <v>23</v>
      </c>
      <c r="Z189">
        <f t="shared" si="23"/>
        <v>58</v>
      </c>
    </row>
    <row r="190" spans="1:26">
      <c r="A190" s="3">
        <v>985</v>
      </c>
      <c r="B190" s="3">
        <v>41</v>
      </c>
      <c r="C190" s="4">
        <v>41244</v>
      </c>
      <c r="D190" s="3" t="s">
        <v>32</v>
      </c>
      <c r="E190" s="3" t="s">
        <v>23</v>
      </c>
      <c r="F190" s="3">
        <v>12</v>
      </c>
      <c r="G190" s="3" t="s">
        <v>33</v>
      </c>
      <c r="H190" s="3" t="s">
        <v>34</v>
      </c>
      <c r="I190" s="3" t="s">
        <v>46</v>
      </c>
      <c r="J190" s="3">
        <v>31</v>
      </c>
      <c r="K190" s="3">
        <v>107</v>
      </c>
      <c r="L190" s="3" t="s">
        <v>48</v>
      </c>
      <c r="M190" s="3">
        <v>30</v>
      </c>
      <c r="N190" s="3">
        <v>20</v>
      </c>
      <c r="O190" s="3">
        <v>80</v>
      </c>
      <c r="P190" s="3">
        <v>35</v>
      </c>
      <c r="Q190">
        <f>SUM([1]!Table1[[#This Row],[Sales]])</f>
        <v>107</v>
      </c>
      <c r="R190">
        <f>SUM([1]!Table1[[#This Row],[Profit]])</f>
        <v>31</v>
      </c>
      <c r="S190" s="7">
        <f t="shared" si="16"/>
        <v>0.28971962616822428</v>
      </c>
      <c r="T190">
        <f t="shared" si="17"/>
        <v>12</v>
      </c>
      <c r="U190">
        <f t="shared" si="18"/>
        <v>27</v>
      </c>
      <c r="V190">
        <f t="shared" si="19"/>
        <v>11</v>
      </c>
      <c r="W190">
        <f t="shared" si="20"/>
        <v>2.5833333333333335</v>
      </c>
      <c r="X190" t="str">
        <f t="shared" si="21"/>
        <v>Low Profit</v>
      </c>
      <c r="Y190">
        <f t="shared" si="22"/>
        <v>41</v>
      </c>
      <c r="Z190">
        <f t="shared" si="23"/>
        <v>107</v>
      </c>
    </row>
    <row r="191" spans="1:26">
      <c r="A191" s="5">
        <v>971</v>
      </c>
      <c r="B191" s="5">
        <v>46</v>
      </c>
      <c r="C191" s="6">
        <v>41244</v>
      </c>
      <c r="D191" s="5" t="s">
        <v>32</v>
      </c>
      <c r="E191" s="5" t="s">
        <v>29</v>
      </c>
      <c r="F191" s="5">
        <v>17</v>
      </c>
      <c r="G191" s="5" t="s">
        <v>33</v>
      </c>
      <c r="H191" s="5" t="s">
        <v>34</v>
      </c>
      <c r="I191" s="5" t="s">
        <v>47</v>
      </c>
      <c r="J191" s="5">
        <v>6</v>
      </c>
      <c r="K191" s="5">
        <v>103</v>
      </c>
      <c r="L191" s="5" t="s">
        <v>49</v>
      </c>
      <c r="M191" s="5">
        <v>40</v>
      </c>
      <c r="N191" s="5">
        <v>10</v>
      </c>
      <c r="O191" s="5">
        <v>90</v>
      </c>
      <c r="P191" s="5">
        <v>51</v>
      </c>
      <c r="Q191">
        <f>SUM([1]!Table1[[#This Row],[Sales]])</f>
        <v>103</v>
      </c>
      <c r="R191">
        <f>SUM([1]!Table1[[#This Row],[Profit]])</f>
        <v>6</v>
      </c>
      <c r="S191" s="7">
        <f t="shared" si="16"/>
        <v>5.8252427184466021E-2</v>
      </c>
      <c r="T191">
        <f t="shared" si="17"/>
        <v>17</v>
      </c>
      <c r="U191">
        <f t="shared" si="18"/>
        <v>13</v>
      </c>
      <c r="V191">
        <f t="shared" si="19"/>
        <v>6</v>
      </c>
      <c r="W191">
        <f t="shared" si="20"/>
        <v>0.35294117647058826</v>
      </c>
      <c r="X191" t="str">
        <f t="shared" si="21"/>
        <v>Low Profit</v>
      </c>
      <c r="Y191">
        <f t="shared" si="22"/>
        <v>46</v>
      </c>
      <c r="Z191">
        <f t="shared" si="23"/>
        <v>103</v>
      </c>
    </row>
    <row r="192" spans="1:26">
      <c r="A192" s="3">
        <v>262</v>
      </c>
      <c r="B192" s="3">
        <v>43</v>
      </c>
      <c r="C192" s="4">
        <v>41244</v>
      </c>
      <c r="D192" s="3" t="s">
        <v>32</v>
      </c>
      <c r="E192" s="3" t="s">
        <v>17</v>
      </c>
      <c r="F192" s="3">
        <v>13</v>
      </c>
      <c r="G192" s="3" t="s">
        <v>18</v>
      </c>
      <c r="H192" s="3" t="s">
        <v>26</v>
      </c>
      <c r="I192" s="3" t="s">
        <v>27</v>
      </c>
      <c r="J192" s="3">
        <v>28</v>
      </c>
      <c r="K192" s="3">
        <v>106</v>
      </c>
      <c r="L192" s="3" t="s">
        <v>52</v>
      </c>
      <c r="M192" s="3">
        <v>30</v>
      </c>
      <c r="N192" s="3">
        <v>20</v>
      </c>
      <c r="O192" s="3">
        <v>80</v>
      </c>
      <c r="P192" s="3">
        <v>35</v>
      </c>
      <c r="Q192">
        <f>SUM([1]!Table1[[#This Row],[Sales]])</f>
        <v>106</v>
      </c>
      <c r="R192">
        <f>SUM([1]!Table1[[#This Row],[Profit]])</f>
        <v>28</v>
      </c>
      <c r="S192" s="7">
        <f t="shared" si="16"/>
        <v>0.26415094339622641</v>
      </c>
      <c r="T192">
        <f t="shared" si="17"/>
        <v>13</v>
      </c>
      <c r="U192">
        <f t="shared" si="18"/>
        <v>26</v>
      </c>
      <c r="V192">
        <f t="shared" si="19"/>
        <v>13</v>
      </c>
      <c r="W192">
        <f t="shared" si="20"/>
        <v>2.1538461538461537</v>
      </c>
      <c r="X192" t="str">
        <f t="shared" si="21"/>
        <v>Low Profit</v>
      </c>
      <c r="Y192">
        <f t="shared" si="22"/>
        <v>43</v>
      </c>
      <c r="Z192">
        <f t="shared" si="23"/>
        <v>106</v>
      </c>
    </row>
    <row r="193" spans="1:26">
      <c r="A193" s="5">
        <v>959</v>
      </c>
      <c r="B193" s="5">
        <v>33</v>
      </c>
      <c r="C193" s="6">
        <v>41244</v>
      </c>
      <c r="D193" s="5" t="s">
        <v>32</v>
      </c>
      <c r="E193" s="5" t="s">
        <v>25</v>
      </c>
      <c r="F193" s="5">
        <v>9</v>
      </c>
      <c r="G193" s="5" t="s">
        <v>18</v>
      </c>
      <c r="H193" s="5" t="s">
        <v>26</v>
      </c>
      <c r="I193" s="5" t="s">
        <v>30</v>
      </c>
      <c r="J193" s="5">
        <v>28</v>
      </c>
      <c r="K193" s="5">
        <v>82</v>
      </c>
      <c r="L193" s="5" t="s">
        <v>37</v>
      </c>
      <c r="M193" s="5">
        <v>30</v>
      </c>
      <c r="N193" s="5">
        <v>40</v>
      </c>
      <c r="O193" s="5">
        <v>80</v>
      </c>
      <c r="P193" s="5">
        <v>21</v>
      </c>
      <c r="Q193">
        <f>SUM([1]!Table1[[#This Row],[Sales]])</f>
        <v>82</v>
      </c>
      <c r="R193">
        <f>SUM([1]!Table1[[#This Row],[Profit]])</f>
        <v>28</v>
      </c>
      <c r="S193" s="7">
        <f t="shared" si="16"/>
        <v>0.34146341463414637</v>
      </c>
      <c r="T193">
        <f t="shared" si="17"/>
        <v>9</v>
      </c>
      <c r="U193">
        <f t="shared" si="18"/>
        <v>2</v>
      </c>
      <c r="V193">
        <f t="shared" si="19"/>
        <v>3</v>
      </c>
      <c r="W193">
        <f t="shared" si="20"/>
        <v>3.1111111111111112</v>
      </c>
      <c r="X193" t="str">
        <f t="shared" si="21"/>
        <v>Low Profit</v>
      </c>
      <c r="Y193">
        <f t="shared" si="22"/>
        <v>33</v>
      </c>
      <c r="Z193">
        <f t="shared" si="23"/>
        <v>82</v>
      </c>
    </row>
    <row r="194" spans="1:26">
      <c r="A194" s="3">
        <v>435</v>
      </c>
      <c r="B194" s="3">
        <v>49</v>
      </c>
      <c r="C194" s="4">
        <v>41244</v>
      </c>
      <c r="D194" s="3" t="s">
        <v>32</v>
      </c>
      <c r="E194" s="3" t="s">
        <v>29</v>
      </c>
      <c r="F194" s="3">
        <v>44</v>
      </c>
      <c r="G194" s="3" t="s">
        <v>18</v>
      </c>
      <c r="H194" s="3" t="s">
        <v>26</v>
      </c>
      <c r="I194" s="3" t="s">
        <v>27</v>
      </c>
      <c r="J194" s="3">
        <v>-4</v>
      </c>
      <c r="K194" s="3">
        <v>118</v>
      </c>
      <c r="L194" s="3" t="s">
        <v>42</v>
      </c>
      <c r="M194" s="3">
        <v>30</v>
      </c>
      <c r="N194" s="3">
        <v>0</v>
      </c>
      <c r="O194" s="3">
        <v>80</v>
      </c>
      <c r="P194" s="3">
        <v>73</v>
      </c>
      <c r="Q194">
        <f>SUM([1]!Table1[[#This Row],[Sales]])</f>
        <v>118</v>
      </c>
      <c r="R194">
        <f>SUM([1]!Table1[[#This Row],[Profit]])</f>
        <v>-4</v>
      </c>
      <c r="S194" s="7">
        <f t="shared" si="16"/>
        <v>-3.3898305084745763E-2</v>
      </c>
      <c r="T194">
        <f t="shared" si="17"/>
        <v>44</v>
      </c>
      <c r="U194">
        <f t="shared" si="18"/>
        <v>38</v>
      </c>
      <c r="V194">
        <f t="shared" si="19"/>
        <v>19</v>
      </c>
      <c r="W194">
        <f t="shared" si="20"/>
        <v>-9.0909090909090912E-2</v>
      </c>
      <c r="X194" t="str">
        <f t="shared" si="21"/>
        <v>Low Profit</v>
      </c>
      <c r="Y194">
        <f t="shared" si="22"/>
        <v>49</v>
      </c>
      <c r="Z194">
        <f t="shared" si="23"/>
        <v>118</v>
      </c>
    </row>
    <row r="195" spans="1:26">
      <c r="A195" s="5">
        <v>360</v>
      </c>
      <c r="B195" s="5">
        <v>55</v>
      </c>
      <c r="C195" s="6">
        <v>41244</v>
      </c>
      <c r="D195" s="5" t="s">
        <v>32</v>
      </c>
      <c r="E195" s="5" t="s">
        <v>29</v>
      </c>
      <c r="F195" s="5">
        <v>49</v>
      </c>
      <c r="G195" s="5" t="s">
        <v>18</v>
      </c>
      <c r="H195" s="5" t="s">
        <v>26</v>
      </c>
      <c r="I195" s="5" t="s">
        <v>30</v>
      </c>
      <c r="J195" s="5">
        <v>-3</v>
      </c>
      <c r="K195" s="5">
        <v>131</v>
      </c>
      <c r="L195" s="5" t="s">
        <v>53</v>
      </c>
      <c r="M195" s="5">
        <v>40</v>
      </c>
      <c r="N195" s="5">
        <v>-10</v>
      </c>
      <c r="O195" s="5">
        <v>90</v>
      </c>
      <c r="P195" s="5">
        <v>79</v>
      </c>
      <c r="Q195">
        <f>SUM([1]!Table1[[#This Row],[Sales]])</f>
        <v>131</v>
      </c>
      <c r="R195">
        <f>SUM([1]!Table1[[#This Row],[Profit]])</f>
        <v>-3</v>
      </c>
      <c r="S195" s="7">
        <f t="shared" ref="S195:S258" si="24">J195/K195</f>
        <v>-2.2900763358778626E-2</v>
      </c>
      <c r="T195">
        <f t="shared" ref="T195:T258" si="25">SUM(F195)</f>
        <v>49</v>
      </c>
      <c r="U195">
        <f t="shared" ref="U195:U258" si="26">K195-O195</f>
        <v>41</v>
      </c>
      <c r="V195">
        <f t="shared" ref="V195:V258" si="27">B195-M195</f>
        <v>15</v>
      </c>
      <c r="W195">
        <f t="shared" ref="W195:W258" si="28">J195/F195</f>
        <v>-6.1224489795918366E-2</v>
      </c>
      <c r="X195" t="str">
        <f t="shared" ref="X195:X258" si="29">IF(J195&gt;100,"High Profit","Low Profit")</f>
        <v>Low Profit</v>
      </c>
      <c r="Y195">
        <f t="shared" ref="Y195:Y258" si="30">SUM(B195)</f>
        <v>55</v>
      </c>
      <c r="Z195">
        <f t="shared" ref="Z195:Z258" si="31">SUM(K195)</f>
        <v>131</v>
      </c>
    </row>
    <row r="196" spans="1:26">
      <c r="A196" s="3">
        <v>303</v>
      </c>
      <c r="B196" s="3">
        <v>39</v>
      </c>
      <c r="C196" s="4">
        <v>41548</v>
      </c>
      <c r="D196" s="3" t="s">
        <v>16</v>
      </c>
      <c r="E196" s="3" t="s">
        <v>17</v>
      </c>
      <c r="F196" s="3">
        <v>12</v>
      </c>
      <c r="G196" s="3" t="s">
        <v>33</v>
      </c>
      <c r="H196" s="3" t="s">
        <v>38</v>
      </c>
      <c r="I196" s="3" t="s">
        <v>45</v>
      </c>
      <c r="J196" s="3">
        <v>40</v>
      </c>
      <c r="K196" s="3">
        <v>96</v>
      </c>
      <c r="L196" s="3" t="s">
        <v>21</v>
      </c>
      <c r="M196" s="3">
        <v>30</v>
      </c>
      <c r="N196" s="3">
        <v>50</v>
      </c>
      <c r="O196" s="3">
        <v>80</v>
      </c>
      <c r="P196" s="3">
        <v>24</v>
      </c>
      <c r="Q196">
        <f>SUM([1]!Table1[[#This Row],[Sales]])</f>
        <v>96</v>
      </c>
      <c r="R196">
        <f>SUM([1]!Table1[[#This Row],[Profit]])</f>
        <v>40</v>
      </c>
      <c r="S196" s="7">
        <f t="shared" si="24"/>
        <v>0.41666666666666669</v>
      </c>
      <c r="T196">
        <f t="shared" si="25"/>
        <v>12</v>
      </c>
      <c r="U196">
        <f t="shared" si="26"/>
        <v>16</v>
      </c>
      <c r="V196">
        <f t="shared" si="27"/>
        <v>9</v>
      </c>
      <c r="W196">
        <f t="shared" si="28"/>
        <v>3.3333333333333335</v>
      </c>
      <c r="X196" t="str">
        <f t="shared" si="29"/>
        <v>Low Profit</v>
      </c>
      <c r="Y196">
        <f t="shared" si="30"/>
        <v>39</v>
      </c>
      <c r="Z196">
        <f t="shared" si="31"/>
        <v>96</v>
      </c>
    </row>
    <row r="197" spans="1:26">
      <c r="A197" s="5">
        <v>904</v>
      </c>
      <c r="B197" s="5">
        <v>80</v>
      </c>
      <c r="C197" s="6">
        <v>41548</v>
      </c>
      <c r="D197" s="5" t="s">
        <v>16</v>
      </c>
      <c r="E197" s="5" t="s">
        <v>25</v>
      </c>
      <c r="F197" s="5">
        <v>24</v>
      </c>
      <c r="G197" s="5" t="s">
        <v>18</v>
      </c>
      <c r="H197" s="5" t="s">
        <v>19</v>
      </c>
      <c r="I197" s="5" t="s">
        <v>22</v>
      </c>
      <c r="J197" s="5">
        <v>71</v>
      </c>
      <c r="K197" s="5">
        <v>185</v>
      </c>
      <c r="L197" s="5" t="s">
        <v>28</v>
      </c>
      <c r="M197" s="5">
        <v>40</v>
      </c>
      <c r="N197" s="5">
        <v>40</v>
      </c>
      <c r="O197" s="5">
        <v>90</v>
      </c>
      <c r="P197" s="5">
        <v>46</v>
      </c>
      <c r="Q197">
        <f>SUM([1]!Table1[[#This Row],[Sales]])</f>
        <v>185</v>
      </c>
      <c r="R197">
        <f>SUM([1]!Table1[[#This Row],[Profit]])</f>
        <v>71</v>
      </c>
      <c r="S197" s="7">
        <f t="shared" si="24"/>
        <v>0.38378378378378381</v>
      </c>
      <c r="T197">
        <f t="shared" si="25"/>
        <v>24</v>
      </c>
      <c r="U197">
        <f t="shared" si="26"/>
        <v>95</v>
      </c>
      <c r="V197">
        <f t="shared" si="27"/>
        <v>40</v>
      </c>
      <c r="W197">
        <f t="shared" si="28"/>
        <v>2.9583333333333335</v>
      </c>
      <c r="X197" t="str">
        <f t="shared" si="29"/>
        <v>Low Profit</v>
      </c>
      <c r="Y197">
        <f t="shared" si="30"/>
        <v>80</v>
      </c>
      <c r="Z197">
        <f t="shared" si="31"/>
        <v>185</v>
      </c>
    </row>
    <row r="198" spans="1:26">
      <c r="A198" s="3">
        <v>720</v>
      </c>
      <c r="B198" s="3">
        <v>54</v>
      </c>
      <c r="C198" s="4">
        <v>41548</v>
      </c>
      <c r="D198" s="3" t="s">
        <v>16</v>
      </c>
      <c r="E198" s="3" t="s">
        <v>17</v>
      </c>
      <c r="F198" s="3">
        <v>20</v>
      </c>
      <c r="G198" s="3" t="s">
        <v>18</v>
      </c>
      <c r="H198" s="3" t="s">
        <v>26</v>
      </c>
      <c r="I198" s="3" t="s">
        <v>27</v>
      </c>
      <c r="J198" s="3">
        <v>19</v>
      </c>
      <c r="K198" s="3">
        <v>128</v>
      </c>
      <c r="L198" s="3" t="s">
        <v>21</v>
      </c>
      <c r="M198" s="3">
        <v>30</v>
      </c>
      <c r="N198" s="3">
        <v>30</v>
      </c>
      <c r="O198" s="3">
        <v>80</v>
      </c>
      <c r="P198" s="3">
        <v>53</v>
      </c>
      <c r="Q198">
        <f>SUM([1]!Table1[[#This Row],[Sales]])</f>
        <v>128</v>
      </c>
      <c r="R198">
        <f>SUM([1]!Table1[[#This Row],[Profit]])</f>
        <v>19</v>
      </c>
      <c r="S198" s="7">
        <f t="shared" si="24"/>
        <v>0.1484375</v>
      </c>
      <c r="T198">
        <f t="shared" si="25"/>
        <v>20</v>
      </c>
      <c r="U198">
        <f t="shared" si="26"/>
        <v>48</v>
      </c>
      <c r="V198">
        <f t="shared" si="27"/>
        <v>24</v>
      </c>
      <c r="W198">
        <f t="shared" si="28"/>
        <v>0.95</v>
      </c>
      <c r="X198" t="str">
        <f t="shared" si="29"/>
        <v>Low Profit</v>
      </c>
      <c r="Y198">
        <f t="shared" si="30"/>
        <v>54</v>
      </c>
      <c r="Z198">
        <f t="shared" si="31"/>
        <v>128</v>
      </c>
    </row>
    <row r="199" spans="1:26">
      <c r="A199" s="5">
        <v>970</v>
      </c>
      <c r="B199" s="5">
        <v>54</v>
      </c>
      <c r="C199" s="6">
        <v>41548</v>
      </c>
      <c r="D199" s="5" t="s">
        <v>16</v>
      </c>
      <c r="E199" s="5" t="s">
        <v>17</v>
      </c>
      <c r="F199" s="5">
        <v>16</v>
      </c>
      <c r="G199" s="5" t="s">
        <v>18</v>
      </c>
      <c r="H199" s="5" t="s">
        <v>26</v>
      </c>
      <c r="I199" s="5" t="s">
        <v>54</v>
      </c>
      <c r="J199" s="5">
        <v>40</v>
      </c>
      <c r="K199" s="5">
        <v>126</v>
      </c>
      <c r="L199" s="5" t="s">
        <v>21</v>
      </c>
      <c r="M199" s="5">
        <v>30</v>
      </c>
      <c r="N199" s="5">
        <v>40</v>
      </c>
      <c r="O199" s="5">
        <v>80</v>
      </c>
      <c r="P199" s="5">
        <v>37</v>
      </c>
      <c r="Q199">
        <f>SUM([1]!Table1[[#This Row],[Sales]])</f>
        <v>126</v>
      </c>
      <c r="R199">
        <f>SUM([1]!Table1[[#This Row],[Profit]])</f>
        <v>40</v>
      </c>
      <c r="S199" s="7">
        <f t="shared" si="24"/>
        <v>0.31746031746031744</v>
      </c>
      <c r="T199">
        <f t="shared" si="25"/>
        <v>16</v>
      </c>
      <c r="U199">
        <f t="shared" si="26"/>
        <v>46</v>
      </c>
      <c r="V199">
        <f t="shared" si="27"/>
        <v>24</v>
      </c>
      <c r="W199">
        <f t="shared" si="28"/>
        <v>2.5</v>
      </c>
      <c r="X199" t="str">
        <f t="shared" si="29"/>
        <v>Low Profit</v>
      </c>
      <c r="Y199">
        <f t="shared" si="30"/>
        <v>54</v>
      </c>
      <c r="Z199">
        <f t="shared" si="31"/>
        <v>126</v>
      </c>
    </row>
    <row r="200" spans="1:26">
      <c r="A200" s="3">
        <v>978</v>
      </c>
      <c r="B200" s="3">
        <v>27</v>
      </c>
      <c r="C200" s="4">
        <v>41548</v>
      </c>
      <c r="D200" s="3" t="s">
        <v>16</v>
      </c>
      <c r="E200" s="3" t="s">
        <v>25</v>
      </c>
      <c r="F200" s="3">
        <v>7</v>
      </c>
      <c r="G200" s="3" t="s">
        <v>18</v>
      </c>
      <c r="H200" s="3" t="s">
        <v>26</v>
      </c>
      <c r="I200" s="3" t="s">
        <v>27</v>
      </c>
      <c r="J200" s="3">
        <v>30</v>
      </c>
      <c r="K200" s="3">
        <v>70</v>
      </c>
      <c r="L200" s="3" t="s">
        <v>55</v>
      </c>
      <c r="M200" s="3">
        <v>20</v>
      </c>
      <c r="N200" s="3">
        <v>50</v>
      </c>
      <c r="O200" s="3">
        <v>70</v>
      </c>
      <c r="P200" s="3">
        <v>19</v>
      </c>
      <c r="Q200">
        <f>SUM([1]!Table1[[#This Row],[Sales]])</f>
        <v>70</v>
      </c>
      <c r="R200">
        <f>SUM([1]!Table1[[#This Row],[Profit]])</f>
        <v>30</v>
      </c>
      <c r="S200" s="7">
        <f t="shared" si="24"/>
        <v>0.42857142857142855</v>
      </c>
      <c r="T200">
        <f t="shared" si="25"/>
        <v>7</v>
      </c>
      <c r="U200">
        <f t="shared" si="26"/>
        <v>0</v>
      </c>
      <c r="V200">
        <f t="shared" si="27"/>
        <v>7</v>
      </c>
      <c r="W200">
        <f t="shared" si="28"/>
        <v>4.2857142857142856</v>
      </c>
      <c r="X200" t="str">
        <f t="shared" si="29"/>
        <v>Low Profit</v>
      </c>
      <c r="Y200">
        <f t="shared" si="30"/>
        <v>27</v>
      </c>
      <c r="Z200">
        <f t="shared" si="31"/>
        <v>70</v>
      </c>
    </row>
    <row r="201" spans="1:26">
      <c r="A201" s="5">
        <v>626</v>
      </c>
      <c r="B201" s="5">
        <v>76</v>
      </c>
      <c r="C201" s="6">
        <v>41548</v>
      </c>
      <c r="D201" s="5" t="s">
        <v>16</v>
      </c>
      <c r="E201" s="5" t="s">
        <v>29</v>
      </c>
      <c r="F201" s="5">
        <v>21</v>
      </c>
      <c r="G201" s="5" t="s">
        <v>18</v>
      </c>
      <c r="H201" s="5" t="s">
        <v>26</v>
      </c>
      <c r="I201" s="5" t="s">
        <v>54</v>
      </c>
      <c r="J201" s="5">
        <v>117</v>
      </c>
      <c r="K201" s="5">
        <v>199</v>
      </c>
      <c r="L201" s="5" t="s">
        <v>31</v>
      </c>
      <c r="M201" s="5">
        <v>30</v>
      </c>
      <c r="N201" s="5">
        <v>50</v>
      </c>
      <c r="O201" s="5">
        <v>80</v>
      </c>
      <c r="P201" s="5">
        <v>32</v>
      </c>
      <c r="Q201">
        <f>SUM([1]!Table1[[#This Row],[Sales]])</f>
        <v>199</v>
      </c>
      <c r="R201">
        <f>SUM([1]!Table1[[#This Row],[Profit]])</f>
        <v>117</v>
      </c>
      <c r="S201" s="7">
        <f t="shared" si="24"/>
        <v>0.5879396984924623</v>
      </c>
      <c r="T201">
        <f t="shared" si="25"/>
        <v>21</v>
      </c>
      <c r="U201">
        <f t="shared" si="26"/>
        <v>119</v>
      </c>
      <c r="V201">
        <f t="shared" si="27"/>
        <v>46</v>
      </c>
      <c r="W201">
        <f t="shared" si="28"/>
        <v>5.5714285714285712</v>
      </c>
      <c r="X201" t="str">
        <f t="shared" si="29"/>
        <v>High Profit</v>
      </c>
      <c r="Y201">
        <f t="shared" si="30"/>
        <v>76</v>
      </c>
      <c r="Z201">
        <f t="shared" si="31"/>
        <v>199</v>
      </c>
    </row>
    <row r="202" spans="1:26">
      <c r="A202" s="3">
        <v>262</v>
      </c>
      <c r="B202" s="3">
        <v>22</v>
      </c>
      <c r="C202" s="4">
        <v>41548</v>
      </c>
      <c r="D202" s="3" t="s">
        <v>32</v>
      </c>
      <c r="E202" s="3" t="s">
        <v>17</v>
      </c>
      <c r="F202" s="3">
        <v>7</v>
      </c>
      <c r="G202" s="3" t="s">
        <v>33</v>
      </c>
      <c r="H202" s="3" t="s">
        <v>34</v>
      </c>
      <c r="I202" s="3" t="s">
        <v>35</v>
      </c>
      <c r="J202" s="3">
        <v>15</v>
      </c>
      <c r="K202" s="3">
        <v>54</v>
      </c>
      <c r="L202" s="3" t="s">
        <v>52</v>
      </c>
      <c r="M202" s="3">
        <v>20</v>
      </c>
      <c r="N202" s="3">
        <v>50</v>
      </c>
      <c r="O202" s="3">
        <v>70</v>
      </c>
      <c r="P202" s="3">
        <v>19</v>
      </c>
      <c r="Q202">
        <f>SUM([1]!Table1[[#This Row],[Sales]])</f>
        <v>54</v>
      </c>
      <c r="R202">
        <f>SUM([1]!Table1[[#This Row],[Profit]])</f>
        <v>15</v>
      </c>
      <c r="S202" s="7">
        <f t="shared" si="24"/>
        <v>0.27777777777777779</v>
      </c>
      <c r="T202">
        <f t="shared" si="25"/>
        <v>7</v>
      </c>
      <c r="U202">
        <f t="shared" si="26"/>
        <v>-16</v>
      </c>
      <c r="V202">
        <f t="shared" si="27"/>
        <v>2</v>
      </c>
      <c r="W202">
        <f t="shared" si="28"/>
        <v>2.1428571428571428</v>
      </c>
      <c r="X202" t="str">
        <f t="shared" si="29"/>
        <v>Low Profit</v>
      </c>
      <c r="Y202">
        <f t="shared" si="30"/>
        <v>22</v>
      </c>
      <c r="Z202">
        <f t="shared" si="31"/>
        <v>54</v>
      </c>
    </row>
    <row r="203" spans="1:26">
      <c r="A203" s="5">
        <v>641</v>
      </c>
      <c r="B203" s="5">
        <v>23</v>
      </c>
      <c r="C203" s="6">
        <v>41548</v>
      </c>
      <c r="D203" s="5" t="s">
        <v>32</v>
      </c>
      <c r="E203" s="5" t="s">
        <v>17</v>
      </c>
      <c r="F203" s="5">
        <v>6</v>
      </c>
      <c r="G203" s="5" t="s">
        <v>33</v>
      </c>
      <c r="H203" s="5" t="s">
        <v>34</v>
      </c>
      <c r="I203" s="5" t="s">
        <v>46</v>
      </c>
      <c r="J203" s="5">
        <v>27</v>
      </c>
      <c r="K203" s="5">
        <v>62</v>
      </c>
      <c r="L203" s="5" t="s">
        <v>36</v>
      </c>
      <c r="M203" s="5">
        <v>20</v>
      </c>
      <c r="N203" s="5">
        <v>50</v>
      </c>
      <c r="O203" s="5">
        <v>70</v>
      </c>
      <c r="P203" s="5">
        <v>17</v>
      </c>
      <c r="Q203">
        <f>SUM([1]!Table1[[#This Row],[Sales]])</f>
        <v>62</v>
      </c>
      <c r="R203">
        <f>SUM([1]!Table1[[#This Row],[Profit]])</f>
        <v>27</v>
      </c>
      <c r="S203" s="7">
        <f t="shared" si="24"/>
        <v>0.43548387096774194</v>
      </c>
      <c r="T203">
        <f t="shared" si="25"/>
        <v>6</v>
      </c>
      <c r="U203">
        <f t="shared" si="26"/>
        <v>-8</v>
      </c>
      <c r="V203">
        <f t="shared" si="27"/>
        <v>3</v>
      </c>
      <c r="W203">
        <f t="shared" si="28"/>
        <v>4.5</v>
      </c>
      <c r="X203" t="str">
        <f t="shared" si="29"/>
        <v>Low Profit</v>
      </c>
      <c r="Y203">
        <f t="shared" si="30"/>
        <v>23</v>
      </c>
      <c r="Z203">
        <f t="shared" si="31"/>
        <v>62</v>
      </c>
    </row>
    <row r="204" spans="1:26">
      <c r="A204" s="3">
        <v>203</v>
      </c>
      <c r="B204" s="3">
        <v>79</v>
      </c>
      <c r="C204" s="4">
        <v>41548</v>
      </c>
      <c r="D204" s="3" t="s">
        <v>32</v>
      </c>
      <c r="E204" s="3" t="s">
        <v>25</v>
      </c>
      <c r="F204" s="3">
        <v>30</v>
      </c>
      <c r="G204" s="3" t="s">
        <v>18</v>
      </c>
      <c r="H204" s="3" t="s">
        <v>19</v>
      </c>
      <c r="I204" s="3" t="s">
        <v>20</v>
      </c>
      <c r="J204" s="3">
        <v>50</v>
      </c>
      <c r="K204" s="3">
        <v>189</v>
      </c>
      <c r="L204" s="3" t="s">
        <v>37</v>
      </c>
      <c r="M204" s="3">
        <v>40</v>
      </c>
      <c r="N204" s="3">
        <v>30</v>
      </c>
      <c r="O204" s="3">
        <v>90</v>
      </c>
      <c r="P204" s="3">
        <v>64</v>
      </c>
      <c r="Q204">
        <f>SUM([1]!Table1[[#This Row],[Sales]])</f>
        <v>189</v>
      </c>
      <c r="R204">
        <f>SUM([1]!Table1[[#This Row],[Profit]])</f>
        <v>50</v>
      </c>
      <c r="S204" s="7">
        <f t="shared" si="24"/>
        <v>0.26455026455026454</v>
      </c>
      <c r="T204">
        <f t="shared" si="25"/>
        <v>30</v>
      </c>
      <c r="U204">
        <f t="shared" si="26"/>
        <v>99</v>
      </c>
      <c r="V204">
        <f t="shared" si="27"/>
        <v>39</v>
      </c>
      <c r="W204">
        <f t="shared" si="28"/>
        <v>1.6666666666666667</v>
      </c>
      <c r="X204" t="str">
        <f t="shared" si="29"/>
        <v>Low Profit</v>
      </c>
      <c r="Y204">
        <f t="shared" si="30"/>
        <v>79</v>
      </c>
      <c r="Z204">
        <f t="shared" si="31"/>
        <v>189</v>
      </c>
    </row>
    <row r="205" spans="1:26">
      <c r="A205" s="5">
        <v>203</v>
      </c>
      <c r="B205" s="5">
        <v>65</v>
      </c>
      <c r="C205" s="6">
        <v>41548</v>
      </c>
      <c r="D205" s="5" t="s">
        <v>32</v>
      </c>
      <c r="E205" s="5" t="s">
        <v>25</v>
      </c>
      <c r="F205" s="5">
        <v>20</v>
      </c>
      <c r="G205" s="5" t="s">
        <v>18</v>
      </c>
      <c r="H205" s="5" t="s">
        <v>19</v>
      </c>
      <c r="I205" s="5" t="s">
        <v>22</v>
      </c>
      <c r="J205" s="5">
        <v>52</v>
      </c>
      <c r="K205" s="5">
        <v>151</v>
      </c>
      <c r="L205" s="5" t="s">
        <v>37</v>
      </c>
      <c r="M205" s="5">
        <v>30</v>
      </c>
      <c r="N205" s="5">
        <v>50</v>
      </c>
      <c r="O205" s="5">
        <v>80</v>
      </c>
      <c r="P205" s="5">
        <v>42</v>
      </c>
      <c r="Q205">
        <f>SUM([1]!Table1[[#This Row],[Sales]])</f>
        <v>151</v>
      </c>
      <c r="R205">
        <f>SUM([1]!Table1[[#This Row],[Profit]])</f>
        <v>52</v>
      </c>
      <c r="S205" s="7">
        <f t="shared" si="24"/>
        <v>0.3443708609271523</v>
      </c>
      <c r="T205">
        <f t="shared" si="25"/>
        <v>20</v>
      </c>
      <c r="U205">
        <f t="shared" si="26"/>
        <v>71</v>
      </c>
      <c r="V205">
        <f t="shared" si="27"/>
        <v>35</v>
      </c>
      <c r="W205">
        <f t="shared" si="28"/>
        <v>2.6</v>
      </c>
      <c r="X205" t="str">
        <f t="shared" si="29"/>
        <v>Low Profit</v>
      </c>
      <c r="Y205">
        <f t="shared" si="30"/>
        <v>65</v>
      </c>
      <c r="Z205">
        <f t="shared" si="31"/>
        <v>151</v>
      </c>
    </row>
    <row r="206" spans="1:26">
      <c r="A206" s="3">
        <v>262</v>
      </c>
      <c r="B206" s="3">
        <v>46</v>
      </c>
      <c r="C206" s="4">
        <v>41548</v>
      </c>
      <c r="D206" s="3" t="s">
        <v>32</v>
      </c>
      <c r="E206" s="3" t="s">
        <v>17</v>
      </c>
      <c r="F206" s="3">
        <v>14</v>
      </c>
      <c r="G206" s="3" t="s">
        <v>18</v>
      </c>
      <c r="H206" s="3" t="s">
        <v>26</v>
      </c>
      <c r="I206" s="3" t="s">
        <v>27</v>
      </c>
      <c r="J206" s="3">
        <v>45</v>
      </c>
      <c r="K206" s="3">
        <v>120</v>
      </c>
      <c r="L206" s="3" t="s">
        <v>52</v>
      </c>
      <c r="M206" s="3">
        <v>20</v>
      </c>
      <c r="N206" s="3">
        <v>40</v>
      </c>
      <c r="O206" s="3">
        <v>70</v>
      </c>
      <c r="P206" s="3">
        <v>37</v>
      </c>
      <c r="Q206">
        <f>SUM([1]!Table1[[#This Row],[Sales]])</f>
        <v>120</v>
      </c>
      <c r="R206">
        <f>SUM([1]!Table1[[#This Row],[Profit]])</f>
        <v>45</v>
      </c>
      <c r="S206" s="7">
        <f t="shared" si="24"/>
        <v>0.375</v>
      </c>
      <c r="T206">
        <f t="shared" si="25"/>
        <v>14</v>
      </c>
      <c r="U206">
        <f t="shared" si="26"/>
        <v>50</v>
      </c>
      <c r="V206">
        <f t="shared" si="27"/>
        <v>26</v>
      </c>
      <c r="W206">
        <f t="shared" si="28"/>
        <v>3.2142857142857144</v>
      </c>
      <c r="X206" t="str">
        <f t="shared" si="29"/>
        <v>Low Profit</v>
      </c>
      <c r="Y206">
        <f t="shared" si="30"/>
        <v>46</v>
      </c>
      <c r="Z206">
        <f t="shared" si="31"/>
        <v>120</v>
      </c>
    </row>
    <row r="207" spans="1:26">
      <c r="A207" s="5">
        <v>262</v>
      </c>
      <c r="B207" s="5">
        <v>60</v>
      </c>
      <c r="C207" s="6">
        <v>41548</v>
      </c>
      <c r="D207" s="5" t="s">
        <v>32</v>
      </c>
      <c r="E207" s="5" t="s">
        <v>17</v>
      </c>
      <c r="F207" s="5">
        <v>54</v>
      </c>
      <c r="G207" s="5" t="s">
        <v>18</v>
      </c>
      <c r="H207" s="5" t="s">
        <v>26</v>
      </c>
      <c r="I207" s="5" t="s">
        <v>54</v>
      </c>
      <c r="J207" s="5">
        <v>0</v>
      </c>
      <c r="K207" s="5">
        <v>153</v>
      </c>
      <c r="L207" s="5" t="s">
        <v>52</v>
      </c>
      <c r="M207" s="5">
        <v>40</v>
      </c>
      <c r="N207" s="5">
        <v>0</v>
      </c>
      <c r="O207" s="5">
        <v>90</v>
      </c>
      <c r="P207" s="5">
        <v>84</v>
      </c>
      <c r="Q207">
        <f>SUM([1]!Table1[[#This Row],[Sales]])</f>
        <v>153</v>
      </c>
      <c r="R207">
        <f>SUM([1]!Table1[[#This Row],[Profit]])</f>
        <v>0</v>
      </c>
      <c r="S207" s="7">
        <f t="shared" si="24"/>
        <v>0</v>
      </c>
      <c r="T207">
        <f t="shared" si="25"/>
        <v>54</v>
      </c>
      <c r="U207">
        <f t="shared" si="26"/>
        <v>63</v>
      </c>
      <c r="V207">
        <f t="shared" si="27"/>
        <v>20</v>
      </c>
      <c r="W207">
        <f t="shared" si="28"/>
        <v>0</v>
      </c>
      <c r="X207" t="str">
        <f t="shared" si="29"/>
        <v>Low Profit</v>
      </c>
      <c r="Y207">
        <f t="shared" si="30"/>
        <v>60</v>
      </c>
      <c r="Z207">
        <f t="shared" si="31"/>
        <v>153</v>
      </c>
    </row>
    <row r="208" spans="1:26">
      <c r="A208" s="3">
        <v>425</v>
      </c>
      <c r="B208" s="3">
        <v>60</v>
      </c>
      <c r="C208" s="4">
        <v>41548</v>
      </c>
      <c r="D208" s="3" t="s">
        <v>32</v>
      </c>
      <c r="E208" s="3" t="s">
        <v>29</v>
      </c>
      <c r="F208" s="3">
        <v>18</v>
      </c>
      <c r="G208" s="3" t="s">
        <v>18</v>
      </c>
      <c r="H208" s="3" t="s">
        <v>26</v>
      </c>
      <c r="I208" s="3" t="s">
        <v>27</v>
      </c>
      <c r="J208" s="3">
        <v>85</v>
      </c>
      <c r="K208" s="3">
        <v>169</v>
      </c>
      <c r="L208" s="3" t="s">
        <v>53</v>
      </c>
      <c r="M208" s="3">
        <v>20</v>
      </c>
      <c r="N208" s="3">
        <v>40</v>
      </c>
      <c r="O208" s="3">
        <v>70</v>
      </c>
      <c r="P208" s="3">
        <v>42</v>
      </c>
      <c r="Q208">
        <f>SUM([1]!Table1[[#This Row],[Sales]])</f>
        <v>169</v>
      </c>
      <c r="R208">
        <f>SUM([1]!Table1[[#This Row],[Profit]])</f>
        <v>85</v>
      </c>
      <c r="S208" s="7">
        <f t="shared" si="24"/>
        <v>0.50295857988165682</v>
      </c>
      <c r="T208">
        <f t="shared" si="25"/>
        <v>18</v>
      </c>
      <c r="U208">
        <f t="shared" si="26"/>
        <v>99</v>
      </c>
      <c r="V208">
        <f t="shared" si="27"/>
        <v>40</v>
      </c>
      <c r="W208">
        <f t="shared" si="28"/>
        <v>4.7222222222222223</v>
      </c>
      <c r="X208" t="str">
        <f t="shared" si="29"/>
        <v>Low Profit</v>
      </c>
      <c r="Y208">
        <f t="shared" si="30"/>
        <v>60</v>
      </c>
      <c r="Z208">
        <f t="shared" si="31"/>
        <v>169</v>
      </c>
    </row>
    <row r="209" spans="1:26">
      <c r="A209" s="5">
        <v>312</v>
      </c>
      <c r="B209" s="5">
        <v>40</v>
      </c>
      <c r="C209" s="6">
        <v>41579</v>
      </c>
      <c r="D209" s="5" t="s">
        <v>16</v>
      </c>
      <c r="E209" s="5" t="s">
        <v>17</v>
      </c>
      <c r="F209" s="5">
        <v>13</v>
      </c>
      <c r="G209" s="5" t="s">
        <v>18</v>
      </c>
      <c r="H209" s="5" t="s">
        <v>19</v>
      </c>
      <c r="I209" s="5" t="s">
        <v>20</v>
      </c>
      <c r="J209" s="5">
        <v>40</v>
      </c>
      <c r="K209" s="5">
        <v>98</v>
      </c>
      <c r="L209" s="5" t="s">
        <v>56</v>
      </c>
      <c r="M209" s="5">
        <v>30</v>
      </c>
      <c r="N209" s="5">
        <v>30</v>
      </c>
      <c r="O209" s="5">
        <v>80</v>
      </c>
      <c r="P209" s="5">
        <v>25</v>
      </c>
      <c r="Q209">
        <f>SUM([1]!Table1[[#This Row],[Sales]])</f>
        <v>98</v>
      </c>
      <c r="R209">
        <f>SUM([1]!Table1[[#This Row],[Profit]])</f>
        <v>40</v>
      </c>
      <c r="S209" s="7">
        <f t="shared" si="24"/>
        <v>0.40816326530612246</v>
      </c>
      <c r="T209">
        <f t="shared" si="25"/>
        <v>13</v>
      </c>
      <c r="U209">
        <f t="shared" si="26"/>
        <v>18</v>
      </c>
      <c r="V209">
        <f t="shared" si="27"/>
        <v>10</v>
      </c>
      <c r="W209">
        <f t="shared" si="28"/>
        <v>3.0769230769230771</v>
      </c>
      <c r="X209" t="str">
        <f t="shared" si="29"/>
        <v>Low Profit</v>
      </c>
      <c r="Y209">
        <f t="shared" si="30"/>
        <v>40</v>
      </c>
      <c r="Z209">
        <f t="shared" si="31"/>
        <v>98</v>
      </c>
    </row>
    <row r="210" spans="1:26">
      <c r="A210" s="3">
        <v>419</v>
      </c>
      <c r="B210" s="3">
        <v>36</v>
      </c>
      <c r="C210" s="4">
        <v>41579</v>
      </c>
      <c r="D210" s="3" t="s">
        <v>16</v>
      </c>
      <c r="E210" s="3" t="s">
        <v>17</v>
      </c>
      <c r="F210" s="3">
        <v>10</v>
      </c>
      <c r="G210" s="3" t="s">
        <v>18</v>
      </c>
      <c r="H210" s="3" t="s">
        <v>19</v>
      </c>
      <c r="I210" s="3" t="s">
        <v>20</v>
      </c>
      <c r="J210" s="3">
        <v>45</v>
      </c>
      <c r="K210" s="3">
        <v>94</v>
      </c>
      <c r="L210" s="3" t="s">
        <v>58</v>
      </c>
      <c r="M210" s="3">
        <v>30</v>
      </c>
      <c r="N210" s="3">
        <v>40</v>
      </c>
      <c r="O210" s="3">
        <v>80</v>
      </c>
      <c r="P210" s="3">
        <v>22</v>
      </c>
      <c r="Q210">
        <f>SUM([1]!Table1[[#This Row],[Sales]])</f>
        <v>94</v>
      </c>
      <c r="R210">
        <f>SUM([1]!Table1[[#This Row],[Profit]])</f>
        <v>45</v>
      </c>
      <c r="S210" s="7">
        <f t="shared" si="24"/>
        <v>0.47872340425531917</v>
      </c>
      <c r="T210">
        <f t="shared" si="25"/>
        <v>10</v>
      </c>
      <c r="U210">
        <f t="shared" si="26"/>
        <v>14</v>
      </c>
      <c r="V210">
        <f t="shared" si="27"/>
        <v>6</v>
      </c>
      <c r="W210">
        <f t="shared" si="28"/>
        <v>4.5</v>
      </c>
      <c r="X210" t="str">
        <f t="shared" si="29"/>
        <v>Low Profit</v>
      </c>
      <c r="Y210">
        <f t="shared" si="30"/>
        <v>36</v>
      </c>
      <c r="Z210">
        <f t="shared" si="31"/>
        <v>94</v>
      </c>
    </row>
    <row r="211" spans="1:26">
      <c r="A211" s="5">
        <v>857</v>
      </c>
      <c r="B211" s="5">
        <v>55</v>
      </c>
      <c r="C211" s="6">
        <v>41579</v>
      </c>
      <c r="D211" s="5" t="s">
        <v>16</v>
      </c>
      <c r="E211" s="5" t="s">
        <v>25</v>
      </c>
      <c r="F211" s="5">
        <v>20</v>
      </c>
      <c r="G211" s="5" t="s">
        <v>18</v>
      </c>
      <c r="H211" s="5" t="s">
        <v>19</v>
      </c>
      <c r="I211" s="5" t="s">
        <v>20</v>
      </c>
      <c r="J211" s="5">
        <v>22</v>
      </c>
      <c r="K211" s="5">
        <v>132</v>
      </c>
      <c r="L211" s="5" t="s">
        <v>55</v>
      </c>
      <c r="M211" s="5">
        <v>40</v>
      </c>
      <c r="N211" s="5">
        <v>20</v>
      </c>
      <c r="O211" s="5">
        <v>90</v>
      </c>
      <c r="P211" s="5">
        <v>54</v>
      </c>
      <c r="Q211">
        <f>SUM([1]!Table1[[#This Row],[Sales]])</f>
        <v>132</v>
      </c>
      <c r="R211">
        <f>SUM([1]!Table1[[#This Row],[Profit]])</f>
        <v>22</v>
      </c>
      <c r="S211" s="7">
        <f t="shared" si="24"/>
        <v>0.16666666666666666</v>
      </c>
      <c r="T211">
        <f t="shared" si="25"/>
        <v>20</v>
      </c>
      <c r="U211">
        <f t="shared" si="26"/>
        <v>42</v>
      </c>
      <c r="V211">
        <f t="shared" si="27"/>
        <v>15</v>
      </c>
      <c r="W211">
        <f t="shared" si="28"/>
        <v>1.1000000000000001</v>
      </c>
      <c r="X211" t="str">
        <f t="shared" si="29"/>
        <v>Low Profit</v>
      </c>
      <c r="Y211">
        <f t="shared" si="30"/>
        <v>55</v>
      </c>
      <c r="Z211">
        <f t="shared" si="31"/>
        <v>132</v>
      </c>
    </row>
    <row r="212" spans="1:26">
      <c r="A212" s="3">
        <v>323</v>
      </c>
      <c r="B212" s="3">
        <v>40</v>
      </c>
      <c r="C212" s="4">
        <v>41579</v>
      </c>
      <c r="D212" s="3" t="s">
        <v>16</v>
      </c>
      <c r="E212" s="3" t="s">
        <v>29</v>
      </c>
      <c r="F212" s="3">
        <v>13</v>
      </c>
      <c r="G212" s="3" t="s">
        <v>18</v>
      </c>
      <c r="H212" s="3" t="s">
        <v>19</v>
      </c>
      <c r="I212" s="3" t="s">
        <v>22</v>
      </c>
      <c r="J212" s="3">
        <v>40</v>
      </c>
      <c r="K212" s="3">
        <v>98</v>
      </c>
      <c r="L212" s="3" t="s">
        <v>31</v>
      </c>
      <c r="M212" s="3">
        <v>30</v>
      </c>
      <c r="N212" s="3">
        <v>30</v>
      </c>
      <c r="O212" s="3">
        <v>80</v>
      </c>
      <c r="P212" s="3">
        <v>25</v>
      </c>
      <c r="Q212">
        <f>SUM([1]!Table1[[#This Row],[Sales]])</f>
        <v>98</v>
      </c>
      <c r="R212">
        <f>SUM([1]!Table1[[#This Row],[Profit]])</f>
        <v>40</v>
      </c>
      <c r="S212" s="7">
        <f t="shared" si="24"/>
        <v>0.40816326530612246</v>
      </c>
      <c r="T212">
        <f t="shared" si="25"/>
        <v>13</v>
      </c>
      <c r="U212">
        <f t="shared" si="26"/>
        <v>18</v>
      </c>
      <c r="V212">
        <f t="shared" si="27"/>
        <v>10</v>
      </c>
      <c r="W212">
        <f t="shared" si="28"/>
        <v>3.0769230769230771</v>
      </c>
      <c r="X212" t="str">
        <f t="shared" si="29"/>
        <v>Low Profit</v>
      </c>
      <c r="Y212">
        <f t="shared" si="30"/>
        <v>40</v>
      </c>
      <c r="Z212">
        <f t="shared" si="31"/>
        <v>98</v>
      </c>
    </row>
    <row r="213" spans="1:26">
      <c r="A213" s="5">
        <v>352</v>
      </c>
      <c r="B213" s="5">
        <v>28</v>
      </c>
      <c r="C213" s="6">
        <v>41579</v>
      </c>
      <c r="D213" s="5" t="s">
        <v>16</v>
      </c>
      <c r="E213" s="5" t="s">
        <v>25</v>
      </c>
      <c r="F213" s="5">
        <v>7</v>
      </c>
      <c r="G213" s="5" t="s">
        <v>18</v>
      </c>
      <c r="H213" s="5" t="s">
        <v>26</v>
      </c>
      <c r="I213" s="5" t="s">
        <v>27</v>
      </c>
      <c r="J213" s="5">
        <v>34</v>
      </c>
      <c r="K213" s="5">
        <v>75</v>
      </c>
      <c r="L213" s="5" t="s">
        <v>28</v>
      </c>
      <c r="M213" s="5">
        <v>20</v>
      </c>
      <c r="N213" s="5">
        <v>40</v>
      </c>
      <c r="O213" s="5">
        <v>70</v>
      </c>
      <c r="P213" s="5">
        <v>19</v>
      </c>
      <c r="Q213">
        <f>SUM([1]!Table1[[#This Row],[Sales]])</f>
        <v>75</v>
      </c>
      <c r="R213">
        <f>SUM([1]!Table1[[#This Row],[Profit]])</f>
        <v>34</v>
      </c>
      <c r="S213" s="7">
        <f t="shared" si="24"/>
        <v>0.45333333333333331</v>
      </c>
      <c r="T213">
        <f t="shared" si="25"/>
        <v>7</v>
      </c>
      <c r="U213">
        <f t="shared" si="26"/>
        <v>5</v>
      </c>
      <c r="V213">
        <f t="shared" si="27"/>
        <v>8</v>
      </c>
      <c r="W213">
        <f t="shared" si="28"/>
        <v>4.8571428571428568</v>
      </c>
      <c r="X213" t="str">
        <f t="shared" si="29"/>
        <v>Low Profit</v>
      </c>
      <c r="Y213">
        <f t="shared" si="30"/>
        <v>28</v>
      </c>
      <c r="Z213">
        <f t="shared" si="31"/>
        <v>75</v>
      </c>
    </row>
    <row r="214" spans="1:26">
      <c r="A214" s="3">
        <v>904</v>
      </c>
      <c r="B214" s="3">
        <v>31</v>
      </c>
      <c r="C214" s="4">
        <v>41579</v>
      </c>
      <c r="D214" s="3" t="s">
        <v>16</v>
      </c>
      <c r="E214" s="3" t="s">
        <v>25</v>
      </c>
      <c r="F214" s="3">
        <v>8</v>
      </c>
      <c r="G214" s="3" t="s">
        <v>18</v>
      </c>
      <c r="H214" s="3" t="s">
        <v>26</v>
      </c>
      <c r="I214" s="3" t="s">
        <v>30</v>
      </c>
      <c r="J214" s="3">
        <v>42</v>
      </c>
      <c r="K214" s="3">
        <v>83</v>
      </c>
      <c r="L214" s="3" t="s">
        <v>28</v>
      </c>
      <c r="M214" s="3">
        <v>30</v>
      </c>
      <c r="N214" s="3">
        <v>40</v>
      </c>
      <c r="O214" s="3">
        <v>80</v>
      </c>
      <c r="P214" s="3">
        <v>19</v>
      </c>
      <c r="Q214">
        <f>SUM([1]!Table1[[#This Row],[Sales]])</f>
        <v>83</v>
      </c>
      <c r="R214">
        <f>SUM([1]!Table1[[#This Row],[Profit]])</f>
        <v>42</v>
      </c>
      <c r="S214" s="7">
        <f t="shared" si="24"/>
        <v>0.50602409638554213</v>
      </c>
      <c r="T214">
        <f t="shared" si="25"/>
        <v>8</v>
      </c>
      <c r="U214">
        <f t="shared" si="26"/>
        <v>3</v>
      </c>
      <c r="V214">
        <f t="shared" si="27"/>
        <v>1</v>
      </c>
      <c r="W214">
        <f t="shared" si="28"/>
        <v>5.25</v>
      </c>
      <c r="X214" t="str">
        <f t="shared" si="29"/>
        <v>Low Profit</v>
      </c>
      <c r="Y214">
        <f t="shared" si="30"/>
        <v>31</v>
      </c>
      <c r="Z214">
        <f t="shared" si="31"/>
        <v>83</v>
      </c>
    </row>
    <row r="215" spans="1:26">
      <c r="A215" s="5">
        <v>978</v>
      </c>
      <c r="B215" s="5">
        <v>32</v>
      </c>
      <c r="C215" s="6">
        <v>41579</v>
      </c>
      <c r="D215" s="5" t="s">
        <v>16</v>
      </c>
      <c r="E215" s="5" t="s">
        <v>25</v>
      </c>
      <c r="F215" s="5">
        <v>8</v>
      </c>
      <c r="G215" s="5" t="s">
        <v>18</v>
      </c>
      <c r="H215" s="5" t="s">
        <v>26</v>
      </c>
      <c r="I215" s="5" t="s">
        <v>30</v>
      </c>
      <c r="J215" s="5">
        <v>43</v>
      </c>
      <c r="K215" s="5">
        <v>85</v>
      </c>
      <c r="L215" s="5" t="s">
        <v>55</v>
      </c>
      <c r="M215" s="5">
        <v>30</v>
      </c>
      <c r="N215" s="5">
        <v>40</v>
      </c>
      <c r="O215" s="5">
        <v>80</v>
      </c>
      <c r="P215" s="5">
        <v>19</v>
      </c>
      <c r="Q215">
        <f>SUM([1]!Table1[[#This Row],[Sales]])</f>
        <v>85</v>
      </c>
      <c r="R215">
        <f>SUM([1]!Table1[[#This Row],[Profit]])</f>
        <v>43</v>
      </c>
      <c r="S215" s="7">
        <f t="shared" si="24"/>
        <v>0.50588235294117645</v>
      </c>
      <c r="T215">
        <f t="shared" si="25"/>
        <v>8</v>
      </c>
      <c r="U215">
        <f t="shared" si="26"/>
        <v>5</v>
      </c>
      <c r="V215">
        <f t="shared" si="27"/>
        <v>2</v>
      </c>
      <c r="W215">
        <f t="shared" si="28"/>
        <v>5.375</v>
      </c>
      <c r="X215" t="str">
        <f t="shared" si="29"/>
        <v>Low Profit</v>
      </c>
      <c r="Y215">
        <f t="shared" si="30"/>
        <v>32</v>
      </c>
      <c r="Z215">
        <f t="shared" si="31"/>
        <v>85</v>
      </c>
    </row>
    <row r="216" spans="1:26">
      <c r="A216" s="3">
        <v>760</v>
      </c>
      <c r="B216" s="3">
        <v>50</v>
      </c>
      <c r="C216" s="4">
        <v>41579</v>
      </c>
      <c r="D216" s="3" t="s">
        <v>16</v>
      </c>
      <c r="E216" s="3" t="s">
        <v>29</v>
      </c>
      <c r="F216" s="3">
        <v>14</v>
      </c>
      <c r="G216" s="3" t="s">
        <v>18</v>
      </c>
      <c r="H216" s="3" t="s">
        <v>26</v>
      </c>
      <c r="I216" s="3" t="s">
        <v>54</v>
      </c>
      <c r="J216" s="3">
        <v>70</v>
      </c>
      <c r="K216" s="3">
        <v>131</v>
      </c>
      <c r="L216" s="3" t="s">
        <v>31</v>
      </c>
      <c r="M216" s="3">
        <v>30</v>
      </c>
      <c r="N216" s="3">
        <v>40</v>
      </c>
      <c r="O216" s="3">
        <v>80</v>
      </c>
      <c r="P216" s="3">
        <v>26</v>
      </c>
      <c r="Q216">
        <f>SUM([1]!Table1[[#This Row],[Sales]])</f>
        <v>131</v>
      </c>
      <c r="R216">
        <f>SUM([1]!Table1[[#This Row],[Profit]])</f>
        <v>70</v>
      </c>
      <c r="S216" s="7">
        <f t="shared" si="24"/>
        <v>0.53435114503816794</v>
      </c>
      <c r="T216">
        <f t="shared" si="25"/>
        <v>14</v>
      </c>
      <c r="U216">
        <f t="shared" si="26"/>
        <v>51</v>
      </c>
      <c r="V216">
        <f t="shared" si="27"/>
        <v>20</v>
      </c>
      <c r="W216">
        <f t="shared" si="28"/>
        <v>5</v>
      </c>
      <c r="X216" t="str">
        <f t="shared" si="29"/>
        <v>Low Profit</v>
      </c>
      <c r="Y216">
        <f t="shared" si="30"/>
        <v>50</v>
      </c>
      <c r="Z216">
        <f t="shared" si="31"/>
        <v>131</v>
      </c>
    </row>
    <row r="217" spans="1:26">
      <c r="A217" s="5">
        <v>515</v>
      </c>
      <c r="B217" s="5">
        <v>0</v>
      </c>
      <c r="C217" s="6">
        <v>41579</v>
      </c>
      <c r="D217" s="5" t="s">
        <v>32</v>
      </c>
      <c r="E217" s="5" t="s">
        <v>17</v>
      </c>
      <c r="F217" s="5">
        <v>0</v>
      </c>
      <c r="G217" s="5" t="s">
        <v>33</v>
      </c>
      <c r="H217" s="5" t="s">
        <v>34</v>
      </c>
      <c r="I217" s="5" t="s">
        <v>35</v>
      </c>
      <c r="J217" s="5">
        <v>46</v>
      </c>
      <c r="K217" s="5">
        <v>46</v>
      </c>
      <c r="L217" s="5" t="s">
        <v>36</v>
      </c>
      <c r="M217" s="5">
        <v>0</v>
      </c>
      <c r="N217" s="5">
        <v>40</v>
      </c>
      <c r="O217" s="5">
        <v>50</v>
      </c>
      <c r="P217" s="5">
        <v>12</v>
      </c>
      <c r="Q217">
        <f>SUM([1]!Table1[[#This Row],[Sales]])</f>
        <v>46</v>
      </c>
      <c r="R217">
        <f>SUM([1]!Table1[[#This Row],[Profit]])</f>
        <v>46</v>
      </c>
      <c r="S217" s="7">
        <f t="shared" si="24"/>
        <v>1</v>
      </c>
      <c r="T217">
        <f t="shared" si="25"/>
        <v>0</v>
      </c>
      <c r="U217">
        <f t="shared" si="26"/>
        <v>-4</v>
      </c>
      <c r="V217">
        <f t="shared" si="27"/>
        <v>0</v>
      </c>
      <c r="W217" t="e">
        <f t="shared" si="28"/>
        <v>#DIV/0!</v>
      </c>
      <c r="X217" t="str">
        <f t="shared" si="29"/>
        <v>Low Profit</v>
      </c>
      <c r="Y217">
        <f t="shared" si="30"/>
        <v>0</v>
      </c>
      <c r="Z217">
        <f t="shared" si="31"/>
        <v>46</v>
      </c>
    </row>
    <row r="218" spans="1:26">
      <c r="A218" s="3">
        <v>505</v>
      </c>
      <c r="B218" s="3">
        <v>82</v>
      </c>
      <c r="C218" s="4">
        <v>41579</v>
      </c>
      <c r="D218" s="3" t="s">
        <v>32</v>
      </c>
      <c r="E218" s="3" t="s">
        <v>23</v>
      </c>
      <c r="F218" s="3">
        <v>25</v>
      </c>
      <c r="G218" s="3" t="s">
        <v>33</v>
      </c>
      <c r="H218" s="3" t="s">
        <v>38</v>
      </c>
      <c r="I218" s="3" t="s">
        <v>39</v>
      </c>
      <c r="J218" s="3">
        <v>-12</v>
      </c>
      <c r="K218" s="3">
        <v>130</v>
      </c>
      <c r="L218" s="3" t="s">
        <v>57</v>
      </c>
      <c r="M218" s="3">
        <v>90</v>
      </c>
      <c r="N218" s="3">
        <v>10</v>
      </c>
      <c r="O218" s="3">
        <v>140</v>
      </c>
      <c r="P218" s="3">
        <v>48</v>
      </c>
      <c r="Q218">
        <f>SUM([1]!Table1[[#This Row],[Sales]])</f>
        <v>130</v>
      </c>
      <c r="R218">
        <f>SUM([1]!Table1[[#This Row],[Profit]])</f>
        <v>-12</v>
      </c>
      <c r="S218" s="7">
        <f t="shared" si="24"/>
        <v>-9.2307692307692313E-2</v>
      </c>
      <c r="T218">
        <f t="shared" si="25"/>
        <v>25</v>
      </c>
      <c r="U218">
        <f t="shared" si="26"/>
        <v>-10</v>
      </c>
      <c r="V218">
        <f t="shared" si="27"/>
        <v>-8</v>
      </c>
      <c r="W218">
        <f t="shared" si="28"/>
        <v>-0.48</v>
      </c>
      <c r="X218" t="str">
        <f t="shared" si="29"/>
        <v>Low Profit</v>
      </c>
      <c r="Y218">
        <f t="shared" si="30"/>
        <v>82</v>
      </c>
      <c r="Z218">
        <f t="shared" si="31"/>
        <v>130</v>
      </c>
    </row>
    <row r="219" spans="1:26">
      <c r="A219" s="5">
        <v>515</v>
      </c>
      <c r="B219" s="5">
        <v>22</v>
      </c>
      <c r="C219" s="6">
        <v>41579</v>
      </c>
      <c r="D219" s="5" t="s">
        <v>32</v>
      </c>
      <c r="E219" s="5" t="s">
        <v>17</v>
      </c>
      <c r="F219" s="5">
        <v>6</v>
      </c>
      <c r="G219" s="5" t="s">
        <v>33</v>
      </c>
      <c r="H219" s="5" t="s">
        <v>34</v>
      </c>
      <c r="I219" s="5" t="s">
        <v>46</v>
      </c>
      <c r="J219" s="5">
        <v>24</v>
      </c>
      <c r="K219" s="5">
        <v>60</v>
      </c>
      <c r="L219" s="5" t="s">
        <v>36</v>
      </c>
      <c r="M219" s="5">
        <v>20</v>
      </c>
      <c r="N219" s="5">
        <v>40</v>
      </c>
      <c r="O219" s="5">
        <v>70</v>
      </c>
      <c r="P219" s="5">
        <v>18</v>
      </c>
      <c r="Q219">
        <f>SUM([1]!Table1[[#This Row],[Sales]])</f>
        <v>60</v>
      </c>
      <c r="R219">
        <f>SUM([1]!Table1[[#This Row],[Profit]])</f>
        <v>24</v>
      </c>
      <c r="S219" s="7">
        <f t="shared" si="24"/>
        <v>0.4</v>
      </c>
      <c r="T219">
        <f t="shared" si="25"/>
        <v>6</v>
      </c>
      <c r="U219">
        <f t="shared" si="26"/>
        <v>-10</v>
      </c>
      <c r="V219">
        <f t="shared" si="27"/>
        <v>2</v>
      </c>
      <c r="W219">
        <f t="shared" si="28"/>
        <v>4</v>
      </c>
      <c r="X219" t="str">
        <f t="shared" si="29"/>
        <v>Low Profit</v>
      </c>
      <c r="Y219">
        <f t="shared" si="30"/>
        <v>22</v>
      </c>
      <c r="Z219">
        <f t="shared" si="31"/>
        <v>60</v>
      </c>
    </row>
    <row r="220" spans="1:26">
      <c r="A220" s="3">
        <v>505</v>
      </c>
      <c r="B220" s="3">
        <v>44</v>
      </c>
      <c r="C220" s="4">
        <v>41579</v>
      </c>
      <c r="D220" s="3" t="s">
        <v>32</v>
      </c>
      <c r="E220" s="3" t="s">
        <v>23</v>
      </c>
      <c r="F220" s="3">
        <v>40</v>
      </c>
      <c r="G220" s="3" t="s">
        <v>33</v>
      </c>
      <c r="H220" s="3" t="s">
        <v>34</v>
      </c>
      <c r="I220" s="3" t="s">
        <v>46</v>
      </c>
      <c r="J220" s="3">
        <v>-10</v>
      </c>
      <c r="K220" s="3">
        <v>113</v>
      </c>
      <c r="L220" s="3" t="s">
        <v>57</v>
      </c>
      <c r="M220" s="3">
        <v>30</v>
      </c>
      <c r="N220" s="3">
        <v>0</v>
      </c>
      <c r="O220" s="3">
        <v>80</v>
      </c>
      <c r="P220" s="3">
        <v>69</v>
      </c>
      <c r="Q220">
        <f>SUM([1]!Table1[[#This Row],[Sales]])</f>
        <v>113</v>
      </c>
      <c r="R220">
        <f>SUM([1]!Table1[[#This Row],[Profit]])</f>
        <v>-10</v>
      </c>
      <c r="S220" s="7">
        <f t="shared" si="24"/>
        <v>-8.8495575221238937E-2</v>
      </c>
      <c r="T220">
        <f t="shared" si="25"/>
        <v>40</v>
      </c>
      <c r="U220">
        <f t="shared" si="26"/>
        <v>33</v>
      </c>
      <c r="V220">
        <f t="shared" si="27"/>
        <v>14</v>
      </c>
      <c r="W220">
        <f t="shared" si="28"/>
        <v>-0.25</v>
      </c>
      <c r="X220" t="str">
        <f t="shared" si="29"/>
        <v>Low Profit</v>
      </c>
      <c r="Y220">
        <f t="shared" si="30"/>
        <v>44</v>
      </c>
      <c r="Z220">
        <f t="shared" si="31"/>
        <v>113</v>
      </c>
    </row>
    <row r="221" spans="1:26">
      <c r="A221" s="5">
        <v>775</v>
      </c>
      <c r="B221" s="5">
        <v>33</v>
      </c>
      <c r="C221" s="6">
        <v>41579</v>
      </c>
      <c r="D221" s="5" t="s">
        <v>32</v>
      </c>
      <c r="E221" s="5" t="s">
        <v>29</v>
      </c>
      <c r="F221" s="5">
        <v>12</v>
      </c>
      <c r="G221" s="5" t="s">
        <v>33</v>
      </c>
      <c r="H221" s="5" t="s">
        <v>38</v>
      </c>
      <c r="I221" s="5" t="s">
        <v>45</v>
      </c>
      <c r="J221" s="5">
        <v>-6</v>
      </c>
      <c r="K221" s="5">
        <v>79</v>
      </c>
      <c r="L221" s="5" t="s">
        <v>41</v>
      </c>
      <c r="M221" s="5">
        <v>30</v>
      </c>
      <c r="N221" s="5">
        <v>10</v>
      </c>
      <c r="O221" s="5">
        <v>80</v>
      </c>
      <c r="P221" s="5">
        <v>45</v>
      </c>
      <c r="Q221">
        <f>SUM([1]!Table1[[#This Row],[Sales]])</f>
        <v>79</v>
      </c>
      <c r="R221">
        <f>SUM([1]!Table1[[#This Row],[Profit]])</f>
        <v>-6</v>
      </c>
      <c r="S221" s="7">
        <f t="shared" si="24"/>
        <v>-7.5949367088607597E-2</v>
      </c>
      <c r="T221">
        <f t="shared" si="25"/>
        <v>12</v>
      </c>
      <c r="U221">
        <f t="shared" si="26"/>
        <v>-1</v>
      </c>
      <c r="V221">
        <f t="shared" si="27"/>
        <v>3</v>
      </c>
      <c r="W221">
        <f t="shared" si="28"/>
        <v>-0.5</v>
      </c>
      <c r="X221" t="str">
        <f t="shared" si="29"/>
        <v>Low Profit</v>
      </c>
      <c r="Y221">
        <f t="shared" si="30"/>
        <v>33</v>
      </c>
      <c r="Z221">
        <f t="shared" si="31"/>
        <v>79</v>
      </c>
    </row>
    <row r="222" spans="1:26">
      <c r="A222" s="3">
        <v>314</v>
      </c>
      <c r="B222" s="3">
        <v>44</v>
      </c>
      <c r="C222" s="4">
        <v>41579</v>
      </c>
      <c r="D222" s="3" t="s">
        <v>32</v>
      </c>
      <c r="E222" s="3" t="s">
        <v>17</v>
      </c>
      <c r="F222" s="3">
        <v>40</v>
      </c>
      <c r="G222" s="3" t="s">
        <v>18</v>
      </c>
      <c r="H222" s="3" t="s">
        <v>19</v>
      </c>
      <c r="I222" s="3" t="s">
        <v>50</v>
      </c>
      <c r="J222" s="3">
        <v>-12</v>
      </c>
      <c r="K222" s="3">
        <v>113</v>
      </c>
      <c r="L222" s="3" t="s">
        <v>51</v>
      </c>
      <c r="M222" s="3">
        <v>40</v>
      </c>
      <c r="N222" s="3">
        <v>0</v>
      </c>
      <c r="O222" s="3">
        <v>90</v>
      </c>
      <c r="P222" s="3">
        <v>70</v>
      </c>
      <c r="Q222">
        <f>SUM([1]!Table1[[#This Row],[Sales]])</f>
        <v>113</v>
      </c>
      <c r="R222">
        <f>SUM([1]!Table1[[#This Row],[Profit]])</f>
        <v>-12</v>
      </c>
      <c r="S222" s="7">
        <f t="shared" si="24"/>
        <v>-0.10619469026548672</v>
      </c>
      <c r="T222">
        <f t="shared" si="25"/>
        <v>40</v>
      </c>
      <c r="U222">
        <f t="shared" si="26"/>
        <v>23</v>
      </c>
      <c r="V222">
        <f t="shared" si="27"/>
        <v>4</v>
      </c>
      <c r="W222">
        <f t="shared" si="28"/>
        <v>-0.3</v>
      </c>
      <c r="X222" t="str">
        <f t="shared" si="29"/>
        <v>Low Profit</v>
      </c>
      <c r="Y222">
        <f t="shared" si="30"/>
        <v>44</v>
      </c>
      <c r="Z222">
        <f t="shared" si="31"/>
        <v>113</v>
      </c>
    </row>
    <row r="223" spans="1:26">
      <c r="A223" s="5">
        <v>715</v>
      </c>
      <c r="B223" s="5">
        <v>31</v>
      </c>
      <c r="C223" s="6">
        <v>41579</v>
      </c>
      <c r="D223" s="5" t="s">
        <v>32</v>
      </c>
      <c r="E223" s="5" t="s">
        <v>17</v>
      </c>
      <c r="F223" s="5">
        <v>8</v>
      </c>
      <c r="G223" s="5" t="s">
        <v>18</v>
      </c>
      <c r="H223" s="5" t="s">
        <v>19</v>
      </c>
      <c r="I223" s="5" t="s">
        <v>20</v>
      </c>
      <c r="J223" s="5">
        <v>40</v>
      </c>
      <c r="K223" s="5">
        <v>83</v>
      </c>
      <c r="L223" s="5" t="s">
        <v>52</v>
      </c>
      <c r="M223" s="5">
        <v>20</v>
      </c>
      <c r="N223" s="5">
        <v>40</v>
      </c>
      <c r="O223" s="5">
        <v>70</v>
      </c>
      <c r="P223" s="5">
        <v>20</v>
      </c>
      <c r="Q223">
        <f>SUM([1]!Table1[[#This Row],[Sales]])</f>
        <v>83</v>
      </c>
      <c r="R223">
        <f>SUM([1]!Table1[[#This Row],[Profit]])</f>
        <v>40</v>
      </c>
      <c r="S223" s="7">
        <f t="shared" si="24"/>
        <v>0.48192771084337349</v>
      </c>
      <c r="T223">
        <f t="shared" si="25"/>
        <v>8</v>
      </c>
      <c r="U223">
        <f t="shared" si="26"/>
        <v>13</v>
      </c>
      <c r="V223">
        <f t="shared" si="27"/>
        <v>11</v>
      </c>
      <c r="W223">
        <f t="shared" si="28"/>
        <v>5</v>
      </c>
      <c r="X223" t="str">
        <f t="shared" si="29"/>
        <v>Low Profit</v>
      </c>
      <c r="Y223">
        <f t="shared" si="30"/>
        <v>31</v>
      </c>
      <c r="Z223">
        <f t="shared" si="31"/>
        <v>83</v>
      </c>
    </row>
    <row r="224" spans="1:26">
      <c r="A224" s="3">
        <v>959</v>
      </c>
      <c r="B224" s="3">
        <v>69</v>
      </c>
      <c r="C224" s="4">
        <v>41579</v>
      </c>
      <c r="D224" s="3" t="s">
        <v>32</v>
      </c>
      <c r="E224" s="3" t="s">
        <v>25</v>
      </c>
      <c r="F224" s="3">
        <v>21</v>
      </c>
      <c r="G224" s="3" t="s">
        <v>18</v>
      </c>
      <c r="H224" s="3" t="s">
        <v>19</v>
      </c>
      <c r="I224" s="3" t="s">
        <v>22</v>
      </c>
      <c r="J224" s="3">
        <v>56</v>
      </c>
      <c r="K224" s="3">
        <v>160</v>
      </c>
      <c r="L224" s="3" t="s">
        <v>37</v>
      </c>
      <c r="M224" s="3">
        <v>50</v>
      </c>
      <c r="N224" s="3">
        <v>30</v>
      </c>
      <c r="O224" s="3">
        <v>100</v>
      </c>
      <c r="P224" s="3">
        <v>43</v>
      </c>
      <c r="Q224">
        <f>SUM([1]!Table1[[#This Row],[Sales]])</f>
        <v>160</v>
      </c>
      <c r="R224">
        <f>SUM([1]!Table1[[#This Row],[Profit]])</f>
        <v>56</v>
      </c>
      <c r="S224" s="7">
        <f t="shared" si="24"/>
        <v>0.35</v>
      </c>
      <c r="T224">
        <f t="shared" si="25"/>
        <v>21</v>
      </c>
      <c r="U224">
        <f t="shared" si="26"/>
        <v>60</v>
      </c>
      <c r="V224">
        <f t="shared" si="27"/>
        <v>19</v>
      </c>
      <c r="W224">
        <f t="shared" si="28"/>
        <v>2.6666666666666665</v>
      </c>
      <c r="X224" t="str">
        <f t="shared" si="29"/>
        <v>Low Profit</v>
      </c>
      <c r="Y224">
        <f t="shared" si="30"/>
        <v>69</v>
      </c>
      <c r="Z224">
        <f t="shared" si="31"/>
        <v>160</v>
      </c>
    </row>
    <row r="225" spans="1:26">
      <c r="A225" s="5">
        <v>715</v>
      </c>
      <c r="B225" s="5">
        <v>49</v>
      </c>
      <c r="C225" s="6">
        <v>41579</v>
      </c>
      <c r="D225" s="5" t="s">
        <v>32</v>
      </c>
      <c r="E225" s="5" t="s">
        <v>17</v>
      </c>
      <c r="F225" s="5">
        <v>15</v>
      </c>
      <c r="G225" s="5" t="s">
        <v>18</v>
      </c>
      <c r="H225" s="5" t="s">
        <v>26</v>
      </c>
      <c r="I225" s="5" t="s">
        <v>27</v>
      </c>
      <c r="J225" s="5">
        <v>49</v>
      </c>
      <c r="K225" s="5">
        <v>128</v>
      </c>
      <c r="L225" s="5" t="s">
        <v>52</v>
      </c>
      <c r="M225" s="5">
        <v>40</v>
      </c>
      <c r="N225" s="5">
        <v>20</v>
      </c>
      <c r="O225" s="5">
        <v>90</v>
      </c>
      <c r="P225" s="5">
        <v>38</v>
      </c>
      <c r="Q225">
        <f>SUM([1]!Table1[[#This Row],[Sales]])</f>
        <v>128</v>
      </c>
      <c r="R225">
        <f>SUM([1]!Table1[[#This Row],[Profit]])</f>
        <v>49</v>
      </c>
      <c r="S225" s="7">
        <f t="shared" si="24"/>
        <v>0.3828125</v>
      </c>
      <c r="T225">
        <f t="shared" si="25"/>
        <v>15</v>
      </c>
      <c r="U225">
        <f t="shared" si="26"/>
        <v>38</v>
      </c>
      <c r="V225">
        <f t="shared" si="27"/>
        <v>9</v>
      </c>
      <c r="W225">
        <f t="shared" si="28"/>
        <v>3.2666666666666666</v>
      </c>
      <c r="X225" t="str">
        <f t="shared" si="29"/>
        <v>Low Profit</v>
      </c>
      <c r="Y225">
        <f t="shared" si="30"/>
        <v>49</v>
      </c>
      <c r="Z225">
        <f t="shared" si="31"/>
        <v>128</v>
      </c>
    </row>
    <row r="226" spans="1:26">
      <c r="A226" s="3">
        <v>206</v>
      </c>
      <c r="B226" s="3">
        <v>49</v>
      </c>
      <c r="C226" s="4">
        <v>41579</v>
      </c>
      <c r="D226" s="3" t="s">
        <v>32</v>
      </c>
      <c r="E226" s="3" t="s">
        <v>29</v>
      </c>
      <c r="F226" s="3">
        <v>15</v>
      </c>
      <c r="G226" s="3" t="s">
        <v>18</v>
      </c>
      <c r="H226" s="3" t="s">
        <v>26</v>
      </c>
      <c r="I226" s="3" t="s">
        <v>54</v>
      </c>
      <c r="J226" s="3">
        <v>50</v>
      </c>
      <c r="K226" s="3">
        <v>128</v>
      </c>
      <c r="L226" s="3" t="s">
        <v>53</v>
      </c>
      <c r="M226" s="3">
        <v>30</v>
      </c>
      <c r="N226" s="3">
        <v>30</v>
      </c>
      <c r="O226" s="3">
        <v>80</v>
      </c>
      <c r="P226" s="3">
        <v>37</v>
      </c>
      <c r="Q226">
        <f>SUM([1]!Table1[[#This Row],[Sales]])</f>
        <v>128</v>
      </c>
      <c r="R226">
        <f>SUM([1]!Table1[[#This Row],[Profit]])</f>
        <v>50</v>
      </c>
      <c r="S226" s="7">
        <f t="shared" si="24"/>
        <v>0.390625</v>
      </c>
      <c r="T226">
        <f t="shared" si="25"/>
        <v>15</v>
      </c>
      <c r="U226">
        <f t="shared" si="26"/>
        <v>48</v>
      </c>
      <c r="V226">
        <f t="shared" si="27"/>
        <v>19</v>
      </c>
      <c r="W226">
        <f t="shared" si="28"/>
        <v>3.3333333333333335</v>
      </c>
      <c r="X226" t="str">
        <f t="shared" si="29"/>
        <v>Low Profit</v>
      </c>
      <c r="Y226">
        <f t="shared" si="30"/>
        <v>49</v>
      </c>
      <c r="Z226">
        <f t="shared" si="31"/>
        <v>128</v>
      </c>
    </row>
    <row r="227" spans="1:26">
      <c r="A227" s="5">
        <v>970</v>
      </c>
      <c r="B227" s="5">
        <v>43</v>
      </c>
      <c r="C227" s="6">
        <v>41609</v>
      </c>
      <c r="D227" s="5" t="s">
        <v>16</v>
      </c>
      <c r="E227" s="5" t="s">
        <v>17</v>
      </c>
      <c r="F227" s="5">
        <v>14</v>
      </c>
      <c r="G227" s="5" t="s">
        <v>33</v>
      </c>
      <c r="H227" s="5" t="s">
        <v>38</v>
      </c>
      <c r="I227" s="5" t="s">
        <v>45</v>
      </c>
      <c r="J227" s="5">
        <v>43</v>
      </c>
      <c r="K227" s="5">
        <v>106</v>
      </c>
      <c r="L227" s="5" t="s">
        <v>21</v>
      </c>
      <c r="M227" s="5">
        <v>40</v>
      </c>
      <c r="N227" s="5">
        <v>30</v>
      </c>
      <c r="O227" s="5">
        <v>90</v>
      </c>
      <c r="P227" s="5">
        <v>27</v>
      </c>
      <c r="Q227">
        <f>SUM([1]!Table1[[#This Row],[Sales]])</f>
        <v>106</v>
      </c>
      <c r="R227">
        <f>SUM([1]!Table1[[#This Row],[Profit]])</f>
        <v>43</v>
      </c>
      <c r="S227" s="7">
        <f t="shared" si="24"/>
        <v>0.40566037735849059</v>
      </c>
      <c r="T227">
        <f t="shared" si="25"/>
        <v>14</v>
      </c>
      <c r="U227">
        <f t="shared" si="26"/>
        <v>16</v>
      </c>
      <c r="V227">
        <f t="shared" si="27"/>
        <v>3</v>
      </c>
      <c r="W227">
        <f t="shared" si="28"/>
        <v>3.0714285714285716</v>
      </c>
      <c r="X227" t="str">
        <f t="shared" si="29"/>
        <v>Low Profit</v>
      </c>
      <c r="Y227">
        <f t="shared" si="30"/>
        <v>43</v>
      </c>
      <c r="Z227">
        <f t="shared" si="31"/>
        <v>106</v>
      </c>
    </row>
    <row r="228" spans="1:26">
      <c r="A228" s="3">
        <v>330</v>
      </c>
      <c r="B228" s="3">
        <v>41</v>
      </c>
      <c r="C228" s="4">
        <v>41609</v>
      </c>
      <c r="D228" s="3" t="s">
        <v>16</v>
      </c>
      <c r="E228" s="3" t="s">
        <v>17</v>
      </c>
      <c r="F228" s="3">
        <v>13</v>
      </c>
      <c r="G228" s="3" t="s">
        <v>33</v>
      </c>
      <c r="H228" s="3" t="s">
        <v>38</v>
      </c>
      <c r="I228" s="3" t="s">
        <v>45</v>
      </c>
      <c r="J228" s="3">
        <v>36</v>
      </c>
      <c r="K228" s="3">
        <v>108</v>
      </c>
      <c r="L228" s="3" t="s">
        <v>58</v>
      </c>
      <c r="M228" s="3">
        <v>40</v>
      </c>
      <c r="N228" s="3">
        <v>20</v>
      </c>
      <c r="O228" s="3">
        <v>90</v>
      </c>
      <c r="P228" s="3">
        <v>36</v>
      </c>
      <c r="Q228">
        <f>SUM([1]!Table1[[#This Row],[Sales]])</f>
        <v>108</v>
      </c>
      <c r="R228">
        <f>SUM([1]!Table1[[#This Row],[Profit]])</f>
        <v>36</v>
      </c>
      <c r="S228" s="7">
        <f t="shared" si="24"/>
        <v>0.33333333333333331</v>
      </c>
      <c r="T228">
        <f t="shared" si="25"/>
        <v>13</v>
      </c>
      <c r="U228">
        <f t="shared" si="26"/>
        <v>18</v>
      </c>
      <c r="V228">
        <f t="shared" si="27"/>
        <v>1</v>
      </c>
      <c r="W228">
        <f t="shared" si="28"/>
        <v>2.7692307692307692</v>
      </c>
      <c r="X228" t="str">
        <f t="shared" si="29"/>
        <v>Low Profit</v>
      </c>
      <c r="Y228">
        <f t="shared" si="30"/>
        <v>41</v>
      </c>
      <c r="Z228">
        <f t="shared" si="31"/>
        <v>108</v>
      </c>
    </row>
    <row r="229" spans="1:26">
      <c r="A229" s="5">
        <v>978</v>
      </c>
      <c r="B229" s="5">
        <v>47</v>
      </c>
      <c r="C229" s="6">
        <v>41609</v>
      </c>
      <c r="D229" s="5" t="s">
        <v>16</v>
      </c>
      <c r="E229" s="5" t="s">
        <v>25</v>
      </c>
      <c r="F229" s="5">
        <v>42</v>
      </c>
      <c r="G229" s="5" t="s">
        <v>33</v>
      </c>
      <c r="H229" s="5" t="s">
        <v>34</v>
      </c>
      <c r="I229" s="5" t="s">
        <v>46</v>
      </c>
      <c r="J229" s="5">
        <v>-30</v>
      </c>
      <c r="K229" s="5">
        <v>106</v>
      </c>
      <c r="L229" s="5" t="s">
        <v>55</v>
      </c>
      <c r="M229" s="5">
        <v>40</v>
      </c>
      <c r="N229" s="5">
        <v>-10</v>
      </c>
      <c r="O229" s="5">
        <v>90</v>
      </c>
      <c r="P229" s="5">
        <v>72</v>
      </c>
      <c r="Q229">
        <f>SUM([1]!Table1[[#This Row],[Sales]])</f>
        <v>106</v>
      </c>
      <c r="R229">
        <f>SUM([1]!Table1[[#This Row],[Profit]])</f>
        <v>-30</v>
      </c>
      <c r="S229" s="7">
        <f t="shared" si="24"/>
        <v>-0.28301886792452829</v>
      </c>
      <c r="T229">
        <f t="shared" si="25"/>
        <v>42</v>
      </c>
      <c r="U229">
        <f t="shared" si="26"/>
        <v>16</v>
      </c>
      <c r="V229">
        <f t="shared" si="27"/>
        <v>7</v>
      </c>
      <c r="W229">
        <f t="shared" si="28"/>
        <v>-0.7142857142857143</v>
      </c>
      <c r="X229" t="str">
        <f t="shared" si="29"/>
        <v>Low Profit</v>
      </c>
      <c r="Y229">
        <f t="shared" si="30"/>
        <v>47</v>
      </c>
      <c r="Z229">
        <f t="shared" si="31"/>
        <v>106</v>
      </c>
    </row>
    <row r="230" spans="1:26">
      <c r="A230" s="3">
        <v>312</v>
      </c>
      <c r="B230" s="3">
        <v>43</v>
      </c>
      <c r="C230" s="4">
        <v>41609</v>
      </c>
      <c r="D230" s="3" t="s">
        <v>16</v>
      </c>
      <c r="E230" s="3" t="s">
        <v>17</v>
      </c>
      <c r="F230" s="3">
        <v>14</v>
      </c>
      <c r="G230" s="3" t="s">
        <v>18</v>
      </c>
      <c r="H230" s="3" t="s">
        <v>19</v>
      </c>
      <c r="I230" s="3" t="s">
        <v>20</v>
      </c>
      <c r="J230" s="3">
        <v>43</v>
      </c>
      <c r="K230" s="3">
        <v>106</v>
      </c>
      <c r="L230" s="3" t="s">
        <v>56</v>
      </c>
      <c r="M230" s="3">
        <v>40</v>
      </c>
      <c r="N230" s="3">
        <v>30</v>
      </c>
      <c r="O230" s="3">
        <v>90</v>
      </c>
      <c r="P230" s="3">
        <v>27</v>
      </c>
      <c r="Q230">
        <f>SUM([1]!Table1[[#This Row],[Sales]])</f>
        <v>106</v>
      </c>
      <c r="R230">
        <f>SUM([1]!Table1[[#This Row],[Profit]])</f>
        <v>43</v>
      </c>
      <c r="S230" s="7">
        <f t="shared" si="24"/>
        <v>0.40566037735849059</v>
      </c>
      <c r="T230">
        <f t="shared" si="25"/>
        <v>14</v>
      </c>
      <c r="U230">
        <f t="shared" si="26"/>
        <v>16</v>
      </c>
      <c r="V230">
        <f t="shared" si="27"/>
        <v>3</v>
      </c>
      <c r="W230">
        <f t="shared" si="28"/>
        <v>3.0714285714285716</v>
      </c>
      <c r="X230" t="str">
        <f t="shared" si="29"/>
        <v>Low Profit</v>
      </c>
      <c r="Y230">
        <f t="shared" si="30"/>
        <v>43</v>
      </c>
      <c r="Z230">
        <f t="shared" si="31"/>
        <v>106</v>
      </c>
    </row>
    <row r="231" spans="1:26">
      <c r="A231" s="5">
        <v>323</v>
      </c>
      <c r="B231" s="5">
        <v>43</v>
      </c>
      <c r="C231" s="6">
        <v>41609</v>
      </c>
      <c r="D231" s="5" t="s">
        <v>16</v>
      </c>
      <c r="E231" s="5" t="s">
        <v>29</v>
      </c>
      <c r="F231" s="5">
        <v>14</v>
      </c>
      <c r="G231" s="5" t="s">
        <v>18</v>
      </c>
      <c r="H231" s="5" t="s">
        <v>19</v>
      </c>
      <c r="I231" s="5" t="s">
        <v>22</v>
      </c>
      <c r="J231" s="5">
        <v>43</v>
      </c>
      <c r="K231" s="5">
        <v>106</v>
      </c>
      <c r="L231" s="5" t="s">
        <v>31</v>
      </c>
      <c r="M231" s="5">
        <v>40</v>
      </c>
      <c r="N231" s="5">
        <v>30</v>
      </c>
      <c r="O231" s="5">
        <v>90</v>
      </c>
      <c r="P231" s="5">
        <v>27</v>
      </c>
      <c r="Q231">
        <f>SUM([1]!Table1[[#This Row],[Sales]])</f>
        <v>106</v>
      </c>
      <c r="R231">
        <f>SUM([1]!Table1[[#This Row],[Profit]])</f>
        <v>43</v>
      </c>
      <c r="S231" s="7">
        <f t="shared" si="24"/>
        <v>0.40566037735849059</v>
      </c>
      <c r="T231">
        <f t="shared" si="25"/>
        <v>14</v>
      </c>
      <c r="U231">
        <f t="shared" si="26"/>
        <v>16</v>
      </c>
      <c r="V231">
        <f t="shared" si="27"/>
        <v>3</v>
      </c>
      <c r="W231">
        <f t="shared" si="28"/>
        <v>3.0714285714285716</v>
      </c>
      <c r="X231" t="str">
        <f t="shared" si="29"/>
        <v>Low Profit</v>
      </c>
      <c r="Y231">
        <f t="shared" si="30"/>
        <v>43</v>
      </c>
      <c r="Z231">
        <f t="shared" si="31"/>
        <v>106</v>
      </c>
    </row>
    <row r="232" spans="1:26">
      <c r="A232" s="3">
        <v>303</v>
      </c>
      <c r="B232" s="3">
        <v>46</v>
      </c>
      <c r="C232" s="4">
        <v>41609</v>
      </c>
      <c r="D232" s="3" t="s">
        <v>16</v>
      </c>
      <c r="E232" s="3" t="s">
        <v>17</v>
      </c>
      <c r="F232" s="3">
        <v>17</v>
      </c>
      <c r="G232" s="3" t="s">
        <v>18</v>
      </c>
      <c r="H232" s="3" t="s">
        <v>26</v>
      </c>
      <c r="I232" s="3" t="s">
        <v>27</v>
      </c>
      <c r="J232" s="3">
        <v>9</v>
      </c>
      <c r="K232" s="3">
        <v>110</v>
      </c>
      <c r="L232" s="3" t="s">
        <v>21</v>
      </c>
      <c r="M232" s="3">
        <v>30</v>
      </c>
      <c r="N232" s="3">
        <v>10</v>
      </c>
      <c r="O232" s="3">
        <v>80</v>
      </c>
      <c r="P232" s="3">
        <v>51</v>
      </c>
      <c r="Q232">
        <f>SUM([1]!Table1[[#This Row],[Sales]])</f>
        <v>110</v>
      </c>
      <c r="R232">
        <f>SUM([1]!Table1[[#This Row],[Profit]])</f>
        <v>9</v>
      </c>
      <c r="S232" s="7">
        <f t="shared" si="24"/>
        <v>8.1818181818181818E-2</v>
      </c>
      <c r="T232">
        <f t="shared" si="25"/>
        <v>17</v>
      </c>
      <c r="U232">
        <f t="shared" si="26"/>
        <v>30</v>
      </c>
      <c r="V232">
        <f t="shared" si="27"/>
        <v>16</v>
      </c>
      <c r="W232">
        <f t="shared" si="28"/>
        <v>0.52941176470588236</v>
      </c>
      <c r="X232" t="str">
        <f t="shared" si="29"/>
        <v>Low Profit</v>
      </c>
      <c r="Y232">
        <f t="shared" si="30"/>
        <v>46</v>
      </c>
      <c r="Z232">
        <f t="shared" si="31"/>
        <v>110</v>
      </c>
    </row>
    <row r="233" spans="1:26">
      <c r="A233" s="5">
        <v>970</v>
      </c>
      <c r="B233" s="5">
        <v>53</v>
      </c>
      <c r="C233" s="6">
        <v>41609</v>
      </c>
      <c r="D233" s="5" t="s">
        <v>16</v>
      </c>
      <c r="E233" s="5" t="s">
        <v>17</v>
      </c>
      <c r="F233" s="5">
        <v>16</v>
      </c>
      <c r="G233" s="5" t="s">
        <v>18</v>
      </c>
      <c r="H233" s="5" t="s">
        <v>26</v>
      </c>
      <c r="I233" s="5" t="s">
        <v>54</v>
      </c>
      <c r="J233" s="5">
        <v>39</v>
      </c>
      <c r="K233" s="5">
        <v>124</v>
      </c>
      <c r="L233" s="5" t="s">
        <v>21</v>
      </c>
      <c r="M233" s="5">
        <v>40</v>
      </c>
      <c r="N233" s="5">
        <v>20</v>
      </c>
      <c r="O233" s="5">
        <v>90</v>
      </c>
      <c r="P233" s="5">
        <v>37</v>
      </c>
      <c r="Q233">
        <f>SUM([1]!Table1[[#This Row],[Sales]])</f>
        <v>124</v>
      </c>
      <c r="R233">
        <f>SUM([1]!Table1[[#This Row],[Profit]])</f>
        <v>39</v>
      </c>
      <c r="S233" s="7">
        <f t="shared" si="24"/>
        <v>0.31451612903225806</v>
      </c>
      <c r="T233">
        <f t="shared" si="25"/>
        <v>16</v>
      </c>
      <c r="U233">
        <f t="shared" si="26"/>
        <v>34</v>
      </c>
      <c r="V233">
        <f t="shared" si="27"/>
        <v>13</v>
      </c>
      <c r="W233">
        <f t="shared" si="28"/>
        <v>2.4375</v>
      </c>
      <c r="X233" t="str">
        <f t="shared" si="29"/>
        <v>Low Profit</v>
      </c>
      <c r="Y233">
        <f t="shared" si="30"/>
        <v>53</v>
      </c>
      <c r="Z233">
        <f t="shared" si="31"/>
        <v>124</v>
      </c>
    </row>
    <row r="234" spans="1:26">
      <c r="A234" s="3">
        <v>978</v>
      </c>
      <c r="B234" s="3">
        <v>33</v>
      </c>
      <c r="C234" s="4">
        <v>41609</v>
      </c>
      <c r="D234" s="3" t="s">
        <v>16</v>
      </c>
      <c r="E234" s="3" t="s">
        <v>25</v>
      </c>
      <c r="F234" s="3">
        <v>9</v>
      </c>
      <c r="G234" s="3" t="s">
        <v>18</v>
      </c>
      <c r="H234" s="3" t="s">
        <v>26</v>
      </c>
      <c r="I234" s="3" t="s">
        <v>27</v>
      </c>
      <c r="J234" s="3">
        <v>43</v>
      </c>
      <c r="K234" s="3">
        <v>87</v>
      </c>
      <c r="L234" s="3" t="s">
        <v>55</v>
      </c>
      <c r="M234" s="3">
        <v>30</v>
      </c>
      <c r="N234" s="3">
        <v>40</v>
      </c>
      <c r="O234" s="3">
        <v>80</v>
      </c>
      <c r="P234" s="3">
        <v>20</v>
      </c>
      <c r="Q234">
        <f>SUM([1]!Table1[[#This Row],[Sales]])</f>
        <v>87</v>
      </c>
      <c r="R234">
        <f>SUM([1]!Table1[[#This Row],[Profit]])</f>
        <v>43</v>
      </c>
      <c r="S234" s="7">
        <f t="shared" si="24"/>
        <v>0.4942528735632184</v>
      </c>
      <c r="T234">
        <f t="shared" si="25"/>
        <v>9</v>
      </c>
      <c r="U234">
        <f t="shared" si="26"/>
        <v>7</v>
      </c>
      <c r="V234">
        <f t="shared" si="27"/>
        <v>3</v>
      </c>
      <c r="W234">
        <f t="shared" si="28"/>
        <v>4.7777777777777777</v>
      </c>
      <c r="X234" t="str">
        <f t="shared" si="29"/>
        <v>Low Profit</v>
      </c>
      <c r="Y234">
        <f t="shared" si="30"/>
        <v>33</v>
      </c>
      <c r="Z234">
        <f t="shared" si="31"/>
        <v>87</v>
      </c>
    </row>
    <row r="235" spans="1:26">
      <c r="A235" s="5">
        <v>321</v>
      </c>
      <c r="B235" s="5">
        <v>34</v>
      </c>
      <c r="C235" s="6">
        <v>41609</v>
      </c>
      <c r="D235" s="5" t="s">
        <v>16</v>
      </c>
      <c r="E235" s="5" t="s">
        <v>25</v>
      </c>
      <c r="F235" s="5">
        <v>9</v>
      </c>
      <c r="G235" s="5" t="s">
        <v>18</v>
      </c>
      <c r="H235" s="5" t="s">
        <v>26</v>
      </c>
      <c r="I235" s="5" t="s">
        <v>30</v>
      </c>
      <c r="J235" s="5">
        <v>45</v>
      </c>
      <c r="K235" s="5">
        <v>91</v>
      </c>
      <c r="L235" s="5" t="s">
        <v>28</v>
      </c>
      <c r="M235" s="5">
        <v>30</v>
      </c>
      <c r="N235" s="5">
        <v>40</v>
      </c>
      <c r="O235" s="5">
        <v>80</v>
      </c>
      <c r="P235" s="5">
        <v>21</v>
      </c>
      <c r="Q235">
        <f>SUM([1]!Table1[[#This Row],[Sales]])</f>
        <v>91</v>
      </c>
      <c r="R235">
        <f>SUM([1]!Table1[[#This Row],[Profit]])</f>
        <v>45</v>
      </c>
      <c r="S235" s="7">
        <f t="shared" si="24"/>
        <v>0.49450549450549453</v>
      </c>
      <c r="T235">
        <f t="shared" si="25"/>
        <v>9</v>
      </c>
      <c r="U235">
        <f t="shared" si="26"/>
        <v>11</v>
      </c>
      <c r="V235">
        <f t="shared" si="27"/>
        <v>4</v>
      </c>
      <c r="W235">
        <f t="shared" si="28"/>
        <v>5</v>
      </c>
      <c r="X235" t="str">
        <f t="shared" si="29"/>
        <v>Low Profit</v>
      </c>
      <c r="Y235">
        <f t="shared" si="30"/>
        <v>34</v>
      </c>
      <c r="Z235">
        <f t="shared" si="31"/>
        <v>91</v>
      </c>
    </row>
    <row r="236" spans="1:26">
      <c r="A236" s="3">
        <v>563</v>
      </c>
      <c r="B236" s="3">
        <v>0</v>
      </c>
      <c r="C236" s="4">
        <v>41609</v>
      </c>
      <c r="D236" s="3" t="s">
        <v>32</v>
      </c>
      <c r="E236" s="3" t="s">
        <v>17</v>
      </c>
      <c r="F236" s="3">
        <v>0</v>
      </c>
      <c r="G236" s="3" t="s">
        <v>33</v>
      </c>
      <c r="H236" s="3" t="s">
        <v>34</v>
      </c>
      <c r="I236" s="3" t="s">
        <v>35</v>
      </c>
      <c r="J236" s="3">
        <v>47</v>
      </c>
      <c r="K236" s="3">
        <v>46</v>
      </c>
      <c r="L236" s="3" t="s">
        <v>36</v>
      </c>
      <c r="M236" s="3">
        <v>0</v>
      </c>
      <c r="N236" s="3">
        <v>40</v>
      </c>
      <c r="O236" s="3">
        <v>50</v>
      </c>
      <c r="P236" s="3">
        <v>11</v>
      </c>
      <c r="Q236">
        <f>SUM([1]!Table1[[#This Row],[Sales]])</f>
        <v>46</v>
      </c>
      <c r="R236">
        <f>SUM([1]!Table1[[#This Row],[Profit]])</f>
        <v>47</v>
      </c>
      <c r="S236" s="7">
        <f t="shared" si="24"/>
        <v>1.0217391304347827</v>
      </c>
      <c r="T236">
        <f t="shared" si="25"/>
        <v>0</v>
      </c>
      <c r="U236">
        <f t="shared" si="26"/>
        <v>-4</v>
      </c>
      <c r="V236">
        <f t="shared" si="27"/>
        <v>0</v>
      </c>
      <c r="W236" t="e">
        <f t="shared" si="28"/>
        <v>#DIV/0!</v>
      </c>
      <c r="X236" t="str">
        <f t="shared" si="29"/>
        <v>Low Profit</v>
      </c>
      <c r="Y236">
        <f t="shared" si="30"/>
        <v>0</v>
      </c>
      <c r="Z236">
        <f t="shared" si="31"/>
        <v>46</v>
      </c>
    </row>
    <row r="237" spans="1:26">
      <c r="A237" s="5">
        <v>318</v>
      </c>
      <c r="B237" s="5">
        <v>43</v>
      </c>
      <c r="C237" s="6">
        <v>41609</v>
      </c>
      <c r="D237" s="5" t="s">
        <v>32</v>
      </c>
      <c r="E237" s="5" t="s">
        <v>23</v>
      </c>
      <c r="F237" s="5">
        <v>13</v>
      </c>
      <c r="G237" s="5" t="s">
        <v>33</v>
      </c>
      <c r="H237" s="5" t="s">
        <v>34</v>
      </c>
      <c r="I237" s="5" t="s">
        <v>35</v>
      </c>
      <c r="J237" s="5">
        <v>40</v>
      </c>
      <c r="K237" s="5">
        <v>113</v>
      </c>
      <c r="L237" s="5" t="s">
        <v>48</v>
      </c>
      <c r="M237" s="5">
        <v>30</v>
      </c>
      <c r="N237" s="5">
        <v>20</v>
      </c>
      <c r="O237" s="5">
        <v>80</v>
      </c>
      <c r="P237" s="5">
        <v>36</v>
      </c>
      <c r="Q237">
        <f>SUM([1]!Table1[[#This Row],[Sales]])</f>
        <v>113</v>
      </c>
      <c r="R237">
        <f>SUM([1]!Table1[[#This Row],[Profit]])</f>
        <v>40</v>
      </c>
      <c r="S237" s="7">
        <f t="shared" si="24"/>
        <v>0.35398230088495575</v>
      </c>
      <c r="T237">
        <f t="shared" si="25"/>
        <v>13</v>
      </c>
      <c r="U237">
        <f t="shared" si="26"/>
        <v>33</v>
      </c>
      <c r="V237">
        <f t="shared" si="27"/>
        <v>13</v>
      </c>
      <c r="W237">
        <f t="shared" si="28"/>
        <v>3.0769230769230771</v>
      </c>
      <c r="X237" t="str">
        <f t="shared" si="29"/>
        <v>Low Profit</v>
      </c>
      <c r="Y237">
        <f t="shared" si="30"/>
        <v>43</v>
      </c>
      <c r="Z237">
        <f t="shared" si="31"/>
        <v>113</v>
      </c>
    </row>
    <row r="238" spans="1:26">
      <c r="A238" s="3">
        <v>775</v>
      </c>
      <c r="B238" s="3">
        <v>31</v>
      </c>
      <c r="C238" s="4">
        <v>41609</v>
      </c>
      <c r="D238" s="3" t="s">
        <v>32</v>
      </c>
      <c r="E238" s="3" t="s">
        <v>29</v>
      </c>
      <c r="F238" s="3">
        <v>9</v>
      </c>
      <c r="G238" s="3" t="s">
        <v>33</v>
      </c>
      <c r="H238" s="3" t="s">
        <v>38</v>
      </c>
      <c r="I238" s="3" t="s">
        <v>39</v>
      </c>
      <c r="J238" s="3">
        <v>12</v>
      </c>
      <c r="K238" s="3">
        <v>74</v>
      </c>
      <c r="L238" s="3" t="s">
        <v>41</v>
      </c>
      <c r="M238" s="3">
        <v>30</v>
      </c>
      <c r="N238" s="3">
        <v>30</v>
      </c>
      <c r="O238" s="3">
        <v>80</v>
      </c>
      <c r="P238" s="3">
        <v>30</v>
      </c>
      <c r="Q238">
        <f>SUM([1]!Table1[[#This Row],[Sales]])</f>
        <v>74</v>
      </c>
      <c r="R238">
        <f>SUM([1]!Table1[[#This Row],[Profit]])</f>
        <v>12</v>
      </c>
      <c r="S238" s="7">
        <f t="shared" si="24"/>
        <v>0.16216216216216217</v>
      </c>
      <c r="T238">
        <f t="shared" si="25"/>
        <v>9</v>
      </c>
      <c r="U238">
        <f t="shared" si="26"/>
        <v>-6</v>
      </c>
      <c r="V238">
        <f t="shared" si="27"/>
        <v>1</v>
      </c>
      <c r="W238">
        <f t="shared" si="28"/>
        <v>1.3333333333333333</v>
      </c>
      <c r="X238" t="str">
        <f t="shared" si="29"/>
        <v>Low Profit</v>
      </c>
      <c r="Y238">
        <f t="shared" si="30"/>
        <v>31</v>
      </c>
      <c r="Z238">
        <f t="shared" si="31"/>
        <v>74</v>
      </c>
    </row>
    <row r="239" spans="1:26">
      <c r="A239" s="5">
        <v>515</v>
      </c>
      <c r="B239" s="5">
        <v>23</v>
      </c>
      <c r="C239" s="6">
        <v>41609</v>
      </c>
      <c r="D239" s="5" t="s">
        <v>32</v>
      </c>
      <c r="E239" s="5" t="s">
        <v>17</v>
      </c>
      <c r="F239" s="5">
        <v>6</v>
      </c>
      <c r="G239" s="5" t="s">
        <v>33</v>
      </c>
      <c r="H239" s="5" t="s">
        <v>34</v>
      </c>
      <c r="I239" s="5" t="s">
        <v>46</v>
      </c>
      <c r="J239" s="5">
        <v>25</v>
      </c>
      <c r="K239" s="5">
        <v>62</v>
      </c>
      <c r="L239" s="5" t="s">
        <v>36</v>
      </c>
      <c r="M239" s="5">
        <v>20</v>
      </c>
      <c r="N239" s="5">
        <v>40</v>
      </c>
      <c r="O239" s="5">
        <v>70</v>
      </c>
      <c r="P239" s="5">
        <v>18</v>
      </c>
      <c r="Q239">
        <f>SUM([1]!Table1[[#This Row],[Sales]])</f>
        <v>62</v>
      </c>
      <c r="R239">
        <f>SUM([1]!Table1[[#This Row],[Profit]])</f>
        <v>25</v>
      </c>
      <c r="S239" s="7">
        <f t="shared" si="24"/>
        <v>0.40322580645161288</v>
      </c>
      <c r="T239">
        <f t="shared" si="25"/>
        <v>6</v>
      </c>
      <c r="U239">
        <f t="shared" si="26"/>
        <v>-8</v>
      </c>
      <c r="V239">
        <f t="shared" si="27"/>
        <v>3</v>
      </c>
      <c r="W239">
        <f t="shared" si="28"/>
        <v>4.166666666666667</v>
      </c>
      <c r="X239" t="str">
        <f t="shared" si="29"/>
        <v>Low Profit</v>
      </c>
      <c r="Y239">
        <f t="shared" si="30"/>
        <v>23</v>
      </c>
      <c r="Z239">
        <f t="shared" si="31"/>
        <v>62</v>
      </c>
    </row>
    <row r="240" spans="1:26">
      <c r="A240" s="3">
        <v>225</v>
      </c>
      <c r="B240" s="3">
        <v>41</v>
      </c>
      <c r="C240" s="4">
        <v>41609</v>
      </c>
      <c r="D240" s="3" t="s">
        <v>32</v>
      </c>
      <c r="E240" s="3" t="s">
        <v>23</v>
      </c>
      <c r="F240" s="3">
        <v>12</v>
      </c>
      <c r="G240" s="3" t="s">
        <v>33</v>
      </c>
      <c r="H240" s="3" t="s">
        <v>34</v>
      </c>
      <c r="I240" s="3" t="s">
        <v>46</v>
      </c>
      <c r="J240" s="3">
        <v>46</v>
      </c>
      <c r="K240" s="3">
        <v>114</v>
      </c>
      <c r="L240" s="3" t="s">
        <v>48</v>
      </c>
      <c r="M240" s="3">
        <v>30</v>
      </c>
      <c r="N240" s="3">
        <v>20</v>
      </c>
      <c r="O240" s="3">
        <v>80</v>
      </c>
      <c r="P240" s="3">
        <v>35</v>
      </c>
      <c r="Q240">
        <f>SUM([1]!Table1[[#This Row],[Sales]])</f>
        <v>114</v>
      </c>
      <c r="R240">
        <f>SUM([1]!Table1[[#This Row],[Profit]])</f>
        <v>46</v>
      </c>
      <c r="S240" s="7">
        <f t="shared" si="24"/>
        <v>0.40350877192982454</v>
      </c>
      <c r="T240">
        <f t="shared" si="25"/>
        <v>12</v>
      </c>
      <c r="U240">
        <f t="shared" si="26"/>
        <v>34</v>
      </c>
      <c r="V240">
        <f t="shared" si="27"/>
        <v>11</v>
      </c>
      <c r="W240">
        <f t="shared" si="28"/>
        <v>3.8333333333333335</v>
      </c>
      <c r="X240" t="str">
        <f t="shared" si="29"/>
        <v>Low Profit</v>
      </c>
      <c r="Y240">
        <f t="shared" si="30"/>
        <v>41</v>
      </c>
      <c r="Z240">
        <f t="shared" si="31"/>
        <v>114</v>
      </c>
    </row>
    <row r="241" spans="1:26">
      <c r="A241" s="5">
        <v>971</v>
      </c>
      <c r="B241" s="5">
        <v>46</v>
      </c>
      <c r="C241" s="6">
        <v>41609</v>
      </c>
      <c r="D241" s="5" t="s">
        <v>32</v>
      </c>
      <c r="E241" s="5" t="s">
        <v>29</v>
      </c>
      <c r="F241" s="5">
        <v>17</v>
      </c>
      <c r="G241" s="5" t="s">
        <v>33</v>
      </c>
      <c r="H241" s="5" t="s">
        <v>34</v>
      </c>
      <c r="I241" s="5" t="s">
        <v>47</v>
      </c>
      <c r="J241" s="5">
        <v>9</v>
      </c>
      <c r="K241" s="5">
        <v>110</v>
      </c>
      <c r="L241" s="5" t="s">
        <v>49</v>
      </c>
      <c r="M241" s="5">
        <v>40</v>
      </c>
      <c r="N241" s="5">
        <v>10</v>
      </c>
      <c r="O241" s="5">
        <v>90</v>
      </c>
      <c r="P241" s="5">
        <v>51</v>
      </c>
      <c r="Q241">
        <f>SUM([1]!Table1[[#This Row],[Sales]])</f>
        <v>110</v>
      </c>
      <c r="R241">
        <f>SUM([1]!Table1[[#This Row],[Profit]])</f>
        <v>9</v>
      </c>
      <c r="S241" s="7">
        <f t="shared" si="24"/>
        <v>8.1818181818181818E-2</v>
      </c>
      <c r="T241">
        <f t="shared" si="25"/>
        <v>17</v>
      </c>
      <c r="U241">
        <f t="shared" si="26"/>
        <v>20</v>
      </c>
      <c r="V241">
        <f t="shared" si="27"/>
        <v>6</v>
      </c>
      <c r="W241">
        <f t="shared" si="28"/>
        <v>0.52941176470588236</v>
      </c>
      <c r="X241" t="str">
        <f t="shared" si="29"/>
        <v>Low Profit</v>
      </c>
      <c r="Y241">
        <f t="shared" si="30"/>
        <v>46</v>
      </c>
      <c r="Z241">
        <f t="shared" si="31"/>
        <v>110</v>
      </c>
    </row>
    <row r="242" spans="1:26">
      <c r="A242" s="3">
        <v>262</v>
      </c>
      <c r="B242" s="3">
        <v>43</v>
      </c>
      <c r="C242" s="4">
        <v>41609</v>
      </c>
      <c r="D242" s="3" t="s">
        <v>32</v>
      </c>
      <c r="E242" s="3" t="s">
        <v>17</v>
      </c>
      <c r="F242" s="3">
        <v>13</v>
      </c>
      <c r="G242" s="3" t="s">
        <v>18</v>
      </c>
      <c r="H242" s="3" t="s">
        <v>26</v>
      </c>
      <c r="I242" s="3" t="s">
        <v>27</v>
      </c>
      <c r="J242" s="3">
        <v>42</v>
      </c>
      <c r="K242" s="3">
        <v>113</v>
      </c>
      <c r="L242" s="3" t="s">
        <v>52</v>
      </c>
      <c r="M242" s="3">
        <v>30</v>
      </c>
      <c r="N242" s="3">
        <v>20</v>
      </c>
      <c r="O242" s="3">
        <v>80</v>
      </c>
      <c r="P242" s="3">
        <v>35</v>
      </c>
      <c r="Q242">
        <f>SUM([1]!Table1[[#This Row],[Sales]])</f>
        <v>113</v>
      </c>
      <c r="R242">
        <f>SUM([1]!Table1[[#This Row],[Profit]])</f>
        <v>42</v>
      </c>
      <c r="S242" s="7">
        <f t="shared" si="24"/>
        <v>0.37168141592920356</v>
      </c>
      <c r="T242">
        <f t="shared" si="25"/>
        <v>13</v>
      </c>
      <c r="U242">
        <f t="shared" si="26"/>
        <v>33</v>
      </c>
      <c r="V242">
        <f t="shared" si="27"/>
        <v>13</v>
      </c>
      <c r="W242">
        <f t="shared" si="28"/>
        <v>3.2307692307692308</v>
      </c>
      <c r="X242" t="str">
        <f t="shared" si="29"/>
        <v>Low Profit</v>
      </c>
      <c r="Y242">
        <f t="shared" si="30"/>
        <v>43</v>
      </c>
      <c r="Z242">
        <f t="shared" si="31"/>
        <v>113</v>
      </c>
    </row>
    <row r="243" spans="1:26">
      <c r="A243" s="5">
        <v>959</v>
      </c>
      <c r="B243" s="5">
        <v>33</v>
      </c>
      <c r="C243" s="6">
        <v>41609</v>
      </c>
      <c r="D243" s="5" t="s">
        <v>32</v>
      </c>
      <c r="E243" s="5" t="s">
        <v>25</v>
      </c>
      <c r="F243" s="5">
        <v>9</v>
      </c>
      <c r="G243" s="5" t="s">
        <v>18</v>
      </c>
      <c r="H243" s="5" t="s">
        <v>26</v>
      </c>
      <c r="I243" s="5" t="s">
        <v>30</v>
      </c>
      <c r="J243" s="5">
        <v>42</v>
      </c>
      <c r="K243" s="5">
        <v>87</v>
      </c>
      <c r="L243" s="5" t="s">
        <v>37</v>
      </c>
      <c r="M243" s="5">
        <v>30</v>
      </c>
      <c r="N243" s="5">
        <v>40</v>
      </c>
      <c r="O243" s="5">
        <v>80</v>
      </c>
      <c r="P243" s="5">
        <v>21</v>
      </c>
      <c r="Q243">
        <f>SUM([1]!Table1[[#This Row],[Sales]])</f>
        <v>87</v>
      </c>
      <c r="R243">
        <f>SUM([1]!Table1[[#This Row],[Profit]])</f>
        <v>42</v>
      </c>
      <c r="S243" s="7">
        <f t="shared" si="24"/>
        <v>0.48275862068965519</v>
      </c>
      <c r="T243">
        <f t="shared" si="25"/>
        <v>9</v>
      </c>
      <c r="U243">
        <f t="shared" si="26"/>
        <v>7</v>
      </c>
      <c r="V243">
        <f t="shared" si="27"/>
        <v>3</v>
      </c>
      <c r="W243">
        <f t="shared" si="28"/>
        <v>4.666666666666667</v>
      </c>
      <c r="X243" t="str">
        <f t="shared" si="29"/>
        <v>Low Profit</v>
      </c>
      <c r="Y243">
        <f t="shared" si="30"/>
        <v>33</v>
      </c>
      <c r="Z243">
        <f t="shared" si="31"/>
        <v>87</v>
      </c>
    </row>
    <row r="244" spans="1:26">
      <c r="A244" s="3">
        <v>435</v>
      </c>
      <c r="B244" s="3">
        <v>49</v>
      </c>
      <c r="C244" s="4">
        <v>41609</v>
      </c>
      <c r="D244" s="3" t="s">
        <v>32</v>
      </c>
      <c r="E244" s="3" t="s">
        <v>29</v>
      </c>
      <c r="F244" s="3">
        <v>44</v>
      </c>
      <c r="G244" s="3" t="s">
        <v>18</v>
      </c>
      <c r="H244" s="3" t="s">
        <v>26</v>
      </c>
      <c r="I244" s="3" t="s">
        <v>27</v>
      </c>
      <c r="J244" s="3">
        <v>-6</v>
      </c>
      <c r="K244" s="3">
        <v>126</v>
      </c>
      <c r="L244" s="3" t="s">
        <v>42</v>
      </c>
      <c r="M244" s="3">
        <v>30</v>
      </c>
      <c r="N244" s="3">
        <v>0</v>
      </c>
      <c r="O244" s="3">
        <v>80</v>
      </c>
      <c r="P244" s="3">
        <v>73</v>
      </c>
      <c r="Q244">
        <f>SUM([1]!Table1[[#This Row],[Sales]])</f>
        <v>126</v>
      </c>
      <c r="R244">
        <f>SUM([1]!Table1[[#This Row],[Profit]])</f>
        <v>-6</v>
      </c>
      <c r="S244" s="7">
        <f t="shared" si="24"/>
        <v>-4.7619047619047616E-2</v>
      </c>
      <c r="T244">
        <f t="shared" si="25"/>
        <v>44</v>
      </c>
      <c r="U244">
        <f t="shared" si="26"/>
        <v>46</v>
      </c>
      <c r="V244">
        <f t="shared" si="27"/>
        <v>19</v>
      </c>
      <c r="W244">
        <f t="shared" si="28"/>
        <v>-0.13636363636363635</v>
      </c>
      <c r="X244" t="str">
        <f t="shared" si="29"/>
        <v>Low Profit</v>
      </c>
      <c r="Y244">
        <f t="shared" si="30"/>
        <v>49</v>
      </c>
      <c r="Z244">
        <f t="shared" si="31"/>
        <v>126</v>
      </c>
    </row>
    <row r="245" spans="1:26">
      <c r="A245" s="5">
        <v>509</v>
      </c>
      <c r="B245" s="5">
        <v>55</v>
      </c>
      <c r="C245" s="6">
        <v>41609</v>
      </c>
      <c r="D245" s="5" t="s">
        <v>32</v>
      </c>
      <c r="E245" s="5" t="s">
        <v>29</v>
      </c>
      <c r="F245" s="5">
        <v>49</v>
      </c>
      <c r="G245" s="5" t="s">
        <v>18</v>
      </c>
      <c r="H245" s="5" t="s">
        <v>26</v>
      </c>
      <c r="I245" s="5" t="s">
        <v>30</v>
      </c>
      <c r="J245" s="5">
        <v>-4</v>
      </c>
      <c r="K245" s="5">
        <v>140</v>
      </c>
      <c r="L245" s="5" t="s">
        <v>53</v>
      </c>
      <c r="M245" s="5">
        <v>40</v>
      </c>
      <c r="N245" s="5">
        <v>-10</v>
      </c>
      <c r="O245" s="5">
        <v>90</v>
      </c>
      <c r="P245" s="5">
        <v>79</v>
      </c>
      <c r="Q245">
        <f>SUM([1]!Table1[[#This Row],[Sales]])</f>
        <v>140</v>
      </c>
      <c r="R245">
        <f>SUM([1]!Table1[[#This Row],[Profit]])</f>
        <v>-4</v>
      </c>
      <c r="S245" s="7">
        <f t="shared" si="24"/>
        <v>-2.8571428571428571E-2</v>
      </c>
      <c r="T245">
        <f t="shared" si="25"/>
        <v>49</v>
      </c>
      <c r="U245">
        <f t="shared" si="26"/>
        <v>50</v>
      </c>
      <c r="V245">
        <f t="shared" si="27"/>
        <v>15</v>
      </c>
      <c r="W245">
        <f t="shared" si="28"/>
        <v>-8.1632653061224483E-2</v>
      </c>
      <c r="X245" t="str">
        <f t="shared" si="29"/>
        <v>Low Profit</v>
      </c>
      <c r="Y245">
        <f t="shared" si="30"/>
        <v>55</v>
      </c>
      <c r="Z245">
        <f t="shared" si="31"/>
        <v>140</v>
      </c>
    </row>
    <row r="246" spans="1:26">
      <c r="A246" s="3">
        <v>630</v>
      </c>
      <c r="B246" s="3">
        <v>39</v>
      </c>
      <c r="C246" s="4">
        <v>41183</v>
      </c>
      <c r="D246" s="3" t="s">
        <v>16</v>
      </c>
      <c r="E246" s="3" t="s">
        <v>17</v>
      </c>
      <c r="F246" s="3">
        <v>12</v>
      </c>
      <c r="G246" s="3" t="s">
        <v>18</v>
      </c>
      <c r="H246" s="3" t="s">
        <v>19</v>
      </c>
      <c r="I246" s="3" t="s">
        <v>20</v>
      </c>
      <c r="J246" s="3">
        <v>27</v>
      </c>
      <c r="K246" s="3">
        <v>90</v>
      </c>
      <c r="L246" s="3" t="s">
        <v>56</v>
      </c>
      <c r="M246" s="3">
        <v>20</v>
      </c>
      <c r="N246" s="3">
        <v>40</v>
      </c>
      <c r="O246" s="3">
        <v>60</v>
      </c>
      <c r="P246" s="3">
        <v>24</v>
      </c>
      <c r="Q246">
        <f>SUM([1]!Table1[[#This Row],[Sales]])</f>
        <v>90</v>
      </c>
      <c r="R246">
        <f>SUM([1]!Table1[[#This Row],[Profit]])</f>
        <v>27</v>
      </c>
      <c r="S246" s="7">
        <f t="shared" si="24"/>
        <v>0.3</v>
      </c>
      <c r="T246">
        <f t="shared" si="25"/>
        <v>12</v>
      </c>
      <c r="U246">
        <f t="shared" si="26"/>
        <v>30</v>
      </c>
      <c r="V246">
        <f t="shared" si="27"/>
        <v>19</v>
      </c>
      <c r="W246">
        <f t="shared" si="28"/>
        <v>2.25</v>
      </c>
      <c r="X246" t="str">
        <f t="shared" si="29"/>
        <v>Low Profit</v>
      </c>
      <c r="Y246">
        <f t="shared" si="30"/>
        <v>39</v>
      </c>
      <c r="Z246">
        <f t="shared" si="31"/>
        <v>90</v>
      </c>
    </row>
    <row r="247" spans="1:26">
      <c r="A247" s="5">
        <v>209</v>
      </c>
      <c r="B247" s="5">
        <v>39</v>
      </c>
      <c r="C247" s="6">
        <v>41183</v>
      </c>
      <c r="D247" s="5" t="s">
        <v>16</v>
      </c>
      <c r="E247" s="5" t="s">
        <v>29</v>
      </c>
      <c r="F247" s="5">
        <v>12</v>
      </c>
      <c r="G247" s="5" t="s">
        <v>18</v>
      </c>
      <c r="H247" s="5" t="s">
        <v>19</v>
      </c>
      <c r="I247" s="5" t="s">
        <v>22</v>
      </c>
      <c r="J247" s="5">
        <v>26</v>
      </c>
      <c r="K247" s="5">
        <v>90</v>
      </c>
      <c r="L247" s="5" t="s">
        <v>31</v>
      </c>
      <c r="M247" s="5">
        <v>20</v>
      </c>
      <c r="N247" s="5">
        <v>40</v>
      </c>
      <c r="O247" s="5">
        <v>60</v>
      </c>
      <c r="P247" s="5">
        <v>25</v>
      </c>
      <c r="Q247">
        <f>SUM([1]!Table1[[#This Row],[Sales]])</f>
        <v>90</v>
      </c>
      <c r="R247">
        <f>SUM([1]!Table1[[#This Row],[Profit]])</f>
        <v>26</v>
      </c>
      <c r="S247" s="7">
        <f t="shared" si="24"/>
        <v>0.28888888888888886</v>
      </c>
      <c r="T247">
        <f t="shared" si="25"/>
        <v>12</v>
      </c>
      <c r="U247">
        <f t="shared" si="26"/>
        <v>30</v>
      </c>
      <c r="V247">
        <f t="shared" si="27"/>
        <v>19</v>
      </c>
      <c r="W247">
        <f t="shared" si="28"/>
        <v>2.1666666666666665</v>
      </c>
      <c r="X247" t="str">
        <f t="shared" si="29"/>
        <v>Low Profit</v>
      </c>
      <c r="Y247">
        <f t="shared" si="30"/>
        <v>39</v>
      </c>
      <c r="Z247">
        <f t="shared" si="31"/>
        <v>90</v>
      </c>
    </row>
    <row r="248" spans="1:26">
      <c r="A248" s="3">
        <v>505</v>
      </c>
      <c r="B248" s="3">
        <v>86</v>
      </c>
      <c r="C248" s="4">
        <v>41183</v>
      </c>
      <c r="D248" s="3" t="s">
        <v>32</v>
      </c>
      <c r="E248" s="3" t="s">
        <v>23</v>
      </c>
      <c r="F248" s="3">
        <v>26</v>
      </c>
      <c r="G248" s="3" t="s">
        <v>33</v>
      </c>
      <c r="H248" s="3" t="s">
        <v>38</v>
      </c>
      <c r="I248" s="3" t="s">
        <v>39</v>
      </c>
      <c r="J248" s="3">
        <v>-26</v>
      </c>
      <c r="K248" s="3">
        <v>109</v>
      </c>
      <c r="L248" s="3" t="s">
        <v>57</v>
      </c>
      <c r="M248" s="3">
        <v>110</v>
      </c>
      <c r="N248" s="3">
        <v>10</v>
      </c>
      <c r="O248" s="3">
        <v>150</v>
      </c>
      <c r="P248" s="3">
        <v>49</v>
      </c>
      <c r="Q248">
        <f>SUM([1]!Table1[[#This Row],[Sales]])</f>
        <v>109</v>
      </c>
      <c r="R248">
        <f>SUM([1]!Table1[[#This Row],[Profit]])</f>
        <v>-26</v>
      </c>
      <c r="S248" s="7">
        <f t="shared" si="24"/>
        <v>-0.23853211009174313</v>
      </c>
      <c r="T248">
        <f t="shared" si="25"/>
        <v>26</v>
      </c>
      <c r="U248">
        <f t="shared" si="26"/>
        <v>-41</v>
      </c>
      <c r="V248">
        <f t="shared" si="27"/>
        <v>-24</v>
      </c>
      <c r="W248">
        <f t="shared" si="28"/>
        <v>-1</v>
      </c>
      <c r="X248" t="str">
        <f t="shared" si="29"/>
        <v>Low Profit</v>
      </c>
      <c r="Y248">
        <f t="shared" si="30"/>
        <v>86</v>
      </c>
      <c r="Z248">
        <f t="shared" si="31"/>
        <v>109</v>
      </c>
    </row>
    <row r="249" spans="1:26">
      <c r="A249" s="5">
        <v>318</v>
      </c>
      <c r="B249" s="5">
        <v>46</v>
      </c>
      <c r="C249" s="6">
        <v>41183</v>
      </c>
      <c r="D249" s="5" t="s">
        <v>32</v>
      </c>
      <c r="E249" s="5" t="s">
        <v>23</v>
      </c>
      <c r="F249" s="5">
        <v>14</v>
      </c>
      <c r="G249" s="5" t="s">
        <v>33</v>
      </c>
      <c r="H249" s="5" t="s">
        <v>34</v>
      </c>
      <c r="I249" s="5" t="s">
        <v>35</v>
      </c>
      <c r="J249" s="5">
        <v>30</v>
      </c>
      <c r="K249" s="5">
        <v>113</v>
      </c>
      <c r="L249" s="5" t="s">
        <v>48</v>
      </c>
      <c r="M249" s="5">
        <v>20</v>
      </c>
      <c r="N249" s="5">
        <v>40</v>
      </c>
      <c r="O249" s="5">
        <v>60</v>
      </c>
      <c r="P249" s="5">
        <v>37</v>
      </c>
      <c r="Q249">
        <f>SUM([1]!Table1[[#This Row],[Sales]])</f>
        <v>113</v>
      </c>
      <c r="R249">
        <f>SUM([1]!Table1[[#This Row],[Profit]])</f>
        <v>30</v>
      </c>
      <c r="S249" s="7">
        <f t="shared" si="24"/>
        <v>0.26548672566371684</v>
      </c>
      <c r="T249">
        <f t="shared" si="25"/>
        <v>14</v>
      </c>
      <c r="U249">
        <f t="shared" si="26"/>
        <v>53</v>
      </c>
      <c r="V249">
        <f t="shared" si="27"/>
        <v>26</v>
      </c>
      <c r="W249">
        <f t="shared" si="28"/>
        <v>2.1428571428571428</v>
      </c>
      <c r="X249" t="str">
        <f t="shared" si="29"/>
        <v>Low Profit</v>
      </c>
      <c r="Y249">
        <f t="shared" si="30"/>
        <v>46</v>
      </c>
      <c r="Z249">
        <f t="shared" si="31"/>
        <v>113</v>
      </c>
    </row>
    <row r="250" spans="1:26">
      <c r="A250" s="3">
        <v>515</v>
      </c>
      <c r="B250" s="3">
        <v>31</v>
      </c>
      <c r="C250" s="4">
        <v>41183</v>
      </c>
      <c r="D250" s="3" t="s">
        <v>32</v>
      </c>
      <c r="E250" s="3" t="s">
        <v>17</v>
      </c>
      <c r="F250" s="3">
        <v>9</v>
      </c>
      <c r="G250" s="3" t="s">
        <v>33</v>
      </c>
      <c r="H250" s="3" t="s">
        <v>38</v>
      </c>
      <c r="I250" s="3" t="s">
        <v>45</v>
      </c>
      <c r="J250" s="3">
        <v>7</v>
      </c>
      <c r="K250" s="3">
        <v>68</v>
      </c>
      <c r="L250" s="3" t="s">
        <v>36</v>
      </c>
      <c r="M250" s="3">
        <v>20</v>
      </c>
      <c r="N250" s="3">
        <v>30</v>
      </c>
      <c r="O250" s="3">
        <v>60</v>
      </c>
      <c r="P250" s="3">
        <v>30</v>
      </c>
      <c r="Q250">
        <f>SUM([1]!Table1[[#This Row],[Sales]])</f>
        <v>68</v>
      </c>
      <c r="R250">
        <f>SUM([1]!Table1[[#This Row],[Profit]])</f>
        <v>7</v>
      </c>
      <c r="S250" s="7">
        <f t="shared" si="24"/>
        <v>0.10294117647058823</v>
      </c>
      <c r="T250">
        <f t="shared" si="25"/>
        <v>9</v>
      </c>
      <c r="U250">
        <f t="shared" si="26"/>
        <v>8</v>
      </c>
      <c r="V250">
        <f t="shared" si="27"/>
        <v>11</v>
      </c>
      <c r="W250">
        <f t="shared" si="28"/>
        <v>0.77777777777777779</v>
      </c>
      <c r="X250" t="str">
        <f t="shared" si="29"/>
        <v>Low Profit</v>
      </c>
      <c r="Y250">
        <f t="shared" si="30"/>
        <v>31</v>
      </c>
      <c r="Z250">
        <f t="shared" si="31"/>
        <v>68</v>
      </c>
    </row>
    <row r="251" spans="1:26">
      <c r="A251" s="5">
        <v>505</v>
      </c>
      <c r="B251" s="5">
        <v>45</v>
      </c>
      <c r="C251" s="6">
        <v>41183</v>
      </c>
      <c r="D251" s="5" t="s">
        <v>32</v>
      </c>
      <c r="E251" s="5" t="s">
        <v>23</v>
      </c>
      <c r="F251" s="5">
        <v>41</v>
      </c>
      <c r="G251" s="5" t="s">
        <v>33</v>
      </c>
      <c r="H251" s="5" t="s">
        <v>34</v>
      </c>
      <c r="I251" s="5" t="s">
        <v>46</v>
      </c>
      <c r="J251" s="5">
        <v>-6</v>
      </c>
      <c r="K251" s="5">
        <v>109</v>
      </c>
      <c r="L251" s="5" t="s">
        <v>57</v>
      </c>
      <c r="M251" s="5">
        <v>20</v>
      </c>
      <c r="N251" s="5">
        <v>10</v>
      </c>
      <c r="O251" s="5">
        <v>60</v>
      </c>
      <c r="P251" s="5">
        <v>70</v>
      </c>
      <c r="Q251">
        <f>SUM([1]!Table1[[#This Row],[Sales]])</f>
        <v>109</v>
      </c>
      <c r="R251">
        <f>SUM([1]!Table1[[#This Row],[Profit]])</f>
        <v>-6</v>
      </c>
      <c r="S251" s="7">
        <f t="shared" si="24"/>
        <v>-5.5045871559633031E-2</v>
      </c>
      <c r="T251">
        <f t="shared" si="25"/>
        <v>41</v>
      </c>
      <c r="U251">
        <f t="shared" si="26"/>
        <v>49</v>
      </c>
      <c r="V251">
        <f t="shared" si="27"/>
        <v>25</v>
      </c>
      <c r="W251">
        <f t="shared" si="28"/>
        <v>-0.14634146341463414</v>
      </c>
      <c r="X251" t="str">
        <f t="shared" si="29"/>
        <v>Low Profit</v>
      </c>
      <c r="Y251">
        <f t="shared" si="30"/>
        <v>45</v>
      </c>
      <c r="Z251">
        <f t="shared" si="31"/>
        <v>109</v>
      </c>
    </row>
    <row r="252" spans="1:26">
      <c r="A252" s="3">
        <v>801</v>
      </c>
      <c r="B252" s="3">
        <v>32</v>
      </c>
      <c r="C252" s="4">
        <v>41183</v>
      </c>
      <c r="D252" s="3" t="s">
        <v>32</v>
      </c>
      <c r="E252" s="3" t="s">
        <v>29</v>
      </c>
      <c r="F252" s="3">
        <v>8</v>
      </c>
      <c r="G252" s="3" t="s">
        <v>33</v>
      </c>
      <c r="H252" s="3" t="s">
        <v>34</v>
      </c>
      <c r="I252" s="3" t="s">
        <v>47</v>
      </c>
      <c r="J252" s="3">
        <v>28</v>
      </c>
      <c r="K252" s="3">
        <v>79</v>
      </c>
      <c r="L252" s="3" t="s">
        <v>42</v>
      </c>
      <c r="M252" s="3">
        <v>20</v>
      </c>
      <c r="N252" s="3">
        <v>40</v>
      </c>
      <c r="O252" s="3">
        <v>60</v>
      </c>
      <c r="P252" s="3">
        <v>19</v>
      </c>
      <c r="Q252">
        <f>SUM([1]!Table1[[#This Row],[Sales]])</f>
        <v>79</v>
      </c>
      <c r="R252">
        <f>SUM([1]!Table1[[#This Row],[Profit]])</f>
        <v>28</v>
      </c>
      <c r="S252" s="7">
        <f t="shared" si="24"/>
        <v>0.35443037974683544</v>
      </c>
      <c r="T252">
        <f t="shared" si="25"/>
        <v>8</v>
      </c>
      <c r="U252">
        <f t="shared" si="26"/>
        <v>19</v>
      </c>
      <c r="V252">
        <f t="shared" si="27"/>
        <v>12</v>
      </c>
      <c r="W252">
        <f t="shared" si="28"/>
        <v>3.5</v>
      </c>
      <c r="X252" t="str">
        <f t="shared" si="29"/>
        <v>Low Profit</v>
      </c>
      <c r="Y252">
        <f t="shared" si="30"/>
        <v>32</v>
      </c>
      <c r="Z252">
        <f t="shared" si="31"/>
        <v>79</v>
      </c>
    </row>
    <row r="253" spans="1:26">
      <c r="A253" s="5">
        <v>505</v>
      </c>
      <c r="B253" s="5">
        <v>31</v>
      </c>
      <c r="C253" s="6">
        <v>41183</v>
      </c>
      <c r="D253" s="5" t="s">
        <v>32</v>
      </c>
      <c r="E253" s="5" t="s">
        <v>23</v>
      </c>
      <c r="F253" s="5">
        <v>9</v>
      </c>
      <c r="G253" s="5" t="s">
        <v>18</v>
      </c>
      <c r="H253" s="5" t="s">
        <v>19</v>
      </c>
      <c r="I253" s="5" t="s">
        <v>20</v>
      </c>
      <c r="J253" s="5">
        <v>6</v>
      </c>
      <c r="K253" s="5">
        <v>68</v>
      </c>
      <c r="L253" s="5" t="s">
        <v>57</v>
      </c>
      <c r="M253" s="5">
        <v>10</v>
      </c>
      <c r="N253" s="5">
        <v>30</v>
      </c>
      <c r="O253" s="5">
        <v>50</v>
      </c>
      <c r="P253" s="5">
        <v>31</v>
      </c>
      <c r="Q253">
        <f>SUM([1]!Table1[[#This Row],[Sales]])</f>
        <v>68</v>
      </c>
      <c r="R253">
        <f>SUM([1]!Table1[[#This Row],[Profit]])</f>
        <v>6</v>
      </c>
      <c r="S253" s="7">
        <f t="shared" si="24"/>
        <v>8.8235294117647065E-2</v>
      </c>
      <c r="T253">
        <f t="shared" si="25"/>
        <v>9</v>
      </c>
      <c r="U253">
        <f t="shared" si="26"/>
        <v>18</v>
      </c>
      <c r="V253">
        <f t="shared" si="27"/>
        <v>21</v>
      </c>
      <c r="W253">
        <f t="shared" si="28"/>
        <v>0.66666666666666663</v>
      </c>
      <c r="X253" t="str">
        <f t="shared" si="29"/>
        <v>Low Profit</v>
      </c>
      <c r="Y253">
        <f t="shared" si="30"/>
        <v>31</v>
      </c>
      <c r="Z253">
        <f t="shared" si="31"/>
        <v>68</v>
      </c>
    </row>
    <row r="254" spans="1:26">
      <c r="A254" s="3">
        <v>636</v>
      </c>
      <c r="B254" s="3">
        <v>39</v>
      </c>
      <c r="C254" s="4">
        <v>41183</v>
      </c>
      <c r="D254" s="3" t="s">
        <v>32</v>
      </c>
      <c r="E254" s="3" t="s">
        <v>17</v>
      </c>
      <c r="F254" s="3">
        <v>12</v>
      </c>
      <c r="G254" s="3" t="s">
        <v>18</v>
      </c>
      <c r="H254" s="3" t="s">
        <v>26</v>
      </c>
      <c r="I254" s="3" t="s">
        <v>27</v>
      </c>
      <c r="J254" s="3">
        <v>13</v>
      </c>
      <c r="K254" s="3">
        <v>92</v>
      </c>
      <c r="L254" s="3" t="s">
        <v>51</v>
      </c>
      <c r="M254" s="3">
        <v>20</v>
      </c>
      <c r="N254" s="3">
        <v>30</v>
      </c>
      <c r="O254" s="3">
        <v>60</v>
      </c>
      <c r="P254" s="3">
        <v>40</v>
      </c>
      <c r="Q254">
        <f>SUM([1]!Table1[[#This Row],[Sales]])</f>
        <v>92</v>
      </c>
      <c r="R254">
        <f>SUM([1]!Table1[[#This Row],[Profit]])</f>
        <v>13</v>
      </c>
      <c r="S254" s="7">
        <f t="shared" si="24"/>
        <v>0.14130434782608695</v>
      </c>
      <c r="T254">
        <f t="shared" si="25"/>
        <v>12</v>
      </c>
      <c r="U254">
        <f t="shared" si="26"/>
        <v>32</v>
      </c>
      <c r="V254">
        <f t="shared" si="27"/>
        <v>19</v>
      </c>
      <c r="W254">
        <f t="shared" si="28"/>
        <v>1.0833333333333333</v>
      </c>
      <c r="X254" t="str">
        <f t="shared" si="29"/>
        <v>Low Profit</v>
      </c>
      <c r="Y254">
        <f t="shared" si="30"/>
        <v>39</v>
      </c>
      <c r="Z254">
        <f t="shared" si="31"/>
        <v>92</v>
      </c>
    </row>
    <row r="255" spans="1:26">
      <c r="A255" s="5">
        <v>959</v>
      </c>
      <c r="B255" s="5">
        <v>24</v>
      </c>
      <c r="C255" s="6">
        <v>41183</v>
      </c>
      <c r="D255" s="5" t="s">
        <v>32</v>
      </c>
      <c r="E255" s="5" t="s">
        <v>25</v>
      </c>
      <c r="F255" s="5">
        <v>6</v>
      </c>
      <c r="G255" s="5" t="s">
        <v>18</v>
      </c>
      <c r="H255" s="5" t="s">
        <v>26</v>
      </c>
      <c r="I255" s="5" t="s">
        <v>30</v>
      </c>
      <c r="J255" s="5">
        <v>18</v>
      </c>
      <c r="K255" s="5">
        <v>60</v>
      </c>
      <c r="L255" s="5" t="s">
        <v>37</v>
      </c>
      <c r="M255" s="5">
        <v>20</v>
      </c>
      <c r="N255" s="5">
        <v>40</v>
      </c>
      <c r="O255" s="5">
        <v>60</v>
      </c>
      <c r="P255" s="5">
        <v>18</v>
      </c>
      <c r="Q255">
        <f>SUM([1]!Table1[[#This Row],[Sales]])</f>
        <v>60</v>
      </c>
      <c r="R255">
        <f>SUM([1]!Table1[[#This Row],[Profit]])</f>
        <v>18</v>
      </c>
      <c r="S255" s="7">
        <f t="shared" si="24"/>
        <v>0.3</v>
      </c>
      <c r="T255">
        <f t="shared" si="25"/>
        <v>6</v>
      </c>
      <c r="U255">
        <f t="shared" si="26"/>
        <v>0</v>
      </c>
      <c r="V255">
        <f t="shared" si="27"/>
        <v>4</v>
      </c>
      <c r="W255">
        <f t="shared" si="28"/>
        <v>3</v>
      </c>
      <c r="X255" t="str">
        <f t="shared" si="29"/>
        <v>Low Profit</v>
      </c>
      <c r="Y255">
        <f t="shared" si="30"/>
        <v>24</v>
      </c>
      <c r="Z255">
        <f t="shared" si="31"/>
        <v>60</v>
      </c>
    </row>
    <row r="256" spans="1:26">
      <c r="A256" s="3">
        <v>603</v>
      </c>
      <c r="B256" s="3">
        <v>0</v>
      </c>
      <c r="C256" s="4">
        <v>41183</v>
      </c>
      <c r="D256" s="3" t="s">
        <v>32</v>
      </c>
      <c r="E256" s="3" t="s">
        <v>25</v>
      </c>
      <c r="F256" s="3">
        <v>0</v>
      </c>
      <c r="G256" s="3" t="s">
        <v>18</v>
      </c>
      <c r="H256" s="3" t="s">
        <v>26</v>
      </c>
      <c r="I256" s="3" t="s">
        <v>30</v>
      </c>
      <c r="J256" s="3">
        <v>32</v>
      </c>
      <c r="K256" s="3">
        <v>43</v>
      </c>
      <c r="L256" s="3" t="s">
        <v>44</v>
      </c>
      <c r="M256" s="3">
        <v>0</v>
      </c>
      <c r="N256" s="3">
        <v>40</v>
      </c>
      <c r="O256" s="3">
        <v>40</v>
      </c>
      <c r="P256" s="3">
        <v>11</v>
      </c>
      <c r="Q256">
        <f>SUM([1]!Table1[[#This Row],[Sales]])</f>
        <v>43</v>
      </c>
      <c r="R256">
        <f>SUM([1]!Table1[[#This Row],[Profit]])</f>
        <v>32</v>
      </c>
      <c r="S256" s="7">
        <f t="shared" si="24"/>
        <v>0.7441860465116279</v>
      </c>
      <c r="T256">
        <f t="shared" si="25"/>
        <v>0</v>
      </c>
      <c r="U256">
        <f t="shared" si="26"/>
        <v>3</v>
      </c>
      <c r="V256">
        <f t="shared" si="27"/>
        <v>0</v>
      </c>
      <c r="W256" t="e">
        <f t="shared" si="28"/>
        <v>#DIV/0!</v>
      </c>
      <c r="X256" t="str">
        <f t="shared" si="29"/>
        <v>Low Profit</v>
      </c>
      <c r="Y256">
        <f t="shared" si="30"/>
        <v>0</v>
      </c>
      <c r="Z256">
        <f t="shared" si="31"/>
        <v>43</v>
      </c>
    </row>
    <row r="257" spans="1:26">
      <c r="A257" s="5">
        <v>801</v>
      </c>
      <c r="B257" s="5">
        <v>45</v>
      </c>
      <c r="C257" s="6">
        <v>41183</v>
      </c>
      <c r="D257" s="5" t="s">
        <v>32</v>
      </c>
      <c r="E257" s="5" t="s">
        <v>29</v>
      </c>
      <c r="F257" s="5">
        <v>41</v>
      </c>
      <c r="G257" s="5" t="s">
        <v>18</v>
      </c>
      <c r="H257" s="5" t="s">
        <v>26</v>
      </c>
      <c r="I257" s="5" t="s">
        <v>27</v>
      </c>
      <c r="J257" s="5">
        <v>-6</v>
      </c>
      <c r="K257" s="5">
        <v>109</v>
      </c>
      <c r="L257" s="5" t="s">
        <v>42</v>
      </c>
      <c r="M257" s="5">
        <v>10</v>
      </c>
      <c r="N257" s="5">
        <v>20</v>
      </c>
      <c r="O257" s="5">
        <v>50</v>
      </c>
      <c r="P257" s="5">
        <v>70</v>
      </c>
      <c r="Q257">
        <f>SUM([1]!Table1[[#This Row],[Sales]])</f>
        <v>109</v>
      </c>
      <c r="R257">
        <f>SUM([1]!Table1[[#This Row],[Profit]])</f>
        <v>-6</v>
      </c>
      <c r="S257" s="7">
        <f t="shared" si="24"/>
        <v>-5.5045871559633031E-2</v>
      </c>
      <c r="T257">
        <f t="shared" si="25"/>
        <v>41</v>
      </c>
      <c r="U257">
        <f t="shared" si="26"/>
        <v>59</v>
      </c>
      <c r="V257">
        <f t="shared" si="27"/>
        <v>35</v>
      </c>
      <c r="W257">
        <f t="shared" si="28"/>
        <v>-0.14634146341463414</v>
      </c>
      <c r="X257" t="str">
        <f t="shared" si="29"/>
        <v>Low Profit</v>
      </c>
      <c r="Y257">
        <f t="shared" si="30"/>
        <v>45</v>
      </c>
      <c r="Z257">
        <f t="shared" si="31"/>
        <v>109</v>
      </c>
    </row>
    <row r="258" spans="1:26">
      <c r="A258" s="3">
        <v>206</v>
      </c>
      <c r="B258" s="3">
        <v>60</v>
      </c>
      <c r="C258" s="4">
        <v>41183</v>
      </c>
      <c r="D258" s="3" t="s">
        <v>32</v>
      </c>
      <c r="E258" s="3" t="s">
        <v>29</v>
      </c>
      <c r="F258" s="3">
        <v>54</v>
      </c>
      <c r="G258" s="3" t="s">
        <v>18</v>
      </c>
      <c r="H258" s="3" t="s">
        <v>26</v>
      </c>
      <c r="I258" s="3" t="s">
        <v>30</v>
      </c>
      <c r="J258" s="3">
        <v>0</v>
      </c>
      <c r="K258" s="3">
        <v>144</v>
      </c>
      <c r="L258" s="3" t="s">
        <v>53</v>
      </c>
      <c r="M258" s="3">
        <v>20</v>
      </c>
      <c r="N258" s="3">
        <v>10</v>
      </c>
      <c r="O258" s="3">
        <v>60</v>
      </c>
      <c r="P258" s="3">
        <v>84</v>
      </c>
      <c r="Q258">
        <f>SUM([1]!Table1[[#This Row],[Sales]])</f>
        <v>144</v>
      </c>
      <c r="R258">
        <f>SUM([1]!Table1[[#This Row],[Profit]])</f>
        <v>0</v>
      </c>
      <c r="S258" s="7">
        <f t="shared" si="24"/>
        <v>0</v>
      </c>
      <c r="T258">
        <f t="shared" si="25"/>
        <v>54</v>
      </c>
      <c r="U258">
        <f t="shared" si="26"/>
        <v>84</v>
      </c>
      <c r="V258">
        <f t="shared" si="27"/>
        <v>40</v>
      </c>
      <c r="W258">
        <f t="shared" si="28"/>
        <v>0</v>
      </c>
      <c r="X258" t="str">
        <f t="shared" si="29"/>
        <v>Low Profit</v>
      </c>
      <c r="Y258">
        <f t="shared" si="30"/>
        <v>60</v>
      </c>
      <c r="Z258">
        <f t="shared" si="31"/>
        <v>144</v>
      </c>
    </row>
    <row r="259" spans="1:26">
      <c r="A259" s="5">
        <v>937</v>
      </c>
      <c r="B259" s="5">
        <v>32</v>
      </c>
      <c r="C259" s="6">
        <v>41214</v>
      </c>
      <c r="D259" s="5" t="s">
        <v>16</v>
      </c>
      <c r="E259" s="5" t="s">
        <v>17</v>
      </c>
      <c r="F259" s="5">
        <v>8</v>
      </c>
      <c r="G259" s="5" t="s">
        <v>18</v>
      </c>
      <c r="H259" s="5" t="s">
        <v>19</v>
      </c>
      <c r="I259" s="5" t="s">
        <v>50</v>
      </c>
      <c r="J259" s="5">
        <v>29</v>
      </c>
      <c r="K259" s="5">
        <v>80</v>
      </c>
      <c r="L259" s="5" t="s">
        <v>58</v>
      </c>
      <c r="M259" s="5">
        <v>30</v>
      </c>
      <c r="N259" s="5">
        <v>30</v>
      </c>
      <c r="O259" s="5">
        <v>70</v>
      </c>
      <c r="P259" s="5">
        <v>19</v>
      </c>
      <c r="Q259">
        <f>SUM([1]!Table1[[#This Row],[Sales]])</f>
        <v>80</v>
      </c>
      <c r="R259">
        <f>SUM([1]!Table1[[#This Row],[Profit]])</f>
        <v>29</v>
      </c>
      <c r="S259" s="7">
        <f t="shared" ref="S259:S322" si="32">J259/K259</f>
        <v>0.36249999999999999</v>
      </c>
      <c r="T259">
        <f t="shared" ref="T259:T322" si="33">SUM(F259)</f>
        <v>8</v>
      </c>
      <c r="U259">
        <f t="shared" ref="U259:U322" si="34">K259-O259</f>
        <v>10</v>
      </c>
      <c r="V259">
        <f t="shared" ref="V259:V322" si="35">B259-M259</f>
        <v>2</v>
      </c>
      <c r="W259">
        <f t="shared" ref="W259:W322" si="36">J259/F259</f>
        <v>3.625</v>
      </c>
      <c r="X259" t="str">
        <f t="shared" ref="X259:X322" si="37">IF(J259&gt;100,"High Profit","Low Profit")</f>
        <v>Low Profit</v>
      </c>
      <c r="Y259">
        <f t="shared" ref="Y259:Y322" si="38">SUM(B259)</f>
        <v>32</v>
      </c>
      <c r="Z259">
        <f t="shared" ref="Z259:Z322" si="39">SUM(K259)</f>
        <v>80</v>
      </c>
    </row>
    <row r="260" spans="1:26">
      <c r="A260" s="3">
        <v>407</v>
      </c>
      <c r="B260" s="3">
        <v>54</v>
      </c>
      <c r="C260" s="4">
        <v>41214</v>
      </c>
      <c r="D260" s="3" t="s">
        <v>16</v>
      </c>
      <c r="E260" s="3" t="s">
        <v>25</v>
      </c>
      <c r="F260" s="3">
        <v>20</v>
      </c>
      <c r="G260" s="3" t="s">
        <v>18</v>
      </c>
      <c r="H260" s="3" t="s">
        <v>19</v>
      </c>
      <c r="I260" s="3" t="s">
        <v>20</v>
      </c>
      <c r="J260" s="3">
        <v>13</v>
      </c>
      <c r="K260" s="3">
        <v>121</v>
      </c>
      <c r="L260" s="3" t="s">
        <v>28</v>
      </c>
      <c r="M260" s="3">
        <v>40</v>
      </c>
      <c r="N260" s="3">
        <v>10</v>
      </c>
      <c r="O260" s="3">
        <v>80</v>
      </c>
      <c r="P260" s="3">
        <v>54</v>
      </c>
      <c r="Q260">
        <f>SUM([1]!Table1[[#This Row],[Sales]])</f>
        <v>121</v>
      </c>
      <c r="R260">
        <f>SUM([1]!Table1[[#This Row],[Profit]])</f>
        <v>13</v>
      </c>
      <c r="S260" s="7">
        <f t="shared" si="32"/>
        <v>0.10743801652892562</v>
      </c>
      <c r="T260">
        <f t="shared" si="33"/>
        <v>20</v>
      </c>
      <c r="U260">
        <f t="shared" si="34"/>
        <v>41</v>
      </c>
      <c r="V260">
        <f t="shared" si="35"/>
        <v>14</v>
      </c>
      <c r="W260">
        <f t="shared" si="36"/>
        <v>0.65</v>
      </c>
      <c r="X260" t="str">
        <f t="shared" si="37"/>
        <v>Low Profit</v>
      </c>
      <c r="Y260">
        <f t="shared" si="38"/>
        <v>54</v>
      </c>
      <c r="Z260">
        <f t="shared" si="39"/>
        <v>121</v>
      </c>
    </row>
    <row r="261" spans="1:26">
      <c r="A261" s="5">
        <v>715</v>
      </c>
      <c r="B261" s="5">
        <v>22</v>
      </c>
      <c r="C261" s="6">
        <v>41214</v>
      </c>
      <c r="D261" s="5" t="s">
        <v>32</v>
      </c>
      <c r="E261" s="5" t="s">
        <v>17</v>
      </c>
      <c r="F261" s="5">
        <v>7</v>
      </c>
      <c r="G261" s="5" t="s">
        <v>33</v>
      </c>
      <c r="H261" s="5" t="s">
        <v>34</v>
      </c>
      <c r="I261" s="5" t="s">
        <v>35</v>
      </c>
      <c r="J261" s="5">
        <v>11</v>
      </c>
      <c r="K261" s="5">
        <v>52</v>
      </c>
      <c r="L261" s="5" t="s">
        <v>52</v>
      </c>
      <c r="M261" s="5">
        <v>20</v>
      </c>
      <c r="N261" s="5">
        <v>30</v>
      </c>
      <c r="O261" s="5">
        <v>60</v>
      </c>
      <c r="P261" s="5">
        <v>19</v>
      </c>
      <c r="Q261">
        <f>SUM([1]!Table1[[#This Row],[Sales]])</f>
        <v>52</v>
      </c>
      <c r="R261">
        <f>SUM([1]!Table1[[#This Row],[Profit]])</f>
        <v>11</v>
      </c>
      <c r="S261" s="7">
        <f t="shared" si="32"/>
        <v>0.21153846153846154</v>
      </c>
      <c r="T261">
        <f t="shared" si="33"/>
        <v>7</v>
      </c>
      <c r="U261">
        <f t="shared" si="34"/>
        <v>-8</v>
      </c>
      <c r="V261">
        <f t="shared" si="35"/>
        <v>2</v>
      </c>
      <c r="W261">
        <f t="shared" si="36"/>
        <v>1.5714285714285714</v>
      </c>
      <c r="X261" t="str">
        <f t="shared" si="37"/>
        <v>Low Profit</v>
      </c>
      <c r="Y261">
        <f t="shared" si="38"/>
        <v>22</v>
      </c>
      <c r="Z261">
        <f t="shared" si="39"/>
        <v>52</v>
      </c>
    </row>
    <row r="262" spans="1:26">
      <c r="A262" s="3">
        <v>505</v>
      </c>
      <c r="B262" s="3">
        <v>35</v>
      </c>
      <c r="C262" s="4">
        <v>41214</v>
      </c>
      <c r="D262" s="3" t="s">
        <v>32</v>
      </c>
      <c r="E262" s="3" t="s">
        <v>23</v>
      </c>
      <c r="F262" s="3">
        <v>11</v>
      </c>
      <c r="G262" s="3" t="s">
        <v>33</v>
      </c>
      <c r="H262" s="3" t="s">
        <v>34</v>
      </c>
      <c r="I262" s="3" t="s">
        <v>35</v>
      </c>
      <c r="J262" s="3">
        <v>8</v>
      </c>
      <c r="K262" s="3">
        <v>82</v>
      </c>
      <c r="L262" s="3" t="s">
        <v>57</v>
      </c>
      <c r="M262" s="3">
        <v>20</v>
      </c>
      <c r="N262" s="3">
        <v>20</v>
      </c>
      <c r="O262" s="3">
        <v>60</v>
      </c>
      <c r="P262" s="3">
        <v>39</v>
      </c>
      <c r="Q262">
        <f>SUM([1]!Table1[[#This Row],[Sales]])</f>
        <v>82</v>
      </c>
      <c r="R262">
        <f>SUM([1]!Table1[[#This Row],[Profit]])</f>
        <v>8</v>
      </c>
      <c r="S262" s="7">
        <f t="shared" si="32"/>
        <v>9.7560975609756101E-2</v>
      </c>
      <c r="T262">
        <f t="shared" si="33"/>
        <v>11</v>
      </c>
      <c r="U262">
        <f t="shared" si="34"/>
        <v>22</v>
      </c>
      <c r="V262">
        <f t="shared" si="35"/>
        <v>15</v>
      </c>
      <c r="W262">
        <f t="shared" si="36"/>
        <v>0.72727272727272729</v>
      </c>
      <c r="X262" t="str">
        <f t="shared" si="37"/>
        <v>Low Profit</v>
      </c>
      <c r="Y262">
        <f t="shared" si="38"/>
        <v>35</v>
      </c>
      <c r="Z262">
        <f t="shared" si="39"/>
        <v>82</v>
      </c>
    </row>
    <row r="263" spans="1:26">
      <c r="A263" s="5">
        <v>775</v>
      </c>
      <c r="B263" s="5">
        <v>29</v>
      </c>
      <c r="C263" s="6">
        <v>41214</v>
      </c>
      <c r="D263" s="5" t="s">
        <v>32</v>
      </c>
      <c r="E263" s="5" t="s">
        <v>29</v>
      </c>
      <c r="F263" s="5">
        <v>8</v>
      </c>
      <c r="G263" s="5" t="s">
        <v>33</v>
      </c>
      <c r="H263" s="5" t="s">
        <v>38</v>
      </c>
      <c r="I263" s="5" t="s">
        <v>39</v>
      </c>
      <c r="J263" s="5">
        <v>5</v>
      </c>
      <c r="K263" s="5">
        <v>64</v>
      </c>
      <c r="L263" s="5" t="s">
        <v>41</v>
      </c>
      <c r="M263" s="5">
        <v>30</v>
      </c>
      <c r="N263" s="5">
        <v>20</v>
      </c>
      <c r="O263" s="5">
        <v>70</v>
      </c>
      <c r="P263" s="5">
        <v>30</v>
      </c>
      <c r="Q263">
        <f>SUM([1]!Table1[[#This Row],[Sales]])</f>
        <v>64</v>
      </c>
      <c r="R263">
        <f>SUM([1]!Table1[[#This Row],[Profit]])</f>
        <v>5</v>
      </c>
      <c r="S263" s="7">
        <f t="shared" si="32"/>
        <v>7.8125E-2</v>
      </c>
      <c r="T263">
        <f t="shared" si="33"/>
        <v>8</v>
      </c>
      <c r="U263">
        <f t="shared" si="34"/>
        <v>-6</v>
      </c>
      <c r="V263">
        <f t="shared" si="35"/>
        <v>-1</v>
      </c>
      <c r="W263">
        <f t="shared" si="36"/>
        <v>0.625</v>
      </c>
      <c r="X263" t="str">
        <f t="shared" si="37"/>
        <v>Low Profit</v>
      </c>
      <c r="Y263">
        <f t="shared" si="38"/>
        <v>29</v>
      </c>
      <c r="Z263">
        <f t="shared" si="39"/>
        <v>64</v>
      </c>
    </row>
    <row r="264" spans="1:26">
      <c r="A264" s="3">
        <v>563</v>
      </c>
      <c r="B264" s="3">
        <v>29</v>
      </c>
      <c r="C264" s="4">
        <v>41214</v>
      </c>
      <c r="D264" s="3" t="s">
        <v>32</v>
      </c>
      <c r="E264" s="3" t="s">
        <v>17</v>
      </c>
      <c r="F264" s="3">
        <v>8</v>
      </c>
      <c r="G264" s="3" t="s">
        <v>33</v>
      </c>
      <c r="H264" s="3" t="s">
        <v>38</v>
      </c>
      <c r="I264" s="3" t="s">
        <v>45</v>
      </c>
      <c r="J264" s="3">
        <v>5</v>
      </c>
      <c r="K264" s="3">
        <v>64</v>
      </c>
      <c r="L264" s="3" t="s">
        <v>36</v>
      </c>
      <c r="M264" s="3">
        <v>20</v>
      </c>
      <c r="N264" s="3">
        <v>20</v>
      </c>
      <c r="O264" s="3">
        <v>60</v>
      </c>
      <c r="P264" s="3">
        <v>30</v>
      </c>
      <c r="Q264">
        <f>SUM([1]!Table1[[#This Row],[Sales]])</f>
        <v>64</v>
      </c>
      <c r="R264">
        <f>SUM([1]!Table1[[#This Row],[Profit]])</f>
        <v>5</v>
      </c>
      <c r="S264" s="7">
        <f t="shared" si="32"/>
        <v>7.8125E-2</v>
      </c>
      <c r="T264">
        <f t="shared" si="33"/>
        <v>8</v>
      </c>
      <c r="U264">
        <f t="shared" si="34"/>
        <v>4</v>
      </c>
      <c r="V264">
        <f t="shared" si="35"/>
        <v>9</v>
      </c>
      <c r="W264">
        <f t="shared" si="36"/>
        <v>0.625</v>
      </c>
      <c r="X264" t="str">
        <f t="shared" si="37"/>
        <v>Low Profit</v>
      </c>
      <c r="Y264">
        <f t="shared" si="38"/>
        <v>29</v>
      </c>
      <c r="Z264">
        <f t="shared" si="39"/>
        <v>64</v>
      </c>
    </row>
    <row r="265" spans="1:26">
      <c r="A265" s="5">
        <v>603</v>
      </c>
      <c r="B265" s="5">
        <v>34</v>
      </c>
      <c r="C265" s="6">
        <v>41214</v>
      </c>
      <c r="D265" s="5" t="s">
        <v>32</v>
      </c>
      <c r="E265" s="5" t="s">
        <v>25</v>
      </c>
      <c r="F265" s="5">
        <v>12</v>
      </c>
      <c r="G265" s="5" t="s">
        <v>33</v>
      </c>
      <c r="H265" s="5" t="s">
        <v>34</v>
      </c>
      <c r="I265" s="5" t="s">
        <v>59</v>
      </c>
      <c r="J265" s="5">
        <v>-3</v>
      </c>
      <c r="K265" s="5">
        <v>76</v>
      </c>
      <c r="L265" s="5" t="s">
        <v>44</v>
      </c>
      <c r="M265" s="5">
        <v>30</v>
      </c>
      <c r="N265" s="5">
        <v>0</v>
      </c>
      <c r="O265" s="5">
        <v>70</v>
      </c>
      <c r="P265" s="5">
        <v>45</v>
      </c>
      <c r="Q265">
        <f>SUM([1]!Table1[[#This Row],[Sales]])</f>
        <v>76</v>
      </c>
      <c r="R265">
        <f>SUM([1]!Table1[[#This Row],[Profit]])</f>
        <v>-3</v>
      </c>
      <c r="S265" s="7">
        <f t="shared" si="32"/>
        <v>-3.9473684210526314E-2</v>
      </c>
      <c r="T265">
        <f t="shared" si="33"/>
        <v>12</v>
      </c>
      <c r="U265">
        <f t="shared" si="34"/>
        <v>6</v>
      </c>
      <c r="V265">
        <f t="shared" si="35"/>
        <v>4</v>
      </c>
      <c r="W265">
        <f t="shared" si="36"/>
        <v>-0.25</v>
      </c>
      <c r="X265" t="str">
        <f t="shared" si="37"/>
        <v>Low Profit</v>
      </c>
      <c r="Y265">
        <f t="shared" si="38"/>
        <v>34</v>
      </c>
      <c r="Z265">
        <f t="shared" si="39"/>
        <v>76</v>
      </c>
    </row>
    <row r="266" spans="1:26">
      <c r="A266" s="3">
        <v>918</v>
      </c>
      <c r="B266" s="3">
        <v>32</v>
      </c>
      <c r="C266" s="4">
        <v>41214</v>
      </c>
      <c r="D266" s="3" t="s">
        <v>32</v>
      </c>
      <c r="E266" s="3" t="s">
        <v>23</v>
      </c>
      <c r="F266" s="3">
        <v>8</v>
      </c>
      <c r="G266" s="3" t="s">
        <v>33</v>
      </c>
      <c r="H266" s="3" t="s">
        <v>34</v>
      </c>
      <c r="I266" s="3" t="s">
        <v>46</v>
      </c>
      <c r="J266" s="3">
        <v>29</v>
      </c>
      <c r="K266" s="3">
        <v>80</v>
      </c>
      <c r="L266" s="3" t="s">
        <v>40</v>
      </c>
      <c r="M266" s="3">
        <v>20</v>
      </c>
      <c r="N266" s="3">
        <v>30</v>
      </c>
      <c r="O266" s="3">
        <v>60</v>
      </c>
      <c r="P266" s="3">
        <v>19</v>
      </c>
      <c r="Q266">
        <f>SUM([1]!Table1[[#This Row],[Sales]])</f>
        <v>80</v>
      </c>
      <c r="R266">
        <f>SUM([1]!Table1[[#This Row],[Profit]])</f>
        <v>29</v>
      </c>
      <c r="S266" s="7">
        <f t="shared" si="32"/>
        <v>0.36249999999999999</v>
      </c>
      <c r="T266">
        <f t="shared" si="33"/>
        <v>8</v>
      </c>
      <c r="U266">
        <f t="shared" si="34"/>
        <v>20</v>
      </c>
      <c r="V266">
        <f t="shared" si="35"/>
        <v>12</v>
      </c>
      <c r="W266">
        <f t="shared" si="36"/>
        <v>3.625</v>
      </c>
      <c r="X266" t="str">
        <f t="shared" si="37"/>
        <v>Low Profit</v>
      </c>
      <c r="Y266">
        <f t="shared" si="38"/>
        <v>32</v>
      </c>
      <c r="Z266">
        <f t="shared" si="39"/>
        <v>80</v>
      </c>
    </row>
    <row r="267" spans="1:26">
      <c r="A267" s="5">
        <v>775</v>
      </c>
      <c r="B267" s="5">
        <v>0</v>
      </c>
      <c r="C267" s="6">
        <v>41214</v>
      </c>
      <c r="D267" s="5" t="s">
        <v>32</v>
      </c>
      <c r="E267" s="5" t="s">
        <v>29</v>
      </c>
      <c r="F267" s="5">
        <v>0</v>
      </c>
      <c r="G267" s="5" t="s">
        <v>33</v>
      </c>
      <c r="H267" s="5" t="s">
        <v>34</v>
      </c>
      <c r="I267" s="5" t="s">
        <v>47</v>
      </c>
      <c r="J267" s="5">
        <v>31</v>
      </c>
      <c r="K267" s="5">
        <v>43</v>
      </c>
      <c r="L267" s="5" t="s">
        <v>41</v>
      </c>
      <c r="M267" s="5">
        <v>0</v>
      </c>
      <c r="N267" s="5">
        <v>30</v>
      </c>
      <c r="O267" s="5">
        <v>40</v>
      </c>
      <c r="P267" s="5">
        <v>12</v>
      </c>
      <c r="Q267">
        <f>SUM([1]!Table1[[#This Row],[Sales]])</f>
        <v>43</v>
      </c>
      <c r="R267">
        <f>SUM([1]!Table1[[#This Row],[Profit]])</f>
        <v>31</v>
      </c>
      <c r="S267" s="7">
        <f t="shared" si="32"/>
        <v>0.72093023255813948</v>
      </c>
      <c r="T267">
        <f t="shared" si="33"/>
        <v>0</v>
      </c>
      <c r="U267">
        <f t="shared" si="34"/>
        <v>3</v>
      </c>
      <c r="V267">
        <f t="shared" si="35"/>
        <v>0</v>
      </c>
      <c r="W267" t="e">
        <f t="shared" si="36"/>
        <v>#DIV/0!</v>
      </c>
      <c r="X267" t="str">
        <f t="shared" si="37"/>
        <v>Low Profit</v>
      </c>
      <c r="Y267">
        <f t="shared" si="38"/>
        <v>0</v>
      </c>
      <c r="Z267">
        <f t="shared" si="39"/>
        <v>43</v>
      </c>
    </row>
    <row r="268" spans="1:26">
      <c r="A268" s="3">
        <v>435</v>
      </c>
      <c r="B268" s="3">
        <v>33</v>
      </c>
      <c r="C268" s="4">
        <v>41214</v>
      </c>
      <c r="D268" s="3" t="s">
        <v>32</v>
      </c>
      <c r="E268" s="3" t="s">
        <v>29</v>
      </c>
      <c r="F268" s="3">
        <v>9</v>
      </c>
      <c r="G268" s="3" t="s">
        <v>33</v>
      </c>
      <c r="H268" s="3" t="s">
        <v>34</v>
      </c>
      <c r="I268" s="3" t="s">
        <v>47</v>
      </c>
      <c r="J268" s="3">
        <v>27</v>
      </c>
      <c r="K268" s="3">
        <v>81</v>
      </c>
      <c r="L268" s="3" t="s">
        <v>42</v>
      </c>
      <c r="M268" s="3">
        <v>30</v>
      </c>
      <c r="N268" s="3">
        <v>30</v>
      </c>
      <c r="O268" s="3">
        <v>70</v>
      </c>
      <c r="P268" s="3">
        <v>21</v>
      </c>
      <c r="Q268">
        <f>SUM([1]!Table1[[#This Row],[Sales]])</f>
        <v>81</v>
      </c>
      <c r="R268">
        <f>SUM([1]!Table1[[#This Row],[Profit]])</f>
        <v>27</v>
      </c>
      <c r="S268" s="7">
        <f t="shared" si="32"/>
        <v>0.33333333333333331</v>
      </c>
      <c r="T268">
        <f t="shared" si="33"/>
        <v>9</v>
      </c>
      <c r="U268">
        <f t="shared" si="34"/>
        <v>11</v>
      </c>
      <c r="V268">
        <f t="shared" si="35"/>
        <v>3</v>
      </c>
      <c r="W268">
        <f t="shared" si="36"/>
        <v>3</v>
      </c>
      <c r="X268" t="str">
        <f t="shared" si="37"/>
        <v>Low Profit</v>
      </c>
      <c r="Y268">
        <f t="shared" si="38"/>
        <v>33</v>
      </c>
      <c r="Z268">
        <f t="shared" si="39"/>
        <v>81</v>
      </c>
    </row>
    <row r="269" spans="1:26">
      <c r="A269" s="5">
        <v>573</v>
      </c>
      <c r="B269" s="5">
        <v>82</v>
      </c>
      <c r="C269" s="6">
        <v>41214</v>
      </c>
      <c r="D269" s="5" t="s">
        <v>32</v>
      </c>
      <c r="E269" s="5" t="s">
        <v>17</v>
      </c>
      <c r="F269" s="5">
        <v>25</v>
      </c>
      <c r="G269" s="5" t="s">
        <v>18</v>
      </c>
      <c r="H269" s="5" t="s">
        <v>19</v>
      </c>
      <c r="I269" s="5" t="s">
        <v>20</v>
      </c>
      <c r="J269" s="5">
        <v>-9</v>
      </c>
      <c r="K269" s="5">
        <v>122</v>
      </c>
      <c r="L269" s="5" t="s">
        <v>51</v>
      </c>
      <c r="M269" s="5">
        <v>70</v>
      </c>
      <c r="N269" s="5">
        <v>0</v>
      </c>
      <c r="O269" s="5">
        <v>110</v>
      </c>
      <c r="P269" s="5">
        <v>49</v>
      </c>
      <c r="Q269">
        <f>SUM([1]!Table1[[#This Row],[Sales]])</f>
        <v>122</v>
      </c>
      <c r="R269">
        <f>SUM([1]!Table1[[#This Row],[Profit]])</f>
        <v>-9</v>
      </c>
      <c r="S269" s="7">
        <f t="shared" si="32"/>
        <v>-7.3770491803278687E-2</v>
      </c>
      <c r="T269">
        <f t="shared" si="33"/>
        <v>25</v>
      </c>
      <c r="U269">
        <f t="shared" si="34"/>
        <v>12</v>
      </c>
      <c r="V269">
        <f t="shared" si="35"/>
        <v>12</v>
      </c>
      <c r="W269">
        <f t="shared" si="36"/>
        <v>-0.36</v>
      </c>
      <c r="X269" t="str">
        <f t="shared" si="37"/>
        <v>Low Profit</v>
      </c>
      <c r="Y269">
        <f t="shared" si="38"/>
        <v>82</v>
      </c>
      <c r="Z269">
        <f t="shared" si="39"/>
        <v>122</v>
      </c>
    </row>
    <row r="270" spans="1:26">
      <c r="A270" s="3">
        <v>801</v>
      </c>
      <c r="B270" s="3">
        <v>82</v>
      </c>
      <c r="C270" s="4">
        <v>41214</v>
      </c>
      <c r="D270" s="3" t="s">
        <v>32</v>
      </c>
      <c r="E270" s="3" t="s">
        <v>29</v>
      </c>
      <c r="F270" s="3">
        <v>25</v>
      </c>
      <c r="G270" s="3" t="s">
        <v>18</v>
      </c>
      <c r="H270" s="3" t="s">
        <v>19</v>
      </c>
      <c r="I270" s="3" t="s">
        <v>22</v>
      </c>
      <c r="J270" s="3">
        <v>-8</v>
      </c>
      <c r="K270" s="3">
        <v>122</v>
      </c>
      <c r="L270" s="3" t="s">
        <v>42</v>
      </c>
      <c r="M270" s="3">
        <v>70</v>
      </c>
      <c r="N270" s="3">
        <v>0</v>
      </c>
      <c r="O270" s="3">
        <v>110</v>
      </c>
      <c r="P270" s="3">
        <v>48</v>
      </c>
      <c r="Q270">
        <f>SUM([1]!Table1[[#This Row],[Sales]])</f>
        <v>122</v>
      </c>
      <c r="R270">
        <f>SUM([1]!Table1[[#This Row],[Profit]])</f>
        <v>-8</v>
      </c>
      <c r="S270" s="7">
        <f t="shared" si="32"/>
        <v>-6.5573770491803282E-2</v>
      </c>
      <c r="T270">
        <f t="shared" si="33"/>
        <v>25</v>
      </c>
      <c r="U270">
        <f t="shared" si="34"/>
        <v>12</v>
      </c>
      <c r="V270">
        <f t="shared" si="35"/>
        <v>12</v>
      </c>
      <c r="W270">
        <f t="shared" si="36"/>
        <v>-0.32</v>
      </c>
      <c r="X270" t="str">
        <f t="shared" si="37"/>
        <v>Low Profit</v>
      </c>
      <c r="Y270">
        <f t="shared" si="38"/>
        <v>82</v>
      </c>
      <c r="Z270">
        <f t="shared" si="39"/>
        <v>122</v>
      </c>
    </row>
    <row r="271" spans="1:26">
      <c r="A271" s="5">
        <v>417</v>
      </c>
      <c r="B271" s="5">
        <v>35</v>
      </c>
      <c r="C271" s="6">
        <v>41214</v>
      </c>
      <c r="D271" s="5" t="s">
        <v>32</v>
      </c>
      <c r="E271" s="5" t="s">
        <v>17</v>
      </c>
      <c r="F271" s="5">
        <v>11</v>
      </c>
      <c r="G271" s="5" t="s">
        <v>18</v>
      </c>
      <c r="H271" s="5" t="s">
        <v>26</v>
      </c>
      <c r="I271" s="5" t="s">
        <v>27</v>
      </c>
      <c r="J271" s="5">
        <v>9</v>
      </c>
      <c r="K271" s="5">
        <v>82</v>
      </c>
      <c r="L271" s="5" t="s">
        <v>51</v>
      </c>
      <c r="M271" s="5">
        <v>20</v>
      </c>
      <c r="N271" s="5">
        <v>10</v>
      </c>
      <c r="O271" s="5">
        <v>60</v>
      </c>
      <c r="P271" s="5">
        <v>38</v>
      </c>
      <c r="Q271">
        <f>SUM([1]!Table1[[#This Row],[Sales]])</f>
        <v>82</v>
      </c>
      <c r="R271">
        <f>SUM([1]!Table1[[#This Row],[Profit]])</f>
        <v>9</v>
      </c>
      <c r="S271" s="7">
        <f t="shared" si="32"/>
        <v>0.10975609756097561</v>
      </c>
      <c r="T271">
        <f t="shared" si="33"/>
        <v>11</v>
      </c>
      <c r="U271">
        <f t="shared" si="34"/>
        <v>22</v>
      </c>
      <c r="V271">
        <f t="shared" si="35"/>
        <v>15</v>
      </c>
      <c r="W271">
        <f t="shared" si="36"/>
        <v>0.81818181818181823</v>
      </c>
      <c r="X271" t="str">
        <f t="shared" si="37"/>
        <v>Low Profit</v>
      </c>
      <c r="Y271">
        <f t="shared" si="38"/>
        <v>35</v>
      </c>
      <c r="Z271">
        <f t="shared" si="39"/>
        <v>82</v>
      </c>
    </row>
    <row r="272" spans="1:26">
      <c r="A272" s="3">
        <v>636</v>
      </c>
      <c r="B272" s="3">
        <v>34</v>
      </c>
      <c r="C272" s="4">
        <v>41214</v>
      </c>
      <c r="D272" s="3" t="s">
        <v>32</v>
      </c>
      <c r="E272" s="3" t="s">
        <v>17</v>
      </c>
      <c r="F272" s="3">
        <v>12</v>
      </c>
      <c r="G272" s="3" t="s">
        <v>18</v>
      </c>
      <c r="H272" s="3" t="s">
        <v>26</v>
      </c>
      <c r="I272" s="3" t="s">
        <v>54</v>
      </c>
      <c r="J272" s="3">
        <v>-3</v>
      </c>
      <c r="K272" s="3">
        <v>76</v>
      </c>
      <c r="L272" s="3" t="s">
        <v>51</v>
      </c>
      <c r="M272" s="3">
        <v>20</v>
      </c>
      <c r="N272" s="3">
        <v>0</v>
      </c>
      <c r="O272" s="3">
        <v>60</v>
      </c>
      <c r="P272" s="3">
        <v>45</v>
      </c>
      <c r="Q272">
        <f>SUM([1]!Table1[[#This Row],[Sales]])</f>
        <v>76</v>
      </c>
      <c r="R272">
        <f>SUM([1]!Table1[[#This Row],[Profit]])</f>
        <v>-3</v>
      </c>
      <c r="S272" s="7">
        <f t="shared" si="32"/>
        <v>-3.9473684210526314E-2</v>
      </c>
      <c r="T272">
        <f t="shared" si="33"/>
        <v>12</v>
      </c>
      <c r="U272">
        <f t="shared" si="34"/>
        <v>16</v>
      </c>
      <c r="V272">
        <f t="shared" si="35"/>
        <v>14</v>
      </c>
      <c r="W272">
        <f t="shared" si="36"/>
        <v>-0.25</v>
      </c>
      <c r="X272" t="str">
        <f t="shared" si="37"/>
        <v>Low Profit</v>
      </c>
      <c r="Y272">
        <f t="shared" si="38"/>
        <v>34</v>
      </c>
      <c r="Z272">
        <f t="shared" si="39"/>
        <v>76</v>
      </c>
    </row>
    <row r="273" spans="1:26">
      <c r="A273" s="5">
        <v>314</v>
      </c>
      <c r="B273" s="5">
        <v>33</v>
      </c>
      <c r="C273" s="6">
        <v>41214</v>
      </c>
      <c r="D273" s="5" t="s">
        <v>32</v>
      </c>
      <c r="E273" s="5" t="s">
        <v>17</v>
      </c>
      <c r="F273" s="5">
        <v>12</v>
      </c>
      <c r="G273" s="5" t="s">
        <v>18</v>
      </c>
      <c r="H273" s="5" t="s">
        <v>26</v>
      </c>
      <c r="I273" s="5" t="s">
        <v>30</v>
      </c>
      <c r="J273" s="5">
        <v>-4</v>
      </c>
      <c r="K273" s="5">
        <v>74</v>
      </c>
      <c r="L273" s="5" t="s">
        <v>51</v>
      </c>
      <c r="M273" s="5">
        <v>20</v>
      </c>
      <c r="N273" s="5">
        <v>0</v>
      </c>
      <c r="O273" s="5">
        <v>60</v>
      </c>
      <c r="P273" s="5">
        <v>45</v>
      </c>
      <c r="Q273">
        <f>SUM([1]!Table1[[#This Row],[Sales]])</f>
        <v>74</v>
      </c>
      <c r="R273">
        <f>SUM([1]!Table1[[#This Row],[Profit]])</f>
        <v>-4</v>
      </c>
      <c r="S273" s="7">
        <f t="shared" si="32"/>
        <v>-5.4054054054054057E-2</v>
      </c>
      <c r="T273">
        <f t="shared" si="33"/>
        <v>12</v>
      </c>
      <c r="U273">
        <f t="shared" si="34"/>
        <v>14</v>
      </c>
      <c r="V273">
        <f t="shared" si="35"/>
        <v>13</v>
      </c>
      <c r="W273">
        <f t="shared" si="36"/>
        <v>-0.33333333333333331</v>
      </c>
      <c r="X273" t="str">
        <f t="shared" si="37"/>
        <v>Low Profit</v>
      </c>
      <c r="Y273">
        <f t="shared" si="38"/>
        <v>33</v>
      </c>
      <c r="Z273">
        <f t="shared" si="39"/>
        <v>74</v>
      </c>
    </row>
    <row r="274" spans="1:26">
      <c r="A274" s="3">
        <v>603</v>
      </c>
      <c r="B274" s="3">
        <v>0</v>
      </c>
      <c r="C274" s="4">
        <v>41214</v>
      </c>
      <c r="D274" s="3" t="s">
        <v>32</v>
      </c>
      <c r="E274" s="3" t="s">
        <v>25</v>
      </c>
      <c r="F274" s="3">
        <v>0</v>
      </c>
      <c r="G274" s="3" t="s">
        <v>18</v>
      </c>
      <c r="H274" s="3" t="s">
        <v>26</v>
      </c>
      <c r="I274" s="3" t="s">
        <v>30</v>
      </c>
      <c r="J274" s="3">
        <v>32</v>
      </c>
      <c r="K274" s="3">
        <v>43</v>
      </c>
      <c r="L274" s="3" t="s">
        <v>44</v>
      </c>
      <c r="M274" s="3">
        <v>0</v>
      </c>
      <c r="N274" s="3">
        <v>30</v>
      </c>
      <c r="O274" s="3">
        <v>40</v>
      </c>
      <c r="P274" s="3">
        <v>11</v>
      </c>
      <c r="Q274">
        <f>SUM([1]!Table1[[#This Row],[Sales]])</f>
        <v>43</v>
      </c>
      <c r="R274">
        <f>SUM([1]!Table1[[#This Row],[Profit]])</f>
        <v>32</v>
      </c>
      <c r="S274" s="7">
        <f t="shared" si="32"/>
        <v>0.7441860465116279</v>
      </c>
      <c r="T274">
        <f t="shared" si="33"/>
        <v>0</v>
      </c>
      <c r="U274">
        <f t="shared" si="34"/>
        <v>3</v>
      </c>
      <c r="V274">
        <f t="shared" si="35"/>
        <v>0</v>
      </c>
      <c r="W274" t="e">
        <f t="shared" si="36"/>
        <v>#DIV/0!</v>
      </c>
      <c r="X274" t="str">
        <f t="shared" si="37"/>
        <v>Low Profit</v>
      </c>
      <c r="Y274">
        <f t="shared" si="38"/>
        <v>0</v>
      </c>
      <c r="Z274">
        <f t="shared" si="39"/>
        <v>43</v>
      </c>
    </row>
    <row r="275" spans="1:26">
      <c r="A275" s="5">
        <v>435</v>
      </c>
      <c r="B275" s="5">
        <v>44</v>
      </c>
      <c r="C275" s="6">
        <v>41214</v>
      </c>
      <c r="D275" s="5" t="s">
        <v>32</v>
      </c>
      <c r="E275" s="5" t="s">
        <v>29</v>
      </c>
      <c r="F275" s="5">
        <v>40</v>
      </c>
      <c r="G275" s="5" t="s">
        <v>18</v>
      </c>
      <c r="H275" s="5" t="s">
        <v>26</v>
      </c>
      <c r="I275" s="5" t="s">
        <v>27</v>
      </c>
      <c r="J275" s="5">
        <v>-7</v>
      </c>
      <c r="K275" s="5">
        <v>106</v>
      </c>
      <c r="L275" s="5" t="s">
        <v>42</v>
      </c>
      <c r="M275" s="5">
        <v>30</v>
      </c>
      <c r="N275" s="5">
        <v>-10</v>
      </c>
      <c r="O275" s="5">
        <v>70</v>
      </c>
      <c r="P275" s="5">
        <v>69</v>
      </c>
      <c r="Q275">
        <f>SUM([1]!Table1[[#This Row],[Sales]])</f>
        <v>106</v>
      </c>
      <c r="R275">
        <f>SUM([1]!Table1[[#This Row],[Profit]])</f>
        <v>-7</v>
      </c>
      <c r="S275" s="7">
        <f t="shared" si="32"/>
        <v>-6.6037735849056603E-2</v>
      </c>
      <c r="T275">
        <f t="shared" si="33"/>
        <v>40</v>
      </c>
      <c r="U275">
        <f t="shared" si="34"/>
        <v>36</v>
      </c>
      <c r="V275">
        <f t="shared" si="35"/>
        <v>14</v>
      </c>
      <c r="W275">
        <f t="shared" si="36"/>
        <v>-0.17499999999999999</v>
      </c>
      <c r="X275" t="str">
        <f t="shared" si="37"/>
        <v>Low Profit</v>
      </c>
      <c r="Y275">
        <f t="shared" si="38"/>
        <v>44</v>
      </c>
      <c r="Z275">
        <f t="shared" si="39"/>
        <v>106</v>
      </c>
    </row>
    <row r="276" spans="1:26">
      <c r="A276" s="3">
        <v>937</v>
      </c>
      <c r="B276" s="3">
        <v>29</v>
      </c>
      <c r="C276" s="4">
        <v>41244</v>
      </c>
      <c r="D276" s="3" t="s">
        <v>16</v>
      </c>
      <c r="E276" s="3" t="s">
        <v>17</v>
      </c>
      <c r="F276" s="3">
        <v>8</v>
      </c>
      <c r="G276" s="3" t="s">
        <v>18</v>
      </c>
      <c r="H276" s="3" t="s">
        <v>19</v>
      </c>
      <c r="I276" s="3" t="s">
        <v>50</v>
      </c>
      <c r="J276" s="3">
        <v>25</v>
      </c>
      <c r="K276" s="3">
        <v>73</v>
      </c>
      <c r="L276" s="3" t="s">
        <v>58</v>
      </c>
      <c r="M276" s="3">
        <v>20</v>
      </c>
      <c r="N276" s="3">
        <v>30</v>
      </c>
      <c r="O276" s="3">
        <v>60</v>
      </c>
      <c r="P276" s="3">
        <v>19</v>
      </c>
      <c r="Q276">
        <f>SUM([1]!Table1[[#This Row],[Sales]])</f>
        <v>73</v>
      </c>
      <c r="R276">
        <f>SUM([1]!Table1[[#This Row],[Profit]])</f>
        <v>25</v>
      </c>
      <c r="S276" s="7">
        <f t="shared" si="32"/>
        <v>0.34246575342465752</v>
      </c>
      <c r="T276">
        <f t="shared" si="33"/>
        <v>8</v>
      </c>
      <c r="U276">
        <f t="shared" si="34"/>
        <v>13</v>
      </c>
      <c r="V276">
        <f t="shared" si="35"/>
        <v>9</v>
      </c>
      <c r="W276">
        <f t="shared" si="36"/>
        <v>3.125</v>
      </c>
      <c r="X276" t="str">
        <f t="shared" si="37"/>
        <v>Low Profit</v>
      </c>
      <c r="Y276">
        <f t="shared" si="38"/>
        <v>29</v>
      </c>
      <c r="Z276">
        <f t="shared" si="39"/>
        <v>73</v>
      </c>
    </row>
    <row r="277" spans="1:26">
      <c r="A277" s="5">
        <v>330</v>
      </c>
      <c r="B277" s="5">
        <v>33</v>
      </c>
      <c r="C277" s="6">
        <v>41244</v>
      </c>
      <c r="D277" s="5" t="s">
        <v>16</v>
      </c>
      <c r="E277" s="5" t="s">
        <v>17</v>
      </c>
      <c r="F277" s="5">
        <v>9</v>
      </c>
      <c r="G277" s="5" t="s">
        <v>18</v>
      </c>
      <c r="H277" s="5" t="s">
        <v>19</v>
      </c>
      <c r="I277" s="5" t="s">
        <v>20</v>
      </c>
      <c r="J277" s="5">
        <v>29</v>
      </c>
      <c r="K277" s="5">
        <v>82</v>
      </c>
      <c r="L277" s="5" t="s">
        <v>58</v>
      </c>
      <c r="M277" s="5">
        <v>30</v>
      </c>
      <c r="N277" s="5">
        <v>30</v>
      </c>
      <c r="O277" s="5">
        <v>70</v>
      </c>
      <c r="P277" s="5">
        <v>20</v>
      </c>
      <c r="Q277">
        <f>SUM([1]!Table1[[#This Row],[Sales]])</f>
        <v>82</v>
      </c>
      <c r="R277">
        <f>SUM([1]!Table1[[#This Row],[Profit]])</f>
        <v>29</v>
      </c>
      <c r="S277" s="7">
        <f t="shared" si="32"/>
        <v>0.35365853658536583</v>
      </c>
      <c r="T277">
        <f t="shared" si="33"/>
        <v>9</v>
      </c>
      <c r="U277">
        <f t="shared" si="34"/>
        <v>12</v>
      </c>
      <c r="V277">
        <f t="shared" si="35"/>
        <v>3</v>
      </c>
      <c r="W277">
        <f t="shared" si="36"/>
        <v>3.2222222222222223</v>
      </c>
      <c r="X277" t="str">
        <f t="shared" si="37"/>
        <v>Low Profit</v>
      </c>
      <c r="Y277">
        <f t="shared" si="38"/>
        <v>33</v>
      </c>
      <c r="Z277">
        <f t="shared" si="39"/>
        <v>82</v>
      </c>
    </row>
    <row r="278" spans="1:26">
      <c r="A278" s="3">
        <v>508</v>
      </c>
      <c r="B278" s="3">
        <v>46</v>
      </c>
      <c r="C278" s="4">
        <v>41244</v>
      </c>
      <c r="D278" s="3" t="s">
        <v>16</v>
      </c>
      <c r="E278" s="3" t="s">
        <v>25</v>
      </c>
      <c r="F278" s="3">
        <v>17</v>
      </c>
      <c r="G278" s="3" t="s">
        <v>18</v>
      </c>
      <c r="H278" s="3" t="s">
        <v>19</v>
      </c>
      <c r="I278" s="3" t="s">
        <v>20</v>
      </c>
      <c r="J278" s="3">
        <v>7</v>
      </c>
      <c r="K278" s="3">
        <v>103</v>
      </c>
      <c r="L278" s="3" t="s">
        <v>55</v>
      </c>
      <c r="M278" s="3">
        <v>30</v>
      </c>
      <c r="N278" s="3">
        <v>10</v>
      </c>
      <c r="O278" s="3">
        <v>70</v>
      </c>
      <c r="P278" s="3">
        <v>50</v>
      </c>
      <c r="Q278">
        <f>SUM([1]!Table1[[#This Row],[Sales]])</f>
        <v>103</v>
      </c>
      <c r="R278">
        <f>SUM([1]!Table1[[#This Row],[Profit]])</f>
        <v>7</v>
      </c>
      <c r="S278" s="7">
        <f t="shared" si="32"/>
        <v>6.7961165048543687E-2</v>
      </c>
      <c r="T278">
        <f t="shared" si="33"/>
        <v>17</v>
      </c>
      <c r="U278">
        <f t="shared" si="34"/>
        <v>33</v>
      </c>
      <c r="V278">
        <f t="shared" si="35"/>
        <v>16</v>
      </c>
      <c r="W278">
        <f t="shared" si="36"/>
        <v>0.41176470588235292</v>
      </c>
      <c r="X278" t="str">
        <f t="shared" si="37"/>
        <v>Low Profit</v>
      </c>
      <c r="Y278">
        <f t="shared" si="38"/>
        <v>46</v>
      </c>
      <c r="Z278">
        <f t="shared" si="39"/>
        <v>103</v>
      </c>
    </row>
    <row r="279" spans="1:26">
      <c r="A279" s="5">
        <v>813</v>
      </c>
      <c r="B279" s="5">
        <v>30</v>
      </c>
      <c r="C279" s="6">
        <v>41244</v>
      </c>
      <c r="D279" s="5" t="s">
        <v>16</v>
      </c>
      <c r="E279" s="5" t="s">
        <v>25</v>
      </c>
      <c r="F279" s="5">
        <v>8</v>
      </c>
      <c r="G279" s="5" t="s">
        <v>18</v>
      </c>
      <c r="H279" s="5" t="s">
        <v>26</v>
      </c>
      <c r="I279" s="5" t="s">
        <v>27</v>
      </c>
      <c r="J279" s="5">
        <v>26</v>
      </c>
      <c r="K279" s="5">
        <v>75</v>
      </c>
      <c r="L279" s="5" t="s">
        <v>28</v>
      </c>
      <c r="M279" s="5">
        <v>30</v>
      </c>
      <c r="N279" s="5">
        <v>30</v>
      </c>
      <c r="O279" s="5">
        <v>70</v>
      </c>
      <c r="P279" s="5">
        <v>19</v>
      </c>
      <c r="Q279">
        <f>SUM([1]!Table1[[#This Row],[Sales]])</f>
        <v>75</v>
      </c>
      <c r="R279">
        <f>SUM([1]!Table1[[#This Row],[Profit]])</f>
        <v>26</v>
      </c>
      <c r="S279" s="7">
        <f t="shared" si="32"/>
        <v>0.34666666666666668</v>
      </c>
      <c r="T279">
        <f t="shared" si="33"/>
        <v>8</v>
      </c>
      <c r="U279">
        <f t="shared" si="34"/>
        <v>5</v>
      </c>
      <c r="V279">
        <f t="shared" si="35"/>
        <v>0</v>
      </c>
      <c r="W279">
        <f t="shared" si="36"/>
        <v>3.25</v>
      </c>
      <c r="X279" t="str">
        <f t="shared" si="37"/>
        <v>Low Profit</v>
      </c>
      <c r="Y279">
        <f t="shared" si="38"/>
        <v>30</v>
      </c>
      <c r="Z279">
        <f t="shared" si="39"/>
        <v>75</v>
      </c>
    </row>
    <row r="280" spans="1:26">
      <c r="A280" s="3">
        <v>857</v>
      </c>
      <c r="B280" s="3">
        <v>29</v>
      </c>
      <c r="C280" s="4">
        <v>41244</v>
      </c>
      <c r="D280" s="3" t="s">
        <v>16</v>
      </c>
      <c r="E280" s="3" t="s">
        <v>25</v>
      </c>
      <c r="F280" s="3">
        <v>8</v>
      </c>
      <c r="G280" s="3" t="s">
        <v>18</v>
      </c>
      <c r="H280" s="3" t="s">
        <v>26</v>
      </c>
      <c r="I280" s="3" t="s">
        <v>30</v>
      </c>
      <c r="J280" s="3">
        <v>25</v>
      </c>
      <c r="K280" s="3">
        <v>73</v>
      </c>
      <c r="L280" s="3" t="s">
        <v>55</v>
      </c>
      <c r="M280" s="3">
        <v>30</v>
      </c>
      <c r="N280" s="3">
        <v>30</v>
      </c>
      <c r="O280" s="3">
        <v>70</v>
      </c>
      <c r="P280" s="3">
        <v>19</v>
      </c>
      <c r="Q280">
        <f>SUM([1]!Table1[[#This Row],[Sales]])</f>
        <v>73</v>
      </c>
      <c r="R280">
        <f>SUM([1]!Table1[[#This Row],[Profit]])</f>
        <v>25</v>
      </c>
      <c r="S280" s="7">
        <f t="shared" si="32"/>
        <v>0.34246575342465752</v>
      </c>
      <c r="T280">
        <f t="shared" si="33"/>
        <v>8</v>
      </c>
      <c r="U280">
        <f t="shared" si="34"/>
        <v>3</v>
      </c>
      <c r="V280">
        <f t="shared" si="35"/>
        <v>-1</v>
      </c>
      <c r="W280">
        <f t="shared" si="36"/>
        <v>3.125</v>
      </c>
      <c r="X280" t="str">
        <f t="shared" si="37"/>
        <v>Low Profit</v>
      </c>
      <c r="Y280">
        <f t="shared" si="38"/>
        <v>29</v>
      </c>
      <c r="Z280">
        <f t="shared" si="39"/>
        <v>73</v>
      </c>
    </row>
    <row r="281" spans="1:26">
      <c r="A281" s="5">
        <v>262</v>
      </c>
      <c r="B281" s="5">
        <v>24</v>
      </c>
      <c r="C281" s="6">
        <v>41244</v>
      </c>
      <c r="D281" s="5" t="s">
        <v>32</v>
      </c>
      <c r="E281" s="5" t="s">
        <v>17</v>
      </c>
      <c r="F281" s="5">
        <v>7</v>
      </c>
      <c r="G281" s="5" t="s">
        <v>33</v>
      </c>
      <c r="H281" s="5" t="s">
        <v>34</v>
      </c>
      <c r="I281" s="5" t="s">
        <v>35</v>
      </c>
      <c r="J281" s="5">
        <v>13</v>
      </c>
      <c r="K281" s="5">
        <v>56</v>
      </c>
      <c r="L281" s="5" t="s">
        <v>52</v>
      </c>
      <c r="M281" s="5">
        <v>30</v>
      </c>
      <c r="N281" s="5">
        <v>30</v>
      </c>
      <c r="O281" s="5">
        <v>70</v>
      </c>
      <c r="P281" s="5">
        <v>19</v>
      </c>
      <c r="Q281">
        <f>SUM([1]!Table1[[#This Row],[Sales]])</f>
        <v>56</v>
      </c>
      <c r="R281">
        <f>SUM([1]!Table1[[#This Row],[Profit]])</f>
        <v>13</v>
      </c>
      <c r="S281" s="7">
        <f t="shared" si="32"/>
        <v>0.23214285714285715</v>
      </c>
      <c r="T281">
        <f t="shared" si="33"/>
        <v>7</v>
      </c>
      <c r="U281">
        <f t="shared" si="34"/>
        <v>-14</v>
      </c>
      <c r="V281">
        <f t="shared" si="35"/>
        <v>-6</v>
      </c>
      <c r="W281">
        <f t="shared" si="36"/>
        <v>1.8571428571428572</v>
      </c>
      <c r="X281" t="str">
        <f t="shared" si="37"/>
        <v>Low Profit</v>
      </c>
      <c r="Y281">
        <f t="shared" si="38"/>
        <v>24</v>
      </c>
      <c r="Z281">
        <f t="shared" si="39"/>
        <v>56</v>
      </c>
    </row>
    <row r="282" spans="1:26">
      <c r="A282" s="3">
        <v>702</v>
      </c>
      <c r="B282" s="3">
        <v>0</v>
      </c>
      <c r="C282" s="4">
        <v>41244</v>
      </c>
      <c r="D282" s="3" t="s">
        <v>32</v>
      </c>
      <c r="E282" s="3" t="s">
        <v>29</v>
      </c>
      <c r="F282" s="3">
        <v>0</v>
      </c>
      <c r="G282" s="3" t="s">
        <v>33</v>
      </c>
      <c r="H282" s="3" t="s">
        <v>34</v>
      </c>
      <c r="I282" s="3" t="s">
        <v>47</v>
      </c>
      <c r="J282" s="3">
        <v>31</v>
      </c>
      <c r="K282" s="3">
        <v>43</v>
      </c>
      <c r="L282" s="3" t="s">
        <v>41</v>
      </c>
      <c r="M282" s="3">
        <v>0</v>
      </c>
      <c r="N282" s="3">
        <v>30</v>
      </c>
      <c r="O282" s="3">
        <v>40</v>
      </c>
      <c r="P282" s="3">
        <v>12</v>
      </c>
      <c r="Q282">
        <f>SUM([1]!Table1[[#This Row],[Sales]])</f>
        <v>43</v>
      </c>
      <c r="R282">
        <f>SUM([1]!Table1[[#This Row],[Profit]])</f>
        <v>31</v>
      </c>
      <c r="S282" s="7">
        <f t="shared" si="32"/>
        <v>0.72093023255813948</v>
      </c>
      <c r="T282">
        <f t="shared" si="33"/>
        <v>0</v>
      </c>
      <c r="U282">
        <f t="shared" si="34"/>
        <v>3</v>
      </c>
      <c r="V282">
        <f t="shared" si="35"/>
        <v>0</v>
      </c>
      <c r="W282" t="e">
        <f t="shared" si="36"/>
        <v>#DIV/0!</v>
      </c>
      <c r="X282" t="str">
        <f t="shared" si="37"/>
        <v>Low Profit</v>
      </c>
      <c r="Y282">
        <f t="shared" si="38"/>
        <v>0</v>
      </c>
      <c r="Z282">
        <f t="shared" si="39"/>
        <v>43</v>
      </c>
    </row>
    <row r="283" spans="1:26">
      <c r="A283" s="5">
        <v>435</v>
      </c>
      <c r="B283" s="5">
        <v>31</v>
      </c>
      <c r="C283" s="6">
        <v>41244</v>
      </c>
      <c r="D283" s="5" t="s">
        <v>32</v>
      </c>
      <c r="E283" s="5" t="s">
        <v>29</v>
      </c>
      <c r="F283" s="5">
        <v>8</v>
      </c>
      <c r="G283" s="5" t="s">
        <v>33</v>
      </c>
      <c r="H283" s="5" t="s">
        <v>34</v>
      </c>
      <c r="I283" s="5" t="s">
        <v>47</v>
      </c>
      <c r="J283" s="5">
        <v>26</v>
      </c>
      <c r="K283" s="5">
        <v>77</v>
      </c>
      <c r="L283" s="5" t="s">
        <v>42</v>
      </c>
      <c r="M283" s="5">
        <v>30</v>
      </c>
      <c r="N283" s="5">
        <v>30</v>
      </c>
      <c r="O283" s="5">
        <v>70</v>
      </c>
      <c r="P283" s="5">
        <v>20</v>
      </c>
      <c r="Q283">
        <f>SUM([1]!Table1[[#This Row],[Sales]])</f>
        <v>77</v>
      </c>
      <c r="R283">
        <f>SUM([1]!Table1[[#This Row],[Profit]])</f>
        <v>26</v>
      </c>
      <c r="S283" s="7">
        <f t="shared" si="32"/>
        <v>0.33766233766233766</v>
      </c>
      <c r="T283">
        <f t="shared" si="33"/>
        <v>8</v>
      </c>
      <c r="U283">
        <f t="shared" si="34"/>
        <v>7</v>
      </c>
      <c r="V283">
        <f t="shared" si="35"/>
        <v>1</v>
      </c>
      <c r="W283">
        <f t="shared" si="36"/>
        <v>3.25</v>
      </c>
      <c r="X283" t="str">
        <f t="shared" si="37"/>
        <v>Low Profit</v>
      </c>
      <c r="Y283">
        <f t="shared" si="38"/>
        <v>31</v>
      </c>
      <c r="Z283">
        <f t="shared" si="39"/>
        <v>77</v>
      </c>
    </row>
    <row r="284" spans="1:26">
      <c r="A284" s="3">
        <v>715</v>
      </c>
      <c r="B284" s="3">
        <v>34</v>
      </c>
      <c r="C284" s="4">
        <v>41244</v>
      </c>
      <c r="D284" s="3" t="s">
        <v>32</v>
      </c>
      <c r="E284" s="3" t="s">
        <v>17</v>
      </c>
      <c r="F284" s="3">
        <v>9</v>
      </c>
      <c r="G284" s="3" t="s">
        <v>18</v>
      </c>
      <c r="H284" s="3" t="s">
        <v>19</v>
      </c>
      <c r="I284" s="3" t="s">
        <v>20</v>
      </c>
      <c r="J284" s="3">
        <v>30</v>
      </c>
      <c r="K284" s="3">
        <v>85</v>
      </c>
      <c r="L284" s="3" t="s">
        <v>52</v>
      </c>
      <c r="M284" s="3">
        <v>30</v>
      </c>
      <c r="N284" s="3">
        <v>30</v>
      </c>
      <c r="O284" s="3">
        <v>70</v>
      </c>
      <c r="P284" s="3">
        <v>21</v>
      </c>
      <c r="Q284">
        <f>SUM([1]!Table1[[#This Row],[Sales]])</f>
        <v>85</v>
      </c>
      <c r="R284">
        <f>SUM([1]!Table1[[#This Row],[Profit]])</f>
        <v>30</v>
      </c>
      <c r="S284" s="7">
        <f t="shared" si="32"/>
        <v>0.35294117647058826</v>
      </c>
      <c r="T284">
        <f t="shared" si="33"/>
        <v>9</v>
      </c>
      <c r="U284">
        <f t="shared" si="34"/>
        <v>15</v>
      </c>
      <c r="V284">
        <f t="shared" si="35"/>
        <v>4</v>
      </c>
      <c r="W284">
        <f t="shared" si="36"/>
        <v>3.3333333333333335</v>
      </c>
      <c r="X284" t="str">
        <f t="shared" si="37"/>
        <v>Low Profit</v>
      </c>
      <c r="Y284">
        <f t="shared" si="38"/>
        <v>34</v>
      </c>
      <c r="Z284">
        <f t="shared" si="39"/>
        <v>85</v>
      </c>
    </row>
    <row r="285" spans="1:26">
      <c r="A285" s="5">
        <v>603</v>
      </c>
      <c r="B285" s="5">
        <v>39</v>
      </c>
      <c r="C285" s="6">
        <v>41244</v>
      </c>
      <c r="D285" s="5" t="s">
        <v>32</v>
      </c>
      <c r="E285" s="5" t="s">
        <v>25</v>
      </c>
      <c r="F285" s="5">
        <v>14</v>
      </c>
      <c r="G285" s="5" t="s">
        <v>18</v>
      </c>
      <c r="H285" s="5" t="s">
        <v>19</v>
      </c>
      <c r="I285" s="5" t="s">
        <v>20</v>
      </c>
      <c r="J285" s="5">
        <v>2</v>
      </c>
      <c r="K285" s="5">
        <v>88</v>
      </c>
      <c r="L285" s="5" t="s">
        <v>44</v>
      </c>
      <c r="M285" s="5">
        <v>20</v>
      </c>
      <c r="N285" s="5">
        <v>10</v>
      </c>
      <c r="O285" s="5">
        <v>60</v>
      </c>
      <c r="P285" s="5">
        <v>47</v>
      </c>
      <c r="Q285">
        <f>SUM([1]!Table1[[#This Row],[Sales]])</f>
        <v>88</v>
      </c>
      <c r="R285">
        <f>SUM([1]!Table1[[#This Row],[Profit]])</f>
        <v>2</v>
      </c>
      <c r="S285" s="7">
        <f t="shared" si="32"/>
        <v>2.2727272727272728E-2</v>
      </c>
      <c r="T285">
        <f t="shared" si="33"/>
        <v>14</v>
      </c>
      <c r="U285">
        <f t="shared" si="34"/>
        <v>28</v>
      </c>
      <c r="V285">
        <f t="shared" si="35"/>
        <v>19</v>
      </c>
      <c r="W285">
        <f t="shared" si="36"/>
        <v>0.14285714285714285</v>
      </c>
      <c r="X285" t="str">
        <f t="shared" si="37"/>
        <v>Low Profit</v>
      </c>
      <c r="Y285">
        <f t="shared" si="38"/>
        <v>39</v>
      </c>
      <c r="Z285">
        <f t="shared" si="39"/>
        <v>88</v>
      </c>
    </row>
    <row r="286" spans="1:26">
      <c r="A286" s="3">
        <v>505</v>
      </c>
      <c r="B286" s="3">
        <v>31</v>
      </c>
      <c r="C286" s="4">
        <v>41244</v>
      </c>
      <c r="D286" s="3" t="s">
        <v>32</v>
      </c>
      <c r="E286" s="3" t="s">
        <v>23</v>
      </c>
      <c r="F286" s="3">
        <v>9</v>
      </c>
      <c r="G286" s="3" t="s">
        <v>18</v>
      </c>
      <c r="H286" s="3" t="s">
        <v>19</v>
      </c>
      <c r="I286" s="3" t="s">
        <v>20</v>
      </c>
      <c r="J286" s="3">
        <v>7</v>
      </c>
      <c r="K286" s="3">
        <v>69</v>
      </c>
      <c r="L286" s="3" t="s">
        <v>57</v>
      </c>
      <c r="M286" s="3">
        <v>20</v>
      </c>
      <c r="N286" s="3">
        <v>20</v>
      </c>
      <c r="O286" s="3">
        <v>60</v>
      </c>
      <c r="P286" s="3">
        <v>31</v>
      </c>
      <c r="Q286">
        <f>SUM([1]!Table1[[#This Row],[Sales]])</f>
        <v>69</v>
      </c>
      <c r="R286">
        <f>SUM([1]!Table1[[#This Row],[Profit]])</f>
        <v>7</v>
      </c>
      <c r="S286" s="7">
        <f t="shared" si="32"/>
        <v>0.10144927536231885</v>
      </c>
      <c r="T286">
        <f t="shared" si="33"/>
        <v>9</v>
      </c>
      <c r="U286">
        <f t="shared" si="34"/>
        <v>9</v>
      </c>
      <c r="V286">
        <f t="shared" si="35"/>
        <v>11</v>
      </c>
      <c r="W286">
        <f t="shared" si="36"/>
        <v>0.77777777777777779</v>
      </c>
      <c r="X286" t="str">
        <f t="shared" si="37"/>
        <v>Low Profit</v>
      </c>
      <c r="Y286">
        <f t="shared" si="38"/>
        <v>31</v>
      </c>
      <c r="Z286">
        <f t="shared" si="39"/>
        <v>69</v>
      </c>
    </row>
    <row r="287" spans="1:26">
      <c r="A287" s="5">
        <v>573</v>
      </c>
      <c r="B287" s="5">
        <v>38</v>
      </c>
      <c r="C287" s="6">
        <v>41244</v>
      </c>
      <c r="D287" s="5" t="s">
        <v>32</v>
      </c>
      <c r="E287" s="5" t="s">
        <v>17</v>
      </c>
      <c r="F287" s="5">
        <v>12</v>
      </c>
      <c r="G287" s="5" t="s">
        <v>18</v>
      </c>
      <c r="H287" s="5" t="s">
        <v>26</v>
      </c>
      <c r="I287" s="5" t="s">
        <v>27</v>
      </c>
      <c r="J287" s="5">
        <v>11</v>
      </c>
      <c r="K287" s="5">
        <v>89</v>
      </c>
      <c r="L287" s="5" t="s">
        <v>51</v>
      </c>
      <c r="M287" s="5">
        <v>30</v>
      </c>
      <c r="N287" s="5">
        <v>10</v>
      </c>
      <c r="O287" s="5">
        <v>70</v>
      </c>
      <c r="P287" s="5">
        <v>40</v>
      </c>
      <c r="Q287">
        <f>SUM([1]!Table1[[#This Row],[Sales]])</f>
        <v>89</v>
      </c>
      <c r="R287">
        <f>SUM([1]!Table1[[#This Row],[Profit]])</f>
        <v>11</v>
      </c>
      <c r="S287" s="7">
        <f t="shared" si="32"/>
        <v>0.12359550561797752</v>
      </c>
      <c r="T287">
        <f t="shared" si="33"/>
        <v>12</v>
      </c>
      <c r="U287">
        <f t="shared" si="34"/>
        <v>19</v>
      </c>
      <c r="V287">
        <f t="shared" si="35"/>
        <v>8</v>
      </c>
      <c r="W287">
        <f t="shared" si="36"/>
        <v>0.91666666666666663</v>
      </c>
      <c r="X287" t="str">
        <f t="shared" si="37"/>
        <v>Low Profit</v>
      </c>
      <c r="Y287">
        <f t="shared" si="38"/>
        <v>38</v>
      </c>
      <c r="Z287">
        <f t="shared" si="39"/>
        <v>89</v>
      </c>
    </row>
    <row r="288" spans="1:26">
      <c r="A288" s="3">
        <v>636</v>
      </c>
      <c r="B288" s="3">
        <v>39</v>
      </c>
      <c r="C288" s="4">
        <v>41244</v>
      </c>
      <c r="D288" s="3" t="s">
        <v>32</v>
      </c>
      <c r="E288" s="3" t="s">
        <v>17</v>
      </c>
      <c r="F288" s="3">
        <v>14</v>
      </c>
      <c r="G288" s="3" t="s">
        <v>18</v>
      </c>
      <c r="H288" s="3" t="s">
        <v>26</v>
      </c>
      <c r="I288" s="3" t="s">
        <v>30</v>
      </c>
      <c r="J288" s="3">
        <v>2</v>
      </c>
      <c r="K288" s="3">
        <v>88</v>
      </c>
      <c r="L288" s="3" t="s">
        <v>51</v>
      </c>
      <c r="M288" s="3">
        <v>30</v>
      </c>
      <c r="N288" s="3">
        <v>0</v>
      </c>
      <c r="O288" s="3">
        <v>70</v>
      </c>
      <c r="P288" s="3">
        <v>47</v>
      </c>
      <c r="Q288">
        <f>SUM([1]!Table1[[#This Row],[Sales]])</f>
        <v>88</v>
      </c>
      <c r="R288">
        <f>SUM([1]!Table1[[#This Row],[Profit]])</f>
        <v>2</v>
      </c>
      <c r="S288" s="7">
        <f t="shared" si="32"/>
        <v>2.2727272727272728E-2</v>
      </c>
      <c r="T288">
        <f t="shared" si="33"/>
        <v>14</v>
      </c>
      <c r="U288">
        <f t="shared" si="34"/>
        <v>18</v>
      </c>
      <c r="V288">
        <f t="shared" si="35"/>
        <v>9</v>
      </c>
      <c r="W288">
        <f t="shared" si="36"/>
        <v>0.14285714285714285</v>
      </c>
      <c r="X288" t="str">
        <f t="shared" si="37"/>
        <v>Low Profit</v>
      </c>
      <c r="Y288">
        <f t="shared" si="38"/>
        <v>39</v>
      </c>
      <c r="Z288">
        <f t="shared" si="39"/>
        <v>88</v>
      </c>
    </row>
    <row r="289" spans="1:26">
      <c r="A289" s="5">
        <v>603</v>
      </c>
      <c r="B289" s="5">
        <v>0</v>
      </c>
      <c r="C289" s="6">
        <v>41244</v>
      </c>
      <c r="D289" s="5" t="s">
        <v>32</v>
      </c>
      <c r="E289" s="5" t="s">
        <v>25</v>
      </c>
      <c r="F289" s="5">
        <v>0</v>
      </c>
      <c r="G289" s="5" t="s">
        <v>18</v>
      </c>
      <c r="H289" s="5" t="s">
        <v>26</v>
      </c>
      <c r="I289" s="5" t="s">
        <v>30</v>
      </c>
      <c r="J289" s="5">
        <v>32</v>
      </c>
      <c r="K289" s="5">
        <v>43</v>
      </c>
      <c r="L289" s="5" t="s">
        <v>44</v>
      </c>
      <c r="M289" s="5">
        <v>0</v>
      </c>
      <c r="N289" s="5">
        <v>30</v>
      </c>
      <c r="O289" s="5">
        <v>40</v>
      </c>
      <c r="P289" s="5">
        <v>11</v>
      </c>
      <c r="Q289">
        <f>SUM([1]!Table1[[#This Row],[Sales]])</f>
        <v>43</v>
      </c>
      <c r="R289">
        <f>SUM([1]!Table1[[#This Row],[Profit]])</f>
        <v>32</v>
      </c>
      <c r="S289" s="7">
        <f t="shared" si="32"/>
        <v>0.7441860465116279</v>
      </c>
      <c r="T289">
        <f t="shared" si="33"/>
        <v>0</v>
      </c>
      <c r="U289">
        <f t="shared" si="34"/>
        <v>3</v>
      </c>
      <c r="V289">
        <f t="shared" si="35"/>
        <v>0</v>
      </c>
      <c r="W289" t="e">
        <f t="shared" si="36"/>
        <v>#DIV/0!</v>
      </c>
      <c r="X289" t="str">
        <f t="shared" si="37"/>
        <v>Low Profit</v>
      </c>
      <c r="Y289">
        <f t="shared" si="38"/>
        <v>0</v>
      </c>
      <c r="Z289">
        <f t="shared" si="39"/>
        <v>43</v>
      </c>
    </row>
    <row r="290" spans="1:26">
      <c r="A290" s="3">
        <v>509</v>
      </c>
      <c r="B290" s="3">
        <v>41</v>
      </c>
      <c r="C290" s="4">
        <v>41244</v>
      </c>
      <c r="D290" s="3" t="s">
        <v>32</v>
      </c>
      <c r="E290" s="3" t="s">
        <v>29</v>
      </c>
      <c r="F290" s="3">
        <v>12</v>
      </c>
      <c r="G290" s="3" t="s">
        <v>18</v>
      </c>
      <c r="H290" s="3" t="s">
        <v>26</v>
      </c>
      <c r="I290" s="3" t="s">
        <v>27</v>
      </c>
      <c r="J290" s="3">
        <v>30</v>
      </c>
      <c r="K290" s="3">
        <v>107</v>
      </c>
      <c r="L290" s="3" t="s">
        <v>53</v>
      </c>
      <c r="M290" s="3">
        <v>30</v>
      </c>
      <c r="N290" s="3">
        <v>20</v>
      </c>
      <c r="O290" s="3">
        <v>70</v>
      </c>
      <c r="P290" s="3">
        <v>36</v>
      </c>
      <c r="Q290">
        <f>SUM([1]!Table1[[#This Row],[Sales]])</f>
        <v>107</v>
      </c>
      <c r="R290">
        <f>SUM([1]!Table1[[#This Row],[Profit]])</f>
        <v>30</v>
      </c>
      <c r="S290" s="7">
        <f t="shared" si="32"/>
        <v>0.28037383177570091</v>
      </c>
      <c r="T290">
        <f t="shared" si="33"/>
        <v>12</v>
      </c>
      <c r="U290">
        <f t="shared" si="34"/>
        <v>37</v>
      </c>
      <c r="V290">
        <f t="shared" si="35"/>
        <v>11</v>
      </c>
      <c r="W290">
        <f t="shared" si="36"/>
        <v>2.5</v>
      </c>
      <c r="X290" t="str">
        <f t="shared" si="37"/>
        <v>Low Profit</v>
      </c>
      <c r="Y290">
        <f t="shared" si="38"/>
        <v>41</v>
      </c>
      <c r="Z290">
        <f t="shared" si="39"/>
        <v>107</v>
      </c>
    </row>
    <row r="291" spans="1:26">
      <c r="A291" s="5">
        <v>801</v>
      </c>
      <c r="B291" s="5">
        <v>38</v>
      </c>
      <c r="C291" s="6">
        <v>41244</v>
      </c>
      <c r="D291" s="5" t="s">
        <v>32</v>
      </c>
      <c r="E291" s="5" t="s">
        <v>29</v>
      </c>
      <c r="F291" s="5">
        <v>12</v>
      </c>
      <c r="G291" s="5" t="s">
        <v>18</v>
      </c>
      <c r="H291" s="5" t="s">
        <v>26</v>
      </c>
      <c r="I291" s="5" t="s">
        <v>54</v>
      </c>
      <c r="J291" s="5">
        <v>12</v>
      </c>
      <c r="K291" s="5">
        <v>89</v>
      </c>
      <c r="L291" s="5" t="s">
        <v>42</v>
      </c>
      <c r="M291" s="5">
        <v>20</v>
      </c>
      <c r="N291" s="5">
        <v>10</v>
      </c>
      <c r="O291" s="5">
        <v>60</v>
      </c>
      <c r="P291" s="5">
        <v>39</v>
      </c>
      <c r="Q291">
        <f>SUM([1]!Table1[[#This Row],[Sales]])</f>
        <v>89</v>
      </c>
      <c r="R291">
        <f>SUM([1]!Table1[[#This Row],[Profit]])</f>
        <v>12</v>
      </c>
      <c r="S291" s="7">
        <f t="shared" si="32"/>
        <v>0.1348314606741573</v>
      </c>
      <c r="T291">
        <f t="shared" si="33"/>
        <v>12</v>
      </c>
      <c r="U291">
        <f t="shared" si="34"/>
        <v>29</v>
      </c>
      <c r="V291">
        <f t="shared" si="35"/>
        <v>18</v>
      </c>
      <c r="W291">
        <f t="shared" si="36"/>
        <v>1</v>
      </c>
      <c r="X291" t="str">
        <f t="shared" si="37"/>
        <v>Low Profit</v>
      </c>
      <c r="Y291">
        <f t="shared" si="38"/>
        <v>38</v>
      </c>
      <c r="Z291">
        <f t="shared" si="39"/>
        <v>89</v>
      </c>
    </row>
    <row r="292" spans="1:26">
      <c r="A292" s="3">
        <v>509</v>
      </c>
      <c r="B292" s="3">
        <v>43</v>
      </c>
      <c r="C292" s="4">
        <v>41244</v>
      </c>
      <c r="D292" s="3" t="s">
        <v>32</v>
      </c>
      <c r="E292" s="3" t="s">
        <v>29</v>
      </c>
      <c r="F292" s="3">
        <v>13</v>
      </c>
      <c r="G292" s="3" t="s">
        <v>18</v>
      </c>
      <c r="H292" s="3" t="s">
        <v>26</v>
      </c>
      <c r="I292" s="3" t="s">
        <v>54</v>
      </c>
      <c r="J292" s="3">
        <v>28</v>
      </c>
      <c r="K292" s="3">
        <v>106</v>
      </c>
      <c r="L292" s="3" t="s">
        <v>53</v>
      </c>
      <c r="M292" s="3">
        <v>30</v>
      </c>
      <c r="N292" s="3">
        <v>20</v>
      </c>
      <c r="O292" s="3">
        <v>70</v>
      </c>
      <c r="P292" s="3">
        <v>35</v>
      </c>
      <c r="Q292">
        <f>SUM([1]!Table1[[#This Row],[Sales]])</f>
        <v>106</v>
      </c>
      <c r="R292">
        <f>SUM([1]!Table1[[#This Row],[Profit]])</f>
        <v>28</v>
      </c>
      <c r="S292" s="7">
        <f t="shared" si="32"/>
        <v>0.26415094339622641</v>
      </c>
      <c r="T292">
        <f t="shared" si="33"/>
        <v>13</v>
      </c>
      <c r="U292">
        <f t="shared" si="34"/>
        <v>36</v>
      </c>
      <c r="V292">
        <f t="shared" si="35"/>
        <v>13</v>
      </c>
      <c r="W292">
        <f t="shared" si="36"/>
        <v>2.1538461538461537</v>
      </c>
      <c r="X292" t="str">
        <f t="shared" si="37"/>
        <v>Low Profit</v>
      </c>
      <c r="Y292">
        <f t="shared" si="38"/>
        <v>43</v>
      </c>
      <c r="Z292">
        <f t="shared" si="39"/>
        <v>106</v>
      </c>
    </row>
    <row r="293" spans="1:26">
      <c r="A293" s="5">
        <v>312</v>
      </c>
      <c r="B293" s="5">
        <v>39</v>
      </c>
      <c r="C293" s="6">
        <v>41548</v>
      </c>
      <c r="D293" s="5" t="s">
        <v>16</v>
      </c>
      <c r="E293" s="5" t="s">
        <v>17</v>
      </c>
      <c r="F293" s="5">
        <v>12</v>
      </c>
      <c r="G293" s="5" t="s">
        <v>18</v>
      </c>
      <c r="H293" s="5" t="s">
        <v>19</v>
      </c>
      <c r="I293" s="5" t="s">
        <v>20</v>
      </c>
      <c r="J293" s="5">
        <v>40</v>
      </c>
      <c r="K293" s="5">
        <v>96</v>
      </c>
      <c r="L293" s="5" t="s">
        <v>56</v>
      </c>
      <c r="M293" s="5">
        <v>20</v>
      </c>
      <c r="N293" s="5">
        <v>40</v>
      </c>
      <c r="O293" s="5">
        <v>60</v>
      </c>
      <c r="P293" s="5">
        <v>24</v>
      </c>
      <c r="Q293">
        <f>SUM([1]!Table1[[#This Row],[Sales]])</f>
        <v>96</v>
      </c>
      <c r="R293">
        <f>SUM([1]!Table1[[#This Row],[Profit]])</f>
        <v>40</v>
      </c>
      <c r="S293" s="7">
        <f t="shared" si="32"/>
        <v>0.41666666666666669</v>
      </c>
      <c r="T293">
        <f t="shared" si="33"/>
        <v>12</v>
      </c>
      <c r="U293">
        <f t="shared" si="34"/>
        <v>36</v>
      </c>
      <c r="V293">
        <f t="shared" si="35"/>
        <v>19</v>
      </c>
      <c r="W293">
        <f t="shared" si="36"/>
        <v>3.3333333333333335</v>
      </c>
      <c r="X293" t="str">
        <f t="shared" si="37"/>
        <v>Low Profit</v>
      </c>
      <c r="Y293">
        <f t="shared" si="38"/>
        <v>39</v>
      </c>
      <c r="Z293">
        <f t="shared" si="39"/>
        <v>96</v>
      </c>
    </row>
    <row r="294" spans="1:26">
      <c r="A294" s="3">
        <v>530</v>
      </c>
      <c r="B294" s="3">
        <v>39</v>
      </c>
      <c r="C294" s="4">
        <v>41548</v>
      </c>
      <c r="D294" s="3" t="s">
        <v>16</v>
      </c>
      <c r="E294" s="3" t="s">
        <v>29</v>
      </c>
      <c r="F294" s="3">
        <v>12</v>
      </c>
      <c r="G294" s="3" t="s">
        <v>18</v>
      </c>
      <c r="H294" s="3" t="s">
        <v>19</v>
      </c>
      <c r="I294" s="3" t="s">
        <v>22</v>
      </c>
      <c r="J294" s="3">
        <v>39</v>
      </c>
      <c r="K294" s="3">
        <v>96</v>
      </c>
      <c r="L294" s="3" t="s">
        <v>31</v>
      </c>
      <c r="M294" s="3">
        <v>20</v>
      </c>
      <c r="N294" s="3">
        <v>40</v>
      </c>
      <c r="O294" s="3">
        <v>60</v>
      </c>
      <c r="P294" s="3">
        <v>25</v>
      </c>
      <c r="Q294">
        <f>SUM([1]!Table1[[#This Row],[Sales]])</f>
        <v>96</v>
      </c>
      <c r="R294">
        <f>SUM([1]!Table1[[#This Row],[Profit]])</f>
        <v>39</v>
      </c>
      <c r="S294" s="7">
        <f t="shared" si="32"/>
        <v>0.40625</v>
      </c>
      <c r="T294">
        <f t="shared" si="33"/>
        <v>12</v>
      </c>
      <c r="U294">
        <f t="shared" si="34"/>
        <v>36</v>
      </c>
      <c r="V294">
        <f t="shared" si="35"/>
        <v>19</v>
      </c>
      <c r="W294">
        <f t="shared" si="36"/>
        <v>3.25</v>
      </c>
      <c r="X294" t="str">
        <f t="shared" si="37"/>
        <v>Low Profit</v>
      </c>
      <c r="Y294">
        <f t="shared" si="38"/>
        <v>39</v>
      </c>
      <c r="Z294">
        <f t="shared" si="39"/>
        <v>96</v>
      </c>
    </row>
    <row r="295" spans="1:26">
      <c r="A295" s="5">
        <v>505</v>
      </c>
      <c r="B295" s="5">
        <v>86</v>
      </c>
      <c r="C295" s="6">
        <v>41548</v>
      </c>
      <c r="D295" s="5" t="s">
        <v>32</v>
      </c>
      <c r="E295" s="5" t="s">
        <v>23</v>
      </c>
      <c r="F295" s="5">
        <v>26</v>
      </c>
      <c r="G295" s="5" t="s">
        <v>33</v>
      </c>
      <c r="H295" s="5" t="s">
        <v>38</v>
      </c>
      <c r="I295" s="5" t="s">
        <v>39</v>
      </c>
      <c r="J295" s="5">
        <v>-39</v>
      </c>
      <c r="K295" s="5">
        <v>116</v>
      </c>
      <c r="L295" s="5" t="s">
        <v>57</v>
      </c>
      <c r="M295" s="5">
        <v>110</v>
      </c>
      <c r="N295" s="5">
        <v>10</v>
      </c>
      <c r="O295" s="5">
        <v>150</v>
      </c>
      <c r="P295" s="5">
        <v>49</v>
      </c>
      <c r="Q295">
        <f>SUM([1]!Table1[[#This Row],[Sales]])</f>
        <v>116</v>
      </c>
      <c r="R295">
        <f>SUM([1]!Table1[[#This Row],[Profit]])</f>
        <v>-39</v>
      </c>
      <c r="S295" s="7">
        <f t="shared" si="32"/>
        <v>-0.33620689655172414</v>
      </c>
      <c r="T295">
        <f t="shared" si="33"/>
        <v>26</v>
      </c>
      <c r="U295">
        <f t="shared" si="34"/>
        <v>-34</v>
      </c>
      <c r="V295">
        <f t="shared" si="35"/>
        <v>-24</v>
      </c>
      <c r="W295">
        <f t="shared" si="36"/>
        <v>-1.5</v>
      </c>
      <c r="X295" t="str">
        <f t="shared" si="37"/>
        <v>Low Profit</v>
      </c>
      <c r="Y295">
        <f t="shared" si="38"/>
        <v>86</v>
      </c>
      <c r="Z295">
        <f t="shared" si="39"/>
        <v>116</v>
      </c>
    </row>
    <row r="296" spans="1:26">
      <c r="A296" s="3">
        <v>318</v>
      </c>
      <c r="B296" s="3">
        <v>46</v>
      </c>
      <c r="C296" s="4">
        <v>41548</v>
      </c>
      <c r="D296" s="3" t="s">
        <v>32</v>
      </c>
      <c r="E296" s="3" t="s">
        <v>23</v>
      </c>
      <c r="F296" s="3">
        <v>14</v>
      </c>
      <c r="G296" s="3" t="s">
        <v>33</v>
      </c>
      <c r="H296" s="3" t="s">
        <v>34</v>
      </c>
      <c r="I296" s="3" t="s">
        <v>35</v>
      </c>
      <c r="J296" s="3">
        <v>45</v>
      </c>
      <c r="K296" s="3">
        <v>120</v>
      </c>
      <c r="L296" s="3" t="s">
        <v>48</v>
      </c>
      <c r="M296" s="3">
        <v>20</v>
      </c>
      <c r="N296" s="3">
        <v>40</v>
      </c>
      <c r="O296" s="3">
        <v>60</v>
      </c>
      <c r="P296" s="3">
        <v>37</v>
      </c>
      <c r="Q296">
        <f>SUM([1]!Table1[[#This Row],[Sales]])</f>
        <v>120</v>
      </c>
      <c r="R296">
        <f>SUM([1]!Table1[[#This Row],[Profit]])</f>
        <v>45</v>
      </c>
      <c r="S296" s="7">
        <f t="shared" si="32"/>
        <v>0.375</v>
      </c>
      <c r="T296">
        <f t="shared" si="33"/>
        <v>14</v>
      </c>
      <c r="U296">
        <f t="shared" si="34"/>
        <v>60</v>
      </c>
      <c r="V296">
        <f t="shared" si="35"/>
        <v>26</v>
      </c>
      <c r="W296">
        <f t="shared" si="36"/>
        <v>3.2142857142857144</v>
      </c>
      <c r="X296" t="str">
        <f t="shared" si="37"/>
        <v>Low Profit</v>
      </c>
      <c r="Y296">
        <f t="shared" si="38"/>
        <v>46</v>
      </c>
      <c r="Z296">
        <f t="shared" si="39"/>
        <v>120</v>
      </c>
    </row>
    <row r="297" spans="1:26">
      <c r="A297" s="5">
        <v>515</v>
      </c>
      <c r="B297" s="5">
        <v>31</v>
      </c>
      <c r="C297" s="6">
        <v>41548</v>
      </c>
      <c r="D297" s="5" t="s">
        <v>32</v>
      </c>
      <c r="E297" s="5" t="s">
        <v>17</v>
      </c>
      <c r="F297" s="5">
        <v>9</v>
      </c>
      <c r="G297" s="5" t="s">
        <v>33</v>
      </c>
      <c r="H297" s="5" t="s">
        <v>38</v>
      </c>
      <c r="I297" s="5" t="s">
        <v>45</v>
      </c>
      <c r="J297" s="5">
        <v>10</v>
      </c>
      <c r="K297" s="5">
        <v>72</v>
      </c>
      <c r="L297" s="5" t="s">
        <v>36</v>
      </c>
      <c r="M297" s="5">
        <v>20</v>
      </c>
      <c r="N297" s="5">
        <v>30</v>
      </c>
      <c r="O297" s="5">
        <v>60</v>
      </c>
      <c r="P297" s="5">
        <v>30</v>
      </c>
      <c r="Q297">
        <f>SUM([1]!Table1[[#This Row],[Sales]])</f>
        <v>72</v>
      </c>
      <c r="R297">
        <f>SUM([1]!Table1[[#This Row],[Profit]])</f>
        <v>10</v>
      </c>
      <c r="S297" s="7">
        <f t="shared" si="32"/>
        <v>0.1388888888888889</v>
      </c>
      <c r="T297">
        <f t="shared" si="33"/>
        <v>9</v>
      </c>
      <c r="U297">
        <f t="shared" si="34"/>
        <v>12</v>
      </c>
      <c r="V297">
        <f t="shared" si="35"/>
        <v>11</v>
      </c>
      <c r="W297">
        <f t="shared" si="36"/>
        <v>1.1111111111111112</v>
      </c>
      <c r="X297" t="str">
        <f t="shared" si="37"/>
        <v>Low Profit</v>
      </c>
      <c r="Y297">
        <f t="shared" si="38"/>
        <v>31</v>
      </c>
      <c r="Z297">
        <f t="shared" si="39"/>
        <v>72</v>
      </c>
    </row>
    <row r="298" spans="1:26">
      <c r="A298" s="3">
        <v>505</v>
      </c>
      <c r="B298" s="3">
        <v>45</v>
      </c>
      <c r="C298" s="4">
        <v>41548</v>
      </c>
      <c r="D298" s="3" t="s">
        <v>32</v>
      </c>
      <c r="E298" s="3" t="s">
        <v>23</v>
      </c>
      <c r="F298" s="3">
        <v>41</v>
      </c>
      <c r="G298" s="3" t="s">
        <v>33</v>
      </c>
      <c r="H298" s="3" t="s">
        <v>34</v>
      </c>
      <c r="I298" s="3" t="s">
        <v>46</v>
      </c>
      <c r="J298" s="3">
        <v>-9</v>
      </c>
      <c r="K298" s="3">
        <v>116</v>
      </c>
      <c r="L298" s="3" t="s">
        <v>57</v>
      </c>
      <c r="M298" s="3">
        <v>20</v>
      </c>
      <c r="N298" s="3">
        <v>10</v>
      </c>
      <c r="O298" s="3">
        <v>60</v>
      </c>
      <c r="P298" s="3">
        <v>70</v>
      </c>
      <c r="Q298">
        <f>SUM([1]!Table1[[#This Row],[Sales]])</f>
        <v>116</v>
      </c>
      <c r="R298">
        <f>SUM([1]!Table1[[#This Row],[Profit]])</f>
        <v>-9</v>
      </c>
      <c r="S298" s="7">
        <f t="shared" si="32"/>
        <v>-7.7586206896551727E-2</v>
      </c>
      <c r="T298">
        <f t="shared" si="33"/>
        <v>41</v>
      </c>
      <c r="U298">
        <f t="shared" si="34"/>
        <v>56</v>
      </c>
      <c r="V298">
        <f t="shared" si="35"/>
        <v>25</v>
      </c>
      <c r="W298">
        <f t="shared" si="36"/>
        <v>-0.21951219512195122</v>
      </c>
      <c r="X298" t="str">
        <f t="shared" si="37"/>
        <v>Low Profit</v>
      </c>
      <c r="Y298">
        <f t="shared" si="38"/>
        <v>45</v>
      </c>
      <c r="Z298">
        <f t="shared" si="39"/>
        <v>116</v>
      </c>
    </row>
    <row r="299" spans="1:26">
      <c r="A299" s="5">
        <v>435</v>
      </c>
      <c r="B299" s="5">
        <v>32</v>
      </c>
      <c r="C299" s="6">
        <v>41548</v>
      </c>
      <c r="D299" s="5" t="s">
        <v>32</v>
      </c>
      <c r="E299" s="5" t="s">
        <v>29</v>
      </c>
      <c r="F299" s="5">
        <v>8</v>
      </c>
      <c r="G299" s="5" t="s">
        <v>33</v>
      </c>
      <c r="H299" s="5" t="s">
        <v>34</v>
      </c>
      <c r="I299" s="5" t="s">
        <v>47</v>
      </c>
      <c r="J299" s="5">
        <v>42</v>
      </c>
      <c r="K299" s="5">
        <v>84</v>
      </c>
      <c r="L299" s="5" t="s">
        <v>42</v>
      </c>
      <c r="M299" s="5">
        <v>20</v>
      </c>
      <c r="N299" s="5">
        <v>40</v>
      </c>
      <c r="O299" s="5">
        <v>60</v>
      </c>
      <c r="P299" s="5">
        <v>19</v>
      </c>
      <c r="Q299">
        <f>SUM([1]!Table1[[#This Row],[Sales]])</f>
        <v>84</v>
      </c>
      <c r="R299">
        <f>SUM([1]!Table1[[#This Row],[Profit]])</f>
        <v>42</v>
      </c>
      <c r="S299" s="7">
        <f t="shared" si="32"/>
        <v>0.5</v>
      </c>
      <c r="T299">
        <f t="shared" si="33"/>
        <v>8</v>
      </c>
      <c r="U299">
        <f t="shared" si="34"/>
        <v>24</v>
      </c>
      <c r="V299">
        <f t="shared" si="35"/>
        <v>12</v>
      </c>
      <c r="W299">
        <f t="shared" si="36"/>
        <v>5.25</v>
      </c>
      <c r="X299" t="str">
        <f t="shared" si="37"/>
        <v>Low Profit</v>
      </c>
      <c r="Y299">
        <f t="shared" si="38"/>
        <v>32</v>
      </c>
      <c r="Z299">
        <f t="shared" si="39"/>
        <v>84</v>
      </c>
    </row>
    <row r="300" spans="1:26">
      <c r="A300" s="3">
        <v>505</v>
      </c>
      <c r="B300" s="3">
        <v>31</v>
      </c>
      <c r="C300" s="4">
        <v>41548</v>
      </c>
      <c r="D300" s="3" t="s">
        <v>32</v>
      </c>
      <c r="E300" s="3" t="s">
        <v>23</v>
      </c>
      <c r="F300" s="3">
        <v>9</v>
      </c>
      <c r="G300" s="3" t="s">
        <v>18</v>
      </c>
      <c r="H300" s="3" t="s">
        <v>19</v>
      </c>
      <c r="I300" s="3" t="s">
        <v>20</v>
      </c>
      <c r="J300" s="3">
        <v>9</v>
      </c>
      <c r="K300" s="3">
        <v>72</v>
      </c>
      <c r="L300" s="3" t="s">
        <v>57</v>
      </c>
      <c r="M300" s="3">
        <v>10</v>
      </c>
      <c r="N300" s="3">
        <v>30</v>
      </c>
      <c r="O300" s="3">
        <v>50</v>
      </c>
      <c r="P300" s="3">
        <v>31</v>
      </c>
      <c r="Q300">
        <f>SUM([1]!Table1[[#This Row],[Sales]])</f>
        <v>72</v>
      </c>
      <c r="R300">
        <f>SUM([1]!Table1[[#This Row],[Profit]])</f>
        <v>9</v>
      </c>
      <c r="S300" s="7">
        <f t="shared" si="32"/>
        <v>0.125</v>
      </c>
      <c r="T300">
        <f t="shared" si="33"/>
        <v>9</v>
      </c>
      <c r="U300">
        <f t="shared" si="34"/>
        <v>22</v>
      </c>
      <c r="V300">
        <f t="shared" si="35"/>
        <v>21</v>
      </c>
      <c r="W300">
        <f t="shared" si="36"/>
        <v>1</v>
      </c>
      <c r="X300" t="str">
        <f t="shared" si="37"/>
        <v>Low Profit</v>
      </c>
      <c r="Y300">
        <f t="shared" si="38"/>
        <v>31</v>
      </c>
      <c r="Z300">
        <f t="shared" si="39"/>
        <v>72</v>
      </c>
    </row>
    <row r="301" spans="1:26">
      <c r="A301" s="5">
        <v>314</v>
      </c>
      <c r="B301" s="5">
        <v>39</v>
      </c>
      <c r="C301" s="6">
        <v>41548</v>
      </c>
      <c r="D301" s="5" t="s">
        <v>32</v>
      </c>
      <c r="E301" s="5" t="s">
        <v>17</v>
      </c>
      <c r="F301" s="5">
        <v>12</v>
      </c>
      <c r="G301" s="5" t="s">
        <v>18</v>
      </c>
      <c r="H301" s="5" t="s">
        <v>26</v>
      </c>
      <c r="I301" s="5" t="s">
        <v>27</v>
      </c>
      <c r="J301" s="5">
        <v>19</v>
      </c>
      <c r="K301" s="5">
        <v>98</v>
      </c>
      <c r="L301" s="5" t="s">
        <v>51</v>
      </c>
      <c r="M301" s="5">
        <v>20</v>
      </c>
      <c r="N301" s="5">
        <v>30</v>
      </c>
      <c r="O301" s="5">
        <v>60</v>
      </c>
      <c r="P301" s="5">
        <v>40</v>
      </c>
      <c r="Q301">
        <f>SUM([1]!Table1[[#This Row],[Sales]])</f>
        <v>98</v>
      </c>
      <c r="R301">
        <f>SUM([1]!Table1[[#This Row],[Profit]])</f>
        <v>19</v>
      </c>
      <c r="S301" s="7">
        <f t="shared" si="32"/>
        <v>0.19387755102040816</v>
      </c>
      <c r="T301">
        <f t="shared" si="33"/>
        <v>12</v>
      </c>
      <c r="U301">
        <f t="shared" si="34"/>
        <v>38</v>
      </c>
      <c r="V301">
        <f t="shared" si="35"/>
        <v>19</v>
      </c>
      <c r="W301">
        <f t="shared" si="36"/>
        <v>1.5833333333333333</v>
      </c>
      <c r="X301" t="str">
        <f t="shared" si="37"/>
        <v>Low Profit</v>
      </c>
      <c r="Y301">
        <f t="shared" si="38"/>
        <v>39</v>
      </c>
      <c r="Z301">
        <f t="shared" si="39"/>
        <v>98</v>
      </c>
    </row>
    <row r="302" spans="1:26">
      <c r="A302" s="3">
        <v>203</v>
      </c>
      <c r="B302" s="3">
        <v>24</v>
      </c>
      <c r="C302" s="4">
        <v>41548</v>
      </c>
      <c r="D302" s="3" t="s">
        <v>32</v>
      </c>
      <c r="E302" s="3" t="s">
        <v>25</v>
      </c>
      <c r="F302" s="3">
        <v>6</v>
      </c>
      <c r="G302" s="3" t="s">
        <v>18</v>
      </c>
      <c r="H302" s="3" t="s">
        <v>26</v>
      </c>
      <c r="I302" s="3" t="s">
        <v>30</v>
      </c>
      <c r="J302" s="3">
        <v>27</v>
      </c>
      <c r="K302" s="3">
        <v>64</v>
      </c>
      <c r="L302" s="3" t="s">
        <v>37</v>
      </c>
      <c r="M302" s="3">
        <v>20</v>
      </c>
      <c r="N302" s="3">
        <v>40</v>
      </c>
      <c r="O302" s="3">
        <v>60</v>
      </c>
      <c r="P302" s="3">
        <v>18</v>
      </c>
      <c r="Q302">
        <f>SUM([1]!Table1[[#This Row],[Sales]])</f>
        <v>64</v>
      </c>
      <c r="R302">
        <f>SUM([1]!Table1[[#This Row],[Profit]])</f>
        <v>27</v>
      </c>
      <c r="S302" s="7">
        <f t="shared" si="32"/>
        <v>0.421875</v>
      </c>
      <c r="T302">
        <f t="shared" si="33"/>
        <v>6</v>
      </c>
      <c r="U302">
        <f t="shared" si="34"/>
        <v>4</v>
      </c>
      <c r="V302">
        <f t="shared" si="35"/>
        <v>4</v>
      </c>
      <c r="W302">
        <f t="shared" si="36"/>
        <v>4.5</v>
      </c>
      <c r="X302" t="str">
        <f t="shared" si="37"/>
        <v>Low Profit</v>
      </c>
      <c r="Y302">
        <f t="shared" si="38"/>
        <v>24</v>
      </c>
      <c r="Z302">
        <f t="shared" si="39"/>
        <v>64</v>
      </c>
    </row>
    <row r="303" spans="1:26">
      <c r="A303" s="5">
        <v>603</v>
      </c>
      <c r="B303" s="5">
        <v>0</v>
      </c>
      <c r="C303" s="6">
        <v>41548</v>
      </c>
      <c r="D303" s="5" t="s">
        <v>32</v>
      </c>
      <c r="E303" s="5" t="s">
        <v>25</v>
      </c>
      <c r="F303" s="5">
        <v>0</v>
      </c>
      <c r="G303" s="5" t="s">
        <v>18</v>
      </c>
      <c r="H303" s="5" t="s">
        <v>26</v>
      </c>
      <c r="I303" s="5" t="s">
        <v>30</v>
      </c>
      <c r="J303" s="5">
        <v>47</v>
      </c>
      <c r="K303" s="5">
        <v>46</v>
      </c>
      <c r="L303" s="5" t="s">
        <v>44</v>
      </c>
      <c r="M303" s="5">
        <v>0</v>
      </c>
      <c r="N303" s="5">
        <v>40</v>
      </c>
      <c r="O303" s="5">
        <v>40</v>
      </c>
      <c r="P303" s="5">
        <v>11</v>
      </c>
      <c r="Q303">
        <f>SUM([1]!Table1[[#This Row],[Sales]])</f>
        <v>46</v>
      </c>
      <c r="R303">
        <f>SUM([1]!Table1[[#This Row],[Profit]])</f>
        <v>47</v>
      </c>
      <c r="S303" s="7">
        <f t="shared" si="32"/>
        <v>1.0217391304347827</v>
      </c>
      <c r="T303">
        <f t="shared" si="33"/>
        <v>0</v>
      </c>
      <c r="U303">
        <f t="shared" si="34"/>
        <v>6</v>
      </c>
      <c r="V303">
        <f t="shared" si="35"/>
        <v>0</v>
      </c>
      <c r="W303" t="e">
        <f t="shared" si="36"/>
        <v>#DIV/0!</v>
      </c>
      <c r="X303" t="str">
        <f t="shared" si="37"/>
        <v>Low Profit</v>
      </c>
      <c r="Y303">
        <f t="shared" si="38"/>
        <v>0</v>
      </c>
      <c r="Z303">
        <f t="shared" si="39"/>
        <v>46</v>
      </c>
    </row>
    <row r="304" spans="1:26">
      <c r="A304" s="3">
        <v>435</v>
      </c>
      <c r="B304" s="3">
        <v>45</v>
      </c>
      <c r="C304" s="4">
        <v>41548</v>
      </c>
      <c r="D304" s="3" t="s">
        <v>32</v>
      </c>
      <c r="E304" s="3" t="s">
        <v>29</v>
      </c>
      <c r="F304" s="3">
        <v>41</v>
      </c>
      <c r="G304" s="3" t="s">
        <v>18</v>
      </c>
      <c r="H304" s="3" t="s">
        <v>26</v>
      </c>
      <c r="I304" s="3" t="s">
        <v>27</v>
      </c>
      <c r="J304" s="3">
        <v>-9</v>
      </c>
      <c r="K304" s="3">
        <v>116</v>
      </c>
      <c r="L304" s="3" t="s">
        <v>42</v>
      </c>
      <c r="M304" s="3">
        <v>10</v>
      </c>
      <c r="N304" s="3">
        <v>20</v>
      </c>
      <c r="O304" s="3">
        <v>50</v>
      </c>
      <c r="P304" s="3">
        <v>70</v>
      </c>
      <c r="Q304">
        <f>SUM([1]!Table1[[#This Row],[Sales]])</f>
        <v>116</v>
      </c>
      <c r="R304">
        <f>SUM([1]!Table1[[#This Row],[Profit]])</f>
        <v>-9</v>
      </c>
      <c r="S304" s="7">
        <f t="shared" si="32"/>
        <v>-7.7586206896551727E-2</v>
      </c>
      <c r="T304">
        <f t="shared" si="33"/>
        <v>41</v>
      </c>
      <c r="U304">
        <f t="shared" si="34"/>
        <v>66</v>
      </c>
      <c r="V304">
        <f t="shared" si="35"/>
        <v>35</v>
      </c>
      <c r="W304">
        <f t="shared" si="36"/>
        <v>-0.21951219512195122</v>
      </c>
      <c r="X304" t="str">
        <f t="shared" si="37"/>
        <v>Low Profit</v>
      </c>
      <c r="Y304">
        <f t="shared" si="38"/>
        <v>45</v>
      </c>
      <c r="Z304">
        <f t="shared" si="39"/>
        <v>116</v>
      </c>
    </row>
    <row r="305" spans="1:26">
      <c r="A305" s="5">
        <v>206</v>
      </c>
      <c r="B305" s="5">
        <v>60</v>
      </c>
      <c r="C305" s="6">
        <v>41548</v>
      </c>
      <c r="D305" s="5" t="s">
        <v>32</v>
      </c>
      <c r="E305" s="5" t="s">
        <v>29</v>
      </c>
      <c r="F305" s="5">
        <v>54</v>
      </c>
      <c r="G305" s="5" t="s">
        <v>18</v>
      </c>
      <c r="H305" s="5" t="s">
        <v>26</v>
      </c>
      <c r="I305" s="5" t="s">
        <v>30</v>
      </c>
      <c r="J305" s="5">
        <v>0</v>
      </c>
      <c r="K305" s="5">
        <v>153</v>
      </c>
      <c r="L305" s="5" t="s">
        <v>53</v>
      </c>
      <c r="M305" s="5">
        <v>20</v>
      </c>
      <c r="N305" s="5">
        <v>10</v>
      </c>
      <c r="O305" s="5">
        <v>60</v>
      </c>
      <c r="P305" s="5">
        <v>84</v>
      </c>
      <c r="Q305">
        <f>SUM([1]!Table1[[#This Row],[Sales]])</f>
        <v>153</v>
      </c>
      <c r="R305">
        <f>SUM([1]!Table1[[#This Row],[Profit]])</f>
        <v>0</v>
      </c>
      <c r="S305" s="7">
        <f t="shared" si="32"/>
        <v>0</v>
      </c>
      <c r="T305">
        <f t="shared" si="33"/>
        <v>54</v>
      </c>
      <c r="U305">
        <f t="shared" si="34"/>
        <v>93</v>
      </c>
      <c r="V305">
        <f t="shared" si="35"/>
        <v>40</v>
      </c>
      <c r="W305">
        <f t="shared" si="36"/>
        <v>0</v>
      </c>
      <c r="X305" t="str">
        <f t="shared" si="37"/>
        <v>Low Profit</v>
      </c>
      <c r="Y305">
        <f t="shared" si="38"/>
        <v>60</v>
      </c>
      <c r="Z305">
        <f t="shared" si="39"/>
        <v>153</v>
      </c>
    </row>
    <row r="306" spans="1:26">
      <c r="A306" s="3">
        <v>440</v>
      </c>
      <c r="B306" s="3">
        <v>32</v>
      </c>
      <c r="C306" s="4">
        <v>41579</v>
      </c>
      <c r="D306" s="3" t="s">
        <v>16</v>
      </c>
      <c r="E306" s="3" t="s">
        <v>17</v>
      </c>
      <c r="F306" s="3">
        <v>8</v>
      </c>
      <c r="G306" s="3" t="s">
        <v>18</v>
      </c>
      <c r="H306" s="3" t="s">
        <v>19</v>
      </c>
      <c r="I306" s="3" t="s">
        <v>50</v>
      </c>
      <c r="J306" s="3">
        <v>43</v>
      </c>
      <c r="K306" s="3">
        <v>85</v>
      </c>
      <c r="L306" s="3" t="s">
        <v>58</v>
      </c>
      <c r="M306" s="3">
        <v>30</v>
      </c>
      <c r="N306" s="3">
        <v>30</v>
      </c>
      <c r="O306" s="3">
        <v>70</v>
      </c>
      <c r="P306" s="3">
        <v>19</v>
      </c>
      <c r="Q306">
        <f>SUM([1]!Table1[[#This Row],[Sales]])</f>
        <v>85</v>
      </c>
      <c r="R306">
        <f>SUM([1]!Table1[[#This Row],[Profit]])</f>
        <v>43</v>
      </c>
      <c r="S306" s="7">
        <f t="shared" si="32"/>
        <v>0.50588235294117645</v>
      </c>
      <c r="T306">
        <f t="shared" si="33"/>
        <v>8</v>
      </c>
      <c r="U306">
        <f t="shared" si="34"/>
        <v>15</v>
      </c>
      <c r="V306">
        <f t="shared" si="35"/>
        <v>2</v>
      </c>
      <c r="W306">
        <f t="shared" si="36"/>
        <v>5.375</v>
      </c>
      <c r="X306" t="str">
        <f t="shared" si="37"/>
        <v>Low Profit</v>
      </c>
      <c r="Y306">
        <f t="shared" si="38"/>
        <v>32</v>
      </c>
      <c r="Z306">
        <f t="shared" si="39"/>
        <v>85</v>
      </c>
    </row>
    <row r="307" spans="1:26">
      <c r="A307" s="5">
        <v>561</v>
      </c>
      <c r="B307" s="5">
        <v>54</v>
      </c>
      <c r="C307" s="6">
        <v>41579</v>
      </c>
      <c r="D307" s="5" t="s">
        <v>16</v>
      </c>
      <c r="E307" s="5" t="s">
        <v>25</v>
      </c>
      <c r="F307" s="5">
        <v>20</v>
      </c>
      <c r="G307" s="5" t="s">
        <v>18</v>
      </c>
      <c r="H307" s="5" t="s">
        <v>19</v>
      </c>
      <c r="I307" s="5" t="s">
        <v>20</v>
      </c>
      <c r="J307" s="5">
        <v>19</v>
      </c>
      <c r="K307" s="5">
        <v>129</v>
      </c>
      <c r="L307" s="5" t="s">
        <v>28</v>
      </c>
      <c r="M307" s="5">
        <v>40</v>
      </c>
      <c r="N307" s="5">
        <v>10</v>
      </c>
      <c r="O307" s="5">
        <v>80</v>
      </c>
      <c r="P307" s="5">
        <v>54</v>
      </c>
      <c r="Q307">
        <f>SUM([1]!Table1[[#This Row],[Sales]])</f>
        <v>129</v>
      </c>
      <c r="R307">
        <f>SUM([1]!Table1[[#This Row],[Profit]])</f>
        <v>19</v>
      </c>
      <c r="S307" s="7">
        <f t="shared" si="32"/>
        <v>0.14728682170542637</v>
      </c>
      <c r="T307">
        <f t="shared" si="33"/>
        <v>20</v>
      </c>
      <c r="U307">
        <f t="shared" si="34"/>
        <v>49</v>
      </c>
      <c r="V307">
        <f t="shared" si="35"/>
        <v>14</v>
      </c>
      <c r="W307">
        <f t="shared" si="36"/>
        <v>0.95</v>
      </c>
      <c r="X307" t="str">
        <f t="shared" si="37"/>
        <v>Low Profit</v>
      </c>
      <c r="Y307">
        <f t="shared" si="38"/>
        <v>54</v>
      </c>
      <c r="Z307">
        <f t="shared" si="39"/>
        <v>129</v>
      </c>
    </row>
    <row r="308" spans="1:26">
      <c r="A308" s="3">
        <v>920</v>
      </c>
      <c r="B308" s="3">
        <v>22</v>
      </c>
      <c r="C308" s="4">
        <v>41579</v>
      </c>
      <c r="D308" s="3" t="s">
        <v>32</v>
      </c>
      <c r="E308" s="3" t="s">
        <v>17</v>
      </c>
      <c r="F308" s="3">
        <v>7</v>
      </c>
      <c r="G308" s="3" t="s">
        <v>33</v>
      </c>
      <c r="H308" s="3" t="s">
        <v>34</v>
      </c>
      <c r="I308" s="3" t="s">
        <v>35</v>
      </c>
      <c r="J308" s="3">
        <v>16</v>
      </c>
      <c r="K308" s="3">
        <v>55</v>
      </c>
      <c r="L308" s="3" t="s">
        <v>52</v>
      </c>
      <c r="M308" s="3">
        <v>20</v>
      </c>
      <c r="N308" s="3">
        <v>30</v>
      </c>
      <c r="O308" s="3">
        <v>60</v>
      </c>
      <c r="P308" s="3">
        <v>19</v>
      </c>
      <c r="Q308">
        <f>SUM([1]!Table1[[#This Row],[Sales]])</f>
        <v>55</v>
      </c>
      <c r="R308">
        <f>SUM([1]!Table1[[#This Row],[Profit]])</f>
        <v>16</v>
      </c>
      <c r="S308" s="7">
        <f t="shared" si="32"/>
        <v>0.29090909090909089</v>
      </c>
      <c r="T308">
        <f t="shared" si="33"/>
        <v>7</v>
      </c>
      <c r="U308">
        <f t="shared" si="34"/>
        <v>-5</v>
      </c>
      <c r="V308">
        <f t="shared" si="35"/>
        <v>2</v>
      </c>
      <c r="W308">
        <f t="shared" si="36"/>
        <v>2.2857142857142856</v>
      </c>
      <c r="X308" t="str">
        <f t="shared" si="37"/>
        <v>Low Profit</v>
      </c>
      <c r="Y308">
        <f t="shared" si="38"/>
        <v>22</v>
      </c>
      <c r="Z308">
        <f t="shared" si="39"/>
        <v>55</v>
      </c>
    </row>
    <row r="309" spans="1:26">
      <c r="A309" s="5">
        <v>505</v>
      </c>
      <c r="B309" s="5">
        <v>35</v>
      </c>
      <c r="C309" s="6">
        <v>41579</v>
      </c>
      <c r="D309" s="5" t="s">
        <v>32</v>
      </c>
      <c r="E309" s="5" t="s">
        <v>23</v>
      </c>
      <c r="F309" s="5">
        <v>11</v>
      </c>
      <c r="G309" s="5" t="s">
        <v>33</v>
      </c>
      <c r="H309" s="5" t="s">
        <v>34</v>
      </c>
      <c r="I309" s="5" t="s">
        <v>35</v>
      </c>
      <c r="J309" s="5">
        <v>12</v>
      </c>
      <c r="K309" s="5">
        <v>87</v>
      </c>
      <c r="L309" s="5" t="s">
        <v>57</v>
      </c>
      <c r="M309" s="5">
        <v>20</v>
      </c>
      <c r="N309" s="5">
        <v>20</v>
      </c>
      <c r="O309" s="5">
        <v>60</v>
      </c>
      <c r="P309" s="5">
        <v>39</v>
      </c>
      <c r="Q309">
        <f>SUM([1]!Table1[[#This Row],[Sales]])</f>
        <v>87</v>
      </c>
      <c r="R309">
        <f>SUM([1]!Table1[[#This Row],[Profit]])</f>
        <v>12</v>
      </c>
      <c r="S309" s="7">
        <f t="shared" si="32"/>
        <v>0.13793103448275862</v>
      </c>
      <c r="T309">
        <f t="shared" si="33"/>
        <v>11</v>
      </c>
      <c r="U309">
        <f t="shared" si="34"/>
        <v>27</v>
      </c>
      <c r="V309">
        <f t="shared" si="35"/>
        <v>15</v>
      </c>
      <c r="W309">
        <f t="shared" si="36"/>
        <v>1.0909090909090908</v>
      </c>
      <c r="X309" t="str">
        <f t="shared" si="37"/>
        <v>Low Profit</v>
      </c>
      <c r="Y309">
        <f t="shared" si="38"/>
        <v>35</v>
      </c>
      <c r="Z309">
        <f t="shared" si="39"/>
        <v>87</v>
      </c>
    </row>
    <row r="310" spans="1:26">
      <c r="A310" s="3">
        <v>702</v>
      </c>
      <c r="B310" s="3">
        <v>29</v>
      </c>
      <c r="C310" s="4">
        <v>41579</v>
      </c>
      <c r="D310" s="3" t="s">
        <v>32</v>
      </c>
      <c r="E310" s="3" t="s">
        <v>29</v>
      </c>
      <c r="F310" s="3">
        <v>8</v>
      </c>
      <c r="G310" s="3" t="s">
        <v>33</v>
      </c>
      <c r="H310" s="3" t="s">
        <v>38</v>
      </c>
      <c r="I310" s="3" t="s">
        <v>39</v>
      </c>
      <c r="J310" s="3">
        <v>7</v>
      </c>
      <c r="K310" s="3">
        <v>68</v>
      </c>
      <c r="L310" s="3" t="s">
        <v>41</v>
      </c>
      <c r="M310" s="3">
        <v>30</v>
      </c>
      <c r="N310" s="3">
        <v>20</v>
      </c>
      <c r="O310" s="3">
        <v>70</v>
      </c>
      <c r="P310" s="3">
        <v>30</v>
      </c>
      <c r="Q310">
        <f>SUM([1]!Table1[[#This Row],[Sales]])</f>
        <v>68</v>
      </c>
      <c r="R310">
        <f>SUM([1]!Table1[[#This Row],[Profit]])</f>
        <v>7</v>
      </c>
      <c r="S310" s="7">
        <f t="shared" si="32"/>
        <v>0.10294117647058823</v>
      </c>
      <c r="T310">
        <f t="shared" si="33"/>
        <v>8</v>
      </c>
      <c r="U310">
        <f t="shared" si="34"/>
        <v>-2</v>
      </c>
      <c r="V310">
        <f t="shared" si="35"/>
        <v>-1</v>
      </c>
      <c r="W310">
        <f t="shared" si="36"/>
        <v>0.875</v>
      </c>
      <c r="X310" t="str">
        <f t="shared" si="37"/>
        <v>Low Profit</v>
      </c>
      <c r="Y310">
        <f t="shared" si="38"/>
        <v>29</v>
      </c>
      <c r="Z310">
        <f t="shared" si="39"/>
        <v>68</v>
      </c>
    </row>
    <row r="311" spans="1:26">
      <c r="A311" s="5">
        <v>515</v>
      </c>
      <c r="B311" s="5">
        <v>29</v>
      </c>
      <c r="C311" s="6">
        <v>41579</v>
      </c>
      <c r="D311" s="5" t="s">
        <v>32</v>
      </c>
      <c r="E311" s="5" t="s">
        <v>17</v>
      </c>
      <c r="F311" s="5">
        <v>8</v>
      </c>
      <c r="G311" s="5" t="s">
        <v>33</v>
      </c>
      <c r="H311" s="5" t="s">
        <v>38</v>
      </c>
      <c r="I311" s="5" t="s">
        <v>45</v>
      </c>
      <c r="J311" s="5">
        <v>7</v>
      </c>
      <c r="K311" s="5">
        <v>68</v>
      </c>
      <c r="L311" s="5" t="s">
        <v>36</v>
      </c>
      <c r="M311" s="5">
        <v>20</v>
      </c>
      <c r="N311" s="5">
        <v>20</v>
      </c>
      <c r="O311" s="5">
        <v>60</v>
      </c>
      <c r="P311" s="5">
        <v>30</v>
      </c>
      <c r="Q311">
        <f>SUM([1]!Table1[[#This Row],[Sales]])</f>
        <v>68</v>
      </c>
      <c r="R311">
        <f>SUM([1]!Table1[[#This Row],[Profit]])</f>
        <v>7</v>
      </c>
      <c r="S311" s="7">
        <f t="shared" si="32"/>
        <v>0.10294117647058823</v>
      </c>
      <c r="T311">
        <f t="shared" si="33"/>
        <v>8</v>
      </c>
      <c r="U311">
        <f t="shared" si="34"/>
        <v>8</v>
      </c>
      <c r="V311">
        <f t="shared" si="35"/>
        <v>9</v>
      </c>
      <c r="W311">
        <f t="shared" si="36"/>
        <v>0.875</v>
      </c>
      <c r="X311" t="str">
        <f t="shared" si="37"/>
        <v>Low Profit</v>
      </c>
      <c r="Y311">
        <f t="shared" si="38"/>
        <v>29</v>
      </c>
      <c r="Z311">
        <f t="shared" si="39"/>
        <v>68</v>
      </c>
    </row>
    <row r="312" spans="1:26">
      <c r="A312" s="3">
        <v>603</v>
      </c>
      <c r="B312" s="3">
        <v>34</v>
      </c>
      <c r="C312" s="4">
        <v>41579</v>
      </c>
      <c r="D312" s="3" t="s">
        <v>32</v>
      </c>
      <c r="E312" s="3" t="s">
        <v>25</v>
      </c>
      <c r="F312" s="3">
        <v>12</v>
      </c>
      <c r="G312" s="3" t="s">
        <v>33</v>
      </c>
      <c r="H312" s="3" t="s">
        <v>34</v>
      </c>
      <c r="I312" s="3" t="s">
        <v>59</v>
      </c>
      <c r="J312" s="3">
        <v>-4</v>
      </c>
      <c r="K312" s="3">
        <v>81</v>
      </c>
      <c r="L312" s="3" t="s">
        <v>44</v>
      </c>
      <c r="M312" s="3">
        <v>30</v>
      </c>
      <c r="N312" s="3">
        <v>0</v>
      </c>
      <c r="O312" s="3">
        <v>70</v>
      </c>
      <c r="P312" s="3">
        <v>45</v>
      </c>
      <c r="Q312">
        <f>SUM([1]!Table1[[#This Row],[Sales]])</f>
        <v>81</v>
      </c>
      <c r="R312">
        <f>SUM([1]!Table1[[#This Row],[Profit]])</f>
        <v>-4</v>
      </c>
      <c r="S312" s="7">
        <f t="shared" si="32"/>
        <v>-4.9382716049382713E-2</v>
      </c>
      <c r="T312">
        <f t="shared" si="33"/>
        <v>12</v>
      </c>
      <c r="U312">
        <f t="shared" si="34"/>
        <v>11</v>
      </c>
      <c r="V312">
        <f t="shared" si="35"/>
        <v>4</v>
      </c>
      <c r="W312">
        <f t="shared" si="36"/>
        <v>-0.33333333333333331</v>
      </c>
      <c r="X312" t="str">
        <f t="shared" si="37"/>
        <v>Low Profit</v>
      </c>
      <c r="Y312">
        <f t="shared" si="38"/>
        <v>34</v>
      </c>
      <c r="Z312">
        <f t="shared" si="39"/>
        <v>81</v>
      </c>
    </row>
    <row r="313" spans="1:26">
      <c r="A313" s="5">
        <v>580</v>
      </c>
      <c r="B313" s="5">
        <v>32</v>
      </c>
      <c r="C313" s="6">
        <v>41579</v>
      </c>
      <c r="D313" s="5" t="s">
        <v>32</v>
      </c>
      <c r="E313" s="5" t="s">
        <v>23</v>
      </c>
      <c r="F313" s="5">
        <v>8</v>
      </c>
      <c r="G313" s="5" t="s">
        <v>33</v>
      </c>
      <c r="H313" s="5" t="s">
        <v>34</v>
      </c>
      <c r="I313" s="5" t="s">
        <v>46</v>
      </c>
      <c r="J313" s="5">
        <v>43</v>
      </c>
      <c r="K313" s="5">
        <v>85</v>
      </c>
      <c r="L313" s="5" t="s">
        <v>40</v>
      </c>
      <c r="M313" s="5">
        <v>20</v>
      </c>
      <c r="N313" s="5">
        <v>30</v>
      </c>
      <c r="O313" s="5">
        <v>60</v>
      </c>
      <c r="P313" s="5">
        <v>19</v>
      </c>
      <c r="Q313">
        <f>SUM([1]!Table1[[#This Row],[Sales]])</f>
        <v>85</v>
      </c>
      <c r="R313">
        <f>SUM([1]!Table1[[#This Row],[Profit]])</f>
        <v>43</v>
      </c>
      <c r="S313" s="7">
        <f t="shared" si="32"/>
        <v>0.50588235294117645</v>
      </c>
      <c r="T313">
        <f t="shared" si="33"/>
        <v>8</v>
      </c>
      <c r="U313">
        <f t="shared" si="34"/>
        <v>25</v>
      </c>
      <c r="V313">
        <f t="shared" si="35"/>
        <v>12</v>
      </c>
      <c r="W313">
        <f t="shared" si="36"/>
        <v>5.375</v>
      </c>
      <c r="X313" t="str">
        <f t="shared" si="37"/>
        <v>Low Profit</v>
      </c>
      <c r="Y313">
        <f t="shared" si="38"/>
        <v>32</v>
      </c>
      <c r="Z313">
        <f t="shared" si="39"/>
        <v>85</v>
      </c>
    </row>
    <row r="314" spans="1:26">
      <c r="A314" s="3">
        <v>775</v>
      </c>
      <c r="B314" s="3">
        <v>0</v>
      </c>
      <c r="C314" s="4">
        <v>41579</v>
      </c>
      <c r="D314" s="3" t="s">
        <v>32</v>
      </c>
      <c r="E314" s="3" t="s">
        <v>29</v>
      </c>
      <c r="F314" s="3">
        <v>0</v>
      </c>
      <c r="G314" s="3" t="s">
        <v>33</v>
      </c>
      <c r="H314" s="3" t="s">
        <v>34</v>
      </c>
      <c r="I314" s="3" t="s">
        <v>47</v>
      </c>
      <c r="J314" s="3">
        <v>46</v>
      </c>
      <c r="K314" s="3">
        <v>46</v>
      </c>
      <c r="L314" s="3" t="s">
        <v>41</v>
      </c>
      <c r="M314" s="3">
        <v>0</v>
      </c>
      <c r="N314" s="3">
        <v>30</v>
      </c>
      <c r="O314" s="3">
        <v>40</v>
      </c>
      <c r="P314" s="3">
        <v>12</v>
      </c>
      <c r="Q314">
        <f>SUM([1]!Table1[[#This Row],[Sales]])</f>
        <v>46</v>
      </c>
      <c r="R314">
        <f>SUM([1]!Table1[[#This Row],[Profit]])</f>
        <v>46</v>
      </c>
      <c r="S314" s="7">
        <f t="shared" si="32"/>
        <v>1</v>
      </c>
      <c r="T314">
        <f t="shared" si="33"/>
        <v>0</v>
      </c>
      <c r="U314">
        <f t="shared" si="34"/>
        <v>6</v>
      </c>
      <c r="V314">
        <f t="shared" si="35"/>
        <v>0</v>
      </c>
      <c r="W314" t="e">
        <f t="shared" si="36"/>
        <v>#DIV/0!</v>
      </c>
      <c r="X314" t="str">
        <f t="shared" si="37"/>
        <v>Low Profit</v>
      </c>
      <c r="Y314">
        <f t="shared" si="38"/>
        <v>0</v>
      </c>
      <c r="Z314">
        <f t="shared" si="39"/>
        <v>46</v>
      </c>
    </row>
    <row r="315" spans="1:26">
      <c r="A315" s="5">
        <v>435</v>
      </c>
      <c r="B315" s="5">
        <v>33</v>
      </c>
      <c r="C315" s="6">
        <v>41579</v>
      </c>
      <c r="D315" s="5" t="s">
        <v>32</v>
      </c>
      <c r="E315" s="5" t="s">
        <v>29</v>
      </c>
      <c r="F315" s="5">
        <v>9</v>
      </c>
      <c r="G315" s="5" t="s">
        <v>33</v>
      </c>
      <c r="H315" s="5" t="s">
        <v>34</v>
      </c>
      <c r="I315" s="5" t="s">
        <v>47</v>
      </c>
      <c r="J315" s="5">
        <v>40</v>
      </c>
      <c r="K315" s="5">
        <v>86</v>
      </c>
      <c r="L315" s="5" t="s">
        <v>42</v>
      </c>
      <c r="M315" s="5">
        <v>30</v>
      </c>
      <c r="N315" s="5">
        <v>30</v>
      </c>
      <c r="O315" s="5">
        <v>70</v>
      </c>
      <c r="P315" s="5">
        <v>21</v>
      </c>
      <c r="Q315">
        <f>SUM([1]!Table1[[#This Row],[Sales]])</f>
        <v>86</v>
      </c>
      <c r="R315">
        <f>SUM([1]!Table1[[#This Row],[Profit]])</f>
        <v>40</v>
      </c>
      <c r="S315" s="7">
        <f t="shared" si="32"/>
        <v>0.46511627906976744</v>
      </c>
      <c r="T315">
        <f t="shared" si="33"/>
        <v>9</v>
      </c>
      <c r="U315">
        <f t="shared" si="34"/>
        <v>16</v>
      </c>
      <c r="V315">
        <f t="shared" si="35"/>
        <v>3</v>
      </c>
      <c r="W315">
        <f t="shared" si="36"/>
        <v>4.4444444444444446</v>
      </c>
      <c r="X315" t="str">
        <f t="shared" si="37"/>
        <v>Low Profit</v>
      </c>
      <c r="Y315">
        <f t="shared" si="38"/>
        <v>33</v>
      </c>
      <c r="Z315">
        <f t="shared" si="39"/>
        <v>86</v>
      </c>
    </row>
    <row r="316" spans="1:26">
      <c r="A316" s="3">
        <v>314</v>
      </c>
      <c r="B316" s="3">
        <v>82</v>
      </c>
      <c r="C316" s="4">
        <v>41579</v>
      </c>
      <c r="D316" s="3" t="s">
        <v>32</v>
      </c>
      <c r="E316" s="3" t="s">
        <v>17</v>
      </c>
      <c r="F316" s="3">
        <v>25</v>
      </c>
      <c r="G316" s="3" t="s">
        <v>18</v>
      </c>
      <c r="H316" s="3" t="s">
        <v>19</v>
      </c>
      <c r="I316" s="3" t="s">
        <v>20</v>
      </c>
      <c r="J316" s="3">
        <v>-13</v>
      </c>
      <c r="K316" s="3">
        <v>130</v>
      </c>
      <c r="L316" s="3" t="s">
        <v>51</v>
      </c>
      <c r="M316" s="3">
        <v>70</v>
      </c>
      <c r="N316" s="3">
        <v>0</v>
      </c>
      <c r="O316" s="3">
        <v>110</v>
      </c>
      <c r="P316" s="3">
        <v>49</v>
      </c>
      <c r="Q316">
        <f>SUM([1]!Table1[[#This Row],[Sales]])</f>
        <v>130</v>
      </c>
      <c r="R316">
        <f>SUM([1]!Table1[[#This Row],[Profit]])</f>
        <v>-13</v>
      </c>
      <c r="S316" s="7">
        <f t="shared" si="32"/>
        <v>-0.1</v>
      </c>
      <c r="T316">
        <f t="shared" si="33"/>
        <v>25</v>
      </c>
      <c r="U316">
        <f t="shared" si="34"/>
        <v>20</v>
      </c>
      <c r="V316">
        <f t="shared" si="35"/>
        <v>12</v>
      </c>
      <c r="W316">
        <f t="shared" si="36"/>
        <v>-0.52</v>
      </c>
      <c r="X316" t="str">
        <f t="shared" si="37"/>
        <v>Low Profit</v>
      </c>
      <c r="Y316">
        <f t="shared" si="38"/>
        <v>82</v>
      </c>
      <c r="Z316">
        <f t="shared" si="39"/>
        <v>130</v>
      </c>
    </row>
    <row r="317" spans="1:26">
      <c r="A317" s="5">
        <v>435</v>
      </c>
      <c r="B317" s="5">
        <v>82</v>
      </c>
      <c r="C317" s="6">
        <v>41579</v>
      </c>
      <c r="D317" s="5" t="s">
        <v>32</v>
      </c>
      <c r="E317" s="5" t="s">
        <v>29</v>
      </c>
      <c r="F317" s="5">
        <v>25</v>
      </c>
      <c r="G317" s="5" t="s">
        <v>18</v>
      </c>
      <c r="H317" s="5" t="s">
        <v>19</v>
      </c>
      <c r="I317" s="5" t="s">
        <v>22</v>
      </c>
      <c r="J317" s="5">
        <v>-12</v>
      </c>
      <c r="K317" s="5">
        <v>130</v>
      </c>
      <c r="L317" s="5" t="s">
        <v>42</v>
      </c>
      <c r="M317" s="5">
        <v>70</v>
      </c>
      <c r="N317" s="5">
        <v>0</v>
      </c>
      <c r="O317" s="5">
        <v>110</v>
      </c>
      <c r="P317" s="5">
        <v>48</v>
      </c>
      <c r="Q317">
        <f>SUM([1]!Table1[[#This Row],[Sales]])</f>
        <v>130</v>
      </c>
      <c r="R317">
        <f>SUM([1]!Table1[[#This Row],[Profit]])</f>
        <v>-12</v>
      </c>
      <c r="S317" s="7">
        <f t="shared" si="32"/>
        <v>-9.2307692307692313E-2</v>
      </c>
      <c r="T317">
        <f t="shared" si="33"/>
        <v>25</v>
      </c>
      <c r="U317">
        <f t="shared" si="34"/>
        <v>20</v>
      </c>
      <c r="V317">
        <f t="shared" si="35"/>
        <v>12</v>
      </c>
      <c r="W317">
        <f t="shared" si="36"/>
        <v>-0.48</v>
      </c>
      <c r="X317" t="str">
        <f t="shared" si="37"/>
        <v>Low Profit</v>
      </c>
      <c r="Y317">
        <f t="shared" si="38"/>
        <v>82</v>
      </c>
      <c r="Z317">
        <f t="shared" si="39"/>
        <v>130</v>
      </c>
    </row>
    <row r="318" spans="1:26">
      <c r="A318" s="3">
        <v>636</v>
      </c>
      <c r="B318" s="3">
        <v>35</v>
      </c>
      <c r="C318" s="4">
        <v>41579</v>
      </c>
      <c r="D318" s="3" t="s">
        <v>32</v>
      </c>
      <c r="E318" s="3" t="s">
        <v>17</v>
      </c>
      <c r="F318" s="3">
        <v>11</v>
      </c>
      <c r="G318" s="3" t="s">
        <v>18</v>
      </c>
      <c r="H318" s="3" t="s">
        <v>26</v>
      </c>
      <c r="I318" s="3" t="s">
        <v>27</v>
      </c>
      <c r="J318" s="3">
        <v>13</v>
      </c>
      <c r="K318" s="3">
        <v>87</v>
      </c>
      <c r="L318" s="3" t="s">
        <v>51</v>
      </c>
      <c r="M318" s="3">
        <v>20</v>
      </c>
      <c r="N318" s="3">
        <v>10</v>
      </c>
      <c r="O318" s="3">
        <v>60</v>
      </c>
      <c r="P318" s="3">
        <v>38</v>
      </c>
      <c r="Q318">
        <f>SUM([1]!Table1[[#This Row],[Sales]])</f>
        <v>87</v>
      </c>
      <c r="R318">
        <f>SUM([1]!Table1[[#This Row],[Profit]])</f>
        <v>13</v>
      </c>
      <c r="S318" s="7">
        <f t="shared" si="32"/>
        <v>0.14942528735632185</v>
      </c>
      <c r="T318">
        <f t="shared" si="33"/>
        <v>11</v>
      </c>
      <c r="U318">
        <f t="shared" si="34"/>
        <v>27</v>
      </c>
      <c r="V318">
        <f t="shared" si="35"/>
        <v>15</v>
      </c>
      <c r="W318">
        <f t="shared" si="36"/>
        <v>1.1818181818181819</v>
      </c>
      <c r="X318" t="str">
        <f t="shared" si="37"/>
        <v>Low Profit</v>
      </c>
      <c r="Y318">
        <f t="shared" si="38"/>
        <v>35</v>
      </c>
      <c r="Z318">
        <f t="shared" si="39"/>
        <v>87</v>
      </c>
    </row>
    <row r="319" spans="1:26">
      <c r="A319" s="5">
        <v>573</v>
      </c>
      <c r="B319" s="5">
        <v>34</v>
      </c>
      <c r="C319" s="6">
        <v>41579</v>
      </c>
      <c r="D319" s="5" t="s">
        <v>32</v>
      </c>
      <c r="E319" s="5" t="s">
        <v>17</v>
      </c>
      <c r="F319" s="5">
        <v>12</v>
      </c>
      <c r="G319" s="5" t="s">
        <v>18</v>
      </c>
      <c r="H319" s="5" t="s">
        <v>26</v>
      </c>
      <c r="I319" s="5" t="s">
        <v>54</v>
      </c>
      <c r="J319" s="5">
        <v>-4</v>
      </c>
      <c r="K319" s="5">
        <v>81</v>
      </c>
      <c r="L319" s="5" t="s">
        <v>51</v>
      </c>
      <c r="M319" s="5">
        <v>20</v>
      </c>
      <c r="N319" s="5">
        <v>0</v>
      </c>
      <c r="O319" s="5">
        <v>60</v>
      </c>
      <c r="P319" s="5">
        <v>45</v>
      </c>
      <c r="Q319">
        <f>SUM([1]!Table1[[#This Row],[Sales]])</f>
        <v>81</v>
      </c>
      <c r="R319">
        <f>SUM([1]!Table1[[#This Row],[Profit]])</f>
        <v>-4</v>
      </c>
      <c r="S319" s="7">
        <f t="shared" si="32"/>
        <v>-4.9382716049382713E-2</v>
      </c>
      <c r="T319">
        <f t="shared" si="33"/>
        <v>12</v>
      </c>
      <c r="U319">
        <f t="shared" si="34"/>
        <v>21</v>
      </c>
      <c r="V319">
        <f t="shared" si="35"/>
        <v>14</v>
      </c>
      <c r="W319">
        <f t="shared" si="36"/>
        <v>-0.33333333333333331</v>
      </c>
      <c r="X319" t="str">
        <f t="shared" si="37"/>
        <v>Low Profit</v>
      </c>
      <c r="Y319">
        <f t="shared" si="38"/>
        <v>34</v>
      </c>
      <c r="Z319">
        <f t="shared" si="39"/>
        <v>81</v>
      </c>
    </row>
    <row r="320" spans="1:26">
      <c r="A320" s="3">
        <v>314</v>
      </c>
      <c r="B320" s="3">
        <v>33</v>
      </c>
      <c r="C320" s="4">
        <v>41579</v>
      </c>
      <c r="D320" s="3" t="s">
        <v>32</v>
      </c>
      <c r="E320" s="3" t="s">
        <v>17</v>
      </c>
      <c r="F320" s="3">
        <v>12</v>
      </c>
      <c r="G320" s="3" t="s">
        <v>18</v>
      </c>
      <c r="H320" s="3" t="s">
        <v>26</v>
      </c>
      <c r="I320" s="3" t="s">
        <v>30</v>
      </c>
      <c r="J320" s="3">
        <v>-6</v>
      </c>
      <c r="K320" s="3">
        <v>79</v>
      </c>
      <c r="L320" s="3" t="s">
        <v>51</v>
      </c>
      <c r="M320" s="3">
        <v>20</v>
      </c>
      <c r="N320" s="3">
        <v>0</v>
      </c>
      <c r="O320" s="3">
        <v>60</v>
      </c>
      <c r="P320" s="3">
        <v>45</v>
      </c>
      <c r="Q320">
        <f>SUM([1]!Table1[[#This Row],[Sales]])</f>
        <v>79</v>
      </c>
      <c r="R320">
        <f>SUM([1]!Table1[[#This Row],[Profit]])</f>
        <v>-6</v>
      </c>
      <c r="S320" s="7">
        <f t="shared" si="32"/>
        <v>-7.5949367088607597E-2</v>
      </c>
      <c r="T320">
        <f t="shared" si="33"/>
        <v>12</v>
      </c>
      <c r="U320">
        <f t="shared" si="34"/>
        <v>19</v>
      </c>
      <c r="V320">
        <f t="shared" si="35"/>
        <v>13</v>
      </c>
      <c r="W320">
        <f t="shared" si="36"/>
        <v>-0.5</v>
      </c>
      <c r="X320" t="str">
        <f t="shared" si="37"/>
        <v>Low Profit</v>
      </c>
      <c r="Y320">
        <f t="shared" si="38"/>
        <v>33</v>
      </c>
      <c r="Z320">
        <f t="shared" si="39"/>
        <v>79</v>
      </c>
    </row>
    <row r="321" spans="1:26">
      <c r="A321" s="5">
        <v>603</v>
      </c>
      <c r="B321" s="5">
        <v>0</v>
      </c>
      <c r="C321" s="6">
        <v>41579</v>
      </c>
      <c r="D321" s="5" t="s">
        <v>32</v>
      </c>
      <c r="E321" s="5" t="s">
        <v>25</v>
      </c>
      <c r="F321" s="5">
        <v>0</v>
      </c>
      <c r="G321" s="5" t="s">
        <v>18</v>
      </c>
      <c r="H321" s="5" t="s">
        <v>26</v>
      </c>
      <c r="I321" s="5" t="s">
        <v>30</v>
      </c>
      <c r="J321" s="5">
        <v>47</v>
      </c>
      <c r="K321" s="5">
        <v>46</v>
      </c>
      <c r="L321" s="5" t="s">
        <v>44</v>
      </c>
      <c r="M321" s="5">
        <v>0</v>
      </c>
      <c r="N321" s="5">
        <v>30</v>
      </c>
      <c r="O321" s="5">
        <v>40</v>
      </c>
      <c r="P321" s="5">
        <v>11</v>
      </c>
      <c r="Q321">
        <f>SUM([1]!Table1[[#This Row],[Sales]])</f>
        <v>46</v>
      </c>
      <c r="R321">
        <f>SUM([1]!Table1[[#This Row],[Profit]])</f>
        <v>47</v>
      </c>
      <c r="S321" s="7">
        <f t="shared" si="32"/>
        <v>1.0217391304347827</v>
      </c>
      <c r="T321">
        <f t="shared" si="33"/>
        <v>0</v>
      </c>
      <c r="U321">
        <f t="shared" si="34"/>
        <v>6</v>
      </c>
      <c r="V321">
        <f t="shared" si="35"/>
        <v>0</v>
      </c>
      <c r="W321" t="e">
        <f t="shared" si="36"/>
        <v>#DIV/0!</v>
      </c>
      <c r="X321" t="str">
        <f t="shared" si="37"/>
        <v>Low Profit</v>
      </c>
      <c r="Y321">
        <f t="shared" si="38"/>
        <v>0</v>
      </c>
      <c r="Z321">
        <f t="shared" si="39"/>
        <v>46</v>
      </c>
    </row>
    <row r="322" spans="1:26">
      <c r="A322" s="3">
        <v>435</v>
      </c>
      <c r="B322" s="3">
        <v>44</v>
      </c>
      <c r="C322" s="4">
        <v>41579</v>
      </c>
      <c r="D322" s="3" t="s">
        <v>32</v>
      </c>
      <c r="E322" s="3" t="s">
        <v>29</v>
      </c>
      <c r="F322" s="3">
        <v>40</v>
      </c>
      <c r="G322" s="3" t="s">
        <v>18</v>
      </c>
      <c r="H322" s="3" t="s">
        <v>26</v>
      </c>
      <c r="I322" s="3" t="s">
        <v>27</v>
      </c>
      <c r="J322" s="3">
        <v>-10</v>
      </c>
      <c r="K322" s="3">
        <v>113</v>
      </c>
      <c r="L322" s="3" t="s">
        <v>42</v>
      </c>
      <c r="M322" s="3">
        <v>30</v>
      </c>
      <c r="N322" s="3">
        <v>-10</v>
      </c>
      <c r="O322" s="3">
        <v>70</v>
      </c>
      <c r="P322" s="3">
        <v>69</v>
      </c>
      <c r="Q322">
        <f>SUM([1]!Table1[[#This Row],[Sales]])</f>
        <v>113</v>
      </c>
      <c r="R322">
        <f>SUM([1]!Table1[[#This Row],[Profit]])</f>
        <v>-10</v>
      </c>
      <c r="S322" s="7">
        <f t="shared" si="32"/>
        <v>-8.8495575221238937E-2</v>
      </c>
      <c r="T322">
        <f t="shared" si="33"/>
        <v>40</v>
      </c>
      <c r="U322">
        <f t="shared" si="34"/>
        <v>43</v>
      </c>
      <c r="V322">
        <f t="shared" si="35"/>
        <v>14</v>
      </c>
      <c r="W322">
        <f t="shared" si="36"/>
        <v>-0.25</v>
      </c>
      <c r="X322" t="str">
        <f t="shared" si="37"/>
        <v>Low Profit</v>
      </c>
      <c r="Y322">
        <f t="shared" si="38"/>
        <v>44</v>
      </c>
      <c r="Z322">
        <f t="shared" si="39"/>
        <v>113</v>
      </c>
    </row>
    <row r="323" spans="1:26">
      <c r="A323" s="5">
        <v>614</v>
      </c>
      <c r="B323" s="5">
        <v>29</v>
      </c>
      <c r="C323" s="6">
        <v>41609</v>
      </c>
      <c r="D323" s="5" t="s">
        <v>16</v>
      </c>
      <c r="E323" s="5" t="s">
        <v>17</v>
      </c>
      <c r="F323" s="5">
        <v>8</v>
      </c>
      <c r="G323" s="5" t="s">
        <v>18</v>
      </c>
      <c r="H323" s="5" t="s">
        <v>19</v>
      </c>
      <c r="I323" s="5" t="s">
        <v>50</v>
      </c>
      <c r="J323" s="5">
        <v>37</v>
      </c>
      <c r="K323" s="5">
        <v>78</v>
      </c>
      <c r="L323" s="5" t="s">
        <v>58</v>
      </c>
      <c r="M323" s="5">
        <v>20</v>
      </c>
      <c r="N323" s="5">
        <v>30</v>
      </c>
      <c r="O323" s="5">
        <v>60</v>
      </c>
      <c r="P323" s="5">
        <v>19</v>
      </c>
      <c r="Q323">
        <f>SUM([1]!Table1[[#This Row],[Sales]])</f>
        <v>78</v>
      </c>
      <c r="R323">
        <f>SUM([1]!Table1[[#This Row],[Profit]])</f>
        <v>37</v>
      </c>
      <c r="S323" s="7">
        <f t="shared" ref="S323:S386" si="40">J323/K323</f>
        <v>0.47435897435897434</v>
      </c>
      <c r="T323">
        <f t="shared" ref="T323:T386" si="41">SUM(F323)</f>
        <v>8</v>
      </c>
      <c r="U323">
        <f t="shared" ref="U323:U386" si="42">K323-O323</f>
        <v>18</v>
      </c>
      <c r="V323">
        <f t="shared" ref="V323:V386" si="43">B323-M323</f>
        <v>9</v>
      </c>
      <c r="W323">
        <f t="shared" ref="W323:W386" si="44">J323/F323</f>
        <v>4.625</v>
      </c>
      <c r="X323" t="str">
        <f t="shared" ref="X323:X386" si="45">IF(J323&gt;100,"High Profit","Low Profit")</f>
        <v>Low Profit</v>
      </c>
      <c r="Y323">
        <f t="shared" ref="Y323:Y386" si="46">SUM(B323)</f>
        <v>29</v>
      </c>
      <c r="Z323">
        <f t="shared" ref="Z323:Z386" si="47">SUM(K323)</f>
        <v>78</v>
      </c>
    </row>
    <row r="324" spans="1:26">
      <c r="A324" s="3">
        <v>440</v>
      </c>
      <c r="B324" s="3">
        <v>33</v>
      </c>
      <c r="C324" s="4">
        <v>41609</v>
      </c>
      <c r="D324" s="3" t="s">
        <v>16</v>
      </c>
      <c r="E324" s="3" t="s">
        <v>17</v>
      </c>
      <c r="F324" s="3">
        <v>9</v>
      </c>
      <c r="G324" s="3" t="s">
        <v>18</v>
      </c>
      <c r="H324" s="3" t="s">
        <v>19</v>
      </c>
      <c r="I324" s="3" t="s">
        <v>20</v>
      </c>
      <c r="J324" s="3">
        <v>43</v>
      </c>
      <c r="K324" s="3">
        <v>87</v>
      </c>
      <c r="L324" s="3" t="s">
        <v>58</v>
      </c>
      <c r="M324" s="3">
        <v>30</v>
      </c>
      <c r="N324" s="3">
        <v>30</v>
      </c>
      <c r="O324" s="3">
        <v>70</v>
      </c>
      <c r="P324" s="3">
        <v>20</v>
      </c>
      <c r="Q324">
        <f>SUM([1]!Table1[[#This Row],[Sales]])</f>
        <v>87</v>
      </c>
      <c r="R324">
        <f>SUM([1]!Table1[[#This Row],[Profit]])</f>
        <v>43</v>
      </c>
      <c r="S324" s="7">
        <f t="shared" si="40"/>
        <v>0.4942528735632184</v>
      </c>
      <c r="T324">
        <f t="shared" si="41"/>
        <v>9</v>
      </c>
      <c r="U324">
        <f t="shared" si="42"/>
        <v>17</v>
      </c>
      <c r="V324">
        <f t="shared" si="43"/>
        <v>3</v>
      </c>
      <c r="W324">
        <f t="shared" si="44"/>
        <v>4.7777777777777777</v>
      </c>
      <c r="X324" t="str">
        <f t="shared" si="45"/>
        <v>Low Profit</v>
      </c>
      <c r="Y324">
        <f t="shared" si="46"/>
        <v>33</v>
      </c>
      <c r="Z324">
        <f t="shared" si="47"/>
        <v>87</v>
      </c>
    </row>
    <row r="325" spans="1:26">
      <c r="A325" s="5">
        <v>774</v>
      </c>
      <c r="B325" s="5">
        <v>46</v>
      </c>
      <c r="C325" s="6">
        <v>41609</v>
      </c>
      <c r="D325" s="5" t="s">
        <v>16</v>
      </c>
      <c r="E325" s="5" t="s">
        <v>25</v>
      </c>
      <c r="F325" s="5">
        <v>17</v>
      </c>
      <c r="G325" s="5" t="s">
        <v>18</v>
      </c>
      <c r="H325" s="5" t="s">
        <v>19</v>
      </c>
      <c r="I325" s="5" t="s">
        <v>20</v>
      </c>
      <c r="J325" s="5">
        <v>10</v>
      </c>
      <c r="K325" s="5">
        <v>110</v>
      </c>
      <c r="L325" s="5" t="s">
        <v>55</v>
      </c>
      <c r="M325" s="5">
        <v>30</v>
      </c>
      <c r="N325" s="5">
        <v>10</v>
      </c>
      <c r="O325" s="5">
        <v>70</v>
      </c>
      <c r="P325" s="5">
        <v>50</v>
      </c>
      <c r="Q325">
        <f>SUM([1]!Table1[[#This Row],[Sales]])</f>
        <v>110</v>
      </c>
      <c r="R325">
        <f>SUM([1]!Table1[[#This Row],[Profit]])</f>
        <v>10</v>
      </c>
      <c r="S325" s="7">
        <f t="shared" si="40"/>
        <v>9.0909090909090912E-2</v>
      </c>
      <c r="T325">
        <f t="shared" si="41"/>
        <v>17</v>
      </c>
      <c r="U325">
        <f t="shared" si="42"/>
        <v>40</v>
      </c>
      <c r="V325">
        <f t="shared" si="43"/>
        <v>16</v>
      </c>
      <c r="W325">
        <f t="shared" si="44"/>
        <v>0.58823529411764708</v>
      </c>
      <c r="X325" t="str">
        <f t="shared" si="45"/>
        <v>Low Profit</v>
      </c>
      <c r="Y325">
        <f t="shared" si="46"/>
        <v>46</v>
      </c>
      <c r="Z325">
        <f t="shared" si="47"/>
        <v>110</v>
      </c>
    </row>
    <row r="326" spans="1:26">
      <c r="A326" s="3">
        <v>321</v>
      </c>
      <c r="B326" s="3">
        <v>30</v>
      </c>
      <c r="C326" s="4">
        <v>41609</v>
      </c>
      <c r="D326" s="3" t="s">
        <v>16</v>
      </c>
      <c r="E326" s="3" t="s">
        <v>25</v>
      </c>
      <c r="F326" s="3">
        <v>8</v>
      </c>
      <c r="G326" s="3" t="s">
        <v>18</v>
      </c>
      <c r="H326" s="3" t="s">
        <v>26</v>
      </c>
      <c r="I326" s="3" t="s">
        <v>27</v>
      </c>
      <c r="J326" s="3">
        <v>39</v>
      </c>
      <c r="K326" s="3">
        <v>80</v>
      </c>
      <c r="L326" s="3" t="s">
        <v>28</v>
      </c>
      <c r="M326" s="3">
        <v>30</v>
      </c>
      <c r="N326" s="3">
        <v>30</v>
      </c>
      <c r="O326" s="3">
        <v>70</v>
      </c>
      <c r="P326" s="3">
        <v>19</v>
      </c>
      <c r="Q326">
        <f>SUM([1]!Table1[[#This Row],[Sales]])</f>
        <v>80</v>
      </c>
      <c r="R326">
        <f>SUM([1]!Table1[[#This Row],[Profit]])</f>
        <v>39</v>
      </c>
      <c r="S326" s="7">
        <f t="shared" si="40"/>
        <v>0.48749999999999999</v>
      </c>
      <c r="T326">
        <f t="shared" si="41"/>
        <v>8</v>
      </c>
      <c r="U326">
        <f t="shared" si="42"/>
        <v>10</v>
      </c>
      <c r="V326">
        <f t="shared" si="43"/>
        <v>0</v>
      </c>
      <c r="W326">
        <f t="shared" si="44"/>
        <v>4.875</v>
      </c>
      <c r="X326" t="str">
        <f t="shared" si="45"/>
        <v>Low Profit</v>
      </c>
      <c r="Y326">
        <f t="shared" si="46"/>
        <v>30</v>
      </c>
      <c r="Z326">
        <f t="shared" si="47"/>
        <v>80</v>
      </c>
    </row>
    <row r="327" spans="1:26">
      <c r="A327" s="5">
        <v>774</v>
      </c>
      <c r="B327" s="5">
        <v>29</v>
      </c>
      <c r="C327" s="6">
        <v>41609</v>
      </c>
      <c r="D327" s="5" t="s">
        <v>16</v>
      </c>
      <c r="E327" s="5" t="s">
        <v>25</v>
      </c>
      <c r="F327" s="5">
        <v>8</v>
      </c>
      <c r="G327" s="5" t="s">
        <v>18</v>
      </c>
      <c r="H327" s="5" t="s">
        <v>26</v>
      </c>
      <c r="I327" s="5" t="s">
        <v>30</v>
      </c>
      <c r="J327" s="5">
        <v>37</v>
      </c>
      <c r="K327" s="5">
        <v>78</v>
      </c>
      <c r="L327" s="5" t="s">
        <v>55</v>
      </c>
      <c r="M327" s="5">
        <v>30</v>
      </c>
      <c r="N327" s="5">
        <v>30</v>
      </c>
      <c r="O327" s="5">
        <v>70</v>
      </c>
      <c r="P327" s="5">
        <v>19</v>
      </c>
      <c r="Q327">
        <f>SUM([1]!Table1[[#This Row],[Sales]])</f>
        <v>78</v>
      </c>
      <c r="R327">
        <f>SUM([1]!Table1[[#This Row],[Profit]])</f>
        <v>37</v>
      </c>
      <c r="S327" s="7">
        <f t="shared" si="40"/>
        <v>0.47435897435897434</v>
      </c>
      <c r="T327">
        <f t="shared" si="41"/>
        <v>8</v>
      </c>
      <c r="U327">
        <f t="shared" si="42"/>
        <v>8</v>
      </c>
      <c r="V327">
        <f t="shared" si="43"/>
        <v>-1</v>
      </c>
      <c r="W327">
        <f t="shared" si="44"/>
        <v>4.625</v>
      </c>
      <c r="X327" t="str">
        <f t="shared" si="45"/>
        <v>Low Profit</v>
      </c>
      <c r="Y327">
        <f t="shared" si="46"/>
        <v>29</v>
      </c>
      <c r="Z327">
        <f t="shared" si="47"/>
        <v>78</v>
      </c>
    </row>
    <row r="328" spans="1:26">
      <c r="A328" s="3">
        <v>608</v>
      </c>
      <c r="B328" s="3">
        <v>24</v>
      </c>
      <c r="C328" s="4">
        <v>41609</v>
      </c>
      <c r="D328" s="3" t="s">
        <v>32</v>
      </c>
      <c r="E328" s="3" t="s">
        <v>17</v>
      </c>
      <c r="F328" s="3">
        <v>7</v>
      </c>
      <c r="G328" s="3" t="s">
        <v>33</v>
      </c>
      <c r="H328" s="3" t="s">
        <v>34</v>
      </c>
      <c r="I328" s="3" t="s">
        <v>35</v>
      </c>
      <c r="J328" s="3">
        <v>19</v>
      </c>
      <c r="K328" s="3">
        <v>60</v>
      </c>
      <c r="L328" s="3" t="s">
        <v>52</v>
      </c>
      <c r="M328" s="3">
        <v>30</v>
      </c>
      <c r="N328" s="3">
        <v>30</v>
      </c>
      <c r="O328" s="3">
        <v>70</v>
      </c>
      <c r="P328" s="3">
        <v>19</v>
      </c>
      <c r="Q328">
        <f>SUM([1]!Table1[[#This Row],[Sales]])</f>
        <v>60</v>
      </c>
      <c r="R328">
        <f>SUM([1]!Table1[[#This Row],[Profit]])</f>
        <v>19</v>
      </c>
      <c r="S328" s="7">
        <f t="shared" si="40"/>
        <v>0.31666666666666665</v>
      </c>
      <c r="T328">
        <f t="shared" si="41"/>
        <v>7</v>
      </c>
      <c r="U328">
        <f t="shared" si="42"/>
        <v>-10</v>
      </c>
      <c r="V328">
        <f t="shared" si="43"/>
        <v>-6</v>
      </c>
      <c r="W328">
        <f t="shared" si="44"/>
        <v>2.7142857142857144</v>
      </c>
      <c r="X328" t="str">
        <f t="shared" si="45"/>
        <v>Low Profit</v>
      </c>
      <c r="Y328">
        <f t="shared" si="46"/>
        <v>24</v>
      </c>
      <c r="Z328">
        <f t="shared" si="47"/>
        <v>60</v>
      </c>
    </row>
    <row r="329" spans="1:26">
      <c r="A329" s="5">
        <v>775</v>
      </c>
      <c r="B329" s="5">
        <v>0</v>
      </c>
      <c r="C329" s="6">
        <v>41609</v>
      </c>
      <c r="D329" s="5" t="s">
        <v>32</v>
      </c>
      <c r="E329" s="5" t="s">
        <v>29</v>
      </c>
      <c r="F329" s="5">
        <v>0</v>
      </c>
      <c r="G329" s="5" t="s">
        <v>33</v>
      </c>
      <c r="H329" s="5" t="s">
        <v>34</v>
      </c>
      <c r="I329" s="5" t="s">
        <v>47</v>
      </c>
      <c r="J329" s="5">
        <v>46</v>
      </c>
      <c r="K329" s="5">
        <v>46</v>
      </c>
      <c r="L329" s="5" t="s">
        <v>41</v>
      </c>
      <c r="M329" s="5">
        <v>0</v>
      </c>
      <c r="N329" s="5">
        <v>30</v>
      </c>
      <c r="O329" s="5">
        <v>40</v>
      </c>
      <c r="P329" s="5">
        <v>12</v>
      </c>
      <c r="Q329">
        <f>SUM([1]!Table1[[#This Row],[Sales]])</f>
        <v>46</v>
      </c>
      <c r="R329">
        <f>SUM([1]!Table1[[#This Row],[Profit]])</f>
        <v>46</v>
      </c>
      <c r="S329" s="7">
        <f t="shared" si="40"/>
        <v>1</v>
      </c>
      <c r="T329">
        <f t="shared" si="41"/>
        <v>0</v>
      </c>
      <c r="U329">
        <f t="shared" si="42"/>
        <v>6</v>
      </c>
      <c r="V329">
        <f t="shared" si="43"/>
        <v>0</v>
      </c>
      <c r="W329" t="e">
        <f t="shared" si="44"/>
        <v>#DIV/0!</v>
      </c>
      <c r="X329" t="str">
        <f t="shared" si="45"/>
        <v>Low Profit</v>
      </c>
      <c r="Y329">
        <f t="shared" si="46"/>
        <v>0</v>
      </c>
      <c r="Z329">
        <f t="shared" si="47"/>
        <v>46</v>
      </c>
    </row>
    <row r="330" spans="1:26">
      <c r="A330" s="3">
        <v>435</v>
      </c>
      <c r="B330" s="3">
        <v>31</v>
      </c>
      <c r="C330" s="4">
        <v>41609</v>
      </c>
      <c r="D330" s="3" t="s">
        <v>32</v>
      </c>
      <c r="E330" s="3" t="s">
        <v>29</v>
      </c>
      <c r="F330" s="3">
        <v>8</v>
      </c>
      <c r="G330" s="3" t="s">
        <v>33</v>
      </c>
      <c r="H330" s="3" t="s">
        <v>34</v>
      </c>
      <c r="I330" s="3" t="s">
        <v>47</v>
      </c>
      <c r="J330" s="3">
        <v>39</v>
      </c>
      <c r="K330" s="3">
        <v>82</v>
      </c>
      <c r="L330" s="3" t="s">
        <v>42</v>
      </c>
      <c r="M330" s="3">
        <v>30</v>
      </c>
      <c r="N330" s="3">
        <v>30</v>
      </c>
      <c r="O330" s="3">
        <v>70</v>
      </c>
      <c r="P330" s="3">
        <v>20</v>
      </c>
      <c r="Q330">
        <f>SUM([1]!Table1[[#This Row],[Sales]])</f>
        <v>82</v>
      </c>
      <c r="R330">
        <f>SUM([1]!Table1[[#This Row],[Profit]])</f>
        <v>39</v>
      </c>
      <c r="S330" s="7">
        <f t="shared" si="40"/>
        <v>0.47560975609756095</v>
      </c>
      <c r="T330">
        <f t="shared" si="41"/>
        <v>8</v>
      </c>
      <c r="U330">
        <f t="shared" si="42"/>
        <v>12</v>
      </c>
      <c r="V330">
        <f t="shared" si="43"/>
        <v>1</v>
      </c>
      <c r="W330">
        <f t="shared" si="44"/>
        <v>4.875</v>
      </c>
      <c r="X330" t="str">
        <f t="shared" si="45"/>
        <v>Low Profit</v>
      </c>
      <c r="Y330">
        <f t="shared" si="46"/>
        <v>31</v>
      </c>
      <c r="Z330">
        <f t="shared" si="47"/>
        <v>82</v>
      </c>
    </row>
    <row r="331" spans="1:26">
      <c r="A331" s="5">
        <v>715</v>
      </c>
      <c r="B331" s="5">
        <v>34</v>
      </c>
      <c r="C331" s="6">
        <v>41609</v>
      </c>
      <c r="D331" s="5" t="s">
        <v>32</v>
      </c>
      <c r="E331" s="5" t="s">
        <v>17</v>
      </c>
      <c r="F331" s="5">
        <v>9</v>
      </c>
      <c r="G331" s="5" t="s">
        <v>18</v>
      </c>
      <c r="H331" s="5" t="s">
        <v>19</v>
      </c>
      <c r="I331" s="5" t="s">
        <v>20</v>
      </c>
      <c r="J331" s="5">
        <v>45</v>
      </c>
      <c r="K331" s="5">
        <v>91</v>
      </c>
      <c r="L331" s="5" t="s">
        <v>52</v>
      </c>
      <c r="M331" s="5">
        <v>30</v>
      </c>
      <c r="N331" s="5">
        <v>30</v>
      </c>
      <c r="O331" s="5">
        <v>70</v>
      </c>
      <c r="P331" s="5">
        <v>21</v>
      </c>
      <c r="Q331">
        <f>SUM([1]!Table1[[#This Row],[Sales]])</f>
        <v>91</v>
      </c>
      <c r="R331">
        <f>SUM([1]!Table1[[#This Row],[Profit]])</f>
        <v>45</v>
      </c>
      <c r="S331" s="7">
        <f t="shared" si="40"/>
        <v>0.49450549450549453</v>
      </c>
      <c r="T331">
        <f t="shared" si="41"/>
        <v>9</v>
      </c>
      <c r="U331">
        <f t="shared" si="42"/>
        <v>21</v>
      </c>
      <c r="V331">
        <f t="shared" si="43"/>
        <v>4</v>
      </c>
      <c r="W331">
        <f t="shared" si="44"/>
        <v>5</v>
      </c>
      <c r="X331" t="str">
        <f t="shared" si="45"/>
        <v>Low Profit</v>
      </c>
      <c r="Y331">
        <f t="shared" si="46"/>
        <v>34</v>
      </c>
      <c r="Z331">
        <f t="shared" si="47"/>
        <v>91</v>
      </c>
    </row>
    <row r="332" spans="1:26">
      <c r="A332" s="3">
        <v>603</v>
      </c>
      <c r="B332" s="3">
        <v>39</v>
      </c>
      <c r="C332" s="4">
        <v>41609</v>
      </c>
      <c r="D332" s="3" t="s">
        <v>32</v>
      </c>
      <c r="E332" s="3" t="s">
        <v>25</v>
      </c>
      <c r="F332" s="3">
        <v>14</v>
      </c>
      <c r="G332" s="3" t="s">
        <v>18</v>
      </c>
      <c r="H332" s="3" t="s">
        <v>19</v>
      </c>
      <c r="I332" s="3" t="s">
        <v>20</v>
      </c>
      <c r="J332" s="3">
        <v>3</v>
      </c>
      <c r="K332" s="3">
        <v>94</v>
      </c>
      <c r="L332" s="3" t="s">
        <v>44</v>
      </c>
      <c r="M332" s="3">
        <v>20</v>
      </c>
      <c r="N332" s="3">
        <v>10</v>
      </c>
      <c r="O332" s="3">
        <v>60</v>
      </c>
      <c r="P332" s="3">
        <v>47</v>
      </c>
      <c r="Q332">
        <f>SUM([1]!Table1[[#This Row],[Sales]])</f>
        <v>94</v>
      </c>
      <c r="R332">
        <f>SUM([1]!Table1[[#This Row],[Profit]])</f>
        <v>3</v>
      </c>
      <c r="S332" s="7">
        <f t="shared" si="40"/>
        <v>3.1914893617021274E-2</v>
      </c>
      <c r="T332">
        <f t="shared" si="41"/>
        <v>14</v>
      </c>
      <c r="U332">
        <f t="shared" si="42"/>
        <v>34</v>
      </c>
      <c r="V332">
        <f t="shared" si="43"/>
        <v>19</v>
      </c>
      <c r="W332">
        <f t="shared" si="44"/>
        <v>0.21428571428571427</v>
      </c>
      <c r="X332" t="str">
        <f t="shared" si="45"/>
        <v>Low Profit</v>
      </c>
      <c r="Y332">
        <f t="shared" si="46"/>
        <v>39</v>
      </c>
      <c r="Z332">
        <f t="shared" si="47"/>
        <v>94</v>
      </c>
    </row>
    <row r="333" spans="1:26">
      <c r="A333" s="5">
        <v>505</v>
      </c>
      <c r="B333" s="5">
        <v>31</v>
      </c>
      <c r="C333" s="6">
        <v>41609</v>
      </c>
      <c r="D333" s="5" t="s">
        <v>32</v>
      </c>
      <c r="E333" s="5" t="s">
        <v>23</v>
      </c>
      <c r="F333" s="5">
        <v>9</v>
      </c>
      <c r="G333" s="5" t="s">
        <v>18</v>
      </c>
      <c r="H333" s="5" t="s">
        <v>19</v>
      </c>
      <c r="I333" s="5" t="s">
        <v>20</v>
      </c>
      <c r="J333" s="5">
        <v>10</v>
      </c>
      <c r="K333" s="5">
        <v>74</v>
      </c>
      <c r="L333" s="5" t="s">
        <v>57</v>
      </c>
      <c r="M333" s="5">
        <v>20</v>
      </c>
      <c r="N333" s="5">
        <v>20</v>
      </c>
      <c r="O333" s="5">
        <v>60</v>
      </c>
      <c r="P333" s="5">
        <v>31</v>
      </c>
      <c r="Q333">
        <f>SUM([1]!Table1[[#This Row],[Sales]])</f>
        <v>74</v>
      </c>
      <c r="R333">
        <f>SUM([1]!Table1[[#This Row],[Profit]])</f>
        <v>10</v>
      </c>
      <c r="S333" s="7">
        <f t="shared" si="40"/>
        <v>0.13513513513513514</v>
      </c>
      <c r="T333">
        <f t="shared" si="41"/>
        <v>9</v>
      </c>
      <c r="U333">
        <f t="shared" si="42"/>
        <v>14</v>
      </c>
      <c r="V333">
        <f t="shared" si="43"/>
        <v>11</v>
      </c>
      <c r="W333">
        <f t="shared" si="44"/>
        <v>1.1111111111111112</v>
      </c>
      <c r="X333" t="str">
        <f t="shared" si="45"/>
        <v>Low Profit</v>
      </c>
      <c r="Y333">
        <f t="shared" si="46"/>
        <v>31</v>
      </c>
      <c r="Z333">
        <f t="shared" si="47"/>
        <v>74</v>
      </c>
    </row>
    <row r="334" spans="1:26">
      <c r="A334" s="3">
        <v>314</v>
      </c>
      <c r="B334" s="3">
        <v>38</v>
      </c>
      <c r="C334" s="4">
        <v>41609</v>
      </c>
      <c r="D334" s="3" t="s">
        <v>32</v>
      </c>
      <c r="E334" s="3" t="s">
        <v>17</v>
      </c>
      <c r="F334" s="3">
        <v>12</v>
      </c>
      <c r="G334" s="3" t="s">
        <v>18</v>
      </c>
      <c r="H334" s="3" t="s">
        <v>26</v>
      </c>
      <c r="I334" s="3" t="s">
        <v>27</v>
      </c>
      <c r="J334" s="3">
        <v>16</v>
      </c>
      <c r="K334" s="3">
        <v>95</v>
      </c>
      <c r="L334" s="3" t="s">
        <v>51</v>
      </c>
      <c r="M334" s="3">
        <v>30</v>
      </c>
      <c r="N334" s="3">
        <v>10</v>
      </c>
      <c r="O334" s="3">
        <v>70</v>
      </c>
      <c r="P334" s="3">
        <v>40</v>
      </c>
      <c r="Q334">
        <f>SUM([1]!Table1[[#This Row],[Sales]])</f>
        <v>95</v>
      </c>
      <c r="R334">
        <f>SUM([1]!Table1[[#This Row],[Profit]])</f>
        <v>16</v>
      </c>
      <c r="S334" s="7">
        <f t="shared" si="40"/>
        <v>0.16842105263157894</v>
      </c>
      <c r="T334">
        <f t="shared" si="41"/>
        <v>12</v>
      </c>
      <c r="U334">
        <f t="shared" si="42"/>
        <v>25</v>
      </c>
      <c r="V334">
        <f t="shared" si="43"/>
        <v>8</v>
      </c>
      <c r="W334">
        <f t="shared" si="44"/>
        <v>1.3333333333333333</v>
      </c>
      <c r="X334" t="str">
        <f t="shared" si="45"/>
        <v>Low Profit</v>
      </c>
      <c r="Y334">
        <f t="shared" si="46"/>
        <v>38</v>
      </c>
      <c r="Z334">
        <f t="shared" si="47"/>
        <v>95</v>
      </c>
    </row>
    <row r="335" spans="1:26">
      <c r="A335" s="5">
        <v>660</v>
      </c>
      <c r="B335" s="5">
        <v>39</v>
      </c>
      <c r="C335" s="6">
        <v>41609</v>
      </c>
      <c r="D335" s="5" t="s">
        <v>32</v>
      </c>
      <c r="E335" s="5" t="s">
        <v>17</v>
      </c>
      <c r="F335" s="5">
        <v>14</v>
      </c>
      <c r="G335" s="5" t="s">
        <v>18</v>
      </c>
      <c r="H335" s="5" t="s">
        <v>26</v>
      </c>
      <c r="I335" s="5" t="s">
        <v>30</v>
      </c>
      <c r="J335" s="5">
        <v>3</v>
      </c>
      <c r="K335" s="5">
        <v>94</v>
      </c>
      <c r="L335" s="5" t="s">
        <v>51</v>
      </c>
      <c r="M335" s="5">
        <v>30</v>
      </c>
      <c r="N335" s="5">
        <v>0</v>
      </c>
      <c r="O335" s="5">
        <v>70</v>
      </c>
      <c r="P335" s="5">
        <v>47</v>
      </c>
      <c r="Q335">
        <f>SUM([1]!Table1[[#This Row],[Sales]])</f>
        <v>94</v>
      </c>
      <c r="R335">
        <f>SUM([1]!Table1[[#This Row],[Profit]])</f>
        <v>3</v>
      </c>
      <c r="S335" s="7">
        <f t="shared" si="40"/>
        <v>3.1914893617021274E-2</v>
      </c>
      <c r="T335">
        <f t="shared" si="41"/>
        <v>14</v>
      </c>
      <c r="U335">
        <f t="shared" si="42"/>
        <v>24</v>
      </c>
      <c r="V335">
        <f t="shared" si="43"/>
        <v>9</v>
      </c>
      <c r="W335">
        <f t="shared" si="44"/>
        <v>0.21428571428571427</v>
      </c>
      <c r="X335" t="str">
        <f t="shared" si="45"/>
        <v>Low Profit</v>
      </c>
      <c r="Y335">
        <f t="shared" si="46"/>
        <v>39</v>
      </c>
      <c r="Z335">
        <f t="shared" si="47"/>
        <v>94</v>
      </c>
    </row>
    <row r="336" spans="1:26">
      <c r="A336" s="3">
        <v>603</v>
      </c>
      <c r="B336" s="3">
        <v>0</v>
      </c>
      <c r="C336" s="4">
        <v>41609</v>
      </c>
      <c r="D336" s="3" t="s">
        <v>32</v>
      </c>
      <c r="E336" s="3" t="s">
        <v>25</v>
      </c>
      <c r="F336" s="3">
        <v>0</v>
      </c>
      <c r="G336" s="3" t="s">
        <v>18</v>
      </c>
      <c r="H336" s="3" t="s">
        <v>26</v>
      </c>
      <c r="I336" s="3" t="s">
        <v>30</v>
      </c>
      <c r="J336" s="3">
        <v>47</v>
      </c>
      <c r="K336" s="3">
        <v>46</v>
      </c>
      <c r="L336" s="3" t="s">
        <v>44</v>
      </c>
      <c r="M336" s="3">
        <v>0</v>
      </c>
      <c r="N336" s="3">
        <v>30</v>
      </c>
      <c r="O336" s="3">
        <v>40</v>
      </c>
      <c r="P336" s="3">
        <v>11</v>
      </c>
      <c r="Q336">
        <f>SUM([1]!Table1[[#This Row],[Sales]])</f>
        <v>46</v>
      </c>
      <c r="R336">
        <f>SUM([1]!Table1[[#This Row],[Profit]])</f>
        <v>47</v>
      </c>
      <c r="S336" s="7">
        <f t="shared" si="40"/>
        <v>1.0217391304347827</v>
      </c>
      <c r="T336">
        <f t="shared" si="41"/>
        <v>0</v>
      </c>
      <c r="U336">
        <f t="shared" si="42"/>
        <v>6</v>
      </c>
      <c r="V336">
        <f t="shared" si="43"/>
        <v>0</v>
      </c>
      <c r="W336" t="e">
        <f t="shared" si="44"/>
        <v>#DIV/0!</v>
      </c>
      <c r="X336" t="str">
        <f t="shared" si="45"/>
        <v>Low Profit</v>
      </c>
      <c r="Y336">
        <f t="shared" si="46"/>
        <v>0</v>
      </c>
      <c r="Z336">
        <f t="shared" si="47"/>
        <v>46</v>
      </c>
    </row>
    <row r="337" spans="1:26">
      <c r="A337" s="5">
        <v>253</v>
      </c>
      <c r="B337" s="5">
        <v>41</v>
      </c>
      <c r="C337" s="6">
        <v>41609</v>
      </c>
      <c r="D337" s="5" t="s">
        <v>32</v>
      </c>
      <c r="E337" s="5" t="s">
        <v>29</v>
      </c>
      <c r="F337" s="5">
        <v>12</v>
      </c>
      <c r="G337" s="5" t="s">
        <v>18</v>
      </c>
      <c r="H337" s="5" t="s">
        <v>26</v>
      </c>
      <c r="I337" s="5" t="s">
        <v>27</v>
      </c>
      <c r="J337" s="5">
        <v>45</v>
      </c>
      <c r="K337" s="5">
        <v>114</v>
      </c>
      <c r="L337" s="5" t="s">
        <v>53</v>
      </c>
      <c r="M337" s="5">
        <v>30</v>
      </c>
      <c r="N337" s="5">
        <v>20</v>
      </c>
      <c r="O337" s="5">
        <v>70</v>
      </c>
      <c r="P337" s="5">
        <v>36</v>
      </c>
      <c r="Q337">
        <f>SUM([1]!Table1[[#This Row],[Sales]])</f>
        <v>114</v>
      </c>
      <c r="R337">
        <f>SUM([1]!Table1[[#This Row],[Profit]])</f>
        <v>45</v>
      </c>
      <c r="S337" s="7">
        <f t="shared" si="40"/>
        <v>0.39473684210526316</v>
      </c>
      <c r="T337">
        <f t="shared" si="41"/>
        <v>12</v>
      </c>
      <c r="U337">
        <f t="shared" si="42"/>
        <v>44</v>
      </c>
      <c r="V337">
        <f t="shared" si="43"/>
        <v>11</v>
      </c>
      <c r="W337">
        <f t="shared" si="44"/>
        <v>3.75</v>
      </c>
      <c r="X337" t="str">
        <f t="shared" si="45"/>
        <v>Low Profit</v>
      </c>
      <c r="Y337">
        <f t="shared" si="46"/>
        <v>41</v>
      </c>
      <c r="Z337">
        <f t="shared" si="47"/>
        <v>114</v>
      </c>
    </row>
    <row r="338" spans="1:26">
      <c r="A338" s="3">
        <v>435</v>
      </c>
      <c r="B338" s="3">
        <v>38</v>
      </c>
      <c r="C338" s="4">
        <v>41609</v>
      </c>
      <c r="D338" s="3" t="s">
        <v>32</v>
      </c>
      <c r="E338" s="3" t="s">
        <v>29</v>
      </c>
      <c r="F338" s="3">
        <v>12</v>
      </c>
      <c r="G338" s="3" t="s">
        <v>18</v>
      </c>
      <c r="H338" s="3" t="s">
        <v>26</v>
      </c>
      <c r="I338" s="3" t="s">
        <v>54</v>
      </c>
      <c r="J338" s="3">
        <v>18</v>
      </c>
      <c r="K338" s="3">
        <v>95</v>
      </c>
      <c r="L338" s="3" t="s">
        <v>42</v>
      </c>
      <c r="M338" s="3">
        <v>20</v>
      </c>
      <c r="N338" s="3">
        <v>10</v>
      </c>
      <c r="O338" s="3">
        <v>60</v>
      </c>
      <c r="P338" s="3">
        <v>39</v>
      </c>
      <c r="Q338">
        <f>SUM([1]!Table1[[#This Row],[Sales]])</f>
        <v>95</v>
      </c>
      <c r="R338">
        <f>SUM([1]!Table1[[#This Row],[Profit]])</f>
        <v>18</v>
      </c>
      <c r="S338" s="7">
        <f t="shared" si="40"/>
        <v>0.18947368421052632</v>
      </c>
      <c r="T338">
        <f t="shared" si="41"/>
        <v>12</v>
      </c>
      <c r="U338">
        <f t="shared" si="42"/>
        <v>35</v>
      </c>
      <c r="V338">
        <f t="shared" si="43"/>
        <v>18</v>
      </c>
      <c r="W338">
        <f t="shared" si="44"/>
        <v>1.5</v>
      </c>
      <c r="X338" t="str">
        <f t="shared" si="45"/>
        <v>Low Profit</v>
      </c>
      <c r="Y338">
        <f t="shared" si="46"/>
        <v>38</v>
      </c>
      <c r="Z338">
        <f t="shared" si="47"/>
        <v>95</v>
      </c>
    </row>
    <row r="339" spans="1:26">
      <c r="A339" s="5">
        <v>253</v>
      </c>
      <c r="B339" s="5">
        <v>43</v>
      </c>
      <c r="C339" s="6">
        <v>41609</v>
      </c>
      <c r="D339" s="5" t="s">
        <v>32</v>
      </c>
      <c r="E339" s="5" t="s">
        <v>29</v>
      </c>
      <c r="F339" s="5">
        <v>13</v>
      </c>
      <c r="G339" s="5" t="s">
        <v>18</v>
      </c>
      <c r="H339" s="5" t="s">
        <v>26</v>
      </c>
      <c r="I339" s="5" t="s">
        <v>54</v>
      </c>
      <c r="J339" s="5">
        <v>42</v>
      </c>
      <c r="K339" s="5">
        <v>113</v>
      </c>
      <c r="L339" s="5" t="s">
        <v>53</v>
      </c>
      <c r="M339" s="5">
        <v>30</v>
      </c>
      <c r="N339" s="5">
        <v>20</v>
      </c>
      <c r="O339" s="5">
        <v>70</v>
      </c>
      <c r="P339" s="5">
        <v>35</v>
      </c>
      <c r="Q339">
        <f>SUM([1]!Table1[[#This Row],[Sales]])</f>
        <v>113</v>
      </c>
      <c r="R339">
        <f>SUM([1]!Table1[[#This Row],[Profit]])</f>
        <v>42</v>
      </c>
      <c r="S339" s="7">
        <f t="shared" si="40"/>
        <v>0.37168141592920356</v>
      </c>
      <c r="T339">
        <f t="shared" si="41"/>
        <v>13</v>
      </c>
      <c r="U339">
        <f t="shared" si="42"/>
        <v>43</v>
      </c>
      <c r="V339">
        <f t="shared" si="43"/>
        <v>13</v>
      </c>
      <c r="W339">
        <f t="shared" si="44"/>
        <v>3.2307692307692308</v>
      </c>
      <c r="X339" t="str">
        <f t="shared" si="45"/>
        <v>Low Profit</v>
      </c>
      <c r="Y339">
        <f t="shared" si="46"/>
        <v>43</v>
      </c>
      <c r="Z339">
        <f t="shared" si="47"/>
        <v>113</v>
      </c>
    </row>
    <row r="340" spans="1:26">
      <c r="A340" s="3">
        <v>216</v>
      </c>
      <c r="B340" s="3">
        <v>51</v>
      </c>
      <c r="C340" s="4">
        <v>41183</v>
      </c>
      <c r="D340" s="3" t="s">
        <v>16</v>
      </c>
      <c r="E340" s="3" t="s">
        <v>17</v>
      </c>
      <c r="F340" s="3">
        <v>46</v>
      </c>
      <c r="G340" s="3" t="s">
        <v>33</v>
      </c>
      <c r="H340" s="3" t="s">
        <v>38</v>
      </c>
      <c r="I340" s="3" t="s">
        <v>39</v>
      </c>
      <c r="J340" s="3">
        <v>-5</v>
      </c>
      <c r="K340" s="3">
        <v>122</v>
      </c>
      <c r="L340" s="3" t="s">
        <v>58</v>
      </c>
      <c r="M340" s="3">
        <v>40</v>
      </c>
      <c r="N340" s="3">
        <v>30</v>
      </c>
      <c r="O340" s="3">
        <v>110</v>
      </c>
      <c r="P340" s="3">
        <v>76</v>
      </c>
      <c r="Q340">
        <f>SUM([1]!Table1[[#This Row],[Sales]])</f>
        <v>122</v>
      </c>
      <c r="R340">
        <f>SUM([1]!Table1[[#This Row],[Profit]])</f>
        <v>-5</v>
      </c>
      <c r="S340" s="7">
        <f t="shared" si="40"/>
        <v>-4.0983606557377046E-2</v>
      </c>
      <c r="T340">
        <f t="shared" si="41"/>
        <v>46</v>
      </c>
      <c r="U340">
        <f t="shared" si="42"/>
        <v>12</v>
      </c>
      <c r="V340">
        <f t="shared" si="43"/>
        <v>11</v>
      </c>
      <c r="W340">
        <f t="shared" si="44"/>
        <v>-0.10869565217391304</v>
      </c>
      <c r="X340" t="str">
        <f t="shared" si="45"/>
        <v>Low Profit</v>
      </c>
      <c r="Y340">
        <f t="shared" si="46"/>
        <v>51</v>
      </c>
      <c r="Z340">
        <f t="shared" si="47"/>
        <v>122</v>
      </c>
    </row>
    <row r="341" spans="1:26">
      <c r="A341" s="5">
        <v>440</v>
      </c>
      <c r="B341" s="5">
        <v>52</v>
      </c>
      <c r="C341" s="6">
        <v>41183</v>
      </c>
      <c r="D341" s="5" t="s">
        <v>16</v>
      </c>
      <c r="E341" s="5" t="s">
        <v>17</v>
      </c>
      <c r="F341" s="5">
        <v>17</v>
      </c>
      <c r="G341" s="5" t="s">
        <v>33</v>
      </c>
      <c r="H341" s="5" t="s">
        <v>38</v>
      </c>
      <c r="I341" s="5" t="s">
        <v>43</v>
      </c>
      <c r="J341" s="5">
        <v>26</v>
      </c>
      <c r="K341" s="5">
        <v>123</v>
      </c>
      <c r="L341" s="5" t="s">
        <v>58</v>
      </c>
      <c r="M341" s="5">
        <v>40</v>
      </c>
      <c r="N341" s="5">
        <v>60</v>
      </c>
      <c r="O341" s="5">
        <v>110</v>
      </c>
      <c r="P341" s="5">
        <v>45</v>
      </c>
      <c r="Q341">
        <f>SUM([1]!Table1[[#This Row],[Sales]])</f>
        <v>123</v>
      </c>
      <c r="R341">
        <f>SUM([1]!Table1[[#This Row],[Profit]])</f>
        <v>26</v>
      </c>
      <c r="S341" s="7">
        <f t="shared" si="40"/>
        <v>0.21138211382113822</v>
      </c>
      <c r="T341">
        <f t="shared" si="41"/>
        <v>17</v>
      </c>
      <c r="U341">
        <f t="shared" si="42"/>
        <v>13</v>
      </c>
      <c r="V341">
        <f t="shared" si="43"/>
        <v>12</v>
      </c>
      <c r="W341">
        <f t="shared" si="44"/>
        <v>1.5294117647058822</v>
      </c>
      <c r="X341" t="str">
        <f t="shared" si="45"/>
        <v>Low Profit</v>
      </c>
      <c r="Y341">
        <f t="shared" si="46"/>
        <v>52</v>
      </c>
      <c r="Z341">
        <f t="shared" si="47"/>
        <v>123</v>
      </c>
    </row>
    <row r="342" spans="1:26">
      <c r="A342" s="3">
        <v>937</v>
      </c>
      <c r="B342" s="3">
        <v>43</v>
      </c>
      <c r="C342" s="4">
        <v>41183</v>
      </c>
      <c r="D342" s="3" t="s">
        <v>16</v>
      </c>
      <c r="E342" s="3" t="s">
        <v>17</v>
      </c>
      <c r="F342" s="3">
        <v>13</v>
      </c>
      <c r="G342" s="3" t="s">
        <v>33</v>
      </c>
      <c r="H342" s="3" t="s">
        <v>38</v>
      </c>
      <c r="I342" s="3" t="s">
        <v>45</v>
      </c>
      <c r="J342" s="3">
        <v>28</v>
      </c>
      <c r="K342" s="3">
        <v>107</v>
      </c>
      <c r="L342" s="3" t="s">
        <v>58</v>
      </c>
      <c r="M342" s="3">
        <v>30</v>
      </c>
      <c r="N342" s="3">
        <v>60</v>
      </c>
      <c r="O342" s="3">
        <v>100</v>
      </c>
      <c r="P342" s="3">
        <v>36</v>
      </c>
      <c r="Q342">
        <f>SUM([1]!Table1[[#This Row],[Sales]])</f>
        <v>107</v>
      </c>
      <c r="R342">
        <f>SUM([1]!Table1[[#This Row],[Profit]])</f>
        <v>28</v>
      </c>
      <c r="S342" s="7">
        <f t="shared" si="40"/>
        <v>0.26168224299065418</v>
      </c>
      <c r="T342">
        <f t="shared" si="41"/>
        <v>13</v>
      </c>
      <c r="U342">
        <f t="shared" si="42"/>
        <v>7</v>
      </c>
      <c r="V342">
        <f t="shared" si="43"/>
        <v>13</v>
      </c>
      <c r="W342">
        <f t="shared" si="44"/>
        <v>2.1538461538461537</v>
      </c>
      <c r="X342" t="str">
        <f t="shared" si="45"/>
        <v>Low Profit</v>
      </c>
      <c r="Y342">
        <f t="shared" si="46"/>
        <v>43</v>
      </c>
      <c r="Z342">
        <f t="shared" si="47"/>
        <v>107</v>
      </c>
    </row>
    <row r="343" spans="1:26">
      <c r="A343" s="5">
        <v>774</v>
      </c>
      <c r="B343" s="5">
        <v>51</v>
      </c>
      <c r="C343" s="6">
        <v>41183</v>
      </c>
      <c r="D343" s="5" t="s">
        <v>16</v>
      </c>
      <c r="E343" s="5" t="s">
        <v>25</v>
      </c>
      <c r="F343" s="5">
        <v>46</v>
      </c>
      <c r="G343" s="5" t="s">
        <v>33</v>
      </c>
      <c r="H343" s="5" t="s">
        <v>34</v>
      </c>
      <c r="I343" s="5" t="s">
        <v>46</v>
      </c>
      <c r="J343" s="5">
        <v>-11</v>
      </c>
      <c r="K343" s="5">
        <v>116</v>
      </c>
      <c r="L343" s="5" t="s">
        <v>55</v>
      </c>
      <c r="M343" s="5">
        <v>30</v>
      </c>
      <c r="N343" s="5">
        <v>30</v>
      </c>
      <c r="O343" s="5">
        <v>100</v>
      </c>
      <c r="P343" s="5">
        <v>76</v>
      </c>
      <c r="Q343">
        <f>SUM([1]!Table1[[#This Row],[Sales]])</f>
        <v>116</v>
      </c>
      <c r="R343">
        <f>SUM([1]!Table1[[#This Row],[Profit]])</f>
        <v>-11</v>
      </c>
      <c r="S343" s="7">
        <f t="shared" si="40"/>
        <v>-9.4827586206896547E-2</v>
      </c>
      <c r="T343">
        <f t="shared" si="41"/>
        <v>46</v>
      </c>
      <c r="U343">
        <f t="shared" si="42"/>
        <v>16</v>
      </c>
      <c r="V343">
        <f t="shared" si="43"/>
        <v>21</v>
      </c>
      <c r="W343">
        <f t="shared" si="44"/>
        <v>-0.2391304347826087</v>
      </c>
      <c r="X343" t="str">
        <f t="shared" si="45"/>
        <v>Low Profit</v>
      </c>
      <c r="Y343">
        <f t="shared" si="46"/>
        <v>51</v>
      </c>
      <c r="Z343">
        <f t="shared" si="47"/>
        <v>116</v>
      </c>
    </row>
    <row r="344" spans="1:26">
      <c r="A344" s="3">
        <v>832</v>
      </c>
      <c r="B344" s="3">
        <v>72</v>
      </c>
      <c r="C344" s="4">
        <v>41183</v>
      </c>
      <c r="D344" s="3" t="s">
        <v>16</v>
      </c>
      <c r="E344" s="3" t="s">
        <v>23</v>
      </c>
      <c r="F344" s="3">
        <v>23</v>
      </c>
      <c r="G344" s="3" t="s">
        <v>33</v>
      </c>
      <c r="H344" s="3" t="s">
        <v>34</v>
      </c>
      <c r="I344" s="3" t="s">
        <v>47</v>
      </c>
      <c r="J344" s="3">
        <v>55</v>
      </c>
      <c r="K344" s="3">
        <v>182</v>
      </c>
      <c r="L344" s="3" t="s">
        <v>24</v>
      </c>
      <c r="M344" s="3">
        <v>40</v>
      </c>
      <c r="N344" s="3">
        <v>50</v>
      </c>
      <c r="O344" s="3">
        <v>110</v>
      </c>
      <c r="P344" s="3">
        <v>55</v>
      </c>
      <c r="Q344">
        <f>SUM([1]!Table1[[#This Row],[Sales]])</f>
        <v>182</v>
      </c>
      <c r="R344">
        <f>SUM([1]!Table1[[#This Row],[Profit]])</f>
        <v>55</v>
      </c>
      <c r="S344" s="7">
        <f t="shared" si="40"/>
        <v>0.30219780219780218</v>
      </c>
      <c r="T344">
        <f t="shared" si="41"/>
        <v>23</v>
      </c>
      <c r="U344">
        <f t="shared" si="42"/>
        <v>72</v>
      </c>
      <c r="V344">
        <f t="shared" si="43"/>
        <v>32</v>
      </c>
      <c r="W344">
        <f t="shared" si="44"/>
        <v>2.3913043478260869</v>
      </c>
      <c r="X344" t="str">
        <f t="shared" si="45"/>
        <v>Low Profit</v>
      </c>
      <c r="Y344">
        <f t="shared" si="46"/>
        <v>72</v>
      </c>
      <c r="Z344">
        <f t="shared" si="47"/>
        <v>182</v>
      </c>
    </row>
    <row r="345" spans="1:26">
      <c r="A345" s="5">
        <v>863</v>
      </c>
      <c r="B345" s="5">
        <v>48</v>
      </c>
      <c r="C345" s="6">
        <v>41183</v>
      </c>
      <c r="D345" s="5" t="s">
        <v>16</v>
      </c>
      <c r="E345" s="5" t="s">
        <v>25</v>
      </c>
      <c r="F345" s="5">
        <v>13</v>
      </c>
      <c r="G345" s="5" t="s">
        <v>18</v>
      </c>
      <c r="H345" s="5" t="s">
        <v>26</v>
      </c>
      <c r="I345" s="5" t="s">
        <v>30</v>
      </c>
      <c r="J345" s="5">
        <v>46</v>
      </c>
      <c r="K345" s="5">
        <v>118</v>
      </c>
      <c r="L345" s="5" t="s">
        <v>28</v>
      </c>
      <c r="M345" s="5">
        <v>50</v>
      </c>
      <c r="N345" s="5">
        <v>60</v>
      </c>
      <c r="O345" s="5">
        <v>120</v>
      </c>
      <c r="P345" s="5">
        <v>24</v>
      </c>
      <c r="Q345">
        <f>SUM([1]!Table1[[#This Row],[Sales]])</f>
        <v>118</v>
      </c>
      <c r="R345">
        <f>SUM([1]!Table1[[#This Row],[Profit]])</f>
        <v>46</v>
      </c>
      <c r="S345" s="7">
        <f t="shared" si="40"/>
        <v>0.38983050847457629</v>
      </c>
      <c r="T345">
        <f t="shared" si="41"/>
        <v>13</v>
      </c>
      <c r="U345">
        <f t="shared" si="42"/>
        <v>-2</v>
      </c>
      <c r="V345">
        <f t="shared" si="43"/>
        <v>-2</v>
      </c>
      <c r="W345">
        <f t="shared" si="44"/>
        <v>3.5384615384615383</v>
      </c>
      <c r="X345" t="str">
        <f t="shared" si="45"/>
        <v>Low Profit</v>
      </c>
      <c r="Y345">
        <f t="shared" si="46"/>
        <v>48</v>
      </c>
      <c r="Z345">
        <f t="shared" si="47"/>
        <v>118</v>
      </c>
    </row>
    <row r="346" spans="1:26">
      <c r="A346" s="3">
        <v>985</v>
      </c>
      <c r="B346" s="3">
        <v>60</v>
      </c>
      <c r="C346" s="4">
        <v>41183</v>
      </c>
      <c r="D346" s="3" t="s">
        <v>32</v>
      </c>
      <c r="E346" s="3" t="s">
        <v>23</v>
      </c>
      <c r="F346" s="3">
        <v>18</v>
      </c>
      <c r="G346" s="3" t="s">
        <v>33</v>
      </c>
      <c r="H346" s="3" t="s">
        <v>34</v>
      </c>
      <c r="I346" s="3" t="s">
        <v>46</v>
      </c>
      <c r="J346" s="3">
        <v>58</v>
      </c>
      <c r="K346" s="3">
        <v>159</v>
      </c>
      <c r="L346" s="3" t="s">
        <v>48</v>
      </c>
      <c r="M346" s="3">
        <v>30</v>
      </c>
      <c r="N346" s="3">
        <v>70</v>
      </c>
      <c r="O346" s="3">
        <v>100</v>
      </c>
      <c r="P346" s="3">
        <v>41</v>
      </c>
      <c r="Q346">
        <f>SUM([1]!Table1[[#This Row],[Sales]])</f>
        <v>159</v>
      </c>
      <c r="R346">
        <f>SUM([1]!Table1[[#This Row],[Profit]])</f>
        <v>58</v>
      </c>
      <c r="S346" s="7">
        <f t="shared" si="40"/>
        <v>0.36477987421383645</v>
      </c>
      <c r="T346">
        <f t="shared" si="41"/>
        <v>18</v>
      </c>
      <c r="U346">
        <f t="shared" si="42"/>
        <v>59</v>
      </c>
      <c r="V346">
        <f t="shared" si="43"/>
        <v>30</v>
      </c>
      <c r="W346">
        <f t="shared" si="44"/>
        <v>3.2222222222222223</v>
      </c>
      <c r="X346" t="str">
        <f t="shared" si="45"/>
        <v>Low Profit</v>
      </c>
      <c r="Y346">
        <f t="shared" si="46"/>
        <v>60</v>
      </c>
      <c r="Z346">
        <f t="shared" si="47"/>
        <v>159</v>
      </c>
    </row>
    <row r="347" spans="1:26">
      <c r="A347" s="5">
        <v>971</v>
      </c>
      <c r="B347" s="5">
        <v>52</v>
      </c>
      <c r="C347" s="6">
        <v>41183</v>
      </c>
      <c r="D347" s="5" t="s">
        <v>32</v>
      </c>
      <c r="E347" s="5" t="s">
        <v>29</v>
      </c>
      <c r="F347" s="5">
        <v>17</v>
      </c>
      <c r="G347" s="5" t="s">
        <v>33</v>
      </c>
      <c r="H347" s="5" t="s">
        <v>34</v>
      </c>
      <c r="I347" s="5" t="s">
        <v>46</v>
      </c>
      <c r="J347" s="5">
        <v>27</v>
      </c>
      <c r="K347" s="5">
        <v>123</v>
      </c>
      <c r="L347" s="5" t="s">
        <v>49</v>
      </c>
      <c r="M347" s="5">
        <v>30</v>
      </c>
      <c r="N347" s="5">
        <v>60</v>
      </c>
      <c r="O347" s="5">
        <v>100</v>
      </c>
      <c r="P347" s="5">
        <v>44</v>
      </c>
      <c r="Q347">
        <f>SUM([1]!Table1[[#This Row],[Sales]])</f>
        <v>123</v>
      </c>
      <c r="R347">
        <f>SUM([1]!Table1[[#This Row],[Profit]])</f>
        <v>27</v>
      </c>
      <c r="S347" s="7">
        <f t="shared" si="40"/>
        <v>0.21951219512195122</v>
      </c>
      <c r="T347">
        <f t="shared" si="41"/>
        <v>17</v>
      </c>
      <c r="U347">
        <f t="shared" si="42"/>
        <v>23</v>
      </c>
      <c r="V347">
        <f t="shared" si="43"/>
        <v>22</v>
      </c>
      <c r="W347">
        <f t="shared" si="44"/>
        <v>1.588235294117647</v>
      </c>
      <c r="X347" t="str">
        <f t="shared" si="45"/>
        <v>Low Profit</v>
      </c>
      <c r="Y347">
        <f t="shared" si="46"/>
        <v>52</v>
      </c>
      <c r="Z347">
        <f t="shared" si="47"/>
        <v>123</v>
      </c>
    </row>
    <row r="348" spans="1:26">
      <c r="A348" s="3">
        <v>253</v>
      </c>
      <c r="B348" s="3">
        <v>56</v>
      </c>
      <c r="C348" s="4">
        <v>41183</v>
      </c>
      <c r="D348" s="3" t="s">
        <v>32</v>
      </c>
      <c r="E348" s="3" t="s">
        <v>29</v>
      </c>
      <c r="F348" s="3">
        <v>21</v>
      </c>
      <c r="G348" s="3" t="s">
        <v>33</v>
      </c>
      <c r="H348" s="3" t="s">
        <v>34</v>
      </c>
      <c r="I348" s="3" t="s">
        <v>46</v>
      </c>
      <c r="J348" s="3">
        <v>16</v>
      </c>
      <c r="K348" s="3">
        <v>126</v>
      </c>
      <c r="L348" s="3" t="s">
        <v>53</v>
      </c>
      <c r="M348" s="3">
        <v>40</v>
      </c>
      <c r="N348" s="3">
        <v>50</v>
      </c>
      <c r="O348" s="3">
        <v>110</v>
      </c>
      <c r="P348" s="3">
        <v>54</v>
      </c>
      <c r="Q348">
        <f>SUM([1]!Table1[[#This Row],[Sales]])</f>
        <v>126</v>
      </c>
      <c r="R348">
        <f>SUM([1]!Table1[[#This Row],[Profit]])</f>
        <v>16</v>
      </c>
      <c r="S348" s="7">
        <f t="shared" si="40"/>
        <v>0.12698412698412698</v>
      </c>
      <c r="T348">
        <f t="shared" si="41"/>
        <v>21</v>
      </c>
      <c r="U348">
        <f t="shared" si="42"/>
        <v>16</v>
      </c>
      <c r="V348">
        <f t="shared" si="43"/>
        <v>16</v>
      </c>
      <c r="W348">
        <f t="shared" si="44"/>
        <v>0.76190476190476186</v>
      </c>
      <c r="X348" t="str">
        <f t="shared" si="45"/>
        <v>Low Profit</v>
      </c>
      <c r="Y348">
        <f t="shared" si="46"/>
        <v>56</v>
      </c>
      <c r="Z348">
        <f t="shared" si="47"/>
        <v>126</v>
      </c>
    </row>
    <row r="349" spans="1:26">
      <c r="A349" s="5">
        <v>405</v>
      </c>
      <c r="B349" s="5">
        <v>56</v>
      </c>
      <c r="C349" s="6">
        <v>41183</v>
      </c>
      <c r="D349" s="5" t="s">
        <v>32</v>
      </c>
      <c r="E349" s="5" t="s">
        <v>23</v>
      </c>
      <c r="F349" s="5">
        <v>21</v>
      </c>
      <c r="G349" s="5" t="s">
        <v>18</v>
      </c>
      <c r="H349" s="5" t="s">
        <v>19</v>
      </c>
      <c r="I349" s="5" t="s">
        <v>50</v>
      </c>
      <c r="J349" s="5">
        <v>16</v>
      </c>
      <c r="K349" s="5">
        <v>126</v>
      </c>
      <c r="L349" s="5" t="s">
        <v>40</v>
      </c>
      <c r="M349" s="5">
        <v>40</v>
      </c>
      <c r="N349" s="5">
        <v>50</v>
      </c>
      <c r="O349" s="5">
        <v>110</v>
      </c>
      <c r="P349" s="5">
        <v>54</v>
      </c>
      <c r="Q349">
        <f>SUM([1]!Table1[[#This Row],[Sales]])</f>
        <v>126</v>
      </c>
      <c r="R349">
        <f>SUM([1]!Table1[[#This Row],[Profit]])</f>
        <v>16</v>
      </c>
      <c r="S349" s="7">
        <f t="shared" si="40"/>
        <v>0.12698412698412698</v>
      </c>
      <c r="T349">
        <f t="shared" si="41"/>
        <v>21</v>
      </c>
      <c r="U349">
        <f t="shared" si="42"/>
        <v>16</v>
      </c>
      <c r="V349">
        <f t="shared" si="43"/>
        <v>16</v>
      </c>
      <c r="W349">
        <f t="shared" si="44"/>
        <v>0.76190476190476186</v>
      </c>
      <c r="X349" t="str">
        <f t="shared" si="45"/>
        <v>Low Profit</v>
      </c>
      <c r="Y349">
        <f t="shared" si="46"/>
        <v>56</v>
      </c>
      <c r="Z349">
        <f t="shared" si="47"/>
        <v>126</v>
      </c>
    </row>
    <row r="350" spans="1:26">
      <c r="A350" s="3">
        <v>435</v>
      </c>
      <c r="B350" s="3">
        <v>45</v>
      </c>
      <c r="C350" s="4">
        <v>41183</v>
      </c>
      <c r="D350" s="3" t="s">
        <v>32</v>
      </c>
      <c r="E350" s="3" t="s">
        <v>29</v>
      </c>
      <c r="F350" s="3">
        <v>14</v>
      </c>
      <c r="G350" s="3" t="s">
        <v>18</v>
      </c>
      <c r="H350" s="3" t="s">
        <v>19</v>
      </c>
      <c r="I350" s="3" t="s">
        <v>20</v>
      </c>
      <c r="J350" s="3">
        <v>23</v>
      </c>
      <c r="K350" s="3">
        <v>114</v>
      </c>
      <c r="L350" s="3" t="s">
        <v>42</v>
      </c>
      <c r="M350" s="3">
        <v>20</v>
      </c>
      <c r="N350" s="3">
        <v>60</v>
      </c>
      <c r="O350" s="3">
        <v>90</v>
      </c>
      <c r="P350" s="3">
        <v>46</v>
      </c>
      <c r="Q350">
        <f>SUM([1]!Table1[[#This Row],[Sales]])</f>
        <v>114</v>
      </c>
      <c r="R350">
        <f>SUM([1]!Table1[[#This Row],[Profit]])</f>
        <v>23</v>
      </c>
      <c r="S350" s="7">
        <f t="shared" si="40"/>
        <v>0.20175438596491227</v>
      </c>
      <c r="T350">
        <f t="shared" si="41"/>
        <v>14</v>
      </c>
      <c r="U350">
        <f t="shared" si="42"/>
        <v>24</v>
      </c>
      <c r="V350">
        <f t="shared" si="43"/>
        <v>25</v>
      </c>
      <c r="W350">
        <f t="shared" si="44"/>
        <v>1.6428571428571428</v>
      </c>
      <c r="X350" t="str">
        <f t="shared" si="45"/>
        <v>Low Profit</v>
      </c>
      <c r="Y350">
        <f t="shared" si="46"/>
        <v>45</v>
      </c>
      <c r="Z350">
        <f t="shared" si="47"/>
        <v>114</v>
      </c>
    </row>
    <row r="351" spans="1:26">
      <c r="A351" s="5">
        <v>567</v>
      </c>
      <c r="B351" s="5">
        <v>52</v>
      </c>
      <c r="C351" s="6">
        <v>41214</v>
      </c>
      <c r="D351" s="5" t="s">
        <v>16</v>
      </c>
      <c r="E351" s="5" t="s">
        <v>17</v>
      </c>
      <c r="F351" s="5">
        <v>47</v>
      </c>
      <c r="G351" s="5" t="s">
        <v>33</v>
      </c>
      <c r="H351" s="5" t="s">
        <v>38</v>
      </c>
      <c r="I351" s="5" t="s">
        <v>39</v>
      </c>
      <c r="J351" s="5">
        <v>-3</v>
      </c>
      <c r="K351" s="5">
        <v>125</v>
      </c>
      <c r="L351" s="5" t="s">
        <v>58</v>
      </c>
      <c r="M351" s="5">
        <v>50</v>
      </c>
      <c r="N351" s="5">
        <v>10</v>
      </c>
      <c r="O351" s="5">
        <v>120</v>
      </c>
      <c r="P351" s="5">
        <v>76</v>
      </c>
      <c r="Q351">
        <f>SUM([1]!Table1[[#This Row],[Sales]])</f>
        <v>125</v>
      </c>
      <c r="R351">
        <f>SUM([1]!Table1[[#This Row],[Profit]])</f>
        <v>-3</v>
      </c>
      <c r="S351" s="7">
        <f t="shared" si="40"/>
        <v>-2.4E-2</v>
      </c>
      <c r="T351">
        <f t="shared" si="41"/>
        <v>47</v>
      </c>
      <c r="U351">
        <f t="shared" si="42"/>
        <v>5</v>
      </c>
      <c r="V351">
        <f t="shared" si="43"/>
        <v>2</v>
      </c>
      <c r="W351">
        <f t="shared" si="44"/>
        <v>-6.3829787234042548E-2</v>
      </c>
      <c r="X351" t="str">
        <f t="shared" si="45"/>
        <v>Low Profit</v>
      </c>
      <c r="Y351">
        <f t="shared" si="46"/>
        <v>52</v>
      </c>
      <c r="Z351">
        <f t="shared" si="47"/>
        <v>125</v>
      </c>
    </row>
    <row r="352" spans="1:26">
      <c r="A352" s="3">
        <v>614</v>
      </c>
      <c r="B352" s="3">
        <v>46</v>
      </c>
      <c r="C352" s="4">
        <v>41214</v>
      </c>
      <c r="D352" s="3" t="s">
        <v>16</v>
      </c>
      <c r="E352" s="3" t="s">
        <v>17</v>
      </c>
      <c r="F352" s="3">
        <v>14</v>
      </c>
      <c r="G352" s="3" t="s">
        <v>33</v>
      </c>
      <c r="H352" s="3" t="s">
        <v>38</v>
      </c>
      <c r="I352" s="3" t="s">
        <v>45</v>
      </c>
      <c r="J352" s="3">
        <v>32</v>
      </c>
      <c r="K352" s="3">
        <v>114</v>
      </c>
      <c r="L352" s="3" t="s">
        <v>58</v>
      </c>
      <c r="M352" s="3">
        <v>40</v>
      </c>
      <c r="N352" s="3">
        <v>40</v>
      </c>
      <c r="O352" s="3">
        <v>110</v>
      </c>
      <c r="P352" s="3">
        <v>36</v>
      </c>
      <c r="Q352">
        <f>SUM([1]!Table1[[#This Row],[Sales]])</f>
        <v>114</v>
      </c>
      <c r="R352">
        <f>SUM([1]!Table1[[#This Row],[Profit]])</f>
        <v>32</v>
      </c>
      <c r="S352" s="7">
        <f t="shared" si="40"/>
        <v>0.2807017543859649</v>
      </c>
      <c r="T352">
        <f t="shared" si="41"/>
        <v>14</v>
      </c>
      <c r="U352">
        <f t="shared" si="42"/>
        <v>4</v>
      </c>
      <c r="V352">
        <f t="shared" si="43"/>
        <v>6</v>
      </c>
      <c r="W352">
        <f t="shared" si="44"/>
        <v>2.2857142857142856</v>
      </c>
      <c r="X352" t="str">
        <f t="shared" si="45"/>
        <v>Low Profit</v>
      </c>
      <c r="Y352">
        <f t="shared" si="46"/>
        <v>46</v>
      </c>
      <c r="Z352">
        <f t="shared" si="47"/>
        <v>114</v>
      </c>
    </row>
    <row r="353" spans="1:26">
      <c r="A353" s="5">
        <v>303</v>
      </c>
      <c r="B353" s="5">
        <v>52</v>
      </c>
      <c r="C353" s="6">
        <v>41214</v>
      </c>
      <c r="D353" s="5" t="s">
        <v>16</v>
      </c>
      <c r="E353" s="5" t="s">
        <v>17</v>
      </c>
      <c r="F353" s="5">
        <v>47</v>
      </c>
      <c r="G353" s="5" t="s">
        <v>18</v>
      </c>
      <c r="H353" s="5" t="s">
        <v>19</v>
      </c>
      <c r="I353" s="5" t="s">
        <v>20</v>
      </c>
      <c r="J353" s="5">
        <v>-4</v>
      </c>
      <c r="K353" s="5">
        <v>125</v>
      </c>
      <c r="L353" s="5" t="s">
        <v>21</v>
      </c>
      <c r="M353" s="5">
        <v>40</v>
      </c>
      <c r="N353" s="5">
        <v>10</v>
      </c>
      <c r="O353" s="5">
        <v>110</v>
      </c>
      <c r="P353" s="5">
        <v>77</v>
      </c>
      <c r="Q353">
        <f>SUM([1]!Table1[[#This Row],[Sales]])</f>
        <v>125</v>
      </c>
      <c r="R353">
        <f>SUM([1]!Table1[[#This Row],[Profit]])</f>
        <v>-4</v>
      </c>
      <c r="S353" s="7">
        <f t="shared" si="40"/>
        <v>-3.2000000000000001E-2</v>
      </c>
      <c r="T353">
        <f t="shared" si="41"/>
        <v>47</v>
      </c>
      <c r="U353">
        <f t="shared" si="42"/>
        <v>15</v>
      </c>
      <c r="V353">
        <f t="shared" si="43"/>
        <v>12</v>
      </c>
      <c r="W353">
        <f t="shared" si="44"/>
        <v>-8.5106382978723402E-2</v>
      </c>
      <c r="X353" t="str">
        <f t="shared" si="45"/>
        <v>Low Profit</v>
      </c>
      <c r="Y353">
        <f t="shared" si="46"/>
        <v>52</v>
      </c>
      <c r="Z353">
        <f t="shared" si="47"/>
        <v>125</v>
      </c>
    </row>
    <row r="354" spans="1:26">
      <c r="A354" s="3">
        <v>720</v>
      </c>
      <c r="B354" s="3">
        <v>59</v>
      </c>
      <c r="C354" s="4">
        <v>41214</v>
      </c>
      <c r="D354" s="3" t="s">
        <v>16</v>
      </c>
      <c r="E354" s="3" t="s">
        <v>17</v>
      </c>
      <c r="F354" s="3">
        <v>19</v>
      </c>
      <c r="G354" s="3" t="s">
        <v>18</v>
      </c>
      <c r="H354" s="3" t="s">
        <v>19</v>
      </c>
      <c r="I354" s="3" t="s">
        <v>22</v>
      </c>
      <c r="J354" s="3">
        <v>32</v>
      </c>
      <c r="K354" s="3">
        <v>138</v>
      </c>
      <c r="L354" s="3" t="s">
        <v>21</v>
      </c>
      <c r="M354" s="3">
        <v>50</v>
      </c>
      <c r="N354" s="3">
        <v>40</v>
      </c>
      <c r="O354" s="3">
        <v>120</v>
      </c>
      <c r="P354" s="3">
        <v>47</v>
      </c>
      <c r="Q354">
        <f>SUM([1]!Table1[[#This Row],[Sales]])</f>
        <v>138</v>
      </c>
      <c r="R354">
        <f>SUM([1]!Table1[[#This Row],[Profit]])</f>
        <v>32</v>
      </c>
      <c r="S354" s="7">
        <f t="shared" si="40"/>
        <v>0.2318840579710145</v>
      </c>
      <c r="T354">
        <f t="shared" si="41"/>
        <v>19</v>
      </c>
      <c r="U354">
        <f t="shared" si="42"/>
        <v>18</v>
      </c>
      <c r="V354">
        <f t="shared" si="43"/>
        <v>9</v>
      </c>
      <c r="W354">
        <f t="shared" si="44"/>
        <v>1.6842105263157894</v>
      </c>
      <c r="X354" t="str">
        <f t="shared" si="45"/>
        <v>Low Profit</v>
      </c>
      <c r="Y354">
        <f t="shared" si="46"/>
        <v>59</v>
      </c>
      <c r="Z354">
        <f t="shared" si="47"/>
        <v>138</v>
      </c>
    </row>
    <row r="355" spans="1:26">
      <c r="A355" s="5">
        <v>713</v>
      </c>
      <c r="B355" s="5">
        <v>59</v>
      </c>
      <c r="C355" s="6">
        <v>41214</v>
      </c>
      <c r="D355" s="5" t="s">
        <v>16</v>
      </c>
      <c r="E355" s="5" t="s">
        <v>23</v>
      </c>
      <c r="F355" s="5">
        <v>19</v>
      </c>
      <c r="G355" s="5" t="s">
        <v>18</v>
      </c>
      <c r="H355" s="5" t="s">
        <v>19</v>
      </c>
      <c r="I355" s="5" t="s">
        <v>50</v>
      </c>
      <c r="J355" s="5">
        <v>32</v>
      </c>
      <c r="K355" s="5">
        <v>138</v>
      </c>
      <c r="L355" s="5" t="s">
        <v>24</v>
      </c>
      <c r="M355" s="5">
        <v>50</v>
      </c>
      <c r="N355" s="5">
        <v>40</v>
      </c>
      <c r="O355" s="5">
        <v>120</v>
      </c>
      <c r="P355" s="5">
        <v>47</v>
      </c>
      <c r="Q355">
        <f>SUM([1]!Table1[[#This Row],[Sales]])</f>
        <v>138</v>
      </c>
      <c r="R355">
        <f>SUM([1]!Table1[[#This Row],[Profit]])</f>
        <v>32</v>
      </c>
      <c r="S355" s="7">
        <f t="shared" si="40"/>
        <v>0.2318840579710145</v>
      </c>
      <c r="T355">
        <f t="shared" si="41"/>
        <v>19</v>
      </c>
      <c r="U355">
        <f t="shared" si="42"/>
        <v>18</v>
      </c>
      <c r="V355">
        <f t="shared" si="43"/>
        <v>9</v>
      </c>
      <c r="W355">
        <f t="shared" si="44"/>
        <v>1.6842105263157894</v>
      </c>
      <c r="X355" t="str">
        <f t="shared" si="45"/>
        <v>Low Profit</v>
      </c>
      <c r="Y355">
        <f t="shared" si="46"/>
        <v>59</v>
      </c>
      <c r="Z355">
        <f t="shared" si="47"/>
        <v>138</v>
      </c>
    </row>
    <row r="356" spans="1:26">
      <c r="A356" s="3">
        <v>718</v>
      </c>
      <c r="B356" s="3">
        <v>50</v>
      </c>
      <c r="C356" s="4">
        <v>41214</v>
      </c>
      <c r="D356" s="3" t="s">
        <v>16</v>
      </c>
      <c r="E356" s="3" t="s">
        <v>25</v>
      </c>
      <c r="F356" s="3">
        <v>14</v>
      </c>
      <c r="G356" s="3" t="s">
        <v>18</v>
      </c>
      <c r="H356" s="3" t="s">
        <v>26</v>
      </c>
      <c r="I356" s="3" t="s">
        <v>30</v>
      </c>
      <c r="J356" s="3">
        <v>47</v>
      </c>
      <c r="K356" s="3">
        <v>123</v>
      </c>
      <c r="L356" s="3" t="s">
        <v>60</v>
      </c>
      <c r="M356" s="3">
        <v>50</v>
      </c>
      <c r="N356" s="3">
        <v>50</v>
      </c>
      <c r="O356" s="3">
        <v>120</v>
      </c>
      <c r="P356" s="3">
        <v>26</v>
      </c>
      <c r="Q356">
        <f>SUM([1]!Table1[[#This Row],[Sales]])</f>
        <v>123</v>
      </c>
      <c r="R356">
        <f>SUM([1]!Table1[[#This Row],[Profit]])</f>
        <v>47</v>
      </c>
      <c r="S356" s="7">
        <f t="shared" si="40"/>
        <v>0.38211382113821141</v>
      </c>
      <c r="T356">
        <f t="shared" si="41"/>
        <v>14</v>
      </c>
      <c r="U356">
        <f t="shared" si="42"/>
        <v>3</v>
      </c>
      <c r="V356">
        <f t="shared" si="43"/>
        <v>0</v>
      </c>
      <c r="W356">
        <f t="shared" si="44"/>
        <v>3.3571428571428572</v>
      </c>
      <c r="X356" t="str">
        <f t="shared" si="45"/>
        <v>Low Profit</v>
      </c>
      <c r="Y356">
        <f t="shared" si="46"/>
        <v>50</v>
      </c>
      <c r="Z356">
        <f t="shared" si="47"/>
        <v>123</v>
      </c>
    </row>
    <row r="357" spans="1:26">
      <c r="A357" s="5">
        <v>860</v>
      </c>
      <c r="B357" s="5">
        <v>53</v>
      </c>
      <c r="C357" s="6">
        <v>41214</v>
      </c>
      <c r="D357" s="5" t="s">
        <v>32</v>
      </c>
      <c r="E357" s="5" t="s">
        <v>25</v>
      </c>
      <c r="F357" s="5">
        <v>17</v>
      </c>
      <c r="G357" s="5" t="s">
        <v>33</v>
      </c>
      <c r="H357" s="5" t="s">
        <v>34</v>
      </c>
      <c r="I357" s="5" t="s">
        <v>35</v>
      </c>
      <c r="J357" s="5">
        <v>26</v>
      </c>
      <c r="K357" s="5">
        <v>124</v>
      </c>
      <c r="L357" s="5" t="s">
        <v>37</v>
      </c>
      <c r="M357" s="5">
        <v>50</v>
      </c>
      <c r="N357" s="5">
        <v>40</v>
      </c>
      <c r="O357" s="5">
        <v>120</v>
      </c>
      <c r="P357" s="5">
        <v>45</v>
      </c>
      <c r="Q357">
        <f>SUM([1]!Table1[[#This Row],[Sales]])</f>
        <v>124</v>
      </c>
      <c r="R357">
        <f>SUM([1]!Table1[[#This Row],[Profit]])</f>
        <v>26</v>
      </c>
      <c r="S357" s="7">
        <f t="shared" si="40"/>
        <v>0.20967741935483872</v>
      </c>
      <c r="T357">
        <f t="shared" si="41"/>
        <v>17</v>
      </c>
      <c r="U357">
        <f t="shared" si="42"/>
        <v>4</v>
      </c>
      <c r="V357">
        <f t="shared" si="43"/>
        <v>3</v>
      </c>
      <c r="W357">
        <f t="shared" si="44"/>
        <v>1.5294117647058822</v>
      </c>
      <c r="X357" t="str">
        <f t="shared" si="45"/>
        <v>Low Profit</v>
      </c>
      <c r="Y357">
        <f t="shared" si="46"/>
        <v>53</v>
      </c>
      <c r="Z357">
        <f t="shared" si="47"/>
        <v>124</v>
      </c>
    </row>
    <row r="358" spans="1:26">
      <c r="A358" s="3">
        <v>435</v>
      </c>
      <c r="B358" s="3">
        <v>54</v>
      </c>
      <c r="C358" s="4">
        <v>41214</v>
      </c>
      <c r="D358" s="3" t="s">
        <v>32</v>
      </c>
      <c r="E358" s="3" t="s">
        <v>29</v>
      </c>
      <c r="F358" s="3">
        <v>15</v>
      </c>
      <c r="G358" s="3" t="s">
        <v>33</v>
      </c>
      <c r="H358" s="3" t="s">
        <v>34</v>
      </c>
      <c r="I358" s="3" t="s">
        <v>35</v>
      </c>
      <c r="J358" s="3">
        <v>52</v>
      </c>
      <c r="K358" s="3">
        <v>132</v>
      </c>
      <c r="L358" s="3" t="s">
        <v>42</v>
      </c>
      <c r="M358" s="3">
        <v>50</v>
      </c>
      <c r="N358" s="3">
        <v>50</v>
      </c>
      <c r="O358" s="3">
        <v>120</v>
      </c>
      <c r="P358" s="3">
        <v>26</v>
      </c>
      <c r="Q358">
        <f>SUM([1]!Table1[[#This Row],[Sales]])</f>
        <v>132</v>
      </c>
      <c r="R358">
        <f>SUM([1]!Table1[[#This Row],[Profit]])</f>
        <v>52</v>
      </c>
      <c r="S358" s="7">
        <f t="shared" si="40"/>
        <v>0.39393939393939392</v>
      </c>
      <c r="T358">
        <f t="shared" si="41"/>
        <v>15</v>
      </c>
      <c r="U358">
        <f t="shared" si="42"/>
        <v>12</v>
      </c>
      <c r="V358">
        <f t="shared" si="43"/>
        <v>4</v>
      </c>
      <c r="W358">
        <f t="shared" si="44"/>
        <v>3.4666666666666668</v>
      </c>
      <c r="X358" t="str">
        <f t="shared" si="45"/>
        <v>Low Profit</v>
      </c>
      <c r="Y358">
        <f t="shared" si="46"/>
        <v>54</v>
      </c>
      <c r="Z358">
        <f t="shared" si="47"/>
        <v>132</v>
      </c>
    </row>
    <row r="359" spans="1:26">
      <c r="A359" s="5">
        <v>505</v>
      </c>
      <c r="B359" s="5">
        <v>43</v>
      </c>
      <c r="C359" s="6">
        <v>41214</v>
      </c>
      <c r="D359" s="5" t="s">
        <v>32</v>
      </c>
      <c r="E359" s="5" t="s">
        <v>23</v>
      </c>
      <c r="F359" s="5">
        <v>14</v>
      </c>
      <c r="G359" s="5" t="s">
        <v>33</v>
      </c>
      <c r="H359" s="5" t="s">
        <v>38</v>
      </c>
      <c r="I359" s="5" t="s">
        <v>45</v>
      </c>
      <c r="J359" s="5">
        <v>20</v>
      </c>
      <c r="K359" s="5">
        <v>109</v>
      </c>
      <c r="L359" s="5" t="s">
        <v>57</v>
      </c>
      <c r="M359" s="5">
        <v>50</v>
      </c>
      <c r="N359" s="5">
        <v>30</v>
      </c>
      <c r="O359" s="5">
        <v>120</v>
      </c>
      <c r="P359" s="5">
        <v>46</v>
      </c>
      <c r="Q359">
        <f>SUM([1]!Table1[[#This Row],[Sales]])</f>
        <v>109</v>
      </c>
      <c r="R359">
        <f>SUM([1]!Table1[[#This Row],[Profit]])</f>
        <v>20</v>
      </c>
      <c r="S359" s="7">
        <f t="shared" si="40"/>
        <v>0.1834862385321101</v>
      </c>
      <c r="T359">
        <f t="shared" si="41"/>
        <v>14</v>
      </c>
      <c r="U359">
        <f t="shared" si="42"/>
        <v>-11</v>
      </c>
      <c r="V359">
        <f t="shared" si="43"/>
        <v>-7</v>
      </c>
      <c r="W359">
        <f t="shared" si="44"/>
        <v>1.4285714285714286</v>
      </c>
      <c r="X359" t="str">
        <f t="shared" si="45"/>
        <v>Low Profit</v>
      </c>
      <c r="Y359">
        <f t="shared" si="46"/>
        <v>43</v>
      </c>
      <c r="Z359">
        <f t="shared" si="47"/>
        <v>109</v>
      </c>
    </row>
    <row r="360" spans="1:26">
      <c r="A360" s="3">
        <v>504</v>
      </c>
      <c r="B360" s="3">
        <v>61</v>
      </c>
      <c r="C360" s="4">
        <v>41214</v>
      </c>
      <c r="D360" s="3" t="s">
        <v>32</v>
      </c>
      <c r="E360" s="3" t="s">
        <v>23</v>
      </c>
      <c r="F360" s="3">
        <v>55</v>
      </c>
      <c r="G360" s="3" t="s">
        <v>33</v>
      </c>
      <c r="H360" s="3" t="s">
        <v>34</v>
      </c>
      <c r="I360" s="3" t="s">
        <v>47</v>
      </c>
      <c r="J360" s="3">
        <v>1</v>
      </c>
      <c r="K360" s="3">
        <v>147</v>
      </c>
      <c r="L360" s="3" t="s">
        <v>48</v>
      </c>
      <c r="M360" s="3">
        <v>40</v>
      </c>
      <c r="N360" s="3">
        <v>10</v>
      </c>
      <c r="O360" s="3">
        <v>110</v>
      </c>
      <c r="P360" s="3">
        <v>85</v>
      </c>
      <c r="Q360">
        <f>SUM([1]!Table1[[#This Row],[Sales]])</f>
        <v>147</v>
      </c>
      <c r="R360">
        <f>SUM([1]!Table1[[#This Row],[Profit]])</f>
        <v>1</v>
      </c>
      <c r="S360" s="7">
        <f t="shared" si="40"/>
        <v>6.8027210884353739E-3</v>
      </c>
      <c r="T360">
        <f t="shared" si="41"/>
        <v>55</v>
      </c>
      <c r="U360">
        <f t="shared" si="42"/>
        <v>37</v>
      </c>
      <c r="V360">
        <f t="shared" si="43"/>
        <v>21</v>
      </c>
      <c r="W360">
        <f t="shared" si="44"/>
        <v>1.8181818181818181E-2</v>
      </c>
      <c r="X360" t="str">
        <f t="shared" si="45"/>
        <v>Low Profit</v>
      </c>
      <c r="Y360">
        <f t="shared" si="46"/>
        <v>61</v>
      </c>
      <c r="Z360">
        <f t="shared" si="47"/>
        <v>147</v>
      </c>
    </row>
    <row r="361" spans="1:26">
      <c r="A361" s="5">
        <v>541</v>
      </c>
      <c r="B361" s="5">
        <v>55</v>
      </c>
      <c r="C361" s="6">
        <v>41214</v>
      </c>
      <c r="D361" s="5" t="s">
        <v>32</v>
      </c>
      <c r="E361" s="5" t="s">
        <v>29</v>
      </c>
      <c r="F361" s="5">
        <v>20</v>
      </c>
      <c r="G361" s="5" t="s">
        <v>33</v>
      </c>
      <c r="H361" s="5" t="s">
        <v>34</v>
      </c>
      <c r="I361" s="5" t="s">
        <v>47</v>
      </c>
      <c r="J361" s="5">
        <v>16</v>
      </c>
      <c r="K361" s="5">
        <v>124</v>
      </c>
      <c r="L361" s="5" t="s">
        <v>49</v>
      </c>
      <c r="M361" s="5">
        <v>50</v>
      </c>
      <c r="N361" s="5">
        <v>30</v>
      </c>
      <c r="O361" s="5">
        <v>120</v>
      </c>
      <c r="P361" s="5">
        <v>53</v>
      </c>
      <c r="Q361">
        <f>SUM([1]!Table1[[#This Row],[Sales]])</f>
        <v>124</v>
      </c>
      <c r="R361">
        <f>SUM([1]!Table1[[#This Row],[Profit]])</f>
        <v>16</v>
      </c>
      <c r="S361" s="7">
        <f t="shared" si="40"/>
        <v>0.12903225806451613</v>
      </c>
      <c r="T361">
        <f t="shared" si="41"/>
        <v>20</v>
      </c>
      <c r="U361">
        <f t="shared" si="42"/>
        <v>4</v>
      </c>
      <c r="V361">
        <f t="shared" si="43"/>
        <v>5</v>
      </c>
      <c r="W361">
        <f t="shared" si="44"/>
        <v>0.8</v>
      </c>
      <c r="X361" t="str">
        <f t="shared" si="45"/>
        <v>Low Profit</v>
      </c>
      <c r="Y361">
        <f t="shared" si="46"/>
        <v>55</v>
      </c>
      <c r="Z361">
        <f t="shared" si="47"/>
        <v>124</v>
      </c>
    </row>
    <row r="362" spans="1:26">
      <c r="A362" s="3">
        <v>860</v>
      </c>
      <c r="B362" s="3">
        <v>82</v>
      </c>
      <c r="C362" s="4">
        <v>41214</v>
      </c>
      <c r="D362" s="3" t="s">
        <v>32</v>
      </c>
      <c r="E362" s="3" t="s">
        <v>25</v>
      </c>
      <c r="F362" s="3">
        <v>31</v>
      </c>
      <c r="G362" s="3" t="s">
        <v>18</v>
      </c>
      <c r="H362" s="3" t="s">
        <v>19</v>
      </c>
      <c r="I362" s="3" t="s">
        <v>20</v>
      </c>
      <c r="J362" s="3">
        <v>38</v>
      </c>
      <c r="K362" s="3">
        <v>184</v>
      </c>
      <c r="L362" s="3" t="s">
        <v>37</v>
      </c>
      <c r="M362" s="3">
        <v>60</v>
      </c>
      <c r="N362" s="3">
        <v>30</v>
      </c>
      <c r="O362" s="3">
        <v>130</v>
      </c>
      <c r="P362" s="3">
        <v>64</v>
      </c>
      <c r="Q362">
        <f>SUM([1]!Table1[[#This Row],[Sales]])</f>
        <v>184</v>
      </c>
      <c r="R362">
        <f>SUM([1]!Table1[[#This Row],[Profit]])</f>
        <v>38</v>
      </c>
      <c r="S362" s="7">
        <f t="shared" si="40"/>
        <v>0.20652173913043478</v>
      </c>
      <c r="T362">
        <f t="shared" si="41"/>
        <v>31</v>
      </c>
      <c r="U362">
        <f t="shared" si="42"/>
        <v>54</v>
      </c>
      <c r="V362">
        <f t="shared" si="43"/>
        <v>22</v>
      </c>
      <c r="W362">
        <f t="shared" si="44"/>
        <v>1.2258064516129032</v>
      </c>
      <c r="X362" t="str">
        <f t="shared" si="45"/>
        <v>Low Profit</v>
      </c>
      <c r="Y362">
        <f t="shared" si="46"/>
        <v>82</v>
      </c>
      <c r="Z362">
        <f t="shared" si="47"/>
        <v>184</v>
      </c>
    </row>
    <row r="363" spans="1:26">
      <c r="A363" s="5">
        <v>715</v>
      </c>
      <c r="B363" s="5">
        <v>61</v>
      </c>
      <c r="C363" s="6">
        <v>41214</v>
      </c>
      <c r="D363" s="5" t="s">
        <v>32</v>
      </c>
      <c r="E363" s="5" t="s">
        <v>17</v>
      </c>
      <c r="F363" s="5">
        <v>55</v>
      </c>
      <c r="G363" s="5" t="s">
        <v>18</v>
      </c>
      <c r="H363" s="5" t="s">
        <v>26</v>
      </c>
      <c r="I363" s="5" t="s">
        <v>54</v>
      </c>
      <c r="J363" s="5">
        <v>2</v>
      </c>
      <c r="K363" s="5">
        <v>147</v>
      </c>
      <c r="L363" s="5" t="s">
        <v>52</v>
      </c>
      <c r="M363" s="5">
        <v>50</v>
      </c>
      <c r="N363" s="5">
        <v>0</v>
      </c>
      <c r="O363" s="5">
        <v>120</v>
      </c>
      <c r="P363" s="5">
        <v>84</v>
      </c>
      <c r="Q363">
        <f>SUM([1]!Table1[[#This Row],[Sales]])</f>
        <v>147</v>
      </c>
      <c r="R363">
        <f>SUM([1]!Table1[[#This Row],[Profit]])</f>
        <v>2</v>
      </c>
      <c r="S363" s="7">
        <f t="shared" si="40"/>
        <v>1.3605442176870748E-2</v>
      </c>
      <c r="T363">
        <f t="shared" si="41"/>
        <v>55</v>
      </c>
      <c r="U363">
        <f t="shared" si="42"/>
        <v>27</v>
      </c>
      <c r="V363">
        <f t="shared" si="43"/>
        <v>11</v>
      </c>
      <c r="W363">
        <f t="shared" si="44"/>
        <v>3.6363636363636362E-2</v>
      </c>
      <c r="X363" t="str">
        <f t="shared" si="45"/>
        <v>Low Profit</v>
      </c>
      <c r="Y363">
        <f t="shared" si="46"/>
        <v>61</v>
      </c>
      <c r="Z363">
        <f t="shared" si="47"/>
        <v>147</v>
      </c>
    </row>
    <row r="364" spans="1:26">
      <c r="A364" s="3">
        <v>425</v>
      </c>
      <c r="B364" s="3">
        <v>53</v>
      </c>
      <c r="C364" s="4">
        <v>41214</v>
      </c>
      <c r="D364" s="3" t="s">
        <v>32</v>
      </c>
      <c r="E364" s="3" t="s">
        <v>29</v>
      </c>
      <c r="F364" s="3">
        <v>16</v>
      </c>
      <c r="G364" s="3" t="s">
        <v>18</v>
      </c>
      <c r="H364" s="3" t="s">
        <v>26</v>
      </c>
      <c r="I364" s="3" t="s">
        <v>27</v>
      </c>
      <c r="J364" s="3">
        <v>49</v>
      </c>
      <c r="K364" s="3">
        <v>141</v>
      </c>
      <c r="L364" s="3" t="s">
        <v>53</v>
      </c>
      <c r="M364" s="3">
        <v>30</v>
      </c>
      <c r="N364" s="3">
        <v>50</v>
      </c>
      <c r="O364" s="3">
        <v>100</v>
      </c>
      <c r="P364" s="3">
        <v>39</v>
      </c>
      <c r="Q364">
        <f>SUM([1]!Table1[[#This Row],[Sales]])</f>
        <v>141</v>
      </c>
      <c r="R364">
        <f>SUM([1]!Table1[[#This Row],[Profit]])</f>
        <v>49</v>
      </c>
      <c r="S364" s="7">
        <f t="shared" si="40"/>
        <v>0.3475177304964539</v>
      </c>
      <c r="T364">
        <f t="shared" si="41"/>
        <v>16</v>
      </c>
      <c r="U364">
        <f t="shared" si="42"/>
        <v>41</v>
      </c>
      <c r="V364">
        <f t="shared" si="43"/>
        <v>23</v>
      </c>
      <c r="W364">
        <f t="shared" si="44"/>
        <v>3.0625</v>
      </c>
      <c r="X364" t="str">
        <f t="shared" si="45"/>
        <v>Low Profit</v>
      </c>
      <c r="Y364">
        <f t="shared" si="46"/>
        <v>53</v>
      </c>
      <c r="Z364">
        <f t="shared" si="47"/>
        <v>141</v>
      </c>
    </row>
    <row r="365" spans="1:26">
      <c r="A365" s="5">
        <v>419</v>
      </c>
      <c r="B365" s="5">
        <v>47</v>
      </c>
      <c r="C365" s="6">
        <v>41244</v>
      </c>
      <c r="D365" s="5" t="s">
        <v>16</v>
      </c>
      <c r="E365" s="5" t="s">
        <v>17</v>
      </c>
      <c r="F365" s="5">
        <v>42</v>
      </c>
      <c r="G365" s="5" t="s">
        <v>33</v>
      </c>
      <c r="H365" s="5" t="s">
        <v>38</v>
      </c>
      <c r="I365" s="5" t="s">
        <v>39</v>
      </c>
      <c r="J365" s="5">
        <v>-6</v>
      </c>
      <c r="K365" s="5">
        <v>112</v>
      </c>
      <c r="L365" s="5" t="s">
        <v>58</v>
      </c>
      <c r="M365" s="5">
        <v>40</v>
      </c>
      <c r="N365" s="5">
        <v>10</v>
      </c>
      <c r="O365" s="5">
        <v>110</v>
      </c>
      <c r="P365" s="5">
        <v>71</v>
      </c>
      <c r="Q365">
        <f>SUM([1]!Table1[[#This Row],[Sales]])</f>
        <v>112</v>
      </c>
      <c r="R365">
        <f>SUM([1]!Table1[[#This Row],[Profit]])</f>
        <v>-6</v>
      </c>
      <c r="S365" s="7">
        <f t="shared" si="40"/>
        <v>-5.3571428571428568E-2</v>
      </c>
      <c r="T365">
        <f t="shared" si="41"/>
        <v>42</v>
      </c>
      <c r="U365">
        <f t="shared" si="42"/>
        <v>2</v>
      </c>
      <c r="V365">
        <f t="shared" si="43"/>
        <v>7</v>
      </c>
      <c r="W365">
        <f t="shared" si="44"/>
        <v>-0.14285714285714285</v>
      </c>
      <c r="X365" t="str">
        <f t="shared" si="45"/>
        <v>Low Profit</v>
      </c>
      <c r="Y365">
        <f t="shared" si="46"/>
        <v>47</v>
      </c>
      <c r="Z365">
        <f t="shared" si="47"/>
        <v>112</v>
      </c>
    </row>
    <row r="366" spans="1:26">
      <c r="A366" s="3">
        <v>513</v>
      </c>
      <c r="B366" s="3">
        <v>54</v>
      </c>
      <c r="C366" s="4">
        <v>41244</v>
      </c>
      <c r="D366" s="3" t="s">
        <v>16</v>
      </c>
      <c r="E366" s="3" t="s">
        <v>17</v>
      </c>
      <c r="F366" s="3">
        <v>17</v>
      </c>
      <c r="G366" s="3" t="s">
        <v>33</v>
      </c>
      <c r="H366" s="3" t="s">
        <v>38</v>
      </c>
      <c r="I366" s="3" t="s">
        <v>43</v>
      </c>
      <c r="J366" s="3">
        <v>29</v>
      </c>
      <c r="K366" s="3">
        <v>127</v>
      </c>
      <c r="L366" s="3" t="s">
        <v>58</v>
      </c>
      <c r="M366" s="3">
        <v>50</v>
      </c>
      <c r="N366" s="3">
        <v>40</v>
      </c>
      <c r="O366" s="3">
        <v>120</v>
      </c>
      <c r="P366" s="3">
        <v>44</v>
      </c>
      <c r="Q366">
        <f>SUM([1]!Table1[[#This Row],[Sales]])</f>
        <v>127</v>
      </c>
      <c r="R366">
        <f>SUM([1]!Table1[[#This Row],[Profit]])</f>
        <v>29</v>
      </c>
      <c r="S366" s="7">
        <f t="shared" si="40"/>
        <v>0.2283464566929134</v>
      </c>
      <c r="T366">
        <f t="shared" si="41"/>
        <v>17</v>
      </c>
      <c r="U366">
        <f t="shared" si="42"/>
        <v>7</v>
      </c>
      <c r="V366">
        <f t="shared" si="43"/>
        <v>4</v>
      </c>
      <c r="W366">
        <f t="shared" si="44"/>
        <v>1.7058823529411764</v>
      </c>
      <c r="X366" t="str">
        <f t="shared" si="45"/>
        <v>Low Profit</v>
      </c>
      <c r="Y366">
        <f t="shared" si="46"/>
        <v>54</v>
      </c>
      <c r="Z366">
        <f t="shared" si="47"/>
        <v>127</v>
      </c>
    </row>
    <row r="367" spans="1:26">
      <c r="A367" s="5">
        <v>512</v>
      </c>
      <c r="B367" s="5">
        <v>67</v>
      </c>
      <c r="C367" s="6">
        <v>41244</v>
      </c>
      <c r="D367" s="5" t="s">
        <v>16</v>
      </c>
      <c r="E367" s="5" t="s">
        <v>23</v>
      </c>
      <c r="F367" s="5">
        <v>22</v>
      </c>
      <c r="G367" s="5" t="s">
        <v>33</v>
      </c>
      <c r="H367" s="5" t="s">
        <v>34</v>
      </c>
      <c r="I367" s="5" t="s">
        <v>47</v>
      </c>
      <c r="J367" s="5">
        <v>47</v>
      </c>
      <c r="K367" s="5">
        <v>168</v>
      </c>
      <c r="L367" s="5" t="s">
        <v>24</v>
      </c>
      <c r="M367" s="5">
        <v>50</v>
      </c>
      <c r="N367" s="5">
        <v>30</v>
      </c>
      <c r="O367" s="5">
        <v>120</v>
      </c>
      <c r="P367" s="5">
        <v>54</v>
      </c>
      <c r="Q367">
        <f>SUM([1]!Table1[[#This Row],[Sales]])</f>
        <v>168</v>
      </c>
      <c r="R367">
        <f>SUM([1]!Table1[[#This Row],[Profit]])</f>
        <v>47</v>
      </c>
      <c r="S367" s="7">
        <f t="shared" si="40"/>
        <v>0.27976190476190477</v>
      </c>
      <c r="T367">
        <f t="shared" si="41"/>
        <v>22</v>
      </c>
      <c r="U367">
        <f t="shared" si="42"/>
        <v>48</v>
      </c>
      <c r="V367">
        <f t="shared" si="43"/>
        <v>17</v>
      </c>
      <c r="W367">
        <f t="shared" si="44"/>
        <v>2.1363636363636362</v>
      </c>
      <c r="X367" t="str">
        <f t="shared" si="45"/>
        <v>Low Profit</v>
      </c>
      <c r="Y367">
        <f t="shared" si="46"/>
        <v>67</v>
      </c>
      <c r="Z367">
        <f t="shared" si="47"/>
        <v>168</v>
      </c>
    </row>
    <row r="368" spans="1:26">
      <c r="A368" s="3">
        <v>309</v>
      </c>
      <c r="B368" s="3">
        <v>54</v>
      </c>
      <c r="C368" s="4">
        <v>41244</v>
      </c>
      <c r="D368" s="3" t="s">
        <v>16</v>
      </c>
      <c r="E368" s="3" t="s">
        <v>17</v>
      </c>
      <c r="F368" s="3">
        <v>15</v>
      </c>
      <c r="G368" s="3" t="s">
        <v>18</v>
      </c>
      <c r="H368" s="3" t="s">
        <v>26</v>
      </c>
      <c r="I368" s="3" t="s">
        <v>27</v>
      </c>
      <c r="J368" s="3">
        <v>53</v>
      </c>
      <c r="K368" s="3">
        <v>133</v>
      </c>
      <c r="L368" s="3" t="s">
        <v>56</v>
      </c>
      <c r="M368" s="3">
        <v>40</v>
      </c>
      <c r="N368" s="3">
        <v>50</v>
      </c>
      <c r="O368" s="3">
        <v>110</v>
      </c>
      <c r="P368" s="3">
        <v>26</v>
      </c>
      <c r="Q368">
        <f>SUM([1]!Table1[[#This Row],[Sales]])</f>
        <v>133</v>
      </c>
      <c r="R368">
        <f>SUM([1]!Table1[[#This Row],[Profit]])</f>
        <v>53</v>
      </c>
      <c r="S368" s="7">
        <f t="shared" si="40"/>
        <v>0.39849624060150374</v>
      </c>
      <c r="T368">
        <f t="shared" si="41"/>
        <v>15</v>
      </c>
      <c r="U368">
        <f t="shared" si="42"/>
        <v>23</v>
      </c>
      <c r="V368">
        <f t="shared" si="43"/>
        <v>14</v>
      </c>
      <c r="W368">
        <f t="shared" si="44"/>
        <v>3.5333333333333332</v>
      </c>
      <c r="X368" t="str">
        <f t="shared" si="45"/>
        <v>Low Profit</v>
      </c>
      <c r="Y368">
        <f t="shared" si="46"/>
        <v>54</v>
      </c>
      <c r="Z368">
        <f t="shared" si="47"/>
        <v>133</v>
      </c>
    </row>
    <row r="369" spans="1:26">
      <c r="A369" s="5">
        <v>816</v>
      </c>
      <c r="B369" s="5">
        <v>63</v>
      </c>
      <c r="C369" s="6">
        <v>41244</v>
      </c>
      <c r="D369" s="5" t="s">
        <v>32</v>
      </c>
      <c r="E369" s="5" t="s">
        <v>17</v>
      </c>
      <c r="F369" s="5">
        <v>19</v>
      </c>
      <c r="G369" s="5" t="s">
        <v>33</v>
      </c>
      <c r="H369" s="5" t="s">
        <v>38</v>
      </c>
      <c r="I369" s="5" t="s">
        <v>39</v>
      </c>
      <c r="J369" s="5">
        <v>36</v>
      </c>
      <c r="K369" s="5">
        <v>139</v>
      </c>
      <c r="L369" s="5" t="s">
        <v>51</v>
      </c>
      <c r="M369" s="5">
        <v>60</v>
      </c>
      <c r="N369" s="5">
        <v>40</v>
      </c>
      <c r="O369" s="5">
        <v>130</v>
      </c>
      <c r="P369" s="5">
        <v>40</v>
      </c>
      <c r="Q369">
        <f>SUM([1]!Table1[[#This Row],[Sales]])</f>
        <v>139</v>
      </c>
      <c r="R369">
        <f>SUM([1]!Table1[[#This Row],[Profit]])</f>
        <v>36</v>
      </c>
      <c r="S369" s="7">
        <f t="shared" si="40"/>
        <v>0.25899280575539568</v>
      </c>
      <c r="T369">
        <f t="shared" si="41"/>
        <v>19</v>
      </c>
      <c r="U369">
        <f t="shared" si="42"/>
        <v>9</v>
      </c>
      <c r="V369">
        <f t="shared" si="43"/>
        <v>3</v>
      </c>
      <c r="W369">
        <f t="shared" si="44"/>
        <v>1.8947368421052631</v>
      </c>
      <c r="X369" t="str">
        <f t="shared" si="45"/>
        <v>Low Profit</v>
      </c>
      <c r="Y369">
        <f t="shared" si="46"/>
        <v>63</v>
      </c>
      <c r="Z369">
        <f t="shared" si="47"/>
        <v>139</v>
      </c>
    </row>
    <row r="370" spans="1:26">
      <c r="A370" s="3">
        <v>959</v>
      </c>
      <c r="B370" s="3">
        <v>49</v>
      </c>
      <c r="C370" s="4">
        <v>41244</v>
      </c>
      <c r="D370" s="3" t="s">
        <v>32</v>
      </c>
      <c r="E370" s="3" t="s">
        <v>25</v>
      </c>
      <c r="F370" s="3">
        <v>16</v>
      </c>
      <c r="G370" s="3" t="s">
        <v>33</v>
      </c>
      <c r="H370" s="3" t="s">
        <v>34</v>
      </c>
      <c r="I370" s="3" t="s">
        <v>35</v>
      </c>
      <c r="J370" s="3">
        <v>21</v>
      </c>
      <c r="K370" s="3">
        <v>114</v>
      </c>
      <c r="L370" s="3" t="s">
        <v>37</v>
      </c>
      <c r="M370" s="3">
        <v>40</v>
      </c>
      <c r="N370" s="3">
        <v>40</v>
      </c>
      <c r="O370" s="3">
        <v>110</v>
      </c>
      <c r="P370" s="3">
        <v>44</v>
      </c>
      <c r="Q370">
        <f>SUM([1]!Table1[[#This Row],[Sales]])</f>
        <v>114</v>
      </c>
      <c r="R370">
        <f>SUM([1]!Table1[[#This Row],[Profit]])</f>
        <v>21</v>
      </c>
      <c r="S370" s="7">
        <f t="shared" si="40"/>
        <v>0.18421052631578946</v>
      </c>
      <c r="T370">
        <f t="shared" si="41"/>
        <v>16</v>
      </c>
      <c r="U370">
        <f t="shared" si="42"/>
        <v>4</v>
      </c>
      <c r="V370">
        <f t="shared" si="43"/>
        <v>9</v>
      </c>
      <c r="W370">
        <f t="shared" si="44"/>
        <v>1.3125</v>
      </c>
      <c r="X370" t="str">
        <f t="shared" si="45"/>
        <v>Low Profit</v>
      </c>
      <c r="Y370">
        <f t="shared" si="46"/>
        <v>49</v>
      </c>
      <c r="Z370">
        <f t="shared" si="47"/>
        <v>114</v>
      </c>
    </row>
    <row r="371" spans="1:26">
      <c r="A371" s="5">
        <v>435</v>
      </c>
      <c r="B371" s="5">
        <v>50</v>
      </c>
      <c r="C371" s="6">
        <v>41244</v>
      </c>
      <c r="D371" s="5" t="s">
        <v>32</v>
      </c>
      <c r="E371" s="5" t="s">
        <v>29</v>
      </c>
      <c r="F371" s="5">
        <v>14</v>
      </c>
      <c r="G371" s="5" t="s">
        <v>33</v>
      </c>
      <c r="H371" s="5" t="s">
        <v>34</v>
      </c>
      <c r="I371" s="5" t="s">
        <v>35</v>
      </c>
      <c r="J371" s="5">
        <v>47</v>
      </c>
      <c r="K371" s="5">
        <v>123</v>
      </c>
      <c r="L371" s="5" t="s">
        <v>42</v>
      </c>
      <c r="M371" s="5">
        <v>40</v>
      </c>
      <c r="N371" s="5">
        <v>50</v>
      </c>
      <c r="O371" s="5">
        <v>110</v>
      </c>
      <c r="P371" s="5">
        <v>26</v>
      </c>
      <c r="Q371">
        <f>SUM([1]!Table1[[#This Row],[Sales]])</f>
        <v>123</v>
      </c>
      <c r="R371">
        <f>SUM([1]!Table1[[#This Row],[Profit]])</f>
        <v>47</v>
      </c>
      <c r="S371" s="7">
        <f t="shared" si="40"/>
        <v>0.38211382113821141</v>
      </c>
      <c r="T371">
        <f t="shared" si="41"/>
        <v>14</v>
      </c>
      <c r="U371">
        <f t="shared" si="42"/>
        <v>13</v>
      </c>
      <c r="V371">
        <f t="shared" si="43"/>
        <v>10</v>
      </c>
      <c r="W371">
        <f t="shared" si="44"/>
        <v>3.3571428571428572</v>
      </c>
      <c r="X371" t="str">
        <f t="shared" si="45"/>
        <v>Low Profit</v>
      </c>
      <c r="Y371">
        <f t="shared" si="46"/>
        <v>50</v>
      </c>
      <c r="Z371">
        <f t="shared" si="47"/>
        <v>123</v>
      </c>
    </row>
    <row r="372" spans="1:26">
      <c r="A372" s="3">
        <v>603</v>
      </c>
      <c r="B372" s="3">
        <v>52</v>
      </c>
      <c r="C372" s="4">
        <v>41244</v>
      </c>
      <c r="D372" s="3" t="s">
        <v>32</v>
      </c>
      <c r="E372" s="3" t="s">
        <v>25</v>
      </c>
      <c r="F372" s="3">
        <v>16</v>
      </c>
      <c r="G372" s="3" t="s">
        <v>33</v>
      </c>
      <c r="H372" s="3" t="s">
        <v>38</v>
      </c>
      <c r="I372" s="3" t="s">
        <v>43</v>
      </c>
      <c r="J372" s="3">
        <v>37</v>
      </c>
      <c r="K372" s="3">
        <v>127</v>
      </c>
      <c r="L372" s="3" t="s">
        <v>44</v>
      </c>
      <c r="M372" s="3">
        <v>40</v>
      </c>
      <c r="N372" s="3">
        <v>50</v>
      </c>
      <c r="O372" s="3">
        <v>110</v>
      </c>
      <c r="P372" s="3">
        <v>38</v>
      </c>
      <c r="Q372">
        <f>SUM([1]!Table1[[#This Row],[Sales]])</f>
        <v>127</v>
      </c>
      <c r="R372">
        <f>SUM([1]!Table1[[#This Row],[Profit]])</f>
        <v>37</v>
      </c>
      <c r="S372" s="7">
        <f t="shared" si="40"/>
        <v>0.29133858267716534</v>
      </c>
      <c r="T372">
        <f t="shared" si="41"/>
        <v>16</v>
      </c>
      <c r="U372">
        <f t="shared" si="42"/>
        <v>17</v>
      </c>
      <c r="V372">
        <f t="shared" si="43"/>
        <v>12</v>
      </c>
      <c r="W372">
        <f t="shared" si="44"/>
        <v>2.3125</v>
      </c>
      <c r="X372" t="str">
        <f t="shared" si="45"/>
        <v>Low Profit</v>
      </c>
      <c r="Y372">
        <f t="shared" si="46"/>
        <v>52</v>
      </c>
      <c r="Z372">
        <f t="shared" si="47"/>
        <v>127</v>
      </c>
    </row>
    <row r="373" spans="1:26">
      <c r="A373" s="5">
        <v>475</v>
      </c>
      <c r="B373" s="5">
        <v>55</v>
      </c>
      <c r="C373" s="6">
        <v>41244</v>
      </c>
      <c r="D373" s="5" t="s">
        <v>32</v>
      </c>
      <c r="E373" s="5" t="s">
        <v>25</v>
      </c>
      <c r="F373" s="5">
        <v>49</v>
      </c>
      <c r="G373" s="5" t="s">
        <v>33</v>
      </c>
      <c r="H373" s="5" t="s">
        <v>34</v>
      </c>
      <c r="I373" s="5" t="s">
        <v>46</v>
      </c>
      <c r="J373" s="5">
        <v>-2</v>
      </c>
      <c r="K373" s="5">
        <v>131</v>
      </c>
      <c r="L373" s="5" t="s">
        <v>37</v>
      </c>
      <c r="M373" s="5">
        <v>50</v>
      </c>
      <c r="N373" s="5">
        <v>10</v>
      </c>
      <c r="O373" s="5">
        <v>120</v>
      </c>
      <c r="P373" s="5">
        <v>78</v>
      </c>
      <c r="Q373">
        <f>SUM([1]!Table1[[#This Row],[Sales]])</f>
        <v>131</v>
      </c>
      <c r="R373">
        <f>SUM([1]!Table1[[#This Row],[Profit]])</f>
        <v>-2</v>
      </c>
      <c r="S373" s="7">
        <f t="shared" si="40"/>
        <v>-1.5267175572519083E-2</v>
      </c>
      <c r="T373">
        <f t="shared" si="41"/>
        <v>49</v>
      </c>
      <c r="U373">
        <f t="shared" si="42"/>
        <v>11</v>
      </c>
      <c r="V373">
        <f t="shared" si="43"/>
        <v>5</v>
      </c>
      <c r="W373">
        <f t="shared" si="44"/>
        <v>-4.0816326530612242E-2</v>
      </c>
      <c r="X373" t="str">
        <f t="shared" si="45"/>
        <v>Low Profit</v>
      </c>
      <c r="Y373">
        <f t="shared" si="46"/>
        <v>55</v>
      </c>
      <c r="Z373">
        <f t="shared" si="47"/>
        <v>131</v>
      </c>
    </row>
    <row r="374" spans="1:26">
      <c r="A374" s="3">
        <v>603</v>
      </c>
      <c r="B374" s="3">
        <v>49</v>
      </c>
      <c r="C374" s="4">
        <v>41244</v>
      </c>
      <c r="D374" s="3" t="s">
        <v>32</v>
      </c>
      <c r="E374" s="3" t="s">
        <v>25</v>
      </c>
      <c r="F374" s="3">
        <v>44</v>
      </c>
      <c r="G374" s="3" t="s">
        <v>33</v>
      </c>
      <c r="H374" s="3" t="s">
        <v>34</v>
      </c>
      <c r="I374" s="3" t="s">
        <v>46</v>
      </c>
      <c r="J374" s="3">
        <v>-4</v>
      </c>
      <c r="K374" s="3">
        <v>118</v>
      </c>
      <c r="L374" s="3" t="s">
        <v>44</v>
      </c>
      <c r="M374" s="3">
        <v>40</v>
      </c>
      <c r="N374" s="3">
        <v>10</v>
      </c>
      <c r="O374" s="3">
        <v>110</v>
      </c>
      <c r="P374" s="3">
        <v>73</v>
      </c>
      <c r="Q374">
        <f>SUM([1]!Table1[[#This Row],[Sales]])</f>
        <v>118</v>
      </c>
      <c r="R374">
        <f>SUM([1]!Table1[[#This Row],[Profit]])</f>
        <v>-4</v>
      </c>
      <c r="S374" s="7">
        <f t="shared" si="40"/>
        <v>-3.3898305084745763E-2</v>
      </c>
      <c r="T374">
        <f t="shared" si="41"/>
        <v>44</v>
      </c>
      <c r="U374">
        <f t="shared" si="42"/>
        <v>8</v>
      </c>
      <c r="V374">
        <f t="shared" si="43"/>
        <v>9</v>
      </c>
      <c r="W374">
        <f t="shared" si="44"/>
        <v>-9.0909090909090912E-2</v>
      </c>
      <c r="X374" t="str">
        <f t="shared" si="45"/>
        <v>Low Profit</v>
      </c>
      <c r="Y374">
        <f t="shared" si="46"/>
        <v>49</v>
      </c>
      <c r="Z374">
        <f t="shared" si="47"/>
        <v>118</v>
      </c>
    </row>
    <row r="375" spans="1:26">
      <c r="A375" s="5">
        <v>503</v>
      </c>
      <c r="B375" s="5">
        <v>41</v>
      </c>
      <c r="C375" s="6">
        <v>41244</v>
      </c>
      <c r="D375" s="5" t="s">
        <v>32</v>
      </c>
      <c r="E375" s="5" t="s">
        <v>29</v>
      </c>
      <c r="F375" s="5">
        <v>13</v>
      </c>
      <c r="G375" s="5" t="s">
        <v>33</v>
      </c>
      <c r="H375" s="5" t="s">
        <v>38</v>
      </c>
      <c r="I375" s="5" t="s">
        <v>45</v>
      </c>
      <c r="J375" s="5">
        <v>1</v>
      </c>
      <c r="K375" s="5">
        <v>98</v>
      </c>
      <c r="L375" s="5" t="s">
        <v>49</v>
      </c>
      <c r="M375" s="5">
        <v>40</v>
      </c>
      <c r="N375" s="5">
        <v>20</v>
      </c>
      <c r="O375" s="5">
        <v>110</v>
      </c>
      <c r="P375" s="5">
        <v>56</v>
      </c>
      <c r="Q375">
        <f>SUM([1]!Table1[[#This Row],[Sales]])</f>
        <v>98</v>
      </c>
      <c r="R375">
        <f>SUM([1]!Table1[[#This Row],[Profit]])</f>
        <v>1</v>
      </c>
      <c r="S375" s="7">
        <f t="shared" si="40"/>
        <v>1.020408163265306E-2</v>
      </c>
      <c r="T375">
        <f t="shared" si="41"/>
        <v>13</v>
      </c>
      <c r="U375">
        <f t="shared" si="42"/>
        <v>-12</v>
      </c>
      <c r="V375">
        <f t="shared" si="43"/>
        <v>1</v>
      </c>
      <c r="W375">
        <f t="shared" si="44"/>
        <v>7.6923076923076927E-2</v>
      </c>
      <c r="X375" t="str">
        <f t="shared" si="45"/>
        <v>Low Profit</v>
      </c>
      <c r="Y375">
        <f t="shared" si="46"/>
        <v>41</v>
      </c>
      <c r="Z375">
        <f t="shared" si="47"/>
        <v>98</v>
      </c>
    </row>
    <row r="376" spans="1:26">
      <c r="A376" s="3">
        <v>503</v>
      </c>
      <c r="B376" s="3">
        <v>54</v>
      </c>
      <c r="C376" s="4">
        <v>41244</v>
      </c>
      <c r="D376" s="3" t="s">
        <v>32</v>
      </c>
      <c r="E376" s="3" t="s">
        <v>29</v>
      </c>
      <c r="F376" s="3">
        <v>17</v>
      </c>
      <c r="G376" s="3" t="s">
        <v>33</v>
      </c>
      <c r="H376" s="3" t="s">
        <v>34</v>
      </c>
      <c r="I376" s="3" t="s">
        <v>46</v>
      </c>
      <c r="J376" s="3">
        <v>28</v>
      </c>
      <c r="K376" s="3">
        <v>127</v>
      </c>
      <c r="L376" s="3" t="s">
        <v>49</v>
      </c>
      <c r="M376" s="3">
        <v>50</v>
      </c>
      <c r="N376" s="3">
        <v>40</v>
      </c>
      <c r="O376" s="3">
        <v>120</v>
      </c>
      <c r="P376" s="3">
        <v>45</v>
      </c>
      <c r="Q376">
        <f>SUM([1]!Table1[[#This Row],[Sales]])</f>
        <v>127</v>
      </c>
      <c r="R376">
        <f>SUM([1]!Table1[[#This Row],[Profit]])</f>
        <v>28</v>
      </c>
      <c r="S376" s="7">
        <f t="shared" si="40"/>
        <v>0.22047244094488189</v>
      </c>
      <c r="T376">
        <f t="shared" si="41"/>
        <v>17</v>
      </c>
      <c r="U376">
        <f t="shared" si="42"/>
        <v>7</v>
      </c>
      <c r="V376">
        <f t="shared" si="43"/>
        <v>4</v>
      </c>
      <c r="W376">
        <f t="shared" si="44"/>
        <v>1.6470588235294117</v>
      </c>
      <c r="X376" t="str">
        <f t="shared" si="45"/>
        <v>Low Profit</v>
      </c>
      <c r="Y376">
        <f t="shared" si="46"/>
        <v>54</v>
      </c>
      <c r="Z376">
        <f t="shared" si="47"/>
        <v>127</v>
      </c>
    </row>
    <row r="377" spans="1:26">
      <c r="A377" s="5">
        <v>405</v>
      </c>
      <c r="B377" s="5">
        <v>65</v>
      </c>
      <c r="C377" s="6">
        <v>41244</v>
      </c>
      <c r="D377" s="5" t="s">
        <v>32</v>
      </c>
      <c r="E377" s="5" t="s">
        <v>23</v>
      </c>
      <c r="F377" s="5">
        <v>24</v>
      </c>
      <c r="G377" s="5" t="s">
        <v>18</v>
      </c>
      <c r="H377" s="5" t="s">
        <v>19</v>
      </c>
      <c r="I377" s="5" t="s">
        <v>50</v>
      </c>
      <c r="J377" s="5">
        <v>22</v>
      </c>
      <c r="K377" s="5">
        <v>145</v>
      </c>
      <c r="L377" s="5" t="s">
        <v>40</v>
      </c>
      <c r="M377" s="5">
        <v>60</v>
      </c>
      <c r="N377" s="5">
        <v>20</v>
      </c>
      <c r="O377" s="5">
        <v>130</v>
      </c>
      <c r="P377" s="5">
        <v>58</v>
      </c>
      <c r="Q377">
        <f>SUM([1]!Table1[[#This Row],[Sales]])</f>
        <v>145</v>
      </c>
      <c r="R377">
        <f>SUM([1]!Table1[[#This Row],[Profit]])</f>
        <v>22</v>
      </c>
      <c r="S377" s="7">
        <f t="shared" si="40"/>
        <v>0.15172413793103448</v>
      </c>
      <c r="T377">
        <f t="shared" si="41"/>
        <v>24</v>
      </c>
      <c r="U377">
        <f t="shared" si="42"/>
        <v>15</v>
      </c>
      <c r="V377">
        <f t="shared" si="43"/>
        <v>5</v>
      </c>
      <c r="W377">
        <f t="shared" si="44"/>
        <v>0.91666666666666663</v>
      </c>
      <c r="X377" t="str">
        <f t="shared" si="45"/>
        <v>Low Profit</v>
      </c>
      <c r="Y377">
        <f t="shared" si="46"/>
        <v>65</v>
      </c>
      <c r="Z377">
        <f t="shared" si="47"/>
        <v>145</v>
      </c>
    </row>
    <row r="378" spans="1:26">
      <c r="A378" s="3">
        <v>435</v>
      </c>
      <c r="B378" s="3">
        <v>52</v>
      </c>
      <c r="C378" s="4">
        <v>41244</v>
      </c>
      <c r="D378" s="3" t="s">
        <v>32</v>
      </c>
      <c r="E378" s="3" t="s">
        <v>29</v>
      </c>
      <c r="F378" s="3">
        <v>16</v>
      </c>
      <c r="G378" s="3" t="s">
        <v>18</v>
      </c>
      <c r="H378" s="3" t="s">
        <v>19</v>
      </c>
      <c r="I378" s="3" t="s">
        <v>50</v>
      </c>
      <c r="J378" s="3">
        <v>36</v>
      </c>
      <c r="K378" s="3">
        <v>127</v>
      </c>
      <c r="L378" s="3" t="s">
        <v>42</v>
      </c>
      <c r="M378" s="3">
        <v>40</v>
      </c>
      <c r="N378" s="3">
        <v>40</v>
      </c>
      <c r="O378" s="3">
        <v>110</v>
      </c>
      <c r="P378" s="3">
        <v>39</v>
      </c>
      <c r="Q378">
        <f>SUM([1]!Table1[[#This Row],[Sales]])</f>
        <v>127</v>
      </c>
      <c r="R378">
        <f>SUM([1]!Table1[[#This Row],[Profit]])</f>
        <v>36</v>
      </c>
      <c r="S378" s="7">
        <f t="shared" si="40"/>
        <v>0.28346456692913385</v>
      </c>
      <c r="T378">
        <f t="shared" si="41"/>
        <v>16</v>
      </c>
      <c r="U378">
        <f t="shared" si="42"/>
        <v>17</v>
      </c>
      <c r="V378">
        <f t="shared" si="43"/>
        <v>12</v>
      </c>
      <c r="W378">
        <f t="shared" si="44"/>
        <v>2.25</v>
      </c>
      <c r="X378" t="str">
        <f t="shared" si="45"/>
        <v>Low Profit</v>
      </c>
      <c r="Y378">
        <f t="shared" si="46"/>
        <v>52</v>
      </c>
      <c r="Z378">
        <f t="shared" si="47"/>
        <v>127</v>
      </c>
    </row>
    <row r="379" spans="1:26">
      <c r="A379" s="5">
        <v>801</v>
      </c>
      <c r="B379" s="5">
        <v>48</v>
      </c>
      <c r="C379" s="6">
        <v>41244</v>
      </c>
      <c r="D379" s="5" t="s">
        <v>32</v>
      </c>
      <c r="E379" s="5" t="s">
        <v>29</v>
      </c>
      <c r="F379" s="5">
        <v>15</v>
      </c>
      <c r="G379" s="5" t="s">
        <v>18</v>
      </c>
      <c r="H379" s="5" t="s">
        <v>19</v>
      </c>
      <c r="I379" s="5" t="s">
        <v>20</v>
      </c>
      <c r="J379" s="5">
        <v>28</v>
      </c>
      <c r="K379" s="5">
        <v>122</v>
      </c>
      <c r="L379" s="5" t="s">
        <v>42</v>
      </c>
      <c r="M379" s="5">
        <v>40</v>
      </c>
      <c r="N379" s="5">
        <v>40</v>
      </c>
      <c r="O379" s="5">
        <v>110</v>
      </c>
      <c r="P379" s="5">
        <v>46</v>
      </c>
      <c r="Q379">
        <f>SUM([1]!Table1[[#This Row],[Sales]])</f>
        <v>122</v>
      </c>
      <c r="R379">
        <f>SUM([1]!Table1[[#This Row],[Profit]])</f>
        <v>28</v>
      </c>
      <c r="S379" s="7">
        <f t="shared" si="40"/>
        <v>0.22950819672131148</v>
      </c>
      <c r="T379">
        <f t="shared" si="41"/>
        <v>15</v>
      </c>
      <c r="U379">
        <f t="shared" si="42"/>
        <v>12</v>
      </c>
      <c r="V379">
        <f t="shared" si="43"/>
        <v>8</v>
      </c>
      <c r="W379">
        <f t="shared" si="44"/>
        <v>1.8666666666666667</v>
      </c>
      <c r="X379" t="str">
        <f t="shared" si="45"/>
        <v>Low Profit</v>
      </c>
      <c r="Y379">
        <f t="shared" si="46"/>
        <v>48</v>
      </c>
      <c r="Z379">
        <f t="shared" si="47"/>
        <v>122</v>
      </c>
    </row>
    <row r="380" spans="1:26">
      <c r="A380" s="3">
        <v>425</v>
      </c>
      <c r="B380" s="3">
        <v>49</v>
      </c>
      <c r="C380" s="4">
        <v>41244</v>
      </c>
      <c r="D380" s="3" t="s">
        <v>32</v>
      </c>
      <c r="E380" s="3" t="s">
        <v>29</v>
      </c>
      <c r="F380" s="3">
        <v>13</v>
      </c>
      <c r="G380" s="3" t="s">
        <v>18</v>
      </c>
      <c r="H380" s="3" t="s">
        <v>19</v>
      </c>
      <c r="I380" s="3" t="s">
        <v>20</v>
      </c>
      <c r="J380" s="3">
        <v>46</v>
      </c>
      <c r="K380" s="3">
        <v>120</v>
      </c>
      <c r="L380" s="3" t="s">
        <v>53</v>
      </c>
      <c r="M380" s="3">
        <v>40</v>
      </c>
      <c r="N380" s="3">
        <v>50</v>
      </c>
      <c r="O380" s="3">
        <v>110</v>
      </c>
      <c r="P380" s="3">
        <v>25</v>
      </c>
      <c r="Q380">
        <f>SUM([1]!Table1[[#This Row],[Sales]])</f>
        <v>120</v>
      </c>
      <c r="R380">
        <f>SUM([1]!Table1[[#This Row],[Profit]])</f>
        <v>46</v>
      </c>
      <c r="S380" s="7">
        <f t="shared" si="40"/>
        <v>0.38333333333333336</v>
      </c>
      <c r="T380">
        <f t="shared" si="41"/>
        <v>13</v>
      </c>
      <c r="U380">
        <f t="shared" si="42"/>
        <v>10</v>
      </c>
      <c r="V380">
        <f t="shared" si="43"/>
        <v>9</v>
      </c>
      <c r="W380">
        <f t="shared" si="44"/>
        <v>3.5384615384615383</v>
      </c>
      <c r="X380" t="str">
        <f t="shared" si="45"/>
        <v>Low Profit</v>
      </c>
      <c r="Y380">
        <f t="shared" si="46"/>
        <v>49</v>
      </c>
      <c r="Z380">
        <f t="shared" si="47"/>
        <v>120</v>
      </c>
    </row>
    <row r="381" spans="1:26">
      <c r="A381" s="5">
        <v>860</v>
      </c>
      <c r="B381" s="5">
        <v>50</v>
      </c>
      <c r="C381" s="6">
        <v>41244</v>
      </c>
      <c r="D381" s="5" t="s">
        <v>32</v>
      </c>
      <c r="E381" s="5" t="s">
        <v>25</v>
      </c>
      <c r="F381" s="5">
        <v>14</v>
      </c>
      <c r="G381" s="5" t="s">
        <v>18</v>
      </c>
      <c r="H381" s="5" t="s">
        <v>26</v>
      </c>
      <c r="I381" s="5" t="s">
        <v>27</v>
      </c>
      <c r="J381" s="5">
        <v>47</v>
      </c>
      <c r="K381" s="5">
        <v>123</v>
      </c>
      <c r="L381" s="5" t="s">
        <v>37</v>
      </c>
      <c r="M381" s="5">
        <v>50</v>
      </c>
      <c r="N381" s="5">
        <v>50</v>
      </c>
      <c r="O381" s="5">
        <v>120</v>
      </c>
      <c r="P381" s="5">
        <v>26</v>
      </c>
      <c r="Q381">
        <f>SUM([1]!Table1[[#This Row],[Sales]])</f>
        <v>123</v>
      </c>
      <c r="R381">
        <f>SUM([1]!Table1[[#This Row],[Profit]])</f>
        <v>47</v>
      </c>
      <c r="S381" s="7">
        <f t="shared" si="40"/>
        <v>0.38211382113821141</v>
      </c>
      <c r="T381">
        <f t="shared" si="41"/>
        <v>14</v>
      </c>
      <c r="U381">
        <f t="shared" si="42"/>
        <v>3</v>
      </c>
      <c r="V381">
        <f t="shared" si="43"/>
        <v>0</v>
      </c>
      <c r="W381">
        <f t="shared" si="44"/>
        <v>3.3571428571428572</v>
      </c>
      <c r="X381" t="str">
        <f t="shared" si="45"/>
        <v>Low Profit</v>
      </c>
      <c r="Y381">
        <f t="shared" si="46"/>
        <v>50</v>
      </c>
      <c r="Z381">
        <f t="shared" si="47"/>
        <v>123</v>
      </c>
    </row>
    <row r="382" spans="1:26">
      <c r="A382" s="3">
        <v>234</v>
      </c>
      <c r="B382" s="3">
        <v>51</v>
      </c>
      <c r="C382" s="4">
        <v>41548</v>
      </c>
      <c r="D382" s="3" t="s">
        <v>16</v>
      </c>
      <c r="E382" s="3" t="s">
        <v>17</v>
      </c>
      <c r="F382" s="3">
        <v>46</v>
      </c>
      <c r="G382" s="3" t="s">
        <v>33</v>
      </c>
      <c r="H382" s="3" t="s">
        <v>38</v>
      </c>
      <c r="I382" s="3" t="s">
        <v>39</v>
      </c>
      <c r="J382" s="3">
        <v>-7</v>
      </c>
      <c r="K382" s="3">
        <v>130</v>
      </c>
      <c r="L382" s="3" t="s">
        <v>58</v>
      </c>
      <c r="M382" s="3">
        <v>40</v>
      </c>
      <c r="N382" s="3">
        <v>30</v>
      </c>
      <c r="O382" s="3">
        <v>110</v>
      </c>
      <c r="P382" s="3">
        <v>76</v>
      </c>
      <c r="Q382">
        <f>SUM([1]!Table1[[#This Row],[Sales]])</f>
        <v>130</v>
      </c>
      <c r="R382">
        <f>SUM([1]!Table1[[#This Row],[Profit]])</f>
        <v>-7</v>
      </c>
      <c r="S382" s="7">
        <f t="shared" si="40"/>
        <v>-5.3846153846153849E-2</v>
      </c>
      <c r="T382">
        <f t="shared" si="41"/>
        <v>46</v>
      </c>
      <c r="U382">
        <f t="shared" si="42"/>
        <v>20</v>
      </c>
      <c r="V382">
        <f t="shared" si="43"/>
        <v>11</v>
      </c>
      <c r="W382">
        <f t="shared" si="44"/>
        <v>-0.15217391304347827</v>
      </c>
      <c r="X382" t="str">
        <f t="shared" si="45"/>
        <v>Low Profit</v>
      </c>
      <c r="Y382">
        <f t="shared" si="46"/>
        <v>51</v>
      </c>
      <c r="Z382">
        <f t="shared" si="47"/>
        <v>130</v>
      </c>
    </row>
    <row r="383" spans="1:26">
      <c r="A383" s="5">
        <v>614</v>
      </c>
      <c r="B383" s="5">
        <v>52</v>
      </c>
      <c r="C383" s="6">
        <v>41548</v>
      </c>
      <c r="D383" s="5" t="s">
        <v>16</v>
      </c>
      <c r="E383" s="5" t="s">
        <v>17</v>
      </c>
      <c r="F383" s="5">
        <v>17</v>
      </c>
      <c r="G383" s="5" t="s">
        <v>33</v>
      </c>
      <c r="H383" s="5" t="s">
        <v>38</v>
      </c>
      <c r="I383" s="5" t="s">
        <v>43</v>
      </c>
      <c r="J383" s="5">
        <v>39</v>
      </c>
      <c r="K383" s="5">
        <v>131</v>
      </c>
      <c r="L383" s="5" t="s">
        <v>58</v>
      </c>
      <c r="M383" s="5">
        <v>40</v>
      </c>
      <c r="N383" s="5">
        <v>60</v>
      </c>
      <c r="O383" s="5">
        <v>110</v>
      </c>
      <c r="P383" s="5">
        <v>45</v>
      </c>
      <c r="Q383">
        <f>SUM([1]!Table1[[#This Row],[Sales]])</f>
        <v>131</v>
      </c>
      <c r="R383">
        <f>SUM([1]!Table1[[#This Row],[Profit]])</f>
        <v>39</v>
      </c>
      <c r="S383" s="7">
        <f t="shared" si="40"/>
        <v>0.29770992366412213</v>
      </c>
      <c r="T383">
        <f t="shared" si="41"/>
        <v>17</v>
      </c>
      <c r="U383">
        <f t="shared" si="42"/>
        <v>21</v>
      </c>
      <c r="V383">
        <f t="shared" si="43"/>
        <v>12</v>
      </c>
      <c r="W383">
        <f t="shared" si="44"/>
        <v>2.2941176470588234</v>
      </c>
      <c r="X383" t="str">
        <f t="shared" si="45"/>
        <v>Low Profit</v>
      </c>
      <c r="Y383">
        <f t="shared" si="46"/>
        <v>52</v>
      </c>
      <c r="Z383">
        <f t="shared" si="47"/>
        <v>131</v>
      </c>
    </row>
    <row r="384" spans="1:26">
      <c r="A384" s="3">
        <v>937</v>
      </c>
      <c r="B384" s="3">
        <v>43</v>
      </c>
      <c r="C384" s="4">
        <v>41548</v>
      </c>
      <c r="D384" s="3" t="s">
        <v>16</v>
      </c>
      <c r="E384" s="3" t="s">
        <v>17</v>
      </c>
      <c r="F384" s="3">
        <v>13</v>
      </c>
      <c r="G384" s="3" t="s">
        <v>33</v>
      </c>
      <c r="H384" s="3" t="s">
        <v>38</v>
      </c>
      <c r="I384" s="3" t="s">
        <v>45</v>
      </c>
      <c r="J384" s="3">
        <v>42</v>
      </c>
      <c r="K384" s="3">
        <v>114</v>
      </c>
      <c r="L384" s="3" t="s">
        <v>58</v>
      </c>
      <c r="M384" s="3">
        <v>30</v>
      </c>
      <c r="N384" s="3">
        <v>60</v>
      </c>
      <c r="O384" s="3">
        <v>100</v>
      </c>
      <c r="P384" s="3">
        <v>36</v>
      </c>
      <c r="Q384">
        <f>SUM([1]!Table1[[#This Row],[Sales]])</f>
        <v>114</v>
      </c>
      <c r="R384">
        <f>SUM([1]!Table1[[#This Row],[Profit]])</f>
        <v>42</v>
      </c>
      <c r="S384" s="7">
        <f t="shared" si="40"/>
        <v>0.36842105263157893</v>
      </c>
      <c r="T384">
        <f t="shared" si="41"/>
        <v>13</v>
      </c>
      <c r="U384">
        <f t="shared" si="42"/>
        <v>14</v>
      </c>
      <c r="V384">
        <f t="shared" si="43"/>
        <v>13</v>
      </c>
      <c r="W384">
        <f t="shared" si="44"/>
        <v>3.2307692307692308</v>
      </c>
      <c r="X384" t="str">
        <f t="shared" si="45"/>
        <v>Low Profit</v>
      </c>
      <c r="Y384">
        <f t="shared" si="46"/>
        <v>43</v>
      </c>
      <c r="Z384">
        <f t="shared" si="47"/>
        <v>114</v>
      </c>
    </row>
    <row r="385" spans="1:26">
      <c r="A385" s="5">
        <v>774</v>
      </c>
      <c r="B385" s="5">
        <v>51</v>
      </c>
      <c r="C385" s="6">
        <v>41548</v>
      </c>
      <c r="D385" s="5" t="s">
        <v>16</v>
      </c>
      <c r="E385" s="5" t="s">
        <v>25</v>
      </c>
      <c r="F385" s="5">
        <v>46</v>
      </c>
      <c r="G385" s="5" t="s">
        <v>33</v>
      </c>
      <c r="H385" s="5" t="s">
        <v>34</v>
      </c>
      <c r="I385" s="5" t="s">
        <v>46</v>
      </c>
      <c r="J385" s="5">
        <v>-16</v>
      </c>
      <c r="K385" s="5">
        <v>124</v>
      </c>
      <c r="L385" s="5" t="s">
        <v>55</v>
      </c>
      <c r="M385" s="5">
        <v>30</v>
      </c>
      <c r="N385" s="5">
        <v>30</v>
      </c>
      <c r="O385" s="5">
        <v>100</v>
      </c>
      <c r="P385" s="5">
        <v>76</v>
      </c>
      <c r="Q385">
        <f>SUM([1]!Table1[[#This Row],[Sales]])</f>
        <v>124</v>
      </c>
      <c r="R385">
        <f>SUM([1]!Table1[[#This Row],[Profit]])</f>
        <v>-16</v>
      </c>
      <c r="S385" s="7">
        <f t="shared" si="40"/>
        <v>-0.12903225806451613</v>
      </c>
      <c r="T385">
        <f t="shared" si="41"/>
        <v>46</v>
      </c>
      <c r="U385">
        <f t="shared" si="42"/>
        <v>24</v>
      </c>
      <c r="V385">
        <f t="shared" si="43"/>
        <v>21</v>
      </c>
      <c r="W385">
        <f t="shared" si="44"/>
        <v>-0.34782608695652173</v>
      </c>
      <c r="X385" t="str">
        <f t="shared" si="45"/>
        <v>Low Profit</v>
      </c>
      <c r="Y385">
        <f t="shared" si="46"/>
        <v>51</v>
      </c>
      <c r="Z385">
        <f t="shared" si="47"/>
        <v>124</v>
      </c>
    </row>
    <row r="386" spans="1:26">
      <c r="A386" s="3">
        <v>682</v>
      </c>
      <c r="B386" s="3">
        <v>72</v>
      </c>
      <c r="C386" s="4">
        <v>41548</v>
      </c>
      <c r="D386" s="3" t="s">
        <v>16</v>
      </c>
      <c r="E386" s="3" t="s">
        <v>23</v>
      </c>
      <c r="F386" s="3">
        <v>23</v>
      </c>
      <c r="G386" s="3" t="s">
        <v>33</v>
      </c>
      <c r="H386" s="3" t="s">
        <v>34</v>
      </c>
      <c r="I386" s="3" t="s">
        <v>47</v>
      </c>
      <c r="J386" s="3">
        <v>82</v>
      </c>
      <c r="K386" s="3">
        <v>194</v>
      </c>
      <c r="L386" s="3" t="s">
        <v>24</v>
      </c>
      <c r="M386" s="3">
        <v>40</v>
      </c>
      <c r="N386" s="3">
        <v>50</v>
      </c>
      <c r="O386" s="3">
        <v>110</v>
      </c>
      <c r="P386" s="3">
        <v>55</v>
      </c>
      <c r="Q386">
        <f>SUM([1]!Table1[[#This Row],[Sales]])</f>
        <v>194</v>
      </c>
      <c r="R386">
        <f>SUM([1]!Table1[[#This Row],[Profit]])</f>
        <v>82</v>
      </c>
      <c r="S386" s="7">
        <f t="shared" si="40"/>
        <v>0.42268041237113402</v>
      </c>
      <c r="T386">
        <f t="shared" si="41"/>
        <v>23</v>
      </c>
      <c r="U386">
        <f t="shared" si="42"/>
        <v>84</v>
      </c>
      <c r="V386">
        <f t="shared" si="43"/>
        <v>32</v>
      </c>
      <c r="W386">
        <f t="shared" si="44"/>
        <v>3.5652173913043477</v>
      </c>
      <c r="X386" t="str">
        <f t="shared" si="45"/>
        <v>Low Profit</v>
      </c>
      <c r="Y386">
        <f t="shared" si="46"/>
        <v>72</v>
      </c>
      <c r="Z386">
        <f t="shared" si="47"/>
        <v>194</v>
      </c>
    </row>
    <row r="387" spans="1:26">
      <c r="A387" s="5">
        <v>772</v>
      </c>
      <c r="B387" s="5">
        <v>48</v>
      </c>
      <c r="C387" s="6">
        <v>41548</v>
      </c>
      <c r="D387" s="5" t="s">
        <v>16</v>
      </c>
      <c r="E387" s="5" t="s">
        <v>25</v>
      </c>
      <c r="F387" s="5">
        <v>13</v>
      </c>
      <c r="G387" s="5" t="s">
        <v>18</v>
      </c>
      <c r="H387" s="5" t="s">
        <v>26</v>
      </c>
      <c r="I387" s="5" t="s">
        <v>30</v>
      </c>
      <c r="J387" s="5">
        <v>68</v>
      </c>
      <c r="K387" s="5">
        <v>126</v>
      </c>
      <c r="L387" s="5" t="s">
        <v>28</v>
      </c>
      <c r="M387" s="5">
        <v>50</v>
      </c>
      <c r="N387" s="5">
        <v>60</v>
      </c>
      <c r="O387" s="5">
        <v>120</v>
      </c>
      <c r="P387" s="5">
        <v>24</v>
      </c>
      <c r="Q387">
        <f>SUM([1]!Table1[[#This Row],[Sales]])</f>
        <v>126</v>
      </c>
      <c r="R387">
        <f>SUM([1]!Table1[[#This Row],[Profit]])</f>
        <v>68</v>
      </c>
      <c r="S387" s="7">
        <f t="shared" ref="S387:S450" si="48">J387/K387</f>
        <v>0.53968253968253965</v>
      </c>
      <c r="T387">
        <f t="shared" ref="T387:T450" si="49">SUM(F387)</f>
        <v>13</v>
      </c>
      <c r="U387">
        <f t="shared" ref="U387:U450" si="50">K387-O387</f>
        <v>6</v>
      </c>
      <c r="V387">
        <f t="shared" ref="V387:V450" si="51">B387-M387</f>
        <v>-2</v>
      </c>
      <c r="W387">
        <f t="shared" ref="W387:W450" si="52">J387/F387</f>
        <v>5.2307692307692308</v>
      </c>
      <c r="X387" t="str">
        <f t="shared" ref="X387:X450" si="53">IF(J387&gt;100,"High Profit","Low Profit")</f>
        <v>Low Profit</v>
      </c>
      <c r="Y387">
        <f t="shared" ref="Y387:Y450" si="54">SUM(B387)</f>
        <v>48</v>
      </c>
      <c r="Z387">
        <f t="shared" ref="Z387:Z450" si="55">SUM(K387)</f>
        <v>126</v>
      </c>
    </row>
    <row r="388" spans="1:26">
      <c r="A388" s="3">
        <v>225</v>
      </c>
      <c r="B388" s="3">
        <v>60</v>
      </c>
      <c r="C388" s="4">
        <v>41548</v>
      </c>
      <c r="D388" s="3" t="s">
        <v>32</v>
      </c>
      <c r="E388" s="3" t="s">
        <v>23</v>
      </c>
      <c r="F388" s="3">
        <v>18</v>
      </c>
      <c r="G388" s="3" t="s">
        <v>33</v>
      </c>
      <c r="H388" s="3" t="s">
        <v>34</v>
      </c>
      <c r="I388" s="3" t="s">
        <v>46</v>
      </c>
      <c r="J388" s="3">
        <v>86</v>
      </c>
      <c r="K388" s="3">
        <v>169</v>
      </c>
      <c r="L388" s="3" t="s">
        <v>48</v>
      </c>
      <c r="M388" s="3">
        <v>30</v>
      </c>
      <c r="N388" s="3">
        <v>70</v>
      </c>
      <c r="O388" s="3">
        <v>100</v>
      </c>
      <c r="P388" s="3">
        <v>41</v>
      </c>
      <c r="Q388">
        <f>SUM([1]!Table1[[#This Row],[Sales]])</f>
        <v>169</v>
      </c>
      <c r="R388">
        <f>SUM([1]!Table1[[#This Row],[Profit]])</f>
        <v>86</v>
      </c>
      <c r="S388" s="7">
        <f t="shared" si="48"/>
        <v>0.50887573964497046</v>
      </c>
      <c r="T388">
        <f t="shared" si="49"/>
        <v>18</v>
      </c>
      <c r="U388">
        <f t="shared" si="50"/>
        <v>69</v>
      </c>
      <c r="V388">
        <f t="shared" si="51"/>
        <v>30</v>
      </c>
      <c r="W388">
        <f t="shared" si="52"/>
        <v>4.7777777777777777</v>
      </c>
      <c r="X388" t="str">
        <f t="shared" si="53"/>
        <v>Low Profit</v>
      </c>
      <c r="Y388">
        <f t="shared" si="54"/>
        <v>60</v>
      </c>
      <c r="Z388">
        <f t="shared" si="55"/>
        <v>169</v>
      </c>
    </row>
    <row r="389" spans="1:26">
      <c r="A389" s="5">
        <v>541</v>
      </c>
      <c r="B389" s="5">
        <v>52</v>
      </c>
      <c r="C389" s="6">
        <v>41548</v>
      </c>
      <c r="D389" s="5" t="s">
        <v>32</v>
      </c>
      <c r="E389" s="5" t="s">
        <v>29</v>
      </c>
      <c r="F389" s="5">
        <v>17</v>
      </c>
      <c r="G389" s="5" t="s">
        <v>33</v>
      </c>
      <c r="H389" s="5" t="s">
        <v>34</v>
      </c>
      <c r="I389" s="5" t="s">
        <v>46</v>
      </c>
      <c r="J389" s="5">
        <v>40</v>
      </c>
      <c r="K389" s="5">
        <v>131</v>
      </c>
      <c r="L389" s="5" t="s">
        <v>49</v>
      </c>
      <c r="M389" s="5">
        <v>30</v>
      </c>
      <c r="N389" s="5">
        <v>60</v>
      </c>
      <c r="O389" s="5">
        <v>100</v>
      </c>
      <c r="P389" s="5">
        <v>44</v>
      </c>
      <c r="Q389">
        <f>SUM([1]!Table1[[#This Row],[Sales]])</f>
        <v>131</v>
      </c>
      <c r="R389">
        <f>SUM([1]!Table1[[#This Row],[Profit]])</f>
        <v>40</v>
      </c>
      <c r="S389" s="7">
        <f t="shared" si="48"/>
        <v>0.30534351145038169</v>
      </c>
      <c r="T389">
        <f t="shared" si="49"/>
        <v>17</v>
      </c>
      <c r="U389">
        <f t="shared" si="50"/>
        <v>31</v>
      </c>
      <c r="V389">
        <f t="shared" si="51"/>
        <v>22</v>
      </c>
      <c r="W389">
        <f t="shared" si="52"/>
        <v>2.3529411764705883</v>
      </c>
      <c r="X389" t="str">
        <f t="shared" si="53"/>
        <v>Low Profit</v>
      </c>
      <c r="Y389">
        <f t="shared" si="54"/>
        <v>52</v>
      </c>
      <c r="Z389">
        <f t="shared" si="55"/>
        <v>131</v>
      </c>
    </row>
    <row r="390" spans="1:26">
      <c r="A390" s="3">
        <v>425</v>
      </c>
      <c r="B390" s="3">
        <v>56</v>
      </c>
      <c r="C390" s="4">
        <v>41548</v>
      </c>
      <c r="D390" s="3" t="s">
        <v>32</v>
      </c>
      <c r="E390" s="3" t="s">
        <v>29</v>
      </c>
      <c r="F390" s="3">
        <v>21</v>
      </c>
      <c r="G390" s="3" t="s">
        <v>33</v>
      </c>
      <c r="H390" s="3" t="s">
        <v>34</v>
      </c>
      <c r="I390" s="3" t="s">
        <v>46</v>
      </c>
      <c r="J390" s="3">
        <v>24</v>
      </c>
      <c r="K390" s="3">
        <v>134</v>
      </c>
      <c r="L390" s="3" t="s">
        <v>53</v>
      </c>
      <c r="M390" s="3">
        <v>40</v>
      </c>
      <c r="N390" s="3">
        <v>50</v>
      </c>
      <c r="O390" s="3">
        <v>110</v>
      </c>
      <c r="P390" s="3">
        <v>54</v>
      </c>
      <c r="Q390">
        <f>SUM([1]!Table1[[#This Row],[Sales]])</f>
        <v>134</v>
      </c>
      <c r="R390">
        <f>SUM([1]!Table1[[#This Row],[Profit]])</f>
        <v>24</v>
      </c>
      <c r="S390" s="7">
        <f t="shared" si="48"/>
        <v>0.17910447761194029</v>
      </c>
      <c r="T390">
        <f t="shared" si="49"/>
        <v>21</v>
      </c>
      <c r="U390">
        <f t="shared" si="50"/>
        <v>24</v>
      </c>
      <c r="V390">
        <f t="shared" si="51"/>
        <v>16</v>
      </c>
      <c r="W390">
        <f t="shared" si="52"/>
        <v>1.1428571428571428</v>
      </c>
      <c r="X390" t="str">
        <f t="shared" si="53"/>
        <v>Low Profit</v>
      </c>
      <c r="Y390">
        <f t="shared" si="54"/>
        <v>56</v>
      </c>
      <c r="Z390">
        <f t="shared" si="55"/>
        <v>134</v>
      </c>
    </row>
    <row r="391" spans="1:26">
      <c r="A391" s="5">
        <v>580</v>
      </c>
      <c r="B391" s="5">
        <v>56</v>
      </c>
      <c r="C391" s="6">
        <v>41548</v>
      </c>
      <c r="D391" s="5" t="s">
        <v>32</v>
      </c>
      <c r="E391" s="5" t="s">
        <v>23</v>
      </c>
      <c r="F391" s="5">
        <v>21</v>
      </c>
      <c r="G391" s="5" t="s">
        <v>18</v>
      </c>
      <c r="H391" s="5" t="s">
        <v>19</v>
      </c>
      <c r="I391" s="5" t="s">
        <v>50</v>
      </c>
      <c r="J391" s="5">
        <v>24</v>
      </c>
      <c r="K391" s="5">
        <v>134</v>
      </c>
      <c r="L391" s="5" t="s">
        <v>40</v>
      </c>
      <c r="M391" s="5">
        <v>40</v>
      </c>
      <c r="N391" s="5">
        <v>50</v>
      </c>
      <c r="O391" s="5">
        <v>110</v>
      </c>
      <c r="P391" s="5">
        <v>54</v>
      </c>
      <c r="Q391">
        <f>SUM([1]!Table1[[#This Row],[Sales]])</f>
        <v>134</v>
      </c>
      <c r="R391">
        <f>SUM([1]!Table1[[#This Row],[Profit]])</f>
        <v>24</v>
      </c>
      <c r="S391" s="7">
        <f t="shared" si="48"/>
        <v>0.17910447761194029</v>
      </c>
      <c r="T391">
        <f t="shared" si="49"/>
        <v>21</v>
      </c>
      <c r="U391">
        <f t="shared" si="50"/>
        <v>24</v>
      </c>
      <c r="V391">
        <f t="shared" si="51"/>
        <v>16</v>
      </c>
      <c r="W391">
        <f t="shared" si="52"/>
        <v>1.1428571428571428</v>
      </c>
      <c r="X391" t="str">
        <f t="shared" si="53"/>
        <v>Low Profit</v>
      </c>
      <c r="Y391">
        <f t="shared" si="54"/>
        <v>56</v>
      </c>
      <c r="Z391">
        <f t="shared" si="55"/>
        <v>134</v>
      </c>
    </row>
    <row r="392" spans="1:26">
      <c r="A392" s="3">
        <v>435</v>
      </c>
      <c r="B392" s="3">
        <v>45</v>
      </c>
      <c r="C392" s="4">
        <v>41548</v>
      </c>
      <c r="D392" s="3" t="s">
        <v>32</v>
      </c>
      <c r="E392" s="3" t="s">
        <v>29</v>
      </c>
      <c r="F392" s="3">
        <v>14</v>
      </c>
      <c r="G392" s="3" t="s">
        <v>18</v>
      </c>
      <c r="H392" s="3" t="s">
        <v>19</v>
      </c>
      <c r="I392" s="3" t="s">
        <v>20</v>
      </c>
      <c r="J392" s="3">
        <v>34</v>
      </c>
      <c r="K392" s="3">
        <v>121</v>
      </c>
      <c r="L392" s="3" t="s">
        <v>42</v>
      </c>
      <c r="M392" s="3">
        <v>20</v>
      </c>
      <c r="N392" s="3">
        <v>60</v>
      </c>
      <c r="O392" s="3">
        <v>90</v>
      </c>
      <c r="P392" s="3">
        <v>46</v>
      </c>
      <c r="Q392">
        <f>SUM([1]!Table1[[#This Row],[Sales]])</f>
        <v>121</v>
      </c>
      <c r="R392">
        <f>SUM([1]!Table1[[#This Row],[Profit]])</f>
        <v>34</v>
      </c>
      <c r="S392" s="7">
        <f t="shared" si="48"/>
        <v>0.28099173553719009</v>
      </c>
      <c r="T392">
        <f t="shared" si="49"/>
        <v>14</v>
      </c>
      <c r="U392">
        <f t="shared" si="50"/>
        <v>31</v>
      </c>
      <c r="V392">
        <f t="shared" si="51"/>
        <v>25</v>
      </c>
      <c r="W392">
        <f t="shared" si="52"/>
        <v>2.4285714285714284</v>
      </c>
      <c r="X392" t="str">
        <f t="shared" si="53"/>
        <v>Low Profit</v>
      </c>
      <c r="Y392">
        <f t="shared" si="54"/>
        <v>45</v>
      </c>
      <c r="Z392">
        <f t="shared" si="55"/>
        <v>121</v>
      </c>
    </row>
    <row r="393" spans="1:26">
      <c r="A393" s="5">
        <v>614</v>
      </c>
      <c r="B393" s="5">
        <v>52</v>
      </c>
      <c r="C393" s="6">
        <v>41579</v>
      </c>
      <c r="D393" s="5" t="s">
        <v>16</v>
      </c>
      <c r="E393" s="5" t="s">
        <v>17</v>
      </c>
      <c r="F393" s="5">
        <v>47</v>
      </c>
      <c r="G393" s="5" t="s">
        <v>33</v>
      </c>
      <c r="H393" s="5" t="s">
        <v>38</v>
      </c>
      <c r="I393" s="5" t="s">
        <v>39</v>
      </c>
      <c r="J393" s="5">
        <v>-4</v>
      </c>
      <c r="K393" s="5">
        <v>133</v>
      </c>
      <c r="L393" s="5" t="s">
        <v>58</v>
      </c>
      <c r="M393" s="5">
        <v>50</v>
      </c>
      <c r="N393" s="5">
        <v>10</v>
      </c>
      <c r="O393" s="5">
        <v>120</v>
      </c>
      <c r="P393" s="5">
        <v>76</v>
      </c>
      <c r="Q393">
        <f>SUM([1]!Table1[[#This Row],[Sales]])</f>
        <v>133</v>
      </c>
      <c r="R393">
        <f>SUM([1]!Table1[[#This Row],[Profit]])</f>
        <v>-4</v>
      </c>
      <c r="S393" s="7">
        <f t="shared" si="48"/>
        <v>-3.007518796992481E-2</v>
      </c>
      <c r="T393">
        <f t="shared" si="49"/>
        <v>47</v>
      </c>
      <c r="U393">
        <f t="shared" si="50"/>
        <v>13</v>
      </c>
      <c r="V393">
        <f t="shared" si="51"/>
        <v>2</v>
      </c>
      <c r="W393">
        <f t="shared" si="52"/>
        <v>-8.5106382978723402E-2</v>
      </c>
      <c r="X393" t="str">
        <f t="shared" si="53"/>
        <v>Low Profit</v>
      </c>
      <c r="Y393">
        <f t="shared" si="54"/>
        <v>52</v>
      </c>
      <c r="Z393">
        <f t="shared" si="55"/>
        <v>133</v>
      </c>
    </row>
    <row r="394" spans="1:26">
      <c r="A394" s="3">
        <v>234</v>
      </c>
      <c r="B394" s="3">
        <v>46</v>
      </c>
      <c r="C394" s="4">
        <v>41579</v>
      </c>
      <c r="D394" s="3" t="s">
        <v>16</v>
      </c>
      <c r="E394" s="3" t="s">
        <v>17</v>
      </c>
      <c r="F394" s="3">
        <v>14</v>
      </c>
      <c r="G394" s="3" t="s">
        <v>33</v>
      </c>
      <c r="H394" s="3" t="s">
        <v>38</v>
      </c>
      <c r="I394" s="3" t="s">
        <v>45</v>
      </c>
      <c r="J394" s="3">
        <v>47</v>
      </c>
      <c r="K394" s="3">
        <v>121</v>
      </c>
      <c r="L394" s="3" t="s">
        <v>58</v>
      </c>
      <c r="M394" s="3">
        <v>40</v>
      </c>
      <c r="N394" s="3">
        <v>40</v>
      </c>
      <c r="O394" s="3">
        <v>110</v>
      </c>
      <c r="P394" s="3">
        <v>36</v>
      </c>
      <c r="Q394">
        <f>SUM([1]!Table1[[#This Row],[Sales]])</f>
        <v>121</v>
      </c>
      <c r="R394">
        <f>SUM([1]!Table1[[#This Row],[Profit]])</f>
        <v>47</v>
      </c>
      <c r="S394" s="7">
        <f t="shared" si="48"/>
        <v>0.38842975206611569</v>
      </c>
      <c r="T394">
        <f t="shared" si="49"/>
        <v>14</v>
      </c>
      <c r="U394">
        <f t="shared" si="50"/>
        <v>11</v>
      </c>
      <c r="V394">
        <f t="shared" si="51"/>
        <v>6</v>
      </c>
      <c r="W394">
        <f t="shared" si="52"/>
        <v>3.3571428571428572</v>
      </c>
      <c r="X394" t="str">
        <f t="shared" si="53"/>
        <v>Low Profit</v>
      </c>
      <c r="Y394">
        <f t="shared" si="54"/>
        <v>46</v>
      </c>
      <c r="Z394">
        <f t="shared" si="55"/>
        <v>121</v>
      </c>
    </row>
    <row r="395" spans="1:26">
      <c r="A395" s="5">
        <v>970</v>
      </c>
      <c r="B395" s="5">
        <v>52</v>
      </c>
      <c r="C395" s="6">
        <v>41579</v>
      </c>
      <c r="D395" s="5" t="s">
        <v>16</v>
      </c>
      <c r="E395" s="5" t="s">
        <v>17</v>
      </c>
      <c r="F395" s="5">
        <v>47</v>
      </c>
      <c r="G395" s="5" t="s">
        <v>18</v>
      </c>
      <c r="H395" s="5" t="s">
        <v>19</v>
      </c>
      <c r="I395" s="5" t="s">
        <v>20</v>
      </c>
      <c r="J395" s="5">
        <v>-6</v>
      </c>
      <c r="K395" s="5">
        <v>133</v>
      </c>
      <c r="L395" s="5" t="s">
        <v>21</v>
      </c>
      <c r="M395" s="5">
        <v>40</v>
      </c>
      <c r="N395" s="5">
        <v>10</v>
      </c>
      <c r="O395" s="5">
        <v>110</v>
      </c>
      <c r="P395" s="5">
        <v>77</v>
      </c>
      <c r="Q395">
        <f>SUM([1]!Table1[[#This Row],[Sales]])</f>
        <v>133</v>
      </c>
      <c r="R395">
        <f>SUM([1]!Table1[[#This Row],[Profit]])</f>
        <v>-6</v>
      </c>
      <c r="S395" s="7">
        <f t="shared" si="48"/>
        <v>-4.5112781954887216E-2</v>
      </c>
      <c r="T395">
        <f t="shared" si="49"/>
        <v>47</v>
      </c>
      <c r="U395">
        <f t="shared" si="50"/>
        <v>23</v>
      </c>
      <c r="V395">
        <f t="shared" si="51"/>
        <v>12</v>
      </c>
      <c r="W395">
        <f t="shared" si="52"/>
        <v>-0.1276595744680851</v>
      </c>
      <c r="X395" t="str">
        <f t="shared" si="53"/>
        <v>Low Profit</v>
      </c>
      <c r="Y395">
        <f t="shared" si="54"/>
        <v>52</v>
      </c>
      <c r="Z395">
        <f t="shared" si="55"/>
        <v>133</v>
      </c>
    </row>
    <row r="396" spans="1:26">
      <c r="A396" s="3">
        <v>970</v>
      </c>
      <c r="B396" s="3">
        <v>59</v>
      </c>
      <c r="C396" s="4">
        <v>41579</v>
      </c>
      <c r="D396" s="3" t="s">
        <v>16</v>
      </c>
      <c r="E396" s="3" t="s">
        <v>17</v>
      </c>
      <c r="F396" s="3">
        <v>19</v>
      </c>
      <c r="G396" s="3" t="s">
        <v>18</v>
      </c>
      <c r="H396" s="3" t="s">
        <v>19</v>
      </c>
      <c r="I396" s="3" t="s">
        <v>22</v>
      </c>
      <c r="J396" s="3">
        <v>47</v>
      </c>
      <c r="K396" s="3">
        <v>147</v>
      </c>
      <c r="L396" s="3" t="s">
        <v>21</v>
      </c>
      <c r="M396" s="3">
        <v>50</v>
      </c>
      <c r="N396" s="3">
        <v>40</v>
      </c>
      <c r="O396" s="3">
        <v>120</v>
      </c>
      <c r="P396" s="3">
        <v>47</v>
      </c>
      <c r="Q396">
        <f>SUM([1]!Table1[[#This Row],[Sales]])</f>
        <v>147</v>
      </c>
      <c r="R396">
        <f>SUM([1]!Table1[[#This Row],[Profit]])</f>
        <v>47</v>
      </c>
      <c r="S396" s="7">
        <f t="shared" si="48"/>
        <v>0.31972789115646261</v>
      </c>
      <c r="T396">
        <f t="shared" si="49"/>
        <v>19</v>
      </c>
      <c r="U396">
        <f t="shared" si="50"/>
        <v>27</v>
      </c>
      <c r="V396">
        <f t="shared" si="51"/>
        <v>9</v>
      </c>
      <c r="W396">
        <f t="shared" si="52"/>
        <v>2.4736842105263159</v>
      </c>
      <c r="X396" t="str">
        <f t="shared" si="53"/>
        <v>Low Profit</v>
      </c>
      <c r="Y396">
        <f t="shared" si="54"/>
        <v>59</v>
      </c>
      <c r="Z396">
        <f t="shared" si="55"/>
        <v>147</v>
      </c>
    </row>
    <row r="397" spans="1:26">
      <c r="A397" s="5">
        <v>936</v>
      </c>
      <c r="B397" s="5">
        <v>59</v>
      </c>
      <c r="C397" s="6">
        <v>41579</v>
      </c>
      <c r="D397" s="5" t="s">
        <v>16</v>
      </c>
      <c r="E397" s="5" t="s">
        <v>23</v>
      </c>
      <c r="F397" s="5">
        <v>19</v>
      </c>
      <c r="G397" s="5" t="s">
        <v>18</v>
      </c>
      <c r="H397" s="5" t="s">
        <v>19</v>
      </c>
      <c r="I397" s="5" t="s">
        <v>50</v>
      </c>
      <c r="J397" s="5">
        <v>47</v>
      </c>
      <c r="K397" s="5">
        <v>147</v>
      </c>
      <c r="L397" s="5" t="s">
        <v>24</v>
      </c>
      <c r="M397" s="5">
        <v>50</v>
      </c>
      <c r="N397" s="5">
        <v>40</v>
      </c>
      <c r="O397" s="5">
        <v>120</v>
      </c>
      <c r="P397" s="5">
        <v>47</v>
      </c>
      <c r="Q397">
        <f>SUM([1]!Table1[[#This Row],[Sales]])</f>
        <v>147</v>
      </c>
      <c r="R397">
        <f>SUM([1]!Table1[[#This Row],[Profit]])</f>
        <v>47</v>
      </c>
      <c r="S397" s="7">
        <f t="shared" si="48"/>
        <v>0.31972789115646261</v>
      </c>
      <c r="T397">
        <f t="shared" si="49"/>
        <v>19</v>
      </c>
      <c r="U397">
        <f t="shared" si="50"/>
        <v>27</v>
      </c>
      <c r="V397">
        <f t="shared" si="51"/>
        <v>9</v>
      </c>
      <c r="W397">
        <f t="shared" si="52"/>
        <v>2.4736842105263159</v>
      </c>
      <c r="X397" t="str">
        <f t="shared" si="53"/>
        <v>Low Profit</v>
      </c>
      <c r="Y397">
        <f t="shared" si="54"/>
        <v>59</v>
      </c>
      <c r="Z397">
        <f t="shared" si="55"/>
        <v>147</v>
      </c>
    </row>
    <row r="398" spans="1:26">
      <c r="A398" s="3">
        <v>914</v>
      </c>
      <c r="B398" s="3">
        <v>50</v>
      </c>
      <c r="C398" s="4">
        <v>41579</v>
      </c>
      <c r="D398" s="3" t="s">
        <v>16</v>
      </c>
      <c r="E398" s="3" t="s">
        <v>25</v>
      </c>
      <c r="F398" s="3">
        <v>14</v>
      </c>
      <c r="G398" s="3" t="s">
        <v>18</v>
      </c>
      <c r="H398" s="3" t="s">
        <v>26</v>
      </c>
      <c r="I398" s="3" t="s">
        <v>30</v>
      </c>
      <c r="J398" s="3">
        <v>70</v>
      </c>
      <c r="K398" s="3">
        <v>131</v>
      </c>
      <c r="L398" s="3" t="s">
        <v>60</v>
      </c>
      <c r="M398" s="3">
        <v>50</v>
      </c>
      <c r="N398" s="3">
        <v>50</v>
      </c>
      <c r="O398" s="3">
        <v>120</v>
      </c>
      <c r="P398" s="3">
        <v>26</v>
      </c>
      <c r="Q398">
        <f>SUM([1]!Table1[[#This Row],[Sales]])</f>
        <v>131</v>
      </c>
      <c r="R398">
        <f>SUM([1]!Table1[[#This Row],[Profit]])</f>
        <v>70</v>
      </c>
      <c r="S398" s="7">
        <f t="shared" si="48"/>
        <v>0.53435114503816794</v>
      </c>
      <c r="T398">
        <f t="shared" si="49"/>
        <v>14</v>
      </c>
      <c r="U398">
        <f t="shared" si="50"/>
        <v>11</v>
      </c>
      <c r="V398">
        <f t="shared" si="51"/>
        <v>0</v>
      </c>
      <c r="W398">
        <f t="shared" si="52"/>
        <v>5</v>
      </c>
      <c r="X398" t="str">
        <f t="shared" si="53"/>
        <v>Low Profit</v>
      </c>
      <c r="Y398">
        <f t="shared" si="54"/>
        <v>50</v>
      </c>
      <c r="Z398">
        <f t="shared" si="55"/>
        <v>131</v>
      </c>
    </row>
    <row r="399" spans="1:26">
      <c r="A399" s="5">
        <v>203</v>
      </c>
      <c r="B399" s="5">
        <v>53</v>
      </c>
      <c r="C399" s="6">
        <v>41579</v>
      </c>
      <c r="D399" s="5" t="s">
        <v>32</v>
      </c>
      <c r="E399" s="5" t="s">
        <v>25</v>
      </c>
      <c r="F399" s="5">
        <v>17</v>
      </c>
      <c r="G399" s="5" t="s">
        <v>33</v>
      </c>
      <c r="H399" s="5" t="s">
        <v>34</v>
      </c>
      <c r="I399" s="5" t="s">
        <v>35</v>
      </c>
      <c r="J399" s="5">
        <v>39</v>
      </c>
      <c r="K399" s="5">
        <v>132</v>
      </c>
      <c r="L399" s="5" t="s">
        <v>37</v>
      </c>
      <c r="M399" s="5">
        <v>50</v>
      </c>
      <c r="N399" s="5">
        <v>40</v>
      </c>
      <c r="O399" s="5">
        <v>120</v>
      </c>
      <c r="P399" s="5">
        <v>45</v>
      </c>
      <c r="Q399">
        <f>SUM([1]!Table1[[#This Row],[Sales]])</f>
        <v>132</v>
      </c>
      <c r="R399">
        <f>SUM([1]!Table1[[#This Row],[Profit]])</f>
        <v>39</v>
      </c>
      <c r="S399" s="7">
        <f t="shared" si="48"/>
        <v>0.29545454545454547</v>
      </c>
      <c r="T399">
        <f t="shared" si="49"/>
        <v>17</v>
      </c>
      <c r="U399">
        <f t="shared" si="50"/>
        <v>12</v>
      </c>
      <c r="V399">
        <f t="shared" si="51"/>
        <v>3</v>
      </c>
      <c r="W399">
        <f t="shared" si="52"/>
        <v>2.2941176470588234</v>
      </c>
      <c r="X399" t="str">
        <f t="shared" si="53"/>
        <v>Low Profit</v>
      </c>
      <c r="Y399">
        <f t="shared" si="54"/>
        <v>53</v>
      </c>
      <c r="Z399">
        <f t="shared" si="55"/>
        <v>132</v>
      </c>
    </row>
    <row r="400" spans="1:26">
      <c r="A400" s="3">
        <v>435</v>
      </c>
      <c r="B400" s="3">
        <v>54</v>
      </c>
      <c r="C400" s="4">
        <v>41579</v>
      </c>
      <c r="D400" s="3" t="s">
        <v>32</v>
      </c>
      <c r="E400" s="3" t="s">
        <v>29</v>
      </c>
      <c r="F400" s="3">
        <v>15</v>
      </c>
      <c r="G400" s="3" t="s">
        <v>33</v>
      </c>
      <c r="H400" s="3" t="s">
        <v>34</v>
      </c>
      <c r="I400" s="3" t="s">
        <v>35</v>
      </c>
      <c r="J400" s="3">
        <v>77</v>
      </c>
      <c r="K400" s="3">
        <v>141</v>
      </c>
      <c r="L400" s="3" t="s">
        <v>42</v>
      </c>
      <c r="M400" s="3">
        <v>50</v>
      </c>
      <c r="N400" s="3">
        <v>50</v>
      </c>
      <c r="O400" s="3">
        <v>120</v>
      </c>
      <c r="P400" s="3">
        <v>26</v>
      </c>
      <c r="Q400">
        <f>SUM([1]!Table1[[#This Row],[Sales]])</f>
        <v>141</v>
      </c>
      <c r="R400">
        <f>SUM([1]!Table1[[#This Row],[Profit]])</f>
        <v>77</v>
      </c>
      <c r="S400" s="7">
        <f t="shared" si="48"/>
        <v>0.54609929078014185</v>
      </c>
      <c r="T400">
        <f t="shared" si="49"/>
        <v>15</v>
      </c>
      <c r="U400">
        <f t="shared" si="50"/>
        <v>21</v>
      </c>
      <c r="V400">
        <f t="shared" si="51"/>
        <v>4</v>
      </c>
      <c r="W400">
        <f t="shared" si="52"/>
        <v>5.1333333333333337</v>
      </c>
      <c r="X400" t="str">
        <f t="shared" si="53"/>
        <v>Low Profit</v>
      </c>
      <c r="Y400">
        <f t="shared" si="54"/>
        <v>54</v>
      </c>
      <c r="Z400">
        <f t="shared" si="55"/>
        <v>141</v>
      </c>
    </row>
    <row r="401" spans="1:26">
      <c r="A401" s="5">
        <v>505</v>
      </c>
      <c r="B401" s="5">
        <v>43</v>
      </c>
      <c r="C401" s="6">
        <v>41579</v>
      </c>
      <c r="D401" s="5" t="s">
        <v>32</v>
      </c>
      <c r="E401" s="5" t="s">
        <v>23</v>
      </c>
      <c r="F401" s="5">
        <v>14</v>
      </c>
      <c r="G401" s="5" t="s">
        <v>33</v>
      </c>
      <c r="H401" s="5" t="s">
        <v>38</v>
      </c>
      <c r="I401" s="5" t="s">
        <v>45</v>
      </c>
      <c r="J401" s="5">
        <v>30</v>
      </c>
      <c r="K401" s="5">
        <v>116</v>
      </c>
      <c r="L401" s="5" t="s">
        <v>57</v>
      </c>
      <c r="M401" s="5">
        <v>50</v>
      </c>
      <c r="N401" s="5">
        <v>30</v>
      </c>
      <c r="O401" s="5">
        <v>120</v>
      </c>
      <c r="P401" s="5">
        <v>46</v>
      </c>
      <c r="Q401">
        <f>SUM([1]!Table1[[#This Row],[Sales]])</f>
        <v>116</v>
      </c>
      <c r="R401">
        <f>SUM([1]!Table1[[#This Row],[Profit]])</f>
        <v>30</v>
      </c>
      <c r="S401" s="7">
        <f t="shared" si="48"/>
        <v>0.25862068965517243</v>
      </c>
      <c r="T401">
        <f t="shared" si="49"/>
        <v>14</v>
      </c>
      <c r="U401">
        <f t="shared" si="50"/>
        <v>-4</v>
      </c>
      <c r="V401">
        <f t="shared" si="51"/>
        <v>-7</v>
      </c>
      <c r="W401">
        <f t="shared" si="52"/>
        <v>2.1428571428571428</v>
      </c>
      <c r="X401" t="str">
        <f t="shared" si="53"/>
        <v>Low Profit</v>
      </c>
      <c r="Y401">
        <f t="shared" si="54"/>
        <v>43</v>
      </c>
      <c r="Z401">
        <f t="shared" si="55"/>
        <v>116</v>
      </c>
    </row>
    <row r="402" spans="1:26">
      <c r="A402" s="3">
        <v>318</v>
      </c>
      <c r="B402" s="3">
        <v>61</v>
      </c>
      <c r="C402" s="4">
        <v>41579</v>
      </c>
      <c r="D402" s="3" t="s">
        <v>32</v>
      </c>
      <c r="E402" s="3" t="s">
        <v>23</v>
      </c>
      <c r="F402" s="3">
        <v>55</v>
      </c>
      <c r="G402" s="3" t="s">
        <v>33</v>
      </c>
      <c r="H402" s="3" t="s">
        <v>34</v>
      </c>
      <c r="I402" s="3" t="s">
        <v>47</v>
      </c>
      <c r="J402" s="3">
        <v>1</v>
      </c>
      <c r="K402" s="3">
        <v>157</v>
      </c>
      <c r="L402" s="3" t="s">
        <v>48</v>
      </c>
      <c r="M402" s="3">
        <v>40</v>
      </c>
      <c r="N402" s="3">
        <v>10</v>
      </c>
      <c r="O402" s="3">
        <v>110</v>
      </c>
      <c r="P402" s="3">
        <v>85</v>
      </c>
      <c r="Q402">
        <f>SUM([1]!Table1[[#This Row],[Sales]])</f>
        <v>157</v>
      </c>
      <c r="R402">
        <f>SUM([1]!Table1[[#This Row],[Profit]])</f>
        <v>1</v>
      </c>
      <c r="S402" s="7">
        <f t="shared" si="48"/>
        <v>6.369426751592357E-3</v>
      </c>
      <c r="T402">
        <f t="shared" si="49"/>
        <v>55</v>
      </c>
      <c r="U402">
        <f t="shared" si="50"/>
        <v>47</v>
      </c>
      <c r="V402">
        <f t="shared" si="51"/>
        <v>21</v>
      </c>
      <c r="W402">
        <f t="shared" si="52"/>
        <v>1.8181818181818181E-2</v>
      </c>
      <c r="X402" t="str">
        <f t="shared" si="53"/>
        <v>Low Profit</v>
      </c>
      <c r="Y402">
        <f t="shared" si="54"/>
        <v>61</v>
      </c>
      <c r="Z402">
        <f t="shared" si="55"/>
        <v>157</v>
      </c>
    </row>
    <row r="403" spans="1:26">
      <c r="A403" s="5">
        <v>503</v>
      </c>
      <c r="B403" s="5">
        <v>55</v>
      </c>
      <c r="C403" s="6">
        <v>41579</v>
      </c>
      <c r="D403" s="5" t="s">
        <v>32</v>
      </c>
      <c r="E403" s="5" t="s">
        <v>29</v>
      </c>
      <c r="F403" s="5">
        <v>20</v>
      </c>
      <c r="G403" s="5" t="s">
        <v>33</v>
      </c>
      <c r="H403" s="5" t="s">
        <v>34</v>
      </c>
      <c r="I403" s="5" t="s">
        <v>47</v>
      </c>
      <c r="J403" s="5">
        <v>24</v>
      </c>
      <c r="K403" s="5">
        <v>132</v>
      </c>
      <c r="L403" s="5" t="s">
        <v>49</v>
      </c>
      <c r="M403" s="5">
        <v>50</v>
      </c>
      <c r="N403" s="5">
        <v>30</v>
      </c>
      <c r="O403" s="5">
        <v>120</v>
      </c>
      <c r="P403" s="5">
        <v>53</v>
      </c>
      <c r="Q403">
        <f>SUM([1]!Table1[[#This Row],[Sales]])</f>
        <v>132</v>
      </c>
      <c r="R403">
        <f>SUM([1]!Table1[[#This Row],[Profit]])</f>
        <v>24</v>
      </c>
      <c r="S403" s="7">
        <f t="shared" si="48"/>
        <v>0.18181818181818182</v>
      </c>
      <c r="T403">
        <f t="shared" si="49"/>
        <v>20</v>
      </c>
      <c r="U403">
        <f t="shared" si="50"/>
        <v>12</v>
      </c>
      <c r="V403">
        <f t="shared" si="51"/>
        <v>5</v>
      </c>
      <c r="W403">
        <f t="shared" si="52"/>
        <v>1.2</v>
      </c>
      <c r="X403" t="str">
        <f t="shared" si="53"/>
        <v>Low Profit</v>
      </c>
      <c r="Y403">
        <f t="shared" si="54"/>
        <v>55</v>
      </c>
      <c r="Z403">
        <f t="shared" si="55"/>
        <v>132</v>
      </c>
    </row>
    <row r="404" spans="1:26">
      <c r="A404" s="3">
        <v>475</v>
      </c>
      <c r="B404" s="3">
        <v>82</v>
      </c>
      <c r="C404" s="4">
        <v>41579</v>
      </c>
      <c r="D404" s="3" t="s">
        <v>32</v>
      </c>
      <c r="E404" s="3" t="s">
        <v>25</v>
      </c>
      <c r="F404" s="3">
        <v>31</v>
      </c>
      <c r="G404" s="3" t="s">
        <v>18</v>
      </c>
      <c r="H404" s="3" t="s">
        <v>19</v>
      </c>
      <c r="I404" s="3" t="s">
        <v>20</v>
      </c>
      <c r="J404" s="3">
        <v>56</v>
      </c>
      <c r="K404" s="3">
        <v>196</v>
      </c>
      <c r="L404" s="3" t="s">
        <v>37</v>
      </c>
      <c r="M404" s="3">
        <v>60</v>
      </c>
      <c r="N404" s="3">
        <v>30</v>
      </c>
      <c r="O404" s="3">
        <v>130</v>
      </c>
      <c r="P404" s="3">
        <v>64</v>
      </c>
      <c r="Q404">
        <f>SUM([1]!Table1[[#This Row],[Sales]])</f>
        <v>196</v>
      </c>
      <c r="R404">
        <f>SUM([1]!Table1[[#This Row],[Profit]])</f>
        <v>56</v>
      </c>
      <c r="S404" s="7">
        <f t="shared" si="48"/>
        <v>0.2857142857142857</v>
      </c>
      <c r="T404">
        <f t="shared" si="49"/>
        <v>31</v>
      </c>
      <c r="U404">
        <f t="shared" si="50"/>
        <v>66</v>
      </c>
      <c r="V404">
        <f t="shared" si="51"/>
        <v>22</v>
      </c>
      <c r="W404">
        <f t="shared" si="52"/>
        <v>1.8064516129032258</v>
      </c>
      <c r="X404" t="str">
        <f t="shared" si="53"/>
        <v>Low Profit</v>
      </c>
      <c r="Y404">
        <f t="shared" si="54"/>
        <v>82</v>
      </c>
      <c r="Z404">
        <f t="shared" si="55"/>
        <v>196</v>
      </c>
    </row>
    <row r="405" spans="1:26">
      <c r="A405" s="5">
        <v>715</v>
      </c>
      <c r="B405" s="5">
        <v>61</v>
      </c>
      <c r="C405" s="6">
        <v>41579</v>
      </c>
      <c r="D405" s="5" t="s">
        <v>32</v>
      </c>
      <c r="E405" s="5" t="s">
        <v>17</v>
      </c>
      <c r="F405" s="5">
        <v>55</v>
      </c>
      <c r="G405" s="5" t="s">
        <v>18</v>
      </c>
      <c r="H405" s="5" t="s">
        <v>26</v>
      </c>
      <c r="I405" s="5" t="s">
        <v>54</v>
      </c>
      <c r="J405" s="5">
        <v>3</v>
      </c>
      <c r="K405" s="5">
        <v>157</v>
      </c>
      <c r="L405" s="5" t="s">
        <v>52</v>
      </c>
      <c r="M405" s="5">
        <v>50</v>
      </c>
      <c r="N405" s="5">
        <v>0</v>
      </c>
      <c r="O405" s="5">
        <v>120</v>
      </c>
      <c r="P405" s="5">
        <v>84</v>
      </c>
      <c r="Q405">
        <f>SUM([1]!Table1[[#This Row],[Sales]])</f>
        <v>157</v>
      </c>
      <c r="R405">
        <f>SUM([1]!Table1[[#This Row],[Profit]])</f>
        <v>3</v>
      </c>
      <c r="S405" s="7">
        <f t="shared" si="48"/>
        <v>1.9108280254777069E-2</v>
      </c>
      <c r="T405">
        <f t="shared" si="49"/>
        <v>55</v>
      </c>
      <c r="U405">
        <f t="shared" si="50"/>
        <v>37</v>
      </c>
      <c r="V405">
        <f t="shared" si="51"/>
        <v>11</v>
      </c>
      <c r="W405">
        <f t="shared" si="52"/>
        <v>5.4545454545454543E-2</v>
      </c>
      <c r="X405" t="str">
        <f t="shared" si="53"/>
        <v>Low Profit</v>
      </c>
      <c r="Y405">
        <f t="shared" si="54"/>
        <v>61</v>
      </c>
      <c r="Z405">
        <f t="shared" si="55"/>
        <v>157</v>
      </c>
    </row>
    <row r="406" spans="1:26">
      <c r="A406" s="3">
        <v>509</v>
      </c>
      <c r="B406" s="3">
        <v>53</v>
      </c>
      <c r="C406" s="4">
        <v>41579</v>
      </c>
      <c r="D406" s="3" t="s">
        <v>32</v>
      </c>
      <c r="E406" s="3" t="s">
        <v>29</v>
      </c>
      <c r="F406" s="3">
        <v>16</v>
      </c>
      <c r="G406" s="3" t="s">
        <v>18</v>
      </c>
      <c r="H406" s="3" t="s">
        <v>26</v>
      </c>
      <c r="I406" s="3" t="s">
        <v>27</v>
      </c>
      <c r="J406" s="3">
        <v>73</v>
      </c>
      <c r="K406" s="3">
        <v>150</v>
      </c>
      <c r="L406" s="3" t="s">
        <v>53</v>
      </c>
      <c r="M406" s="3">
        <v>30</v>
      </c>
      <c r="N406" s="3">
        <v>50</v>
      </c>
      <c r="O406" s="3">
        <v>100</v>
      </c>
      <c r="P406" s="3">
        <v>39</v>
      </c>
      <c r="Q406">
        <f>SUM([1]!Table1[[#This Row],[Sales]])</f>
        <v>150</v>
      </c>
      <c r="R406">
        <f>SUM([1]!Table1[[#This Row],[Profit]])</f>
        <v>73</v>
      </c>
      <c r="S406" s="7">
        <f t="shared" si="48"/>
        <v>0.48666666666666669</v>
      </c>
      <c r="T406">
        <f t="shared" si="49"/>
        <v>16</v>
      </c>
      <c r="U406">
        <f t="shared" si="50"/>
        <v>50</v>
      </c>
      <c r="V406">
        <f t="shared" si="51"/>
        <v>23</v>
      </c>
      <c r="W406">
        <f t="shared" si="52"/>
        <v>4.5625</v>
      </c>
      <c r="X406" t="str">
        <f t="shared" si="53"/>
        <v>Low Profit</v>
      </c>
      <c r="Y406">
        <f t="shared" si="54"/>
        <v>53</v>
      </c>
      <c r="Z406">
        <f t="shared" si="55"/>
        <v>150</v>
      </c>
    </row>
    <row r="407" spans="1:26">
      <c r="A407" s="5">
        <v>513</v>
      </c>
      <c r="B407" s="5">
        <v>47</v>
      </c>
      <c r="C407" s="6">
        <v>41609</v>
      </c>
      <c r="D407" s="5" t="s">
        <v>16</v>
      </c>
      <c r="E407" s="5" t="s">
        <v>17</v>
      </c>
      <c r="F407" s="5">
        <v>42</v>
      </c>
      <c r="G407" s="5" t="s">
        <v>33</v>
      </c>
      <c r="H407" s="5" t="s">
        <v>38</v>
      </c>
      <c r="I407" s="5" t="s">
        <v>39</v>
      </c>
      <c r="J407" s="5">
        <v>-9</v>
      </c>
      <c r="K407" s="5">
        <v>119</v>
      </c>
      <c r="L407" s="5" t="s">
        <v>58</v>
      </c>
      <c r="M407" s="5">
        <v>40</v>
      </c>
      <c r="N407" s="5">
        <v>10</v>
      </c>
      <c r="O407" s="5">
        <v>110</v>
      </c>
      <c r="P407" s="5">
        <v>71</v>
      </c>
      <c r="Q407">
        <f>SUM([1]!Table1[[#This Row],[Sales]])</f>
        <v>119</v>
      </c>
      <c r="R407">
        <f>SUM([1]!Table1[[#This Row],[Profit]])</f>
        <v>-9</v>
      </c>
      <c r="S407" s="7">
        <f t="shared" si="48"/>
        <v>-7.5630252100840331E-2</v>
      </c>
      <c r="T407">
        <f t="shared" si="49"/>
        <v>42</v>
      </c>
      <c r="U407">
        <f t="shared" si="50"/>
        <v>9</v>
      </c>
      <c r="V407">
        <f t="shared" si="51"/>
        <v>7</v>
      </c>
      <c r="W407">
        <f t="shared" si="52"/>
        <v>-0.21428571428571427</v>
      </c>
      <c r="X407" t="str">
        <f t="shared" si="53"/>
        <v>Low Profit</v>
      </c>
      <c r="Y407">
        <f t="shared" si="54"/>
        <v>47</v>
      </c>
      <c r="Z407">
        <f t="shared" si="55"/>
        <v>119</v>
      </c>
    </row>
    <row r="408" spans="1:26">
      <c r="A408" s="3">
        <v>234</v>
      </c>
      <c r="B408" s="3">
        <v>54</v>
      </c>
      <c r="C408" s="4">
        <v>41609</v>
      </c>
      <c r="D408" s="3" t="s">
        <v>16</v>
      </c>
      <c r="E408" s="3" t="s">
        <v>17</v>
      </c>
      <c r="F408" s="3">
        <v>17</v>
      </c>
      <c r="G408" s="3" t="s">
        <v>33</v>
      </c>
      <c r="H408" s="3" t="s">
        <v>38</v>
      </c>
      <c r="I408" s="3" t="s">
        <v>43</v>
      </c>
      <c r="J408" s="3">
        <v>43</v>
      </c>
      <c r="K408" s="3">
        <v>135</v>
      </c>
      <c r="L408" s="3" t="s">
        <v>58</v>
      </c>
      <c r="M408" s="3">
        <v>50</v>
      </c>
      <c r="N408" s="3">
        <v>40</v>
      </c>
      <c r="O408" s="3">
        <v>120</v>
      </c>
      <c r="P408" s="3">
        <v>44</v>
      </c>
      <c r="Q408">
        <f>SUM([1]!Table1[[#This Row],[Sales]])</f>
        <v>135</v>
      </c>
      <c r="R408">
        <f>SUM([1]!Table1[[#This Row],[Profit]])</f>
        <v>43</v>
      </c>
      <c r="S408" s="7">
        <f t="shared" si="48"/>
        <v>0.31851851851851853</v>
      </c>
      <c r="T408">
        <f t="shared" si="49"/>
        <v>17</v>
      </c>
      <c r="U408">
        <f t="shared" si="50"/>
        <v>15</v>
      </c>
      <c r="V408">
        <f t="shared" si="51"/>
        <v>4</v>
      </c>
      <c r="W408">
        <f t="shared" si="52"/>
        <v>2.5294117647058822</v>
      </c>
      <c r="X408" t="str">
        <f t="shared" si="53"/>
        <v>Low Profit</v>
      </c>
      <c r="Y408">
        <f t="shared" si="54"/>
        <v>54</v>
      </c>
      <c r="Z408">
        <f t="shared" si="55"/>
        <v>135</v>
      </c>
    </row>
    <row r="409" spans="1:26">
      <c r="A409" s="5">
        <v>361</v>
      </c>
      <c r="B409" s="5">
        <v>67</v>
      </c>
      <c r="C409" s="6">
        <v>41609</v>
      </c>
      <c r="D409" s="5" t="s">
        <v>16</v>
      </c>
      <c r="E409" s="5" t="s">
        <v>23</v>
      </c>
      <c r="F409" s="5">
        <v>22</v>
      </c>
      <c r="G409" s="5" t="s">
        <v>33</v>
      </c>
      <c r="H409" s="5" t="s">
        <v>34</v>
      </c>
      <c r="I409" s="5" t="s">
        <v>47</v>
      </c>
      <c r="J409" s="5">
        <v>70</v>
      </c>
      <c r="K409" s="5">
        <v>179</v>
      </c>
      <c r="L409" s="5" t="s">
        <v>24</v>
      </c>
      <c r="M409" s="5">
        <v>50</v>
      </c>
      <c r="N409" s="5">
        <v>30</v>
      </c>
      <c r="O409" s="5">
        <v>120</v>
      </c>
      <c r="P409" s="5">
        <v>54</v>
      </c>
      <c r="Q409">
        <f>SUM([1]!Table1[[#This Row],[Sales]])</f>
        <v>179</v>
      </c>
      <c r="R409">
        <f>SUM([1]!Table1[[#This Row],[Profit]])</f>
        <v>70</v>
      </c>
      <c r="S409" s="7">
        <f t="shared" si="48"/>
        <v>0.39106145251396646</v>
      </c>
      <c r="T409">
        <f t="shared" si="49"/>
        <v>22</v>
      </c>
      <c r="U409">
        <f t="shared" si="50"/>
        <v>59</v>
      </c>
      <c r="V409">
        <f t="shared" si="51"/>
        <v>17</v>
      </c>
      <c r="W409">
        <f t="shared" si="52"/>
        <v>3.1818181818181817</v>
      </c>
      <c r="X409" t="str">
        <f t="shared" si="53"/>
        <v>Low Profit</v>
      </c>
      <c r="Y409">
        <f t="shared" si="54"/>
        <v>67</v>
      </c>
      <c r="Z409">
        <f t="shared" si="55"/>
        <v>179</v>
      </c>
    </row>
    <row r="410" spans="1:26">
      <c r="A410" s="3">
        <v>630</v>
      </c>
      <c r="B410" s="3">
        <v>54</v>
      </c>
      <c r="C410" s="4">
        <v>41609</v>
      </c>
      <c r="D410" s="3" t="s">
        <v>16</v>
      </c>
      <c r="E410" s="3" t="s">
        <v>17</v>
      </c>
      <c r="F410" s="3">
        <v>15</v>
      </c>
      <c r="G410" s="3" t="s">
        <v>18</v>
      </c>
      <c r="H410" s="3" t="s">
        <v>26</v>
      </c>
      <c r="I410" s="3" t="s">
        <v>27</v>
      </c>
      <c r="J410" s="3">
        <v>79</v>
      </c>
      <c r="K410" s="3">
        <v>142</v>
      </c>
      <c r="L410" s="3" t="s">
        <v>56</v>
      </c>
      <c r="M410" s="3">
        <v>40</v>
      </c>
      <c r="N410" s="3">
        <v>50</v>
      </c>
      <c r="O410" s="3">
        <v>110</v>
      </c>
      <c r="P410" s="3">
        <v>26</v>
      </c>
      <c r="Q410">
        <f>SUM([1]!Table1[[#This Row],[Sales]])</f>
        <v>142</v>
      </c>
      <c r="R410">
        <f>SUM([1]!Table1[[#This Row],[Profit]])</f>
        <v>79</v>
      </c>
      <c r="S410" s="7">
        <f t="shared" si="48"/>
        <v>0.55633802816901412</v>
      </c>
      <c r="T410">
        <f t="shared" si="49"/>
        <v>15</v>
      </c>
      <c r="U410">
        <f t="shared" si="50"/>
        <v>32</v>
      </c>
      <c r="V410">
        <f t="shared" si="51"/>
        <v>14</v>
      </c>
      <c r="W410">
        <f t="shared" si="52"/>
        <v>5.2666666666666666</v>
      </c>
      <c r="X410" t="str">
        <f t="shared" si="53"/>
        <v>Low Profit</v>
      </c>
      <c r="Y410">
        <f t="shared" si="54"/>
        <v>54</v>
      </c>
      <c r="Z410">
        <f t="shared" si="55"/>
        <v>142</v>
      </c>
    </row>
    <row r="411" spans="1:26">
      <c r="A411" s="5">
        <v>636</v>
      </c>
      <c r="B411" s="5">
        <v>63</v>
      </c>
      <c r="C411" s="6">
        <v>41609</v>
      </c>
      <c r="D411" s="5" t="s">
        <v>32</v>
      </c>
      <c r="E411" s="5" t="s">
        <v>17</v>
      </c>
      <c r="F411" s="5">
        <v>19</v>
      </c>
      <c r="G411" s="5" t="s">
        <v>33</v>
      </c>
      <c r="H411" s="5" t="s">
        <v>38</v>
      </c>
      <c r="I411" s="5" t="s">
        <v>39</v>
      </c>
      <c r="J411" s="5">
        <v>53</v>
      </c>
      <c r="K411" s="5">
        <v>148</v>
      </c>
      <c r="L411" s="5" t="s">
        <v>51</v>
      </c>
      <c r="M411" s="5">
        <v>60</v>
      </c>
      <c r="N411" s="5">
        <v>40</v>
      </c>
      <c r="O411" s="5">
        <v>130</v>
      </c>
      <c r="P411" s="5">
        <v>40</v>
      </c>
      <c r="Q411">
        <f>SUM([1]!Table1[[#This Row],[Sales]])</f>
        <v>148</v>
      </c>
      <c r="R411">
        <f>SUM([1]!Table1[[#This Row],[Profit]])</f>
        <v>53</v>
      </c>
      <c r="S411" s="7">
        <f t="shared" si="48"/>
        <v>0.35810810810810811</v>
      </c>
      <c r="T411">
        <f t="shared" si="49"/>
        <v>19</v>
      </c>
      <c r="U411">
        <f t="shared" si="50"/>
        <v>18</v>
      </c>
      <c r="V411">
        <f t="shared" si="51"/>
        <v>3</v>
      </c>
      <c r="W411">
        <f t="shared" si="52"/>
        <v>2.7894736842105261</v>
      </c>
      <c r="X411" t="str">
        <f t="shared" si="53"/>
        <v>Low Profit</v>
      </c>
      <c r="Y411">
        <f t="shared" si="54"/>
        <v>63</v>
      </c>
      <c r="Z411">
        <f t="shared" si="55"/>
        <v>148</v>
      </c>
    </row>
    <row r="412" spans="1:26">
      <c r="A412" s="3">
        <v>203</v>
      </c>
      <c r="B412" s="3">
        <v>49</v>
      </c>
      <c r="C412" s="4">
        <v>41609</v>
      </c>
      <c r="D412" s="3" t="s">
        <v>32</v>
      </c>
      <c r="E412" s="3" t="s">
        <v>25</v>
      </c>
      <c r="F412" s="3">
        <v>16</v>
      </c>
      <c r="G412" s="3" t="s">
        <v>33</v>
      </c>
      <c r="H412" s="3" t="s">
        <v>34</v>
      </c>
      <c r="I412" s="3" t="s">
        <v>35</v>
      </c>
      <c r="J412" s="3">
        <v>31</v>
      </c>
      <c r="K412" s="3">
        <v>121</v>
      </c>
      <c r="L412" s="3" t="s">
        <v>37</v>
      </c>
      <c r="M412" s="3">
        <v>40</v>
      </c>
      <c r="N412" s="3">
        <v>40</v>
      </c>
      <c r="O412" s="3">
        <v>110</v>
      </c>
      <c r="P412" s="3">
        <v>44</v>
      </c>
      <c r="Q412">
        <f>SUM([1]!Table1[[#This Row],[Sales]])</f>
        <v>121</v>
      </c>
      <c r="R412">
        <f>SUM([1]!Table1[[#This Row],[Profit]])</f>
        <v>31</v>
      </c>
      <c r="S412" s="7">
        <f t="shared" si="48"/>
        <v>0.256198347107438</v>
      </c>
      <c r="T412">
        <f t="shared" si="49"/>
        <v>16</v>
      </c>
      <c r="U412">
        <f t="shared" si="50"/>
        <v>11</v>
      </c>
      <c r="V412">
        <f t="shared" si="51"/>
        <v>9</v>
      </c>
      <c r="W412">
        <f t="shared" si="52"/>
        <v>1.9375</v>
      </c>
      <c r="X412" t="str">
        <f t="shared" si="53"/>
        <v>Low Profit</v>
      </c>
      <c r="Y412">
        <f t="shared" si="54"/>
        <v>49</v>
      </c>
      <c r="Z412">
        <f t="shared" si="55"/>
        <v>121</v>
      </c>
    </row>
    <row r="413" spans="1:26">
      <c r="A413" s="5">
        <v>435</v>
      </c>
      <c r="B413" s="5">
        <v>50</v>
      </c>
      <c r="C413" s="6">
        <v>41609</v>
      </c>
      <c r="D413" s="5" t="s">
        <v>32</v>
      </c>
      <c r="E413" s="5" t="s">
        <v>29</v>
      </c>
      <c r="F413" s="5">
        <v>14</v>
      </c>
      <c r="G413" s="5" t="s">
        <v>33</v>
      </c>
      <c r="H413" s="5" t="s">
        <v>34</v>
      </c>
      <c r="I413" s="5" t="s">
        <v>35</v>
      </c>
      <c r="J413" s="5">
        <v>70</v>
      </c>
      <c r="K413" s="5">
        <v>131</v>
      </c>
      <c r="L413" s="5" t="s">
        <v>42</v>
      </c>
      <c r="M413" s="5">
        <v>40</v>
      </c>
      <c r="N413" s="5">
        <v>50</v>
      </c>
      <c r="O413" s="5">
        <v>110</v>
      </c>
      <c r="P413" s="5">
        <v>26</v>
      </c>
      <c r="Q413">
        <f>SUM([1]!Table1[[#This Row],[Sales]])</f>
        <v>131</v>
      </c>
      <c r="R413">
        <f>SUM([1]!Table1[[#This Row],[Profit]])</f>
        <v>70</v>
      </c>
      <c r="S413" s="7">
        <f t="shared" si="48"/>
        <v>0.53435114503816794</v>
      </c>
      <c r="T413">
        <f t="shared" si="49"/>
        <v>14</v>
      </c>
      <c r="U413">
        <f t="shared" si="50"/>
        <v>21</v>
      </c>
      <c r="V413">
        <f t="shared" si="51"/>
        <v>10</v>
      </c>
      <c r="W413">
        <f t="shared" si="52"/>
        <v>5</v>
      </c>
      <c r="X413" t="str">
        <f t="shared" si="53"/>
        <v>Low Profit</v>
      </c>
      <c r="Y413">
        <f t="shared" si="54"/>
        <v>50</v>
      </c>
      <c r="Z413">
        <f t="shared" si="55"/>
        <v>131</v>
      </c>
    </row>
    <row r="414" spans="1:26">
      <c r="A414" s="3">
        <v>603</v>
      </c>
      <c r="B414" s="3">
        <v>52</v>
      </c>
      <c r="C414" s="4">
        <v>41609</v>
      </c>
      <c r="D414" s="3" t="s">
        <v>32</v>
      </c>
      <c r="E414" s="3" t="s">
        <v>25</v>
      </c>
      <c r="F414" s="3">
        <v>16</v>
      </c>
      <c r="G414" s="3" t="s">
        <v>33</v>
      </c>
      <c r="H414" s="3" t="s">
        <v>38</v>
      </c>
      <c r="I414" s="3" t="s">
        <v>43</v>
      </c>
      <c r="J414" s="3">
        <v>55</v>
      </c>
      <c r="K414" s="3">
        <v>135</v>
      </c>
      <c r="L414" s="3" t="s">
        <v>44</v>
      </c>
      <c r="M414" s="3">
        <v>40</v>
      </c>
      <c r="N414" s="3">
        <v>50</v>
      </c>
      <c r="O414" s="3">
        <v>110</v>
      </c>
      <c r="P414" s="3">
        <v>38</v>
      </c>
      <c r="Q414">
        <f>SUM([1]!Table1[[#This Row],[Sales]])</f>
        <v>135</v>
      </c>
      <c r="R414">
        <f>SUM([1]!Table1[[#This Row],[Profit]])</f>
        <v>55</v>
      </c>
      <c r="S414" s="7">
        <f t="shared" si="48"/>
        <v>0.40740740740740738</v>
      </c>
      <c r="T414">
        <f t="shared" si="49"/>
        <v>16</v>
      </c>
      <c r="U414">
        <f t="shared" si="50"/>
        <v>25</v>
      </c>
      <c r="V414">
        <f t="shared" si="51"/>
        <v>12</v>
      </c>
      <c r="W414">
        <f t="shared" si="52"/>
        <v>3.4375</v>
      </c>
      <c r="X414" t="str">
        <f t="shared" si="53"/>
        <v>Low Profit</v>
      </c>
      <c r="Y414">
        <f t="shared" si="54"/>
        <v>52</v>
      </c>
      <c r="Z414">
        <f t="shared" si="55"/>
        <v>135</v>
      </c>
    </row>
    <row r="415" spans="1:26">
      <c r="A415" s="5">
        <v>203</v>
      </c>
      <c r="B415" s="5">
        <v>55</v>
      </c>
      <c r="C415" s="6">
        <v>41609</v>
      </c>
      <c r="D415" s="5" t="s">
        <v>32</v>
      </c>
      <c r="E415" s="5" t="s">
        <v>25</v>
      </c>
      <c r="F415" s="5">
        <v>49</v>
      </c>
      <c r="G415" s="5" t="s">
        <v>33</v>
      </c>
      <c r="H415" s="5" t="s">
        <v>34</v>
      </c>
      <c r="I415" s="5" t="s">
        <v>46</v>
      </c>
      <c r="J415" s="5">
        <v>-3</v>
      </c>
      <c r="K415" s="5">
        <v>140</v>
      </c>
      <c r="L415" s="5" t="s">
        <v>37</v>
      </c>
      <c r="M415" s="5">
        <v>50</v>
      </c>
      <c r="N415" s="5">
        <v>10</v>
      </c>
      <c r="O415" s="5">
        <v>120</v>
      </c>
      <c r="P415" s="5">
        <v>78</v>
      </c>
      <c r="Q415">
        <f>SUM([1]!Table1[[#This Row],[Sales]])</f>
        <v>140</v>
      </c>
      <c r="R415">
        <f>SUM([1]!Table1[[#This Row],[Profit]])</f>
        <v>-3</v>
      </c>
      <c r="S415" s="7">
        <f t="shared" si="48"/>
        <v>-2.1428571428571429E-2</v>
      </c>
      <c r="T415">
        <f t="shared" si="49"/>
        <v>49</v>
      </c>
      <c r="U415">
        <f t="shared" si="50"/>
        <v>20</v>
      </c>
      <c r="V415">
        <f t="shared" si="51"/>
        <v>5</v>
      </c>
      <c r="W415">
        <f t="shared" si="52"/>
        <v>-6.1224489795918366E-2</v>
      </c>
      <c r="X415" t="str">
        <f t="shared" si="53"/>
        <v>Low Profit</v>
      </c>
      <c r="Y415">
        <f t="shared" si="54"/>
        <v>55</v>
      </c>
      <c r="Z415">
        <f t="shared" si="55"/>
        <v>140</v>
      </c>
    </row>
    <row r="416" spans="1:26">
      <c r="A416" s="3">
        <v>603</v>
      </c>
      <c r="B416" s="3">
        <v>49</v>
      </c>
      <c r="C416" s="4">
        <v>41609</v>
      </c>
      <c r="D416" s="3" t="s">
        <v>32</v>
      </c>
      <c r="E416" s="3" t="s">
        <v>25</v>
      </c>
      <c r="F416" s="3">
        <v>44</v>
      </c>
      <c r="G416" s="3" t="s">
        <v>33</v>
      </c>
      <c r="H416" s="3" t="s">
        <v>34</v>
      </c>
      <c r="I416" s="3" t="s">
        <v>46</v>
      </c>
      <c r="J416" s="3">
        <v>-6</v>
      </c>
      <c r="K416" s="3">
        <v>126</v>
      </c>
      <c r="L416" s="3" t="s">
        <v>44</v>
      </c>
      <c r="M416" s="3">
        <v>40</v>
      </c>
      <c r="N416" s="3">
        <v>10</v>
      </c>
      <c r="O416" s="3">
        <v>110</v>
      </c>
      <c r="P416" s="3">
        <v>73</v>
      </c>
      <c r="Q416">
        <f>SUM([1]!Table1[[#This Row],[Sales]])</f>
        <v>126</v>
      </c>
      <c r="R416">
        <f>SUM([1]!Table1[[#This Row],[Profit]])</f>
        <v>-6</v>
      </c>
      <c r="S416" s="7">
        <f t="shared" si="48"/>
        <v>-4.7619047619047616E-2</v>
      </c>
      <c r="T416">
        <f t="shared" si="49"/>
        <v>44</v>
      </c>
      <c r="U416">
        <f t="shared" si="50"/>
        <v>16</v>
      </c>
      <c r="V416">
        <f t="shared" si="51"/>
        <v>9</v>
      </c>
      <c r="W416">
        <f t="shared" si="52"/>
        <v>-0.13636363636363635</v>
      </c>
      <c r="X416" t="str">
        <f t="shared" si="53"/>
        <v>Low Profit</v>
      </c>
      <c r="Y416">
        <f t="shared" si="54"/>
        <v>49</v>
      </c>
      <c r="Z416">
        <f t="shared" si="55"/>
        <v>126</v>
      </c>
    </row>
    <row r="417" spans="1:26">
      <c r="A417" s="5">
        <v>541</v>
      </c>
      <c r="B417" s="5">
        <v>41</v>
      </c>
      <c r="C417" s="6">
        <v>41609</v>
      </c>
      <c r="D417" s="5" t="s">
        <v>32</v>
      </c>
      <c r="E417" s="5" t="s">
        <v>29</v>
      </c>
      <c r="F417" s="5">
        <v>13</v>
      </c>
      <c r="G417" s="5" t="s">
        <v>33</v>
      </c>
      <c r="H417" s="5" t="s">
        <v>38</v>
      </c>
      <c r="I417" s="5" t="s">
        <v>45</v>
      </c>
      <c r="J417" s="5">
        <v>1</v>
      </c>
      <c r="K417" s="5">
        <v>104</v>
      </c>
      <c r="L417" s="5" t="s">
        <v>49</v>
      </c>
      <c r="M417" s="5">
        <v>40</v>
      </c>
      <c r="N417" s="5">
        <v>20</v>
      </c>
      <c r="O417" s="5">
        <v>110</v>
      </c>
      <c r="P417" s="5">
        <v>56</v>
      </c>
      <c r="Q417">
        <f>SUM([1]!Table1[[#This Row],[Sales]])</f>
        <v>104</v>
      </c>
      <c r="R417">
        <f>SUM([1]!Table1[[#This Row],[Profit]])</f>
        <v>1</v>
      </c>
      <c r="S417" s="7">
        <f t="shared" si="48"/>
        <v>9.6153846153846159E-3</v>
      </c>
      <c r="T417">
        <f t="shared" si="49"/>
        <v>13</v>
      </c>
      <c r="U417">
        <f t="shared" si="50"/>
        <v>-6</v>
      </c>
      <c r="V417">
        <f t="shared" si="51"/>
        <v>1</v>
      </c>
      <c r="W417">
        <f t="shared" si="52"/>
        <v>7.6923076923076927E-2</v>
      </c>
      <c r="X417" t="str">
        <f t="shared" si="53"/>
        <v>Low Profit</v>
      </c>
      <c r="Y417">
        <f t="shared" si="54"/>
        <v>41</v>
      </c>
      <c r="Z417">
        <f t="shared" si="55"/>
        <v>104</v>
      </c>
    </row>
    <row r="418" spans="1:26">
      <c r="A418" s="3">
        <v>503</v>
      </c>
      <c r="B418" s="3">
        <v>54</v>
      </c>
      <c r="C418" s="4">
        <v>41609</v>
      </c>
      <c r="D418" s="3" t="s">
        <v>32</v>
      </c>
      <c r="E418" s="3" t="s">
        <v>29</v>
      </c>
      <c r="F418" s="3">
        <v>17</v>
      </c>
      <c r="G418" s="3" t="s">
        <v>33</v>
      </c>
      <c r="H418" s="3" t="s">
        <v>34</v>
      </c>
      <c r="I418" s="3" t="s">
        <v>46</v>
      </c>
      <c r="J418" s="3">
        <v>42</v>
      </c>
      <c r="K418" s="3">
        <v>135</v>
      </c>
      <c r="L418" s="3" t="s">
        <v>49</v>
      </c>
      <c r="M418" s="3">
        <v>50</v>
      </c>
      <c r="N418" s="3">
        <v>40</v>
      </c>
      <c r="O418" s="3">
        <v>120</v>
      </c>
      <c r="P418" s="3">
        <v>45</v>
      </c>
      <c r="Q418">
        <f>SUM([1]!Table1[[#This Row],[Sales]])</f>
        <v>135</v>
      </c>
      <c r="R418">
        <f>SUM([1]!Table1[[#This Row],[Profit]])</f>
        <v>42</v>
      </c>
      <c r="S418" s="7">
        <f t="shared" si="48"/>
        <v>0.31111111111111112</v>
      </c>
      <c r="T418">
        <f t="shared" si="49"/>
        <v>17</v>
      </c>
      <c r="U418">
        <f t="shared" si="50"/>
        <v>15</v>
      </c>
      <c r="V418">
        <f t="shared" si="51"/>
        <v>4</v>
      </c>
      <c r="W418">
        <f t="shared" si="52"/>
        <v>2.4705882352941178</v>
      </c>
      <c r="X418" t="str">
        <f t="shared" si="53"/>
        <v>Low Profit</v>
      </c>
      <c r="Y418">
        <f t="shared" si="54"/>
        <v>54</v>
      </c>
      <c r="Z418">
        <f t="shared" si="55"/>
        <v>135</v>
      </c>
    </row>
    <row r="419" spans="1:26">
      <c r="A419" s="5">
        <v>405</v>
      </c>
      <c r="B419" s="5">
        <v>65</v>
      </c>
      <c r="C419" s="6">
        <v>41609</v>
      </c>
      <c r="D419" s="5" t="s">
        <v>32</v>
      </c>
      <c r="E419" s="5" t="s">
        <v>23</v>
      </c>
      <c r="F419" s="5">
        <v>24</v>
      </c>
      <c r="G419" s="5" t="s">
        <v>18</v>
      </c>
      <c r="H419" s="5" t="s">
        <v>19</v>
      </c>
      <c r="I419" s="5" t="s">
        <v>50</v>
      </c>
      <c r="J419" s="5">
        <v>33</v>
      </c>
      <c r="K419" s="5">
        <v>155</v>
      </c>
      <c r="L419" s="5" t="s">
        <v>40</v>
      </c>
      <c r="M419" s="5">
        <v>60</v>
      </c>
      <c r="N419" s="5">
        <v>20</v>
      </c>
      <c r="O419" s="5">
        <v>130</v>
      </c>
      <c r="P419" s="5">
        <v>58</v>
      </c>
      <c r="Q419">
        <f>SUM([1]!Table1[[#This Row],[Sales]])</f>
        <v>155</v>
      </c>
      <c r="R419">
        <f>SUM([1]!Table1[[#This Row],[Profit]])</f>
        <v>33</v>
      </c>
      <c r="S419" s="7">
        <f t="shared" si="48"/>
        <v>0.2129032258064516</v>
      </c>
      <c r="T419">
        <f t="shared" si="49"/>
        <v>24</v>
      </c>
      <c r="U419">
        <f t="shared" si="50"/>
        <v>25</v>
      </c>
      <c r="V419">
        <f t="shared" si="51"/>
        <v>5</v>
      </c>
      <c r="W419">
        <f t="shared" si="52"/>
        <v>1.375</v>
      </c>
      <c r="X419" t="str">
        <f t="shared" si="53"/>
        <v>Low Profit</v>
      </c>
      <c r="Y419">
        <f t="shared" si="54"/>
        <v>65</v>
      </c>
      <c r="Z419">
        <f t="shared" si="55"/>
        <v>155</v>
      </c>
    </row>
    <row r="420" spans="1:26">
      <c r="A420" s="3">
        <v>435</v>
      </c>
      <c r="B420" s="3">
        <v>52</v>
      </c>
      <c r="C420" s="4">
        <v>41609</v>
      </c>
      <c r="D420" s="3" t="s">
        <v>32</v>
      </c>
      <c r="E420" s="3" t="s">
        <v>29</v>
      </c>
      <c r="F420" s="3">
        <v>16</v>
      </c>
      <c r="G420" s="3" t="s">
        <v>18</v>
      </c>
      <c r="H420" s="3" t="s">
        <v>19</v>
      </c>
      <c r="I420" s="3" t="s">
        <v>50</v>
      </c>
      <c r="J420" s="3">
        <v>53</v>
      </c>
      <c r="K420" s="3">
        <v>135</v>
      </c>
      <c r="L420" s="3" t="s">
        <v>42</v>
      </c>
      <c r="M420" s="3">
        <v>40</v>
      </c>
      <c r="N420" s="3">
        <v>40</v>
      </c>
      <c r="O420" s="3">
        <v>110</v>
      </c>
      <c r="P420" s="3">
        <v>39</v>
      </c>
      <c r="Q420">
        <f>SUM([1]!Table1[[#This Row],[Sales]])</f>
        <v>135</v>
      </c>
      <c r="R420">
        <f>SUM([1]!Table1[[#This Row],[Profit]])</f>
        <v>53</v>
      </c>
      <c r="S420" s="7">
        <f t="shared" si="48"/>
        <v>0.3925925925925926</v>
      </c>
      <c r="T420">
        <f t="shared" si="49"/>
        <v>16</v>
      </c>
      <c r="U420">
        <f t="shared" si="50"/>
        <v>25</v>
      </c>
      <c r="V420">
        <f t="shared" si="51"/>
        <v>12</v>
      </c>
      <c r="W420">
        <f t="shared" si="52"/>
        <v>3.3125</v>
      </c>
      <c r="X420" t="str">
        <f t="shared" si="53"/>
        <v>Low Profit</v>
      </c>
      <c r="Y420">
        <f t="shared" si="54"/>
        <v>52</v>
      </c>
      <c r="Z420">
        <f t="shared" si="55"/>
        <v>135</v>
      </c>
    </row>
    <row r="421" spans="1:26">
      <c r="A421" s="5">
        <v>435</v>
      </c>
      <c r="B421" s="5">
        <v>48</v>
      </c>
      <c r="C421" s="6">
        <v>41609</v>
      </c>
      <c r="D421" s="5" t="s">
        <v>32</v>
      </c>
      <c r="E421" s="5" t="s">
        <v>29</v>
      </c>
      <c r="F421" s="5">
        <v>15</v>
      </c>
      <c r="G421" s="5" t="s">
        <v>18</v>
      </c>
      <c r="H421" s="5" t="s">
        <v>19</v>
      </c>
      <c r="I421" s="5" t="s">
        <v>20</v>
      </c>
      <c r="J421" s="5">
        <v>42</v>
      </c>
      <c r="K421" s="5">
        <v>130</v>
      </c>
      <c r="L421" s="5" t="s">
        <v>42</v>
      </c>
      <c r="M421" s="5">
        <v>40</v>
      </c>
      <c r="N421" s="5">
        <v>40</v>
      </c>
      <c r="O421" s="5">
        <v>110</v>
      </c>
      <c r="P421" s="5">
        <v>46</v>
      </c>
      <c r="Q421">
        <f>SUM([1]!Table1[[#This Row],[Sales]])</f>
        <v>130</v>
      </c>
      <c r="R421">
        <f>SUM([1]!Table1[[#This Row],[Profit]])</f>
        <v>42</v>
      </c>
      <c r="S421" s="7">
        <f t="shared" si="48"/>
        <v>0.32307692307692309</v>
      </c>
      <c r="T421">
        <f t="shared" si="49"/>
        <v>15</v>
      </c>
      <c r="U421">
        <f t="shared" si="50"/>
        <v>20</v>
      </c>
      <c r="V421">
        <f t="shared" si="51"/>
        <v>8</v>
      </c>
      <c r="W421">
        <f t="shared" si="52"/>
        <v>2.8</v>
      </c>
      <c r="X421" t="str">
        <f t="shared" si="53"/>
        <v>Low Profit</v>
      </c>
      <c r="Y421">
        <f t="shared" si="54"/>
        <v>48</v>
      </c>
      <c r="Z421">
        <f t="shared" si="55"/>
        <v>130</v>
      </c>
    </row>
    <row r="422" spans="1:26">
      <c r="A422" s="3">
        <v>425</v>
      </c>
      <c r="B422" s="3">
        <v>49</v>
      </c>
      <c r="C422" s="4">
        <v>41609</v>
      </c>
      <c r="D422" s="3" t="s">
        <v>32</v>
      </c>
      <c r="E422" s="3" t="s">
        <v>29</v>
      </c>
      <c r="F422" s="3">
        <v>13</v>
      </c>
      <c r="G422" s="3" t="s">
        <v>18</v>
      </c>
      <c r="H422" s="3" t="s">
        <v>19</v>
      </c>
      <c r="I422" s="3" t="s">
        <v>20</v>
      </c>
      <c r="J422" s="3">
        <v>68</v>
      </c>
      <c r="K422" s="3">
        <v>128</v>
      </c>
      <c r="L422" s="3" t="s">
        <v>53</v>
      </c>
      <c r="M422" s="3">
        <v>40</v>
      </c>
      <c r="N422" s="3">
        <v>50</v>
      </c>
      <c r="O422" s="3">
        <v>110</v>
      </c>
      <c r="P422" s="3">
        <v>25</v>
      </c>
      <c r="Q422">
        <f>SUM([1]!Table1[[#This Row],[Sales]])</f>
        <v>128</v>
      </c>
      <c r="R422">
        <f>SUM([1]!Table1[[#This Row],[Profit]])</f>
        <v>68</v>
      </c>
      <c r="S422" s="7">
        <f t="shared" si="48"/>
        <v>0.53125</v>
      </c>
      <c r="T422">
        <f t="shared" si="49"/>
        <v>13</v>
      </c>
      <c r="U422">
        <f t="shared" si="50"/>
        <v>18</v>
      </c>
      <c r="V422">
        <f t="shared" si="51"/>
        <v>9</v>
      </c>
      <c r="W422">
        <f t="shared" si="52"/>
        <v>5.2307692307692308</v>
      </c>
      <c r="X422" t="str">
        <f t="shared" si="53"/>
        <v>Low Profit</v>
      </c>
      <c r="Y422">
        <f t="shared" si="54"/>
        <v>49</v>
      </c>
      <c r="Z422">
        <f t="shared" si="55"/>
        <v>128</v>
      </c>
    </row>
    <row r="423" spans="1:26">
      <c r="A423" s="5">
        <v>959</v>
      </c>
      <c r="B423" s="5">
        <v>50</v>
      </c>
      <c r="C423" s="6">
        <v>41609</v>
      </c>
      <c r="D423" s="5" t="s">
        <v>32</v>
      </c>
      <c r="E423" s="5" t="s">
        <v>25</v>
      </c>
      <c r="F423" s="5">
        <v>14</v>
      </c>
      <c r="G423" s="5" t="s">
        <v>18</v>
      </c>
      <c r="H423" s="5" t="s">
        <v>26</v>
      </c>
      <c r="I423" s="5" t="s">
        <v>27</v>
      </c>
      <c r="J423" s="5">
        <v>70</v>
      </c>
      <c r="K423" s="5">
        <v>131</v>
      </c>
      <c r="L423" s="5" t="s">
        <v>37</v>
      </c>
      <c r="M423" s="5">
        <v>50</v>
      </c>
      <c r="N423" s="5">
        <v>50</v>
      </c>
      <c r="O423" s="5">
        <v>120</v>
      </c>
      <c r="P423" s="5">
        <v>26</v>
      </c>
      <c r="Q423">
        <f>SUM([1]!Table1[[#This Row],[Sales]])</f>
        <v>131</v>
      </c>
      <c r="R423">
        <f>SUM([1]!Table1[[#This Row],[Profit]])</f>
        <v>70</v>
      </c>
      <c r="S423" s="7">
        <f t="shared" si="48"/>
        <v>0.53435114503816794</v>
      </c>
      <c r="T423">
        <f t="shared" si="49"/>
        <v>14</v>
      </c>
      <c r="U423">
        <f t="shared" si="50"/>
        <v>11</v>
      </c>
      <c r="V423">
        <f t="shared" si="51"/>
        <v>0</v>
      </c>
      <c r="W423">
        <f t="shared" si="52"/>
        <v>5</v>
      </c>
      <c r="X423" t="str">
        <f t="shared" si="53"/>
        <v>Low Profit</v>
      </c>
      <c r="Y423">
        <f t="shared" si="54"/>
        <v>50</v>
      </c>
      <c r="Z423">
        <f t="shared" si="55"/>
        <v>131</v>
      </c>
    </row>
    <row r="424" spans="1:26">
      <c r="A424" s="3">
        <v>937</v>
      </c>
      <c r="B424" s="3">
        <v>21</v>
      </c>
      <c r="C424" s="4">
        <v>41183</v>
      </c>
      <c r="D424" s="3" t="s">
        <v>16</v>
      </c>
      <c r="E424" s="3" t="s">
        <v>17</v>
      </c>
      <c r="F424" s="3">
        <v>5</v>
      </c>
      <c r="G424" s="3" t="s">
        <v>18</v>
      </c>
      <c r="H424" s="3" t="s">
        <v>19</v>
      </c>
      <c r="I424" s="3" t="s">
        <v>50</v>
      </c>
      <c r="J424" s="3">
        <v>16</v>
      </c>
      <c r="K424" s="3">
        <v>53</v>
      </c>
      <c r="L424" s="3" t="s">
        <v>58</v>
      </c>
      <c r="M424" s="3">
        <v>0</v>
      </c>
      <c r="N424" s="3">
        <v>30</v>
      </c>
      <c r="O424" s="3">
        <v>30</v>
      </c>
      <c r="P424" s="3">
        <v>16</v>
      </c>
      <c r="Q424">
        <f>SUM([1]!Table1[[#This Row],[Sales]])</f>
        <v>53</v>
      </c>
      <c r="R424">
        <f>SUM([1]!Table1[[#This Row],[Profit]])</f>
        <v>16</v>
      </c>
      <c r="S424" s="7">
        <f t="shared" si="48"/>
        <v>0.30188679245283018</v>
      </c>
      <c r="T424">
        <f t="shared" si="49"/>
        <v>5</v>
      </c>
      <c r="U424">
        <f t="shared" si="50"/>
        <v>23</v>
      </c>
      <c r="V424">
        <f t="shared" si="51"/>
        <v>21</v>
      </c>
      <c r="W424">
        <f t="shared" si="52"/>
        <v>3.2</v>
      </c>
      <c r="X424" t="str">
        <f t="shared" si="53"/>
        <v>Low Profit</v>
      </c>
      <c r="Y424">
        <f t="shared" si="54"/>
        <v>21</v>
      </c>
      <c r="Z424">
        <f t="shared" si="55"/>
        <v>53</v>
      </c>
    </row>
    <row r="425" spans="1:26">
      <c r="A425" s="5">
        <v>513</v>
      </c>
      <c r="B425" s="5">
        <v>27</v>
      </c>
      <c r="C425" s="6">
        <v>41183</v>
      </c>
      <c r="D425" s="5" t="s">
        <v>16</v>
      </c>
      <c r="E425" s="5" t="s">
        <v>17</v>
      </c>
      <c r="F425" s="5">
        <v>7</v>
      </c>
      <c r="G425" s="5" t="s">
        <v>18</v>
      </c>
      <c r="H425" s="5" t="s">
        <v>19</v>
      </c>
      <c r="I425" s="5" t="s">
        <v>20</v>
      </c>
      <c r="J425" s="5">
        <v>20</v>
      </c>
      <c r="K425" s="5">
        <v>66</v>
      </c>
      <c r="L425" s="5" t="s">
        <v>58</v>
      </c>
      <c r="M425" s="5">
        <v>10</v>
      </c>
      <c r="N425" s="5">
        <v>30</v>
      </c>
      <c r="O425" s="5">
        <v>40</v>
      </c>
      <c r="P425" s="5">
        <v>19</v>
      </c>
      <c r="Q425">
        <f>SUM([1]!Table1[[#This Row],[Sales]])</f>
        <v>66</v>
      </c>
      <c r="R425">
        <f>SUM([1]!Table1[[#This Row],[Profit]])</f>
        <v>20</v>
      </c>
      <c r="S425" s="7">
        <f t="shared" si="48"/>
        <v>0.30303030303030304</v>
      </c>
      <c r="T425">
        <f t="shared" si="49"/>
        <v>7</v>
      </c>
      <c r="U425">
        <f t="shared" si="50"/>
        <v>26</v>
      </c>
      <c r="V425">
        <f t="shared" si="51"/>
        <v>17</v>
      </c>
      <c r="W425">
        <f t="shared" si="52"/>
        <v>2.8571428571428572</v>
      </c>
      <c r="X425" t="str">
        <f t="shared" si="53"/>
        <v>Low Profit</v>
      </c>
      <c r="Y425">
        <f t="shared" si="54"/>
        <v>27</v>
      </c>
      <c r="Z425">
        <f t="shared" si="55"/>
        <v>66</v>
      </c>
    </row>
    <row r="426" spans="1:26">
      <c r="A426" s="3">
        <v>850</v>
      </c>
      <c r="B426" s="3">
        <v>56</v>
      </c>
      <c r="C426" s="4">
        <v>41183</v>
      </c>
      <c r="D426" s="3" t="s">
        <v>16</v>
      </c>
      <c r="E426" s="3" t="s">
        <v>25</v>
      </c>
      <c r="F426" s="3">
        <v>21</v>
      </c>
      <c r="G426" s="3" t="s">
        <v>18</v>
      </c>
      <c r="H426" s="3" t="s">
        <v>19</v>
      </c>
      <c r="I426" s="3" t="s">
        <v>20</v>
      </c>
      <c r="J426" s="3">
        <v>16</v>
      </c>
      <c r="K426" s="3">
        <v>126</v>
      </c>
      <c r="L426" s="3" t="s">
        <v>28</v>
      </c>
      <c r="M426" s="3">
        <v>30</v>
      </c>
      <c r="N426" s="3">
        <v>20</v>
      </c>
      <c r="O426" s="3">
        <v>60</v>
      </c>
      <c r="P426" s="3">
        <v>54</v>
      </c>
      <c r="Q426">
        <f>SUM([1]!Table1[[#This Row],[Sales]])</f>
        <v>126</v>
      </c>
      <c r="R426">
        <f>SUM([1]!Table1[[#This Row],[Profit]])</f>
        <v>16</v>
      </c>
      <c r="S426" s="7">
        <f t="shared" si="48"/>
        <v>0.12698412698412698</v>
      </c>
      <c r="T426">
        <f t="shared" si="49"/>
        <v>21</v>
      </c>
      <c r="U426">
        <f t="shared" si="50"/>
        <v>66</v>
      </c>
      <c r="V426">
        <f t="shared" si="51"/>
        <v>26</v>
      </c>
      <c r="W426">
        <f t="shared" si="52"/>
        <v>0.76190476190476186</v>
      </c>
      <c r="X426" t="str">
        <f t="shared" si="53"/>
        <v>Low Profit</v>
      </c>
      <c r="Y426">
        <f t="shared" si="54"/>
        <v>56</v>
      </c>
      <c r="Z426">
        <f t="shared" si="55"/>
        <v>126</v>
      </c>
    </row>
    <row r="427" spans="1:26">
      <c r="A427" s="5">
        <v>781</v>
      </c>
      <c r="B427" s="5">
        <v>54</v>
      </c>
      <c r="C427" s="6">
        <v>41183</v>
      </c>
      <c r="D427" s="5" t="s">
        <v>16</v>
      </c>
      <c r="E427" s="5" t="s">
        <v>25</v>
      </c>
      <c r="F427" s="5">
        <v>20</v>
      </c>
      <c r="G427" s="5" t="s">
        <v>18</v>
      </c>
      <c r="H427" s="5" t="s">
        <v>19</v>
      </c>
      <c r="I427" s="5" t="s">
        <v>20</v>
      </c>
      <c r="J427" s="5">
        <v>13</v>
      </c>
      <c r="K427" s="5">
        <v>120</v>
      </c>
      <c r="L427" s="5" t="s">
        <v>55</v>
      </c>
      <c r="M427" s="5">
        <v>30</v>
      </c>
      <c r="N427" s="5">
        <v>20</v>
      </c>
      <c r="O427" s="5">
        <v>60</v>
      </c>
      <c r="P427" s="5">
        <v>53</v>
      </c>
      <c r="Q427">
        <f>SUM([1]!Table1[[#This Row],[Sales]])</f>
        <v>120</v>
      </c>
      <c r="R427">
        <f>SUM([1]!Table1[[#This Row],[Profit]])</f>
        <v>13</v>
      </c>
      <c r="S427" s="7">
        <f t="shared" si="48"/>
        <v>0.10833333333333334</v>
      </c>
      <c r="T427">
        <f t="shared" si="49"/>
        <v>20</v>
      </c>
      <c r="U427">
        <f t="shared" si="50"/>
        <v>60</v>
      </c>
      <c r="V427">
        <f t="shared" si="51"/>
        <v>24</v>
      </c>
      <c r="W427">
        <f t="shared" si="52"/>
        <v>0.65</v>
      </c>
      <c r="X427" t="str">
        <f t="shared" si="53"/>
        <v>Low Profit</v>
      </c>
      <c r="Y427">
        <f t="shared" si="54"/>
        <v>54</v>
      </c>
      <c r="Z427">
        <f t="shared" si="55"/>
        <v>120</v>
      </c>
    </row>
    <row r="428" spans="1:26">
      <c r="A428" s="3">
        <v>413</v>
      </c>
      <c r="B428" s="3">
        <v>21</v>
      </c>
      <c r="C428" s="4">
        <v>41183</v>
      </c>
      <c r="D428" s="3" t="s">
        <v>16</v>
      </c>
      <c r="E428" s="3" t="s">
        <v>25</v>
      </c>
      <c r="F428" s="3">
        <v>5</v>
      </c>
      <c r="G428" s="3" t="s">
        <v>18</v>
      </c>
      <c r="H428" s="3" t="s">
        <v>26</v>
      </c>
      <c r="I428" s="3" t="s">
        <v>30</v>
      </c>
      <c r="J428" s="3">
        <v>15</v>
      </c>
      <c r="K428" s="3">
        <v>53</v>
      </c>
      <c r="L428" s="3" t="s">
        <v>55</v>
      </c>
      <c r="M428" s="3">
        <v>20</v>
      </c>
      <c r="N428" s="3">
        <v>30</v>
      </c>
      <c r="O428" s="3">
        <v>50</v>
      </c>
      <c r="P428" s="3">
        <v>17</v>
      </c>
      <c r="Q428">
        <f>SUM([1]!Table1[[#This Row],[Sales]])</f>
        <v>53</v>
      </c>
      <c r="R428">
        <f>SUM([1]!Table1[[#This Row],[Profit]])</f>
        <v>15</v>
      </c>
      <c r="S428" s="7">
        <f t="shared" si="48"/>
        <v>0.28301886792452829</v>
      </c>
      <c r="T428">
        <f t="shared" si="49"/>
        <v>5</v>
      </c>
      <c r="U428">
        <f t="shared" si="50"/>
        <v>3</v>
      </c>
      <c r="V428">
        <f t="shared" si="51"/>
        <v>1</v>
      </c>
      <c r="W428">
        <f t="shared" si="52"/>
        <v>3</v>
      </c>
      <c r="X428" t="str">
        <f t="shared" si="53"/>
        <v>Low Profit</v>
      </c>
      <c r="Y428">
        <f t="shared" si="54"/>
        <v>21</v>
      </c>
      <c r="Z428">
        <f t="shared" si="55"/>
        <v>53</v>
      </c>
    </row>
    <row r="429" spans="1:26">
      <c r="A429" s="5">
        <v>505</v>
      </c>
      <c r="B429" s="5">
        <v>39</v>
      </c>
      <c r="C429" s="6">
        <v>41183</v>
      </c>
      <c r="D429" s="5" t="s">
        <v>32</v>
      </c>
      <c r="E429" s="5" t="s">
        <v>23</v>
      </c>
      <c r="F429" s="5">
        <v>12</v>
      </c>
      <c r="G429" s="5" t="s">
        <v>33</v>
      </c>
      <c r="H429" s="5" t="s">
        <v>34</v>
      </c>
      <c r="I429" s="5" t="s">
        <v>35</v>
      </c>
      <c r="J429" s="5">
        <v>14</v>
      </c>
      <c r="K429" s="5">
        <v>92</v>
      </c>
      <c r="L429" s="5" t="s">
        <v>57</v>
      </c>
      <c r="M429" s="5">
        <v>20</v>
      </c>
      <c r="N429" s="5">
        <v>20</v>
      </c>
      <c r="O429" s="5">
        <v>50</v>
      </c>
      <c r="P429" s="5">
        <v>39</v>
      </c>
      <c r="Q429">
        <f>SUM([1]!Table1[[#This Row],[Sales]])</f>
        <v>92</v>
      </c>
      <c r="R429">
        <f>SUM([1]!Table1[[#This Row],[Profit]])</f>
        <v>14</v>
      </c>
      <c r="S429" s="7">
        <f t="shared" si="48"/>
        <v>0.15217391304347827</v>
      </c>
      <c r="T429">
        <f t="shared" si="49"/>
        <v>12</v>
      </c>
      <c r="U429">
        <f t="shared" si="50"/>
        <v>42</v>
      </c>
      <c r="V429">
        <f t="shared" si="51"/>
        <v>19</v>
      </c>
      <c r="W429">
        <f t="shared" si="52"/>
        <v>1.1666666666666667</v>
      </c>
      <c r="X429" t="str">
        <f t="shared" si="53"/>
        <v>Low Profit</v>
      </c>
      <c r="Y429">
        <f t="shared" si="54"/>
        <v>39</v>
      </c>
      <c r="Z429">
        <f t="shared" si="55"/>
        <v>92</v>
      </c>
    </row>
    <row r="430" spans="1:26">
      <c r="A430" s="3">
        <v>702</v>
      </c>
      <c r="B430" s="3">
        <v>23</v>
      </c>
      <c r="C430" s="4">
        <v>41183</v>
      </c>
      <c r="D430" s="3" t="s">
        <v>32</v>
      </c>
      <c r="E430" s="3" t="s">
        <v>29</v>
      </c>
      <c r="F430" s="3">
        <v>6</v>
      </c>
      <c r="G430" s="3" t="s">
        <v>33</v>
      </c>
      <c r="H430" s="3" t="s">
        <v>34</v>
      </c>
      <c r="I430" s="3" t="s">
        <v>35</v>
      </c>
      <c r="J430" s="3">
        <v>17</v>
      </c>
      <c r="K430" s="3">
        <v>58</v>
      </c>
      <c r="L430" s="3" t="s">
        <v>41</v>
      </c>
      <c r="M430" s="3">
        <v>10</v>
      </c>
      <c r="N430" s="3">
        <v>30</v>
      </c>
      <c r="O430" s="3">
        <v>40</v>
      </c>
      <c r="P430" s="3">
        <v>18</v>
      </c>
      <c r="Q430">
        <f>SUM([1]!Table1[[#This Row],[Sales]])</f>
        <v>58</v>
      </c>
      <c r="R430">
        <f>SUM([1]!Table1[[#This Row],[Profit]])</f>
        <v>17</v>
      </c>
      <c r="S430" s="7">
        <f t="shared" si="48"/>
        <v>0.29310344827586204</v>
      </c>
      <c r="T430">
        <f t="shared" si="49"/>
        <v>6</v>
      </c>
      <c r="U430">
        <f t="shared" si="50"/>
        <v>18</v>
      </c>
      <c r="V430">
        <f t="shared" si="51"/>
        <v>13</v>
      </c>
      <c r="W430">
        <f t="shared" si="52"/>
        <v>2.8333333333333335</v>
      </c>
      <c r="X430" t="str">
        <f t="shared" si="53"/>
        <v>Low Profit</v>
      </c>
      <c r="Y430">
        <f t="shared" si="54"/>
        <v>23</v>
      </c>
      <c r="Z430">
        <f t="shared" si="55"/>
        <v>58</v>
      </c>
    </row>
    <row r="431" spans="1:26">
      <c r="A431" s="5">
        <v>563</v>
      </c>
      <c r="B431" s="5">
        <v>21</v>
      </c>
      <c r="C431" s="6">
        <v>41183</v>
      </c>
      <c r="D431" s="5" t="s">
        <v>32</v>
      </c>
      <c r="E431" s="5" t="s">
        <v>17</v>
      </c>
      <c r="F431" s="5">
        <v>5</v>
      </c>
      <c r="G431" s="5" t="s">
        <v>33</v>
      </c>
      <c r="H431" s="5" t="s">
        <v>38</v>
      </c>
      <c r="I431" s="5" t="s">
        <v>43</v>
      </c>
      <c r="J431" s="5">
        <v>15</v>
      </c>
      <c r="K431" s="5">
        <v>52</v>
      </c>
      <c r="L431" s="5" t="s">
        <v>36</v>
      </c>
      <c r="M431" s="5">
        <v>10</v>
      </c>
      <c r="N431" s="5">
        <v>30</v>
      </c>
      <c r="O431" s="5">
        <v>40</v>
      </c>
      <c r="P431" s="5">
        <v>16</v>
      </c>
      <c r="Q431">
        <f>SUM([1]!Table1[[#This Row],[Sales]])</f>
        <v>52</v>
      </c>
      <c r="R431">
        <f>SUM([1]!Table1[[#This Row],[Profit]])</f>
        <v>15</v>
      </c>
      <c r="S431" s="7">
        <f t="shared" si="48"/>
        <v>0.28846153846153844</v>
      </c>
      <c r="T431">
        <f t="shared" si="49"/>
        <v>5</v>
      </c>
      <c r="U431">
        <f t="shared" si="50"/>
        <v>12</v>
      </c>
      <c r="V431">
        <f t="shared" si="51"/>
        <v>11</v>
      </c>
      <c r="W431">
        <f t="shared" si="52"/>
        <v>3</v>
      </c>
      <c r="X431" t="str">
        <f t="shared" si="53"/>
        <v>Low Profit</v>
      </c>
      <c r="Y431">
        <f t="shared" si="54"/>
        <v>21</v>
      </c>
      <c r="Z431">
        <f t="shared" si="55"/>
        <v>52</v>
      </c>
    </row>
    <row r="432" spans="1:26">
      <c r="A432" s="3">
        <v>603</v>
      </c>
      <c r="B432" s="3">
        <v>25</v>
      </c>
      <c r="C432" s="4">
        <v>41183</v>
      </c>
      <c r="D432" s="3" t="s">
        <v>32</v>
      </c>
      <c r="E432" s="3" t="s">
        <v>25</v>
      </c>
      <c r="F432" s="3">
        <v>9</v>
      </c>
      <c r="G432" s="3" t="s">
        <v>33</v>
      </c>
      <c r="H432" s="3" t="s">
        <v>34</v>
      </c>
      <c r="I432" s="3" t="s">
        <v>59</v>
      </c>
      <c r="J432" s="3">
        <v>-12</v>
      </c>
      <c r="K432" s="3">
        <v>56</v>
      </c>
      <c r="L432" s="3" t="s">
        <v>44</v>
      </c>
      <c r="M432" s="3">
        <v>10</v>
      </c>
      <c r="N432" s="3">
        <v>10</v>
      </c>
      <c r="O432" s="3">
        <v>40</v>
      </c>
      <c r="P432" s="3">
        <v>43</v>
      </c>
      <c r="Q432">
        <f>SUM([1]!Table1[[#This Row],[Sales]])</f>
        <v>56</v>
      </c>
      <c r="R432">
        <f>SUM([1]!Table1[[#This Row],[Profit]])</f>
        <v>-12</v>
      </c>
      <c r="S432" s="7">
        <f t="shared" si="48"/>
        <v>-0.21428571428571427</v>
      </c>
      <c r="T432">
        <f t="shared" si="49"/>
        <v>9</v>
      </c>
      <c r="U432">
        <f t="shared" si="50"/>
        <v>16</v>
      </c>
      <c r="V432">
        <f t="shared" si="51"/>
        <v>15</v>
      </c>
      <c r="W432">
        <f t="shared" si="52"/>
        <v>-1.3333333333333333</v>
      </c>
      <c r="X432" t="str">
        <f t="shared" si="53"/>
        <v>Low Profit</v>
      </c>
      <c r="Y432">
        <f t="shared" si="54"/>
        <v>25</v>
      </c>
      <c r="Z432">
        <f t="shared" si="55"/>
        <v>56</v>
      </c>
    </row>
    <row r="433" spans="1:26">
      <c r="A433" s="5">
        <v>405</v>
      </c>
      <c r="B433" s="5">
        <v>21</v>
      </c>
      <c r="C433" s="6">
        <v>41183</v>
      </c>
      <c r="D433" s="5" t="s">
        <v>32</v>
      </c>
      <c r="E433" s="5" t="s">
        <v>23</v>
      </c>
      <c r="F433" s="5">
        <v>5</v>
      </c>
      <c r="G433" s="5" t="s">
        <v>33</v>
      </c>
      <c r="H433" s="5" t="s">
        <v>34</v>
      </c>
      <c r="I433" s="5" t="s">
        <v>46</v>
      </c>
      <c r="J433" s="5">
        <v>15</v>
      </c>
      <c r="K433" s="5">
        <v>53</v>
      </c>
      <c r="L433" s="5" t="s">
        <v>40</v>
      </c>
      <c r="M433" s="5">
        <v>0</v>
      </c>
      <c r="N433" s="5">
        <v>30</v>
      </c>
      <c r="O433" s="5">
        <v>30</v>
      </c>
      <c r="P433" s="5">
        <v>17</v>
      </c>
      <c r="Q433">
        <f>SUM([1]!Table1[[#This Row],[Sales]])</f>
        <v>53</v>
      </c>
      <c r="R433">
        <f>SUM([1]!Table1[[#This Row],[Profit]])</f>
        <v>15</v>
      </c>
      <c r="S433" s="7">
        <f t="shared" si="48"/>
        <v>0.28301886792452829</v>
      </c>
      <c r="T433">
        <f t="shared" si="49"/>
        <v>5</v>
      </c>
      <c r="U433">
        <f t="shared" si="50"/>
        <v>23</v>
      </c>
      <c r="V433">
        <f t="shared" si="51"/>
        <v>21</v>
      </c>
      <c r="W433">
        <f t="shared" si="52"/>
        <v>3</v>
      </c>
      <c r="X433" t="str">
        <f t="shared" si="53"/>
        <v>Low Profit</v>
      </c>
      <c r="Y433">
        <f t="shared" si="54"/>
        <v>21</v>
      </c>
      <c r="Z433">
        <f t="shared" si="55"/>
        <v>53</v>
      </c>
    </row>
    <row r="434" spans="1:26">
      <c r="A434" s="3">
        <v>702</v>
      </c>
      <c r="B434" s="3">
        <v>0</v>
      </c>
      <c r="C434" s="4">
        <v>41183</v>
      </c>
      <c r="D434" s="3" t="s">
        <v>32</v>
      </c>
      <c r="E434" s="3" t="s">
        <v>29</v>
      </c>
      <c r="F434" s="3">
        <v>0</v>
      </c>
      <c r="G434" s="3" t="s">
        <v>33</v>
      </c>
      <c r="H434" s="3" t="s">
        <v>34</v>
      </c>
      <c r="I434" s="3" t="s">
        <v>47</v>
      </c>
      <c r="J434" s="3">
        <v>32</v>
      </c>
      <c r="K434" s="3">
        <v>43</v>
      </c>
      <c r="L434" s="3" t="s">
        <v>41</v>
      </c>
      <c r="M434" s="3">
        <v>0</v>
      </c>
      <c r="N434" s="3">
        <v>30</v>
      </c>
      <c r="O434" s="3">
        <v>30</v>
      </c>
      <c r="P434" s="3">
        <v>11</v>
      </c>
      <c r="Q434">
        <f>SUM([1]!Table1[[#This Row],[Sales]])</f>
        <v>43</v>
      </c>
      <c r="R434">
        <f>SUM([1]!Table1[[#This Row],[Profit]])</f>
        <v>32</v>
      </c>
      <c r="S434" s="7">
        <f t="shared" si="48"/>
        <v>0.7441860465116279</v>
      </c>
      <c r="T434">
        <f t="shared" si="49"/>
        <v>0</v>
      </c>
      <c r="U434">
        <f t="shared" si="50"/>
        <v>13</v>
      </c>
      <c r="V434">
        <f t="shared" si="51"/>
        <v>0</v>
      </c>
      <c r="W434" t="e">
        <f t="shared" si="52"/>
        <v>#DIV/0!</v>
      </c>
      <c r="X434" t="str">
        <f t="shared" si="53"/>
        <v>Low Profit</v>
      </c>
      <c r="Y434">
        <f t="shared" si="54"/>
        <v>0</v>
      </c>
      <c r="Z434">
        <f t="shared" si="55"/>
        <v>43</v>
      </c>
    </row>
    <row r="435" spans="1:26">
      <c r="A435" s="5">
        <v>603</v>
      </c>
      <c r="B435" s="5">
        <v>34</v>
      </c>
      <c r="C435" s="6">
        <v>41183</v>
      </c>
      <c r="D435" s="5" t="s">
        <v>32</v>
      </c>
      <c r="E435" s="5" t="s">
        <v>25</v>
      </c>
      <c r="F435" s="5">
        <v>12</v>
      </c>
      <c r="G435" s="5" t="s">
        <v>18</v>
      </c>
      <c r="H435" s="5" t="s">
        <v>19</v>
      </c>
      <c r="I435" s="5" t="s">
        <v>20</v>
      </c>
      <c r="J435" s="5">
        <v>-3</v>
      </c>
      <c r="K435" s="5">
        <v>77</v>
      </c>
      <c r="L435" s="5" t="s">
        <v>44</v>
      </c>
      <c r="M435" s="5">
        <v>10</v>
      </c>
      <c r="N435" s="5">
        <v>20</v>
      </c>
      <c r="O435" s="5">
        <v>40</v>
      </c>
      <c r="P435" s="5">
        <v>46</v>
      </c>
      <c r="Q435">
        <f>SUM([1]!Table1[[#This Row],[Sales]])</f>
        <v>77</v>
      </c>
      <c r="R435">
        <f>SUM([1]!Table1[[#This Row],[Profit]])</f>
        <v>-3</v>
      </c>
      <c r="S435" s="7">
        <f t="shared" si="48"/>
        <v>-3.896103896103896E-2</v>
      </c>
      <c r="T435">
        <f t="shared" si="49"/>
        <v>12</v>
      </c>
      <c r="U435">
        <f t="shared" si="50"/>
        <v>37</v>
      </c>
      <c r="V435">
        <f t="shared" si="51"/>
        <v>24</v>
      </c>
      <c r="W435">
        <f t="shared" si="52"/>
        <v>-0.25</v>
      </c>
      <c r="X435" t="str">
        <f t="shared" si="53"/>
        <v>Low Profit</v>
      </c>
      <c r="Y435">
        <f t="shared" si="54"/>
        <v>34</v>
      </c>
      <c r="Z435">
        <f t="shared" si="55"/>
        <v>77</v>
      </c>
    </row>
    <row r="436" spans="1:26">
      <c r="A436" s="3">
        <v>505</v>
      </c>
      <c r="B436" s="3">
        <v>21</v>
      </c>
      <c r="C436" s="4">
        <v>41183</v>
      </c>
      <c r="D436" s="3" t="s">
        <v>32</v>
      </c>
      <c r="E436" s="3" t="s">
        <v>23</v>
      </c>
      <c r="F436" s="3">
        <v>5</v>
      </c>
      <c r="G436" s="3" t="s">
        <v>18</v>
      </c>
      <c r="H436" s="3" t="s">
        <v>19</v>
      </c>
      <c r="I436" s="3" t="s">
        <v>50</v>
      </c>
      <c r="J436" s="3">
        <v>14</v>
      </c>
      <c r="K436" s="3">
        <v>52</v>
      </c>
      <c r="L436" s="3" t="s">
        <v>57</v>
      </c>
      <c r="M436" s="3">
        <v>10</v>
      </c>
      <c r="N436" s="3">
        <v>30</v>
      </c>
      <c r="O436" s="3">
        <v>40</v>
      </c>
      <c r="P436" s="3">
        <v>17</v>
      </c>
      <c r="Q436">
        <f>SUM([1]!Table1[[#This Row],[Sales]])</f>
        <v>52</v>
      </c>
      <c r="R436">
        <f>SUM([1]!Table1[[#This Row],[Profit]])</f>
        <v>14</v>
      </c>
      <c r="S436" s="7">
        <f t="shared" si="48"/>
        <v>0.26923076923076922</v>
      </c>
      <c r="T436">
        <f t="shared" si="49"/>
        <v>5</v>
      </c>
      <c r="U436">
        <f t="shared" si="50"/>
        <v>12</v>
      </c>
      <c r="V436">
        <f t="shared" si="51"/>
        <v>11</v>
      </c>
      <c r="W436">
        <f t="shared" si="52"/>
        <v>2.8</v>
      </c>
      <c r="X436" t="str">
        <f t="shared" si="53"/>
        <v>Low Profit</v>
      </c>
      <c r="Y436">
        <f t="shared" si="54"/>
        <v>21</v>
      </c>
      <c r="Z436">
        <f t="shared" si="55"/>
        <v>52</v>
      </c>
    </row>
    <row r="437" spans="1:26">
      <c r="A437" s="5">
        <v>971</v>
      </c>
      <c r="B437" s="5">
        <v>25</v>
      </c>
      <c r="C437" s="6">
        <v>41183</v>
      </c>
      <c r="D437" s="5" t="s">
        <v>32</v>
      </c>
      <c r="E437" s="5" t="s">
        <v>29</v>
      </c>
      <c r="F437" s="5">
        <v>7</v>
      </c>
      <c r="G437" s="5" t="s">
        <v>18</v>
      </c>
      <c r="H437" s="5" t="s">
        <v>19</v>
      </c>
      <c r="I437" s="5" t="s">
        <v>50</v>
      </c>
      <c r="J437" s="5">
        <v>17</v>
      </c>
      <c r="K437" s="5">
        <v>61</v>
      </c>
      <c r="L437" s="5" t="s">
        <v>49</v>
      </c>
      <c r="M437" s="5">
        <v>10</v>
      </c>
      <c r="N437" s="5">
        <v>30</v>
      </c>
      <c r="O437" s="5">
        <v>40</v>
      </c>
      <c r="P437" s="5">
        <v>19</v>
      </c>
      <c r="Q437">
        <f>SUM([1]!Table1[[#This Row],[Sales]])</f>
        <v>61</v>
      </c>
      <c r="R437">
        <f>SUM([1]!Table1[[#This Row],[Profit]])</f>
        <v>17</v>
      </c>
      <c r="S437" s="7">
        <f t="shared" si="48"/>
        <v>0.27868852459016391</v>
      </c>
      <c r="T437">
        <f t="shared" si="49"/>
        <v>7</v>
      </c>
      <c r="U437">
        <f t="shared" si="50"/>
        <v>21</v>
      </c>
      <c r="V437">
        <f t="shared" si="51"/>
        <v>15</v>
      </c>
      <c r="W437">
        <f t="shared" si="52"/>
        <v>2.4285714285714284</v>
      </c>
      <c r="X437" t="str">
        <f t="shared" si="53"/>
        <v>Low Profit</v>
      </c>
      <c r="Y437">
        <f t="shared" si="54"/>
        <v>25</v>
      </c>
      <c r="Z437">
        <f t="shared" si="55"/>
        <v>61</v>
      </c>
    </row>
    <row r="438" spans="1:26">
      <c r="A438" s="3">
        <v>314</v>
      </c>
      <c r="B438" s="3">
        <v>34</v>
      </c>
      <c r="C438" s="4">
        <v>41183</v>
      </c>
      <c r="D438" s="3" t="s">
        <v>32</v>
      </c>
      <c r="E438" s="3" t="s">
        <v>17</v>
      </c>
      <c r="F438" s="3">
        <v>12</v>
      </c>
      <c r="G438" s="3" t="s">
        <v>18</v>
      </c>
      <c r="H438" s="3" t="s">
        <v>26</v>
      </c>
      <c r="I438" s="3" t="s">
        <v>30</v>
      </c>
      <c r="J438" s="3">
        <v>-3</v>
      </c>
      <c r="K438" s="3">
        <v>77</v>
      </c>
      <c r="L438" s="3" t="s">
        <v>51</v>
      </c>
      <c r="M438" s="3">
        <v>10</v>
      </c>
      <c r="N438" s="3">
        <v>10</v>
      </c>
      <c r="O438" s="3">
        <v>40</v>
      </c>
      <c r="P438" s="3">
        <v>46</v>
      </c>
      <c r="Q438">
        <f>SUM([1]!Table1[[#This Row],[Sales]])</f>
        <v>77</v>
      </c>
      <c r="R438">
        <f>SUM([1]!Table1[[#This Row],[Profit]])</f>
        <v>-3</v>
      </c>
      <c r="S438" s="7">
        <f t="shared" si="48"/>
        <v>-3.896103896103896E-2</v>
      </c>
      <c r="T438">
        <f t="shared" si="49"/>
        <v>12</v>
      </c>
      <c r="U438">
        <f t="shared" si="50"/>
        <v>37</v>
      </c>
      <c r="V438">
        <f t="shared" si="51"/>
        <v>24</v>
      </c>
      <c r="W438">
        <f t="shared" si="52"/>
        <v>-0.25</v>
      </c>
      <c r="X438" t="str">
        <f t="shared" si="53"/>
        <v>Low Profit</v>
      </c>
      <c r="Y438">
        <f t="shared" si="54"/>
        <v>34</v>
      </c>
      <c r="Z438">
        <f t="shared" si="55"/>
        <v>77</v>
      </c>
    </row>
    <row r="439" spans="1:26">
      <c r="A439" s="5">
        <v>603</v>
      </c>
      <c r="B439" s="5">
        <v>21</v>
      </c>
      <c r="C439" s="6">
        <v>41183</v>
      </c>
      <c r="D439" s="5" t="s">
        <v>32</v>
      </c>
      <c r="E439" s="5" t="s">
        <v>25</v>
      </c>
      <c r="F439" s="5">
        <v>5</v>
      </c>
      <c r="G439" s="5" t="s">
        <v>18</v>
      </c>
      <c r="H439" s="5" t="s">
        <v>26</v>
      </c>
      <c r="I439" s="5" t="s">
        <v>27</v>
      </c>
      <c r="J439" s="5">
        <v>14</v>
      </c>
      <c r="K439" s="5">
        <v>52</v>
      </c>
      <c r="L439" s="5" t="s">
        <v>44</v>
      </c>
      <c r="M439" s="5">
        <v>20</v>
      </c>
      <c r="N439" s="5">
        <v>30</v>
      </c>
      <c r="O439" s="5">
        <v>50</v>
      </c>
      <c r="P439" s="5">
        <v>17</v>
      </c>
      <c r="Q439">
        <f>SUM([1]!Table1[[#This Row],[Sales]])</f>
        <v>52</v>
      </c>
      <c r="R439">
        <f>SUM([1]!Table1[[#This Row],[Profit]])</f>
        <v>14</v>
      </c>
      <c r="S439" s="7">
        <f t="shared" si="48"/>
        <v>0.26923076923076922</v>
      </c>
      <c r="T439">
        <f t="shared" si="49"/>
        <v>5</v>
      </c>
      <c r="U439">
        <f t="shared" si="50"/>
        <v>2</v>
      </c>
      <c r="V439">
        <f t="shared" si="51"/>
        <v>1</v>
      </c>
      <c r="W439">
        <f t="shared" si="52"/>
        <v>2.8</v>
      </c>
      <c r="X439" t="str">
        <f t="shared" si="53"/>
        <v>Low Profit</v>
      </c>
      <c r="Y439">
        <f t="shared" si="54"/>
        <v>21</v>
      </c>
      <c r="Z439">
        <f t="shared" si="55"/>
        <v>52</v>
      </c>
    </row>
    <row r="440" spans="1:26">
      <c r="A440" s="3">
        <v>435</v>
      </c>
      <c r="B440" s="3">
        <v>39</v>
      </c>
      <c r="C440" s="4">
        <v>41183</v>
      </c>
      <c r="D440" s="3" t="s">
        <v>32</v>
      </c>
      <c r="E440" s="3" t="s">
        <v>29</v>
      </c>
      <c r="F440" s="3">
        <v>12</v>
      </c>
      <c r="G440" s="3" t="s">
        <v>18</v>
      </c>
      <c r="H440" s="3" t="s">
        <v>26</v>
      </c>
      <c r="I440" s="3" t="s">
        <v>54</v>
      </c>
      <c r="J440" s="3">
        <v>14</v>
      </c>
      <c r="K440" s="3">
        <v>92</v>
      </c>
      <c r="L440" s="3" t="s">
        <v>42</v>
      </c>
      <c r="M440" s="3">
        <v>10</v>
      </c>
      <c r="N440" s="3">
        <v>20</v>
      </c>
      <c r="O440" s="3">
        <v>40</v>
      </c>
      <c r="P440" s="3">
        <v>39</v>
      </c>
      <c r="Q440">
        <f>SUM([1]!Table1[[#This Row],[Sales]])</f>
        <v>92</v>
      </c>
      <c r="R440">
        <f>SUM([1]!Table1[[#This Row],[Profit]])</f>
        <v>14</v>
      </c>
      <c r="S440" s="7">
        <f t="shared" si="48"/>
        <v>0.15217391304347827</v>
      </c>
      <c r="T440">
        <f t="shared" si="49"/>
        <v>12</v>
      </c>
      <c r="U440">
        <f t="shared" si="50"/>
        <v>52</v>
      </c>
      <c r="V440">
        <f t="shared" si="51"/>
        <v>29</v>
      </c>
      <c r="W440">
        <f t="shared" si="52"/>
        <v>1.1666666666666667</v>
      </c>
      <c r="X440" t="str">
        <f t="shared" si="53"/>
        <v>Low Profit</v>
      </c>
      <c r="Y440">
        <f t="shared" si="54"/>
        <v>39</v>
      </c>
      <c r="Z440">
        <f t="shared" si="55"/>
        <v>92</v>
      </c>
    </row>
    <row r="441" spans="1:26">
      <c r="A441" s="5">
        <v>360</v>
      </c>
      <c r="B441" s="5">
        <v>46</v>
      </c>
      <c r="C441" s="6">
        <v>41183</v>
      </c>
      <c r="D441" s="5" t="s">
        <v>32</v>
      </c>
      <c r="E441" s="5" t="s">
        <v>29</v>
      </c>
      <c r="F441" s="5">
        <v>14</v>
      </c>
      <c r="G441" s="5" t="s">
        <v>18</v>
      </c>
      <c r="H441" s="5" t="s">
        <v>26</v>
      </c>
      <c r="I441" s="5" t="s">
        <v>54</v>
      </c>
      <c r="J441" s="5">
        <v>31</v>
      </c>
      <c r="K441" s="5">
        <v>113</v>
      </c>
      <c r="L441" s="5" t="s">
        <v>53</v>
      </c>
      <c r="M441" s="5">
        <v>20</v>
      </c>
      <c r="N441" s="5">
        <v>30</v>
      </c>
      <c r="O441" s="5">
        <v>50</v>
      </c>
      <c r="P441" s="5">
        <v>36</v>
      </c>
      <c r="Q441">
        <f>SUM([1]!Table1[[#This Row],[Sales]])</f>
        <v>113</v>
      </c>
      <c r="R441">
        <f>SUM([1]!Table1[[#This Row],[Profit]])</f>
        <v>31</v>
      </c>
      <c r="S441" s="7">
        <f t="shared" si="48"/>
        <v>0.27433628318584069</v>
      </c>
      <c r="T441">
        <f t="shared" si="49"/>
        <v>14</v>
      </c>
      <c r="U441">
        <f t="shared" si="50"/>
        <v>63</v>
      </c>
      <c r="V441">
        <f t="shared" si="51"/>
        <v>26</v>
      </c>
      <c r="W441">
        <f t="shared" si="52"/>
        <v>2.2142857142857144</v>
      </c>
      <c r="X441" t="str">
        <f t="shared" si="53"/>
        <v>Low Profit</v>
      </c>
      <c r="Y441">
        <f t="shared" si="54"/>
        <v>46</v>
      </c>
      <c r="Z441">
        <f t="shared" si="55"/>
        <v>113</v>
      </c>
    </row>
    <row r="442" spans="1:26">
      <c r="A442" s="3">
        <v>775</v>
      </c>
      <c r="B442" s="3">
        <v>22</v>
      </c>
      <c r="C442" s="4">
        <v>41214</v>
      </c>
      <c r="D442" s="3" t="s">
        <v>32</v>
      </c>
      <c r="E442" s="3" t="s">
        <v>29</v>
      </c>
      <c r="F442" s="3">
        <v>6</v>
      </c>
      <c r="G442" s="3" t="s">
        <v>33</v>
      </c>
      <c r="H442" s="3" t="s">
        <v>34</v>
      </c>
      <c r="I442" s="3" t="s">
        <v>35</v>
      </c>
      <c r="J442" s="3">
        <v>17</v>
      </c>
      <c r="K442" s="3">
        <v>56</v>
      </c>
      <c r="L442" s="3" t="s">
        <v>41</v>
      </c>
      <c r="M442" s="3">
        <v>20</v>
      </c>
      <c r="N442" s="3">
        <v>20</v>
      </c>
      <c r="O442" s="3">
        <v>50</v>
      </c>
      <c r="P442" s="3">
        <v>17</v>
      </c>
      <c r="Q442">
        <f>SUM([1]!Table1[[#This Row],[Sales]])</f>
        <v>56</v>
      </c>
      <c r="R442">
        <f>SUM([1]!Table1[[#This Row],[Profit]])</f>
        <v>17</v>
      </c>
      <c r="S442" s="7">
        <f t="shared" si="48"/>
        <v>0.30357142857142855</v>
      </c>
      <c r="T442">
        <f t="shared" si="49"/>
        <v>6</v>
      </c>
      <c r="U442">
        <f t="shared" si="50"/>
        <v>6</v>
      </c>
      <c r="V442">
        <f t="shared" si="51"/>
        <v>2</v>
      </c>
      <c r="W442">
        <f t="shared" si="52"/>
        <v>2.8333333333333335</v>
      </c>
      <c r="X442" t="str">
        <f t="shared" si="53"/>
        <v>Low Profit</v>
      </c>
      <c r="Y442">
        <f t="shared" si="54"/>
        <v>22</v>
      </c>
      <c r="Z442">
        <f t="shared" si="55"/>
        <v>56</v>
      </c>
    </row>
    <row r="443" spans="1:26">
      <c r="A443" s="5">
        <v>505</v>
      </c>
      <c r="B443" s="5">
        <v>34</v>
      </c>
      <c r="C443" s="6">
        <v>41214</v>
      </c>
      <c r="D443" s="5" t="s">
        <v>32</v>
      </c>
      <c r="E443" s="5" t="s">
        <v>23</v>
      </c>
      <c r="F443" s="5">
        <v>12</v>
      </c>
      <c r="G443" s="5" t="s">
        <v>33</v>
      </c>
      <c r="H443" s="5" t="s">
        <v>34</v>
      </c>
      <c r="I443" s="5" t="s">
        <v>47</v>
      </c>
      <c r="J443" s="5">
        <v>-4</v>
      </c>
      <c r="K443" s="5">
        <v>76</v>
      </c>
      <c r="L443" s="5" t="s">
        <v>57</v>
      </c>
      <c r="M443" s="5">
        <v>20</v>
      </c>
      <c r="N443" s="5">
        <v>-10</v>
      </c>
      <c r="O443" s="5">
        <v>50</v>
      </c>
      <c r="P443" s="5">
        <v>46</v>
      </c>
      <c r="Q443">
        <f>SUM([1]!Table1[[#This Row],[Sales]])</f>
        <v>76</v>
      </c>
      <c r="R443">
        <f>SUM([1]!Table1[[#This Row],[Profit]])</f>
        <v>-4</v>
      </c>
      <c r="S443" s="7">
        <f t="shared" si="48"/>
        <v>-5.2631578947368418E-2</v>
      </c>
      <c r="T443">
        <f t="shared" si="49"/>
        <v>12</v>
      </c>
      <c r="U443">
        <f t="shared" si="50"/>
        <v>26</v>
      </c>
      <c r="V443">
        <f t="shared" si="51"/>
        <v>14</v>
      </c>
      <c r="W443">
        <f t="shared" si="52"/>
        <v>-0.33333333333333331</v>
      </c>
      <c r="X443" t="str">
        <f t="shared" si="53"/>
        <v>Low Profit</v>
      </c>
      <c r="Y443">
        <f t="shared" si="54"/>
        <v>34</v>
      </c>
      <c r="Z443">
        <f t="shared" si="55"/>
        <v>76</v>
      </c>
    </row>
    <row r="444" spans="1:26">
      <c r="A444" s="3">
        <v>253</v>
      </c>
      <c r="B444" s="3">
        <v>22</v>
      </c>
      <c r="C444" s="4">
        <v>41214</v>
      </c>
      <c r="D444" s="3" t="s">
        <v>32</v>
      </c>
      <c r="E444" s="3" t="s">
        <v>29</v>
      </c>
      <c r="F444" s="3">
        <v>7</v>
      </c>
      <c r="G444" s="3" t="s">
        <v>33</v>
      </c>
      <c r="H444" s="3" t="s">
        <v>34</v>
      </c>
      <c r="I444" s="3" t="s">
        <v>47</v>
      </c>
      <c r="J444" s="3">
        <v>11</v>
      </c>
      <c r="K444" s="3">
        <v>52</v>
      </c>
      <c r="L444" s="3" t="s">
        <v>53</v>
      </c>
      <c r="M444" s="3">
        <v>20</v>
      </c>
      <c r="N444" s="3">
        <v>20</v>
      </c>
      <c r="O444" s="3">
        <v>50</v>
      </c>
      <c r="P444" s="3">
        <v>19</v>
      </c>
      <c r="Q444">
        <f>SUM([1]!Table1[[#This Row],[Sales]])</f>
        <v>52</v>
      </c>
      <c r="R444">
        <f>SUM([1]!Table1[[#This Row],[Profit]])</f>
        <v>11</v>
      </c>
      <c r="S444" s="7">
        <f t="shared" si="48"/>
        <v>0.21153846153846154</v>
      </c>
      <c r="T444">
        <f t="shared" si="49"/>
        <v>7</v>
      </c>
      <c r="U444">
        <f t="shared" si="50"/>
        <v>2</v>
      </c>
      <c r="V444">
        <f t="shared" si="51"/>
        <v>2</v>
      </c>
      <c r="W444">
        <f t="shared" si="52"/>
        <v>1.5714285714285714</v>
      </c>
      <c r="X444" t="str">
        <f t="shared" si="53"/>
        <v>Low Profit</v>
      </c>
      <c r="Y444">
        <f t="shared" si="54"/>
        <v>22</v>
      </c>
      <c r="Z444">
        <f t="shared" si="55"/>
        <v>52</v>
      </c>
    </row>
    <row r="445" spans="1:26">
      <c r="A445" s="5">
        <v>603</v>
      </c>
      <c r="B445" s="5">
        <v>33</v>
      </c>
      <c r="C445" s="6">
        <v>41214</v>
      </c>
      <c r="D445" s="5" t="s">
        <v>32</v>
      </c>
      <c r="E445" s="5" t="s">
        <v>25</v>
      </c>
      <c r="F445" s="5">
        <v>12</v>
      </c>
      <c r="G445" s="5" t="s">
        <v>18</v>
      </c>
      <c r="H445" s="5" t="s">
        <v>19</v>
      </c>
      <c r="I445" s="5" t="s">
        <v>20</v>
      </c>
      <c r="J445" s="5">
        <v>-4</v>
      </c>
      <c r="K445" s="5">
        <v>74</v>
      </c>
      <c r="L445" s="5" t="s">
        <v>44</v>
      </c>
      <c r="M445" s="5">
        <v>20</v>
      </c>
      <c r="N445" s="5">
        <v>0</v>
      </c>
      <c r="O445" s="5">
        <v>50</v>
      </c>
      <c r="P445" s="5">
        <v>45</v>
      </c>
      <c r="Q445">
        <f>SUM([1]!Table1[[#This Row],[Sales]])</f>
        <v>74</v>
      </c>
      <c r="R445">
        <f>SUM([1]!Table1[[#This Row],[Profit]])</f>
        <v>-4</v>
      </c>
      <c r="S445" s="7">
        <f t="shared" si="48"/>
        <v>-5.4054054054054057E-2</v>
      </c>
      <c r="T445">
        <f t="shared" si="49"/>
        <v>12</v>
      </c>
      <c r="U445">
        <f t="shared" si="50"/>
        <v>24</v>
      </c>
      <c r="V445">
        <f t="shared" si="51"/>
        <v>13</v>
      </c>
      <c r="W445">
        <f t="shared" si="52"/>
        <v>-0.33333333333333331</v>
      </c>
      <c r="X445" t="str">
        <f t="shared" si="53"/>
        <v>Low Profit</v>
      </c>
      <c r="Y445">
        <f t="shared" si="54"/>
        <v>33</v>
      </c>
      <c r="Z445">
        <f t="shared" si="55"/>
        <v>74</v>
      </c>
    </row>
    <row r="446" spans="1:26">
      <c r="A446" s="3">
        <v>505</v>
      </c>
      <c r="B446" s="3">
        <v>29</v>
      </c>
      <c r="C446" s="4">
        <v>41214</v>
      </c>
      <c r="D446" s="3" t="s">
        <v>32</v>
      </c>
      <c r="E446" s="3" t="s">
        <v>23</v>
      </c>
      <c r="F446" s="3">
        <v>8</v>
      </c>
      <c r="G446" s="3" t="s">
        <v>18</v>
      </c>
      <c r="H446" s="3" t="s">
        <v>19</v>
      </c>
      <c r="I446" s="3" t="s">
        <v>20</v>
      </c>
      <c r="J446" s="3">
        <v>5</v>
      </c>
      <c r="K446" s="3">
        <v>64</v>
      </c>
      <c r="L446" s="3" t="s">
        <v>57</v>
      </c>
      <c r="M446" s="3">
        <v>20</v>
      </c>
      <c r="N446" s="3">
        <v>10</v>
      </c>
      <c r="O446" s="3">
        <v>50</v>
      </c>
      <c r="P446" s="3">
        <v>30</v>
      </c>
      <c r="Q446">
        <f>SUM([1]!Table1[[#This Row],[Sales]])</f>
        <v>64</v>
      </c>
      <c r="R446">
        <f>SUM([1]!Table1[[#This Row],[Profit]])</f>
        <v>5</v>
      </c>
      <c r="S446" s="7">
        <f t="shared" si="48"/>
        <v>7.8125E-2</v>
      </c>
      <c r="T446">
        <f t="shared" si="49"/>
        <v>8</v>
      </c>
      <c r="U446">
        <f t="shared" si="50"/>
        <v>14</v>
      </c>
      <c r="V446">
        <f t="shared" si="51"/>
        <v>9</v>
      </c>
      <c r="W446">
        <f t="shared" si="52"/>
        <v>0.625</v>
      </c>
      <c r="X446" t="str">
        <f t="shared" si="53"/>
        <v>Low Profit</v>
      </c>
      <c r="Y446">
        <f t="shared" si="54"/>
        <v>29</v>
      </c>
      <c r="Z446">
        <f t="shared" si="55"/>
        <v>64</v>
      </c>
    </row>
    <row r="447" spans="1:26">
      <c r="A447" s="5">
        <v>503</v>
      </c>
      <c r="B447" s="5">
        <v>25</v>
      </c>
      <c r="C447" s="6">
        <v>41214</v>
      </c>
      <c r="D447" s="5" t="s">
        <v>32</v>
      </c>
      <c r="E447" s="5" t="s">
        <v>29</v>
      </c>
      <c r="F447" s="5">
        <v>7</v>
      </c>
      <c r="G447" s="5" t="s">
        <v>18</v>
      </c>
      <c r="H447" s="5" t="s">
        <v>19</v>
      </c>
      <c r="I447" s="5" t="s">
        <v>50</v>
      </c>
      <c r="J447" s="5">
        <v>19</v>
      </c>
      <c r="K447" s="5">
        <v>63</v>
      </c>
      <c r="L447" s="5" t="s">
        <v>49</v>
      </c>
      <c r="M447" s="5">
        <v>20</v>
      </c>
      <c r="N447" s="5">
        <v>20</v>
      </c>
      <c r="O447" s="5">
        <v>50</v>
      </c>
      <c r="P447" s="5">
        <v>19</v>
      </c>
      <c r="Q447">
        <f>SUM([1]!Table1[[#This Row],[Sales]])</f>
        <v>63</v>
      </c>
      <c r="R447">
        <f>SUM([1]!Table1[[#This Row],[Profit]])</f>
        <v>19</v>
      </c>
      <c r="S447" s="7">
        <f t="shared" si="48"/>
        <v>0.30158730158730157</v>
      </c>
      <c r="T447">
        <f t="shared" si="49"/>
        <v>7</v>
      </c>
      <c r="U447">
        <f t="shared" si="50"/>
        <v>13</v>
      </c>
      <c r="V447">
        <f t="shared" si="51"/>
        <v>5</v>
      </c>
      <c r="W447">
        <f t="shared" si="52"/>
        <v>2.7142857142857144</v>
      </c>
      <c r="X447" t="str">
        <f t="shared" si="53"/>
        <v>Low Profit</v>
      </c>
      <c r="Y447">
        <f t="shared" si="54"/>
        <v>25</v>
      </c>
      <c r="Z447">
        <f t="shared" si="55"/>
        <v>63</v>
      </c>
    </row>
    <row r="448" spans="1:26">
      <c r="A448" s="3">
        <v>603</v>
      </c>
      <c r="B448" s="3">
        <v>15</v>
      </c>
      <c r="C448" s="4">
        <v>41214</v>
      </c>
      <c r="D448" s="3" t="s">
        <v>32</v>
      </c>
      <c r="E448" s="3" t="s">
        <v>25</v>
      </c>
      <c r="F448" s="3">
        <v>4</v>
      </c>
      <c r="G448" s="3" t="s">
        <v>18</v>
      </c>
      <c r="H448" s="3" t="s">
        <v>26</v>
      </c>
      <c r="I448" s="3" t="s">
        <v>27</v>
      </c>
      <c r="J448" s="3">
        <v>8</v>
      </c>
      <c r="K448" s="3">
        <v>39</v>
      </c>
      <c r="L448" s="3" t="s">
        <v>44</v>
      </c>
      <c r="M448" s="3">
        <v>10</v>
      </c>
      <c r="N448" s="3">
        <v>20</v>
      </c>
      <c r="O448" s="3">
        <v>40</v>
      </c>
      <c r="P448" s="3">
        <v>16</v>
      </c>
      <c r="Q448">
        <f>SUM([1]!Table1[[#This Row],[Sales]])</f>
        <v>39</v>
      </c>
      <c r="R448">
        <f>SUM([1]!Table1[[#This Row],[Profit]])</f>
        <v>8</v>
      </c>
      <c r="S448" s="7">
        <f t="shared" si="48"/>
        <v>0.20512820512820512</v>
      </c>
      <c r="T448">
        <f t="shared" si="49"/>
        <v>4</v>
      </c>
      <c r="U448">
        <f t="shared" si="50"/>
        <v>-1</v>
      </c>
      <c r="V448">
        <f t="shared" si="51"/>
        <v>5</v>
      </c>
      <c r="W448">
        <f t="shared" si="52"/>
        <v>2</v>
      </c>
      <c r="X448" t="str">
        <f t="shared" si="53"/>
        <v>Low Profit</v>
      </c>
      <c r="Y448">
        <f t="shared" si="54"/>
        <v>15</v>
      </c>
      <c r="Z448">
        <f t="shared" si="55"/>
        <v>39</v>
      </c>
    </row>
    <row r="449" spans="1:26">
      <c r="A449" s="5">
        <v>541</v>
      </c>
      <c r="B449" s="5">
        <v>32</v>
      </c>
      <c r="C449" s="6">
        <v>41214</v>
      </c>
      <c r="D449" s="5" t="s">
        <v>32</v>
      </c>
      <c r="E449" s="5" t="s">
        <v>29</v>
      </c>
      <c r="F449" s="5">
        <v>8</v>
      </c>
      <c r="G449" s="5" t="s">
        <v>18</v>
      </c>
      <c r="H449" s="5" t="s">
        <v>26</v>
      </c>
      <c r="I449" s="5" t="s">
        <v>27</v>
      </c>
      <c r="J449" s="5">
        <v>28</v>
      </c>
      <c r="K449" s="5">
        <v>80</v>
      </c>
      <c r="L449" s="5" t="s">
        <v>49</v>
      </c>
      <c r="M449" s="5">
        <v>20</v>
      </c>
      <c r="N449" s="5">
        <v>30</v>
      </c>
      <c r="O449" s="5">
        <v>50</v>
      </c>
      <c r="P449" s="5">
        <v>20</v>
      </c>
      <c r="Q449">
        <f>SUM([1]!Table1[[#This Row],[Sales]])</f>
        <v>80</v>
      </c>
      <c r="R449">
        <f>SUM([1]!Table1[[#This Row],[Profit]])</f>
        <v>28</v>
      </c>
      <c r="S449" s="7">
        <f t="shared" si="48"/>
        <v>0.35</v>
      </c>
      <c r="T449">
        <f t="shared" si="49"/>
        <v>8</v>
      </c>
      <c r="U449">
        <f t="shared" si="50"/>
        <v>30</v>
      </c>
      <c r="V449">
        <f t="shared" si="51"/>
        <v>12</v>
      </c>
      <c r="W449">
        <f t="shared" si="52"/>
        <v>3.5</v>
      </c>
      <c r="X449" t="str">
        <f t="shared" si="53"/>
        <v>Low Profit</v>
      </c>
      <c r="Y449">
        <f t="shared" si="54"/>
        <v>32</v>
      </c>
      <c r="Z449">
        <f t="shared" si="55"/>
        <v>80</v>
      </c>
    </row>
    <row r="450" spans="1:26">
      <c r="A450" s="3">
        <v>435</v>
      </c>
      <c r="B450" s="3">
        <v>35</v>
      </c>
      <c r="C450" s="4">
        <v>41214</v>
      </c>
      <c r="D450" s="3" t="s">
        <v>32</v>
      </c>
      <c r="E450" s="3" t="s">
        <v>29</v>
      </c>
      <c r="F450" s="3">
        <v>11</v>
      </c>
      <c r="G450" s="3" t="s">
        <v>18</v>
      </c>
      <c r="H450" s="3" t="s">
        <v>26</v>
      </c>
      <c r="I450" s="3" t="s">
        <v>54</v>
      </c>
      <c r="J450" s="3">
        <v>9</v>
      </c>
      <c r="K450" s="3">
        <v>82</v>
      </c>
      <c r="L450" s="3" t="s">
        <v>42</v>
      </c>
      <c r="M450" s="3">
        <v>20</v>
      </c>
      <c r="N450" s="3">
        <v>10</v>
      </c>
      <c r="O450" s="3">
        <v>50</v>
      </c>
      <c r="P450" s="3">
        <v>38</v>
      </c>
      <c r="Q450">
        <f>SUM([1]!Table1[[#This Row],[Sales]])</f>
        <v>82</v>
      </c>
      <c r="R450">
        <f>SUM([1]!Table1[[#This Row],[Profit]])</f>
        <v>9</v>
      </c>
      <c r="S450" s="7">
        <f t="shared" si="48"/>
        <v>0.10975609756097561</v>
      </c>
      <c r="T450">
        <f t="shared" si="49"/>
        <v>11</v>
      </c>
      <c r="U450">
        <f t="shared" si="50"/>
        <v>32</v>
      </c>
      <c r="V450">
        <f t="shared" si="51"/>
        <v>15</v>
      </c>
      <c r="W450">
        <f t="shared" si="52"/>
        <v>0.81818181818181823</v>
      </c>
      <c r="X450" t="str">
        <f t="shared" si="53"/>
        <v>Low Profit</v>
      </c>
      <c r="Y450">
        <f t="shared" si="54"/>
        <v>35</v>
      </c>
      <c r="Z450">
        <f t="shared" si="55"/>
        <v>82</v>
      </c>
    </row>
    <row r="451" spans="1:26">
      <c r="A451" s="5">
        <v>801</v>
      </c>
      <c r="B451" s="5">
        <v>34</v>
      </c>
      <c r="C451" s="6">
        <v>41214</v>
      </c>
      <c r="D451" s="5" t="s">
        <v>32</v>
      </c>
      <c r="E451" s="5" t="s">
        <v>29</v>
      </c>
      <c r="F451" s="5">
        <v>12</v>
      </c>
      <c r="G451" s="5" t="s">
        <v>18</v>
      </c>
      <c r="H451" s="5" t="s">
        <v>26</v>
      </c>
      <c r="I451" s="5" t="s">
        <v>30</v>
      </c>
      <c r="J451" s="5">
        <v>-3</v>
      </c>
      <c r="K451" s="5">
        <v>76</v>
      </c>
      <c r="L451" s="5" t="s">
        <v>42</v>
      </c>
      <c r="M451" s="5">
        <v>20</v>
      </c>
      <c r="N451" s="5">
        <v>0</v>
      </c>
      <c r="O451" s="5">
        <v>50</v>
      </c>
      <c r="P451" s="5">
        <v>45</v>
      </c>
      <c r="Q451">
        <f>SUM([1]!Table1[[#This Row],[Sales]])</f>
        <v>76</v>
      </c>
      <c r="R451">
        <f>SUM([1]!Table1[[#This Row],[Profit]])</f>
        <v>-3</v>
      </c>
      <c r="S451" s="7">
        <f t="shared" ref="S451:S514" si="56">J451/K451</f>
        <v>-3.9473684210526314E-2</v>
      </c>
      <c r="T451">
        <f t="shared" ref="T451:T514" si="57">SUM(F451)</f>
        <v>12</v>
      </c>
      <c r="U451">
        <f t="shared" ref="U451:U514" si="58">K451-O451</f>
        <v>26</v>
      </c>
      <c r="V451">
        <f t="shared" ref="V451:V514" si="59">B451-M451</f>
        <v>14</v>
      </c>
      <c r="W451">
        <f t="shared" ref="W451:W514" si="60">J451/F451</f>
        <v>-0.25</v>
      </c>
      <c r="X451" t="str">
        <f t="shared" ref="X451:X514" si="61">IF(J451&gt;100,"High Profit","Low Profit")</f>
        <v>Low Profit</v>
      </c>
      <c r="Y451">
        <f t="shared" ref="Y451:Y514" si="62">SUM(B451)</f>
        <v>34</v>
      </c>
      <c r="Z451">
        <f t="shared" ref="Z451:Z514" si="63">SUM(K451)</f>
        <v>76</v>
      </c>
    </row>
    <row r="452" spans="1:26">
      <c r="A452" s="3">
        <v>772</v>
      </c>
      <c r="B452" s="3">
        <v>24</v>
      </c>
      <c r="C452" s="4">
        <v>41244</v>
      </c>
      <c r="D452" s="3" t="s">
        <v>16</v>
      </c>
      <c r="E452" s="3" t="s">
        <v>25</v>
      </c>
      <c r="F452" s="3">
        <v>7</v>
      </c>
      <c r="G452" s="3" t="s">
        <v>18</v>
      </c>
      <c r="H452" s="3" t="s">
        <v>19</v>
      </c>
      <c r="I452" s="3" t="s">
        <v>50</v>
      </c>
      <c r="J452" s="3">
        <v>12</v>
      </c>
      <c r="K452" s="3">
        <v>56</v>
      </c>
      <c r="L452" s="3" t="s">
        <v>28</v>
      </c>
      <c r="M452" s="3">
        <v>10</v>
      </c>
      <c r="N452" s="3">
        <v>20</v>
      </c>
      <c r="O452" s="3">
        <v>40</v>
      </c>
      <c r="P452" s="3">
        <v>20</v>
      </c>
      <c r="Q452">
        <f>SUM([1]!Table1[[#This Row],[Sales]])</f>
        <v>56</v>
      </c>
      <c r="R452">
        <f>SUM([1]!Table1[[#This Row],[Profit]])</f>
        <v>12</v>
      </c>
      <c r="S452" s="7">
        <f t="shared" si="56"/>
        <v>0.21428571428571427</v>
      </c>
      <c r="T452">
        <f t="shared" si="57"/>
        <v>7</v>
      </c>
      <c r="U452">
        <f t="shared" si="58"/>
        <v>16</v>
      </c>
      <c r="V452">
        <f t="shared" si="59"/>
        <v>14</v>
      </c>
      <c r="W452">
        <f t="shared" si="60"/>
        <v>1.7142857142857142</v>
      </c>
      <c r="X452" t="str">
        <f t="shared" si="61"/>
        <v>Low Profit</v>
      </c>
      <c r="Y452">
        <f t="shared" si="62"/>
        <v>24</v>
      </c>
      <c r="Z452">
        <f t="shared" si="63"/>
        <v>56</v>
      </c>
    </row>
    <row r="453" spans="1:26">
      <c r="A453" s="5">
        <v>505</v>
      </c>
      <c r="B453" s="5">
        <v>38</v>
      </c>
      <c r="C453" s="6">
        <v>41244</v>
      </c>
      <c r="D453" s="5" t="s">
        <v>32</v>
      </c>
      <c r="E453" s="5" t="s">
        <v>23</v>
      </c>
      <c r="F453" s="5">
        <v>12</v>
      </c>
      <c r="G453" s="5" t="s">
        <v>33</v>
      </c>
      <c r="H453" s="5" t="s">
        <v>34</v>
      </c>
      <c r="I453" s="5" t="s">
        <v>35</v>
      </c>
      <c r="J453" s="5">
        <v>12</v>
      </c>
      <c r="K453" s="5">
        <v>89</v>
      </c>
      <c r="L453" s="5" t="s">
        <v>57</v>
      </c>
      <c r="M453" s="5">
        <v>30</v>
      </c>
      <c r="N453" s="5">
        <v>0</v>
      </c>
      <c r="O453" s="5">
        <v>60</v>
      </c>
      <c r="P453" s="5">
        <v>39</v>
      </c>
      <c r="Q453">
        <f>SUM([1]!Table1[[#This Row],[Sales]])</f>
        <v>89</v>
      </c>
      <c r="R453">
        <f>SUM([1]!Table1[[#This Row],[Profit]])</f>
        <v>12</v>
      </c>
      <c r="S453" s="7">
        <f t="shared" si="56"/>
        <v>0.1348314606741573</v>
      </c>
      <c r="T453">
        <f t="shared" si="57"/>
        <v>12</v>
      </c>
      <c r="U453">
        <f t="shared" si="58"/>
        <v>29</v>
      </c>
      <c r="V453">
        <f t="shared" si="59"/>
        <v>8</v>
      </c>
      <c r="W453">
        <f t="shared" si="60"/>
        <v>1</v>
      </c>
      <c r="X453" t="str">
        <f t="shared" si="61"/>
        <v>Low Profit</v>
      </c>
      <c r="Y453">
        <f t="shared" si="62"/>
        <v>38</v>
      </c>
      <c r="Z453">
        <f t="shared" si="63"/>
        <v>89</v>
      </c>
    </row>
    <row r="454" spans="1:26">
      <c r="A454" s="3">
        <v>702</v>
      </c>
      <c r="B454" s="3">
        <v>23</v>
      </c>
      <c r="C454" s="4">
        <v>41244</v>
      </c>
      <c r="D454" s="3" t="s">
        <v>32</v>
      </c>
      <c r="E454" s="3" t="s">
        <v>29</v>
      </c>
      <c r="F454" s="3">
        <v>6</v>
      </c>
      <c r="G454" s="3" t="s">
        <v>33</v>
      </c>
      <c r="H454" s="3" t="s">
        <v>34</v>
      </c>
      <c r="I454" s="3" t="s">
        <v>35</v>
      </c>
      <c r="J454" s="3">
        <v>17</v>
      </c>
      <c r="K454" s="3">
        <v>58</v>
      </c>
      <c r="L454" s="3" t="s">
        <v>41</v>
      </c>
      <c r="M454" s="3">
        <v>20</v>
      </c>
      <c r="N454" s="3">
        <v>20</v>
      </c>
      <c r="O454" s="3">
        <v>50</v>
      </c>
      <c r="P454" s="3">
        <v>18</v>
      </c>
      <c r="Q454">
        <f>SUM([1]!Table1[[#This Row],[Sales]])</f>
        <v>58</v>
      </c>
      <c r="R454">
        <f>SUM([1]!Table1[[#This Row],[Profit]])</f>
        <v>17</v>
      </c>
      <c r="S454" s="7">
        <f t="shared" si="56"/>
        <v>0.29310344827586204</v>
      </c>
      <c r="T454">
        <f t="shared" si="57"/>
        <v>6</v>
      </c>
      <c r="U454">
        <f t="shared" si="58"/>
        <v>8</v>
      </c>
      <c r="V454">
        <f t="shared" si="59"/>
        <v>3</v>
      </c>
      <c r="W454">
        <f t="shared" si="60"/>
        <v>2.8333333333333335</v>
      </c>
      <c r="X454" t="str">
        <f t="shared" si="61"/>
        <v>Low Profit</v>
      </c>
      <c r="Y454">
        <f t="shared" si="62"/>
        <v>23</v>
      </c>
      <c r="Z454">
        <f t="shared" si="63"/>
        <v>58</v>
      </c>
    </row>
    <row r="455" spans="1:26">
      <c r="A455" s="5">
        <v>641</v>
      </c>
      <c r="B455" s="5">
        <v>16</v>
      </c>
      <c r="C455" s="6">
        <v>41244</v>
      </c>
      <c r="D455" s="5" t="s">
        <v>32</v>
      </c>
      <c r="E455" s="5" t="s">
        <v>17</v>
      </c>
      <c r="F455" s="5">
        <v>4</v>
      </c>
      <c r="G455" s="5" t="s">
        <v>33</v>
      </c>
      <c r="H455" s="5" t="s">
        <v>38</v>
      </c>
      <c r="I455" s="5" t="s">
        <v>43</v>
      </c>
      <c r="J455" s="5">
        <v>10</v>
      </c>
      <c r="K455" s="5">
        <v>41</v>
      </c>
      <c r="L455" s="5" t="s">
        <v>36</v>
      </c>
      <c r="M455" s="5">
        <v>10</v>
      </c>
      <c r="N455" s="5">
        <v>20</v>
      </c>
      <c r="O455" s="5">
        <v>40</v>
      </c>
      <c r="P455" s="5">
        <v>15</v>
      </c>
      <c r="Q455">
        <f>SUM([1]!Table1[[#This Row],[Sales]])</f>
        <v>41</v>
      </c>
      <c r="R455">
        <f>SUM([1]!Table1[[#This Row],[Profit]])</f>
        <v>10</v>
      </c>
      <c r="S455" s="7">
        <f t="shared" si="56"/>
        <v>0.24390243902439024</v>
      </c>
      <c r="T455">
        <f t="shared" si="57"/>
        <v>4</v>
      </c>
      <c r="U455">
        <f t="shared" si="58"/>
        <v>1</v>
      </c>
      <c r="V455">
        <f t="shared" si="59"/>
        <v>6</v>
      </c>
      <c r="W455">
        <f t="shared" si="60"/>
        <v>2.5</v>
      </c>
      <c r="X455" t="str">
        <f t="shared" si="61"/>
        <v>Low Profit</v>
      </c>
      <c r="Y455">
        <f t="shared" si="62"/>
        <v>16</v>
      </c>
      <c r="Z455">
        <f t="shared" si="63"/>
        <v>41</v>
      </c>
    </row>
    <row r="456" spans="1:26">
      <c r="A456" s="3">
        <v>563</v>
      </c>
      <c r="B456" s="3">
        <v>31</v>
      </c>
      <c r="C456" s="4">
        <v>41244</v>
      </c>
      <c r="D456" s="3" t="s">
        <v>32</v>
      </c>
      <c r="E456" s="3" t="s">
        <v>17</v>
      </c>
      <c r="F456" s="3">
        <v>9</v>
      </c>
      <c r="G456" s="3" t="s">
        <v>33</v>
      </c>
      <c r="H456" s="3" t="s">
        <v>38</v>
      </c>
      <c r="I456" s="3" t="s">
        <v>45</v>
      </c>
      <c r="J456" s="3">
        <v>8</v>
      </c>
      <c r="K456" s="3">
        <v>69</v>
      </c>
      <c r="L456" s="3" t="s">
        <v>36</v>
      </c>
      <c r="M456" s="3">
        <v>30</v>
      </c>
      <c r="N456" s="3">
        <v>10</v>
      </c>
      <c r="O456" s="3">
        <v>60</v>
      </c>
      <c r="P456" s="3">
        <v>30</v>
      </c>
      <c r="Q456">
        <f>SUM([1]!Table1[[#This Row],[Sales]])</f>
        <v>69</v>
      </c>
      <c r="R456">
        <f>SUM([1]!Table1[[#This Row],[Profit]])</f>
        <v>8</v>
      </c>
      <c r="S456" s="7">
        <f t="shared" si="56"/>
        <v>0.11594202898550725</v>
      </c>
      <c r="T456">
        <f t="shared" si="57"/>
        <v>9</v>
      </c>
      <c r="U456">
        <f t="shared" si="58"/>
        <v>9</v>
      </c>
      <c r="V456">
        <f t="shared" si="59"/>
        <v>1</v>
      </c>
      <c r="W456">
        <f t="shared" si="60"/>
        <v>0.88888888888888884</v>
      </c>
      <c r="X456" t="str">
        <f t="shared" si="61"/>
        <v>Low Profit</v>
      </c>
      <c r="Y456">
        <f t="shared" si="62"/>
        <v>31</v>
      </c>
      <c r="Z456">
        <f t="shared" si="63"/>
        <v>69</v>
      </c>
    </row>
    <row r="457" spans="1:26">
      <c r="A457" s="5">
        <v>603</v>
      </c>
      <c r="B457" s="5">
        <v>20</v>
      </c>
      <c r="C457" s="6">
        <v>41244</v>
      </c>
      <c r="D457" s="5" t="s">
        <v>32</v>
      </c>
      <c r="E457" s="5" t="s">
        <v>25</v>
      </c>
      <c r="F457" s="5">
        <v>7</v>
      </c>
      <c r="G457" s="5" t="s">
        <v>33</v>
      </c>
      <c r="H457" s="5" t="s">
        <v>34</v>
      </c>
      <c r="I457" s="5" t="s">
        <v>59</v>
      </c>
      <c r="J457" s="5">
        <v>-16</v>
      </c>
      <c r="K457" s="5">
        <v>45</v>
      </c>
      <c r="L457" s="5" t="s">
        <v>44</v>
      </c>
      <c r="M457" s="5">
        <v>10</v>
      </c>
      <c r="N457" s="5">
        <v>0</v>
      </c>
      <c r="O457" s="5">
        <v>40</v>
      </c>
      <c r="P457" s="5">
        <v>41</v>
      </c>
      <c r="Q457">
        <f>SUM([1]!Table1[[#This Row],[Sales]])</f>
        <v>45</v>
      </c>
      <c r="R457">
        <f>SUM([1]!Table1[[#This Row],[Profit]])</f>
        <v>-16</v>
      </c>
      <c r="S457" s="7">
        <f t="shared" si="56"/>
        <v>-0.35555555555555557</v>
      </c>
      <c r="T457">
        <f t="shared" si="57"/>
        <v>7</v>
      </c>
      <c r="U457">
        <f t="shared" si="58"/>
        <v>5</v>
      </c>
      <c r="V457">
        <f t="shared" si="59"/>
        <v>10</v>
      </c>
      <c r="W457">
        <f t="shared" si="60"/>
        <v>-2.2857142857142856</v>
      </c>
      <c r="X457" t="str">
        <f t="shared" si="61"/>
        <v>Low Profit</v>
      </c>
      <c r="Y457">
        <f t="shared" si="62"/>
        <v>20</v>
      </c>
      <c r="Z457">
        <f t="shared" si="63"/>
        <v>45</v>
      </c>
    </row>
    <row r="458" spans="1:26">
      <c r="A458" s="3">
        <v>580</v>
      </c>
      <c r="B458" s="3">
        <v>29</v>
      </c>
      <c r="C458" s="4">
        <v>41244</v>
      </c>
      <c r="D458" s="3" t="s">
        <v>32</v>
      </c>
      <c r="E458" s="3" t="s">
        <v>23</v>
      </c>
      <c r="F458" s="3">
        <v>8</v>
      </c>
      <c r="G458" s="3" t="s">
        <v>33</v>
      </c>
      <c r="H458" s="3" t="s">
        <v>34</v>
      </c>
      <c r="I458" s="3" t="s">
        <v>46</v>
      </c>
      <c r="J458" s="3">
        <v>24</v>
      </c>
      <c r="K458" s="3">
        <v>73</v>
      </c>
      <c r="L458" s="3" t="s">
        <v>40</v>
      </c>
      <c r="M458" s="3">
        <v>20</v>
      </c>
      <c r="N458" s="3">
        <v>20</v>
      </c>
      <c r="O458" s="3">
        <v>50</v>
      </c>
      <c r="P458" s="3">
        <v>20</v>
      </c>
      <c r="Q458">
        <f>SUM([1]!Table1[[#This Row],[Sales]])</f>
        <v>73</v>
      </c>
      <c r="R458">
        <f>SUM([1]!Table1[[#This Row],[Profit]])</f>
        <v>24</v>
      </c>
      <c r="S458" s="7">
        <f t="shared" si="56"/>
        <v>0.32876712328767121</v>
      </c>
      <c r="T458">
        <f t="shared" si="57"/>
        <v>8</v>
      </c>
      <c r="U458">
        <f t="shared" si="58"/>
        <v>23</v>
      </c>
      <c r="V458">
        <f t="shared" si="59"/>
        <v>9</v>
      </c>
      <c r="W458">
        <f t="shared" si="60"/>
        <v>3</v>
      </c>
      <c r="X458" t="str">
        <f t="shared" si="61"/>
        <v>Low Profit</v>
      </c>
      <c r="Y458">
        <f t="shared" si="62"/>
        <v>29</v>
      </c>
      <c r="Z458">
        <f t="shared" si="63"/>
        <v>73</v>
      </c>
    </row>
    <row r="459" spans="1:26">
      <c r="A459" s="5">
        <v>253</v>
      </c>
      <c r="B459" s="5">
        <v>24</v>
      </c>
      <c r="C459" s="6">
        <v>41244</v>
      </c>
      <c r="D459" s="5" t="s">
        <v>32</v>
      </c>
      <c r="E459" s="5" t="s">
        <v>29</v>
      </c>
      <c r="F459" s="5">
        <v>7</v>
      </c>
      <c r="G459" s="5" t="s">
        <v>33</v>
      </c>
      <c r="H459" s="5" t="s">
        <v>34</v>
      </c>
      <c r="I459" s="5" t="s">
        <v>47</v>
      </c>
      <c r="J459" s="5">
        <v>13</v>
      </c>
      <c r="K459" s="5">
        <v>56</v>
      </c>
      <c r="L459" s="5" t="s">
        <v>53</v>
      </c>
      <c r="M459" s="5">
        <v>20</v>
      </c>
      <c r="N459" s="5">
        <v>20</v>
      </c>
      <c r="O459" s="5">
        <v>50</v>
      </c>
      <c r="P459" s="5">
        <v>19</v>
      </c>
      <c r="Q459">
        <f>SUM([1]!Table1[[#This Row],[Sales]])</f>
        <v>56</v>
      </c>
      <c r="R459">
        <f>SUM([1]!Table1[[#This Row],[Profit]])</f>
        <v>13</v>
      </c>
      <c r="S459" s="7">
        <f t="shared" si="56"/>
        <v>0.23214285714285715</v>
      </c>
      <c r="T459">
        <f t="shared" si="57"/>
        <v>7</v>
      </c>
      <c r="U459">
        <f t="shared" si="58"/>
        <v>6</v>
      </c>
      <c r="V459">
        <f t="shared" si="59"/>
        <v>4</v>
      </c>
      <c r="W459">
        <f t="shared" si="60"/>
        <v>1.8571428571428572</v>
      </c>
      <c r="X459" t="str">
        <f t="shared" si="61"/>
        <v>Low Profit</v>
      </c>
      <c r="Y459">
        <f t="shared" si="62"/>
        <v>24</v>
      </c>
      <c r="Z459">
        <f t="shared" si="63"/>
        <v>56</v>
      </c>
    </row>
    <row r="460" spans="1:26">
      <c r="A460" s="3">
        <v>541</v>
      </c>
      <c r="B460" s="3">
        <v>24</v>
      </c>
      <c r="C460" s="4">
        <v>41244</v>
      </c>
      <c r="D460" s="3" t="s">
        <v>32</v>
      </c>
      <c r="E460" s="3" t="s">
        <v>29</v>
      </c>
      <c r="F460" s="3">
        <v>6</v>
      </c>
      <c r="G460" s="3" t="s">
        <v>18</v>
      </c>
      <c r="H460" s="3" t="s">
        <v>19</v>
      </c>
      <c r="I460" s="3" t="s">
        <v>50</v>
      </c>
      <c r="J460" s="3">
        <v>19</v>
      </c>
      <c r="K460" s="3">
        <v>60</v>
      </c>
      <c r="L460" s="3" t="s">
        <v>49</v>
      </c>
      <c r="M460" s="3">
        <v>20</v>
      </c>
      <c r="N460" s="3">
        <v>20</v>
      </c>
      <c r="O460" s="3">
        <v>50</v>
      </c>
      <c r="P460" s="3">
        <v>17</v>
      </c>
      <c r="Q460">
        <f>SUM([1]!Table1[[#This Row],[Sales]])</f>
        <v>60</v>
      </c>
      <c r="R460">
        <f>SUM([1]!Table1[[#This Row],[Profit]])</f>
        <v>19</v>
      </c>
      <c r="S460" s="7">
        <f t="shared" si="56"/>
        <v>0.31666666666666665</v>
      </c>
      <c r="T460">
        <f t="shared" si="57"/>
        <v>6</v>
      </c>
      <c r="U460">
        <f t="shared" si="58"/>
        <v>10</v>
      </c>
      <c r="V460">
        <f t="shared" si="59"/>
        <v>4</v>
      </c>
      <c r="W460">
        <f t="shared" si="60"/>
        <v>3.1666666666666665</v>
      </c>
      <c r="X460" t="str">
        <f t="shared" si="61"/>
        <v>Low Profit</v>
      </c>
      <c r="Y460">
        <f t="shared" si="62"/>
        <v>24</v>
      </c>
      <c r="Z460">
        <f t="shared" si="63"/>
        <v>60</v>
      </c>
    </row>
    <row r="461" spans="1:26">
      <c r="A461" s="5">
        <v>603</v>
      </c>
      <c r="B461" s="5">
        <v>16</v>
      </c>
      <c r="C461" s="6">
        <v>41244</v>
      </c>
      <c r="D461" s="5" t="s">
        <v>32</v>
      </c>
      <c r="E461" s="5" t="s">
        <v>25</v>
      </c>
      <c r="F461" s="5">
        <v>4</v>
      </c>
      <c r="G461" s="5" t="s">
        <v>18</v>
      </c>
      <c r="H461" s="5" t="s">
        <v>26</v>
      </c>
      <c r="I461" s="5" t="s">
        <v>27</v>
      </c>
      <c r="J461" s="5">
        <v>10</v>
      </c>
      <c r="K461" s="5">
        <v>41</v>
      </c>
      <c r="L461" s="5" t="s">
        <v>44</v>
      </c>
      <c r="M461" s="5">
        <v>10</v>
      </c>
      <c r="N461" s="5">
        <v>20</v>
      </c>
      <c r="O461" s="5">
        <v>40</v>
      </c>
      <c r="P461" s="5">
        <v>15</v>
      </c>
      <c r="Q461">
        <f>SUM([1]!Table1[[#This Row],[Sales]])</f>
        <v>41</v>
      </c>
      <c r="R461">
        <f>SUM([1]!Table1[[#This Row],[Profit]])</f>
        <v>10</v>
      </c>
      <c r="S461" s="7">
        <f t="shared" si="56"/>
        <v>0.24390243902439024</v>
      </c>
      <c r="T461">
        <f t="shared" si="57"/>
        <v>4</v>
      </c>
      <c r="U461">
        <f t="shared" si="58"/>
        <v>1</v>
      </c>
      <c r="V461">
        <f t="shared" si="59"/>
        <v>6</v>
      </c>
      <c r="W461">
        <f t="shared" si="60"/>
        <v>2.5</v>
      </c>
      <c r="X461" t="str">
        <f t="shared" si="61"/>
        <v>Low Profit</v>
      </c>
      <c r="Y461">
        <f t="shared" si="62"/>
        <v>16</v>
      </c>
      <c r="Z461">
        <f t="shared" si="63"/>
        <v>41</v>
      </c>
    </row>
    <row r="462" spans="1:26">
      <c r="A462" s="3">
        <v>971</v>
      </c>
      <c r="B462" s="3">
        <v>29</v>
      </c>
      <c r="C462" s="4">
        <v>41244</v>
      </c>
      <c r="D462" s="3" t="s">
        <v>32</v>
      </c>
      <c r="E462" s="3" t="s">
        <v>29</v>
      </c>
      <c r="F462" s="3">
        <v>8</v>
      </c>
      <c r="G462" s="3" t="s">
        <v>18</v>
      </c>
      <c r="H462" s="3" t="s">
        <v>26</v>
      </c>
      <c r="I462" s="3" t="s">
        <v>27</v>
      </c>
      <c r="J462" s="3">
        <v>25</v>
      </c>
      <c r="K462" s="3">
        <v>73</v>
      </c>
      <c r="L462" s="3" t="s">
        <v>49</v>
      </c>
      <c r="M462" s="3">
        <v>20</v>
      </c>
      <c r="N462" s="3">
        <v>30</v>
      </c>
      <c r="O462" s="3">
        <v>50</v>
      </c>
      <c r="P462" s="3">
        <v>19</v>
      </c>
      <c r="Q462">
        <f>SUM([1]!Table1[[#This Row],[Sales]])</f>
        <v>73</v>
      </c>
      <c r="R462">
        <f>SUM([1]!Table1[[#This Row],[Profit]])</f>
        <v>25</v>
      </c>
      <c r="S462" s="7">
        <f t="shared" si="56"/>
        <v>0.34246575342465752</v>
      </c>
      <c r="T462">
        <f t="shared" si="57"/>
        <v>8</v>
      </c>
      <c r="U462">
        <f t="shared" si="58"/>
        <v>23</v>
      </c>
      <c r="V462">
        <f t="shared" si="59"/>
        <v>9</v>
      </c>
      <c r="W462">
        <f t="shared" si="60"/>
        <v>3.125</v>
      </c>
      <c r="X462" t="str">
        <f t="shared" si="61"/>
        <v>Low Profit</v>
      </c>
      <c r="Y462">
        <f t="shared" si="62"/>
        <v>29</v>
      </c>
      <c r="Z462">
        <f t="shared" si="63"/>
        <v>73</v>
      </c>
    </row>
    <row r="463" spans="1:26">
      <c r="A463" s="5">
        <v>937</v>
      </c>
      <c r="B463" s="5">
        <v>21</v>
      </c>
      <c r="C463" s="6">
        <v>41548</v>
      </c>
      <c r="D463" s="5" t="s">
        <v>16</v>
      </c>
      <c r="E463" s="5" t="s">
        <v>17</v>
      </c>
      <c r="F463" s="5">
        <v>5</v>
      </c>
      <c r="G463" s="5" t="s">
        <v>18</v>
      </c>
      <c r="H463" s="5" t="s">
        <v>19</v>
      </c>
      <c r="I463" s="5" t="s">
        <v>50</v>
      </c>
      <c r="J463" s="5">
        <v>24</v>
      </c>
      <c r="K463" s="5">
        <v>56</v>
      </c>
      <c r="L463" s="5" t="s">
        <v>58</v>
      </c>
      <c r="M463" s="5">
        <v>0</v>
      </c>
      <c r="N463" s="5">
        <v>30</v>
      </c>
      <c r="O463" s="5">
        <v>30</v>
      </c>
      <c r="P463" s="5">
        <v>16</v>
      </c>
      <c r="Q463">
        <f>SUM([1]!Table1[[#This Row],[Sales]])</f>
        <v>56</v>
      </c>
      <c r="R463">
        <f>SUM([1]!Table1[[#This Row],[Profit]])</f>
        <v>24</v>
      </c>
      <c r="S463" s="7">
        <f t="shared" si="56"/>
        <v>0.42857142857142855</v>
      </c>
      <c r="T463">
        <f t="shared" si="57"/>
        <v>5</v>
      </c>
      <c r="U463">
        <f t="shared" si="58"/>
        <v>26</v>
      </c>
      <c r="V463">
        <f t="shared" si="59"/>
        <v>21</v>
      </c>
      <c r="W463">
        <f t="shared" si="60"/>
        <v>4.8</v>
      </c>
      <c r="X463" t="str">
        <f t="shared" si="61"/>
        <v>Low Profit</v>
      </c>
      <c r="Y463">
        <f t="shared" si="62"/>
        <v>21</v>
      </c>
      <c r="Z463">
        <f t="shared" si="63"/>
        <v>56</v>
      </c>
    </row>
    <row r="464" spans="1:26">
      <c r="A464" s="3">
        <v>937</v>
      </c>
      <c r="B464" s="3">
        <v>27</v>
      </c>
      <c r="C464" s="4">
        <v>41548</v>
      </c>
      <c r="D464" s="3" t="s">
        <v>16</v>
      </c>
      <c r="E464" s="3" t="s">
        <v>17</v>
      </c>
      <c r="F464" s="3">
        <v>7</v>
      </c>
      <c r="G464" s="3" t="s">
        <v>18</v>
      </c>
      <c r="H464" s="3" t="s">
        <v>19</v>
      </c>
      <c r="I464" s="3" t="s">
        <v>20</v>
      </c>
      <c r="J464" s="3">
        <v>30</v>
      </c>
      <c r="K464" s="3">
        <v>70</v>
      </c>
      <c r="L464" s="3" t="s">
        <v>58</v>
      </c>
      <c r="M464" s="3">
        <v>10</v>
      </c>
      <c r="N464" s="3">
        <v>30</v>
      </c>
      <c r="O464" s="3">
        <v>40</v>
      </c>
      <c r="P464" s="3">
        <v>19</v>
      </c>
      <c r="Q464">
        <f>SUM([1]!Table1[[#This Row],[Sales]])</f>
        <v>70</v>
      </c>
      <c r="R464">
        <f>SUM([1]!Table1[[#This Row],[Profit]])</f>
        <v>30</v>
      </c>
      <c r="S464" s="7">
        <f t="shared" si="56"/>
        <v>0.42857142857142855</v>
      </c>
      <c r="T464">
        <f t="shared" si="57"/>
        <v>7</v>
      </c>
      <c r="U464">
        <f t="shared" si="58"/>
        <v>30</v>
      </c>
      <c r="V464">
        <f t="shared" si="59"/>
        <v>17</v>
      </c>
      <c r="W464">
        <f t="shared" si="60"/>
        <v>4.2857142857142856</v>
      </c>
      <c r="X464" t="str">
        <f t="shared" si="61"/>
        <v>Low Profit</v>
      </c>
      <c r="Y464">
        <f t="shared" si="62"/>
        <v>27</v>
      </c>
      <c r="Z464">
        <f t="shared" si="63"/>
        <v>70</v>
      </c>
    </row>
    <row r="465" spans="1:26">
      <c r="A465" s="5">
        <v>786</v>
      </c>
      <c r="B465" s="5">
        <v>56</v>
      </c>
      <c r="C465" s="6">
        <v>41548</v>
      </c>
      <c r="D465" s="5" t="s">
        <v>16</v>
      </c>
      <c r="E465" s="5" t="s">
        <v>25</v>
      </c>
      <c r="F465" s="5">
        <v>21</v>
      </c>
      <c r="G465" s="5" t="s">
        <v>18</v>
      </c>
      <c r="H465" s="5" t="s">
        <v>19</v>
      </c>
      <c r="I465" s="5" t="s">
        <v>20</v>
      </c>
      <c r="J465" s="5">
        <v>24</v>
      </c>
      <c r="K465" s="5">
        <v>134</v>
      </c>
      <c r="L465" s="5" t="s">
        <v>28</v>
      </c>
      <c r="M465" s="5">
        <v>30</v>
      </c>
      <c r="N465" s="5">
        <v>20</v>
      </c>
      <c r="O465" s="5">
        <v>60</v>
      </c>
      <c r="P465" s="5">
        <v>54</v>
      </c>
      <c r="Q465">
        <f>SUM([1]!Table1[[#This Row],[Sales]])</f>
        <v>134</v>
      </c>
      <c r="R465">
        <f>SUM([1]!Table1[[#This Row],[Profit]])</f>
        <v>24</v>
      </c>
      <c r="S465" s="7">
        <f t="shared" si="56"/>
        <v>0.17910447761194029</v>
      </c>
      <c r="T465">
        <f t="shared" si="57"/>
        <v>21</v>
      </c>
      <c r="U465">
        <f t="shared" si="58"/>
        <v>74</v>
      </c>
      <c r="V465">
        <f t="shared" si="59"/>
        <v>26</v>
      </c>
      <c r="W465">
        <f t="shared" si="60"/>
        <v>1.1428571428571428</v>
      </c>
      <c r="X465" t="str">
        <f t="shared" si="61"/>
        <v>Low Profit</v>
      </c>
      <c r="Y465">
        <f t="shared" si="62"/>
        <v>56</v>
      </c>
      <c r="Z465">
        <f t="shared" si="63"/>
        <v>134</v>
      </c>
    </row>
    <row r="466" spans="1:26">
      <c r="A466" s="3">
        <v>339</v>
      </c>
      <c r="B466" s="3">
        <v>54</v>
      </c>
      <c r="C466" s="4">
        <v>41548</v>
      </c>
      <c r="D466" s="3" t="s">
        <v>16</v>
      </c>
      <c r="E466" s="3" t="s">
        <v>25</v>
      </c>
      <c r="F466" s="3">
        <v>20</v>
      </c>
      <c r="G466" s="3" t="s">
        <v>18</v>
      </c>
      <c r="H466" s="3" t="s">
        <v>19</v>
      </c>
      <c r="I466" s="3" t="s">
        <v>20</v>
      </c>
      <c r="J466" s="3">
        <v>19</v>
      </c>
      <c r="K466" s="3">
        <v>128</v>
      </c>
      <c r="L466" s="3" t="s">
        <v>55</v>
      </c>
      <c r="M466" s="3">
        <v>30</v>
      </c>
      <c r="N466" s="3">
        <v>20</v>
      </c>
      <c r="O466" s="3">
        <v>60</v>
      </c>
      <c r="P466" s="3">
        <v>53</v>
      </c>
      <c r="Q466">
        <f>SUM([1]!Table1[[#This Row],[Sales]])</f>
        <v>128</v>
      </c>
      <c r="R466">
        <f>SUM([1]!Table1[[#This Row],[Profit]])</f>
        <v>19</v>
      </c>
      <c r="S466" s="7">
        <f t="shared" si="56"/>
        <v>0.1484375</v>
      </c>
      <c r="T466">
        <f t="shared" si="57"/>
        <v>20</v>
      </c>
      <c r="U466">
        <f t="shared" si="58"/>
        <v>68</v>
      </c>
      <c r="V466">
        <f t="shared" si="59"/>
        <v>24</v>
      </c>
      <c r="W466">
        <f t="shared" si="60"/>
        <v>0.95</v>
      </c>
      <c r="X466" t="str">
        <f t="shared" si="61"/>
        <v>Low Profit</v>
      </c>
      <c r="Y466">
        <f t="shared" si="62"/>
        <v>54</v>
      </c>
      <c r="Z466">
        <f t="shared" si="63"/>
        <v>128</v>
      </c>
    </row>
    <row r="467" spans="1:26">
      <c r="A467" s="5">
        <v>781</v>
      </c>
      <c r="B467" s="5">
        <v>21</v>
      </c>
      <c r="C467" s="6">
        <v>41548</v>
      </c>
      <c r="D467" s="5" t="s">
        <v>16</v>
      </c>
      <c r="E467" s="5" t="s">
        <v>25</v>
      </c>
      <c r="F467" s="5">
        <v>5</v>
      </c>
      <c r="G467" s="5" t="s">
        <v>18</v>
      </c>
      <c r="H467" s="5" t="s">
        <v>26</v>
      </c>
      <c r="I467" s="5" t="s">
        <v>30</v>
      </c>
      <c r="J467" s="5">
        <v>22</v>
      </c>
      <c r="K467" s="5">
        <v>56</v>
      </c>
      <c r="L467" s="5" t="s">
        <v>55</v>
      </c>
      <c r="M467" s="5">
        <v>20</v>
      </c>
      <c r="N467" s="5">
        <v>30</v>
      </c>
      <c r="O467" s="5">
        <v>50</v>
      </c>
      <c r="P467" s="5">
        <v>17</v>
      </c>
      <c r="Q467">
        <f>SUM([1]!Table1[[#This Row],[Sales]])</f>
        <v>56</v>
      </c>
      <c r="R467">
        <f>SUM([1]!Table1[[#This Row],[Profit]])</f>
        <v>22</v>
      </c>
      <c r="S467" s="7">
        <f t="shared" si="56"/>
        <v>0.39285714285714285</v>
      </c>
      <c r="T467">
        <f t="shared" si="57"/>
        <v>5</v>
      </c>
      <c r="U467">
        <f t="shared" si="58"/>
        <v>6</v>
      </c>
      <c r="V467">
        <f t="shared" si="59"/>
        <v>1</v>
      </c>
      <c r="W467">
        <f t="shared" si="60"/>
        <v>4.4000000000000004</v>
      </c>
      <c r="X467" t="str">
        <f t="shared" si="61"/>
        <v>Low Profit</v>
      </c>
      <c r="Y467">
        <f t="shared" si="62"/>
        <v>21</v>
      </c>
      <c r="Z467">
        <f t="shared" si="63"/>
        <v>56</v>
      </c>
    </row>
    <row r="468" spans="1:26">
      <c r="A468" s="3">
        <v>505</v>
      </c>
      <c r="B468" s="3">
        <v>39</v>
      </c>
      <c r="C468" s="4">
        <v>41548</v>
      </c>
      <c r="D468" s="3" t="s">
        <v>32</v>
      </c>
      <c r="E468" s="3" t="s">
        <v>23</v>
      </c>
      <c r="F468" s="3">
        <v>12</v>
      </c>
      <c r="G468" s="3" t="s">
        <v>33</v>
      </c>
      <c r="H468" s="3" t="s">
        <v>34</v>
      </c>
      <c r="I468" s="3" t="s">
        <v>35</v>
      </c>
      <c r="J468" s="3">
        <v>21</v>
      </c>
      <c r="K468" s="3">
        <v>98</v>
      </c>
      <c r="L468" s="3" t="s">
        <v>57</v>
      </c>
      <c r="M468" s="3">
        <v>20</v>
      </c>
      <c r="N468" s="3">
        <v>20</v>
      </c>
      <c r="O468" s="3">
        <v>50</v>
      </c>
      <c r="P468" s="3">
        <v>39</v>
      </c>
      <c r="Q468">
        <f>SUM([1]!Table1[[#This Row],[Sales]])</f>
        <v>98</v>
      </c>
      <c r="R468">
        <f>SUM([1]!Table1[[#This Row],[Profit]])</f>
        <v>21</v>
      </c>
      <c r="S468" s="7">
        <f t="shared" si="56"/>
        <v>0.21428571428571427</v>
      </c>
      <c r="T468">
        <f t="shared" si="57"/>
        <v>12</v>
      </c>
      <c r="U468">
        <f t="shared" si="58"/>
        <v>48</v>
      </c>
      <c r="V468">
        <f t="shared" si="59"/>
        <v>19</v>
      </c>
      <c r="W468">
        <f t="shared" si="60"/>
        <v>1.75</v>
      </c>
      <c r="X468" t="str">
        <f t="shared" si="61"/>
        <v>Low Profit</v>
      </c>
      <c r="Y468">
        <f t="shared" si="62"/>
        <v>39</v>
      </c>
      <c r="Z468">
        <f t="shared" si="63"/>
        <v>98</v>
      </c>
    </row>
    <row r="469" spans="1:26">
      <c r="A469" s="5">
        <v>775</v>
      </c>
      <c r="B469" s="5">
        <v>23</v>
      </c>
      <c r="C469" s="6">
        <v>41548</v>
      </c>
      <c r="D469" s="5" t="s">
        <v>32</v>
      </c>
      <c r="E469" s="5" t="s">
        <v>29</v>
      </c>
      <c r="F469" s="5">
        <v>6</v>
      </c>
      <c r="G469" s="5" t="s">
        <v>33</v>
      </c>
      <c r="H469" s="5" t="s">
        <v>34</v>
      </c>
      <c r="I469" s="5" t="s">
        <v>35</v>
      </c>
      <c r="J469" s="5">
        <v>25</v>
      </c>
      <c r="K469" s="5">
        <v>62</v>
      </c>
      <c r="L469" s="5" t="s">
        <v>41</v>
      </c>
      <c r="M469" s="5">
        <v>10</v>
      </c>
      <c r="N469" s="5">
        <v>30</v>
      </c>
      <c r="O469" s="5">
        <v>40</v>
      </c>
      <c r="P469" s="5">
        <v>18</v>
      </c>
      <c r="Q469">
        <f>SUM([1]!Table1[[#This Row],[Sales]])</f>
        <v>62</v>
      </c>
      <c r="R469">
        <f>SUM([1]!Table1[[#This Row],[Profit]])</f>
        <v>25</v>
      </c>
      <c r="S469" s="7">
        <f t="shared" si="56"/>
        <v>0.40322580645161288</v>
      </c>
      <c r="T469">
        <f t="shared" si="57"/>
        <v>6</v>
      </c>
      <c r="U469">
        <f t="shared" si="58"/>
        <v>22</v>
      </c>
      <c r="V469">
        <f t="shared" si="59"/>
        <v>13</v>
      </c>
      <c r="W469">
        <f t="shared" si="60"/>
        <v>4.166666666666667</v>
      </c>
      <c r="X469" t="str">
        <f t="shared" si="61"/>
        <v>Low Profit</v>
      </c>
      <c r="Y469">
        <f t="shared" si="62"/>
        <v>23</v>
      </c>
      <c r="Z469">
        <f t="shared" si="63"/>
        <v>62</v>
      </c>
    </row>
    <row r="470" spans="1:26">
      <c r="A470" s="3">
        <v>515</v>
      </c>
      <c r="B470" s="3">
        <v>21</v>
      </c>
      <c r="C470" s="4">
        <v>41548</v>
      </c>
      <c r="D470" s="3" t="s">
        <v>32</v>
      </c>
      <c r="E470" s="3" t="s">
        <v>17</v>
      </c>
      <c r="F470" s="3">
        <v>5</v>
      </c>
      <c r="G470" s="3" t="s">
        <v>33</v>
      </c>
      <c r="H470" s="3" t="s">
        <v>38</v>
      </c>
      <c r="I470" s="3" t="s">
        <v>43</v>
      </c>
      <c r="J470" s="3">
        <v>22</v>
      </c>
      <c r="K470" s="3">
        <v>55</v>
      </c>
      <c r="L470" s="3" t="s">
        <v>36</v>
      </c>
      <c r="M470" s="3">
        <v>10</v>
      </c>
      <c r="N470" s="3">
        <v>30</v>
      </c>
      <c r="O470" s="3">
        <v>40</v>
      </c>
      <c r="P470" s="3">
        <v>16</v>
      </c>
      <c r="Q470">
        <f>SUM([1]!Table1[[#This Row],[Sales]])</f>
        <v>55</v>
      </c>
      <c r="R470">
        <f>SUM([1]!Table1[[#This Row],[Profit]])</f>
        <v>22</v>
      </c>
      <c r="S470" s="7">
        <f t="shared" si="56"/>
        <v>0.4</v>
      </c>
      <c r="T470">
        <f t="shared" si="57"/>
        <v>5</v>
      </c>
      <c r="U470">
        <f t="shared" si="58"/>
        <v>15</v>
      </c>
      <c r="V470">
        <f t="shared" si="59"/>
        <v>11</v>
      </c>
      <c r="W470">
        <f t="shared" si="60"/>
        <v>4.4000000000000004</v>
      </c>
      <c r="X470" t="str">
        <f t="shared" si="61"/>
        <v>Low Profit</v>
      </c>
      <c r="Y470">
        <f t="shared" si="62"/>
        <v>21</v>
      </c>
      <c r="Z470">
        <f t="shared" si="63"/>
        <v>55</v>
      </c>
    </row>
    <row r="471" spans="1:26">
      <c r="A471" s="5">
        <v>603</v>
      </c>
      <c r="B471" s="5">
        <v>25</v>
      </c>
      <c r="C471" s="6">
        <v>41548</v>
      </c>
      <c r="D471" s="5" t="s">
        <v>32</v>
      </c>
      <c r="E471" s="5" t="s">
        <v>25</v>
      </c>
      <c r="F471" s="5">
        <v>9</v>
      </c>
      <c r="G471" s="5" t="s">
        <v>33</v>
      </c>
      <c r="H471" s="5" t="s">
        <v>34</v>
      </c>
      <c r="I471" s="5" t="s">
        <v>59</v>
      </c>
      <c r="J471" s="5">
        <v>-18</v>
      </c>
      <c r="K471" s="5">
        <v>60</v>
      </c>
      <c r="L471" s="5" t="s">
        <v>44</v>
      </c>
      <c r="M471" s="5">
        <v>10</v>
      </c>
      <c r="N471" s="5">
        <v>10</v>
      </c>
      <c r="O471" s="5">
        <v>40</v>
      </c>
      <c r="P471" s="5">
        <v>43</v>
      </c>
      <c r="Q471">
        <f>SUM([1]!Table1[[#This Row],[Sales]])</f>
        <v>60</v>
      </c>
      <c r="R471">
        <f>SUM([1]!Table1[[#This Row],[Profit]])</f>
        <v>-18</v>
      </c>
      <c r="S471" s="7">
        <f t="shared" si="56"/>
        <v>-0.3</v>
      </c>
      <c r="T471">
        <f t="shared" si="57"/>
        <v>9</v>
      </c>
      <c r="U471">
        <f t="shared" si="58"/>
        <v>20</v>
      </c>
      <c r="V471">
        <f t="shared" si="59"/>
        <v>15</v>
      </c>
      <c r="W471">
        <f t="shared" si="60"/>
        <v>-2</v>
      </c>
      <c r="X471" t="str">
        <f t="shared" si="61"/>
        <v>Low Profit</v>
      </c>
      <c r="Y471">
        <f t="shared" si="62"/>
        <v>25</v>
      </c>
      <c r="Z471">
        <f t="shared" si="63"/>
        <v>60</v>
      </c>
    </row>
    <row r="472" spans="1:26">
      <c r="A472" s="3">
        <v>580</v>
      </c>
      <c r="B472" s="3">
        <v>21</v>
      </c>
      <c r="C472" s="4">
        <v>41548</v>
      </c>
      <c r="D472" s="3" t="s">
        <v>32</v>
      </c>
      <c r="E472" s="3" t="s">
        <v>23</v>
      </c>
      <c r="F472" s="3">
        <v>5</v>
      </c>
      <c r="G472" s="3" t="s">
        <v>33</v>
      </c>
      <c r="H472" s="3" t="s">
        <v>34</v>
      </c>
      <c r="I472" s="3" t="s">
        <v>46</v>
      </c>
      <c r="J472" s="3">
        <v>22</v>
      </c>
      <c r="K472" s="3">
        <v>56</v>
      </c>
      <c r="L472" s="3" t="s">
        <v>40</v>
      </c>
      <c r="M472" s="3">
        <v>0</v>
      </c>
      <c r="N472" s="3">
        <v>30</v>
      </c>
      <c r="O472" s="3">
        <v>30</v>
      </c>
      <c r="P472" s="3">
        <v>17</v>
      </c>
      <c r="Q472">
        <f>SUM([1]!Table1[[#This Row],[Sales]])</f>
        <v>56</v>
      </c>
      <c r="R472">
        <f>SUM([1]!Table1[[#This Row],[Profit]])</f>
        <v>22</v>
      </c>
      <c r="S472" s="7">
        <f t="shared" si="56"/>
        <v>0.39285714285714285</v>
      </c>
      <c r="T472">
        <f t="shared" si="57"/>
        <v>5</v>
      </c>
      <c r="U472">
        <f t="shared" si="58"/>
        <v>26</v>
      </c>
      <c r="V472">
        <f t="shared" si="59"/>
        <v>21</v>
      </c>
      <c r="W472">
        <f t="shared" si="60"/>
        <v>4.4000000000000004</v>
      </c>
      <c r="X472" t="str">
        <f t="shared" si="61"/>
        <v>Low Profit</v>
      </c>
      <c r="Y472">
        <f t="shared" si="62"/>
        <v>21</v>
      </c>
      <c r="Z472">
        <f t="shared" si="63"/>
        <v>56</v>
      </c>
    </row>
    <row r="473" spans="1:26">
      <c r="A473" s="5">
        <v>702</v>
      </c>
      <c r="B473" s="5">
        <v>0</v>
      </c>
      <c r="C473" s="6">
        <v>41548</v>
      </c>
      <c r="D473" s="5" t="s">
        <v>32</v>
      </c>
      <c r="E473" s="5" t="s">
        <v>29</v>
      </c>
      <c r="F473" s="5">
        <v>0</v>
      </c>
      <c r="G473" s="5" t="s">
        <v>33</v>
      </c>
      <c r="H473" s="5" t="s">
        <v>34</v>
      </c>
      <c r="I473" s="5" t="s">
        <v>47</v>
      </c>
      <c r="J473" s="5">
        <v>47</v>
      </c>
      <c r="K473" s="5">
        <v>46</v>
      </c>
      <c r="L473" s="5" t="s">
        <v>41</v>
      </c>
      <c r="M473" s="5">
        <v>0</v>
      </c>
      <c r="N473" s="5">
        <v>30</v>
      </c>
      <c r="O473" s="5">
        <v>30</v>
      </c>
      <c r="P473" s="5">
        <v>11</v>
      </c>
      <c r="Q473">
        <f>SUM([1]!Table1[[#This Row],[Sales]])</f>
        <v>46</v>
      </c>
      <c r="R473">
        <f>SUM([1]!Table1[[#This Row],[Profit]])</f>
        <v>47</v>
      </c>
      <c r="S473" s="7">
        <f t="shared" si="56"/>
        <v>1.0217391304347827</v>
      </c>
      <c r="T473">
        <f t="shared" si="57"/>
        <v>0</v>
      </c>
      <c r="U473">
        <f t="shared" si="58"/>
        <v>16</v>
      </c>
      <c r="V473">
        <f t="shared" si="59"/>
        <v>0</v>
      </c>
      <c r="W473" t="e">
        <f t="shared" si="60"/>
        <v>#DIV/0!</v>
      </c>
      <c r="X473" t="str">
        <f t="shared" si="61"/>
        <v>Low Profit</v>
      </c>
      <c r="Y473">
        <f t="shared" si="62"/>
        <v>0</v>
      </c>
      <c r="Z473">
        <f t="shared" si="63"/>
        <v>46</v>
      </c>
    </row>
    <row r="474" spans="1:26">
      <c r="A474" s="3">
        <v>603</v>
      </c>
      <c r="B474" s="3">
        <v>34</v>
      </c>
      <c r="C474" s="4">
        <v>41548</v>
      </c>
      <c r="D474" s="3" t="s">
        <v>32</v>
      </c>
      <c r="E474" s="3" t="s">
        <v>25</v>
      </c>
      <c r="F474" s="3">
        <v>12</v>
      </c>
      <c r="G474" s="3" t="s">
        <v>18</v>
      </c>
      <c r="H474" s="3" t="s">
        <v>19</v>
      </c>
      <c r="I474" s="3" t="s">
        <v>20</v>
      </c>
      <c r="J474" s="3">
        <v>-4</v>
      </c>
      <c r="K474" s="3">
        <v>82</v>
      </c>
      <c r="L474" s="3" t="s">
        <v>44</v>
      </c>
      <c r="M474" s="3">
        <v>10</v>
      </c>
      <c r="N474" s="3">
        <v>20</v>
      </c>
      <c r="O474" s="3">
        <v>40</v>
      </c>
      <c r="P474" s="3">
        <v>46</v>
      </c>
      <c r="Q474">
        <f>SUM([1]!Table1[[#This Row],[Sales]])</f>
        <v>82</v>
      </c>
      <c r="R474">
        <f>SUM([1]!Table1[[#This Row],[Profit]])</f>
        <v>-4</v>
      </c>
      <c r="S474" s="7">
        <f t="shared" si="56"/>
        <v>-4.878048780487805E-2</v>
      </c>
      <c r="T474">
        <f t="shared" si="57"/>
        <v>12</v>
      </c>
      <c r="U474">
        <f t="shared" si="58"/>
        <v>42</v>
      </c>
      <c r="V474">
        <f t="shared" si="59"/>
        <v>24</v>
      </c>
      <c r="W474">
        <f t="shared" si="60"/>
        <v>-0.33333333333333331</v>
      </c>
      <c r="X474" t="str">
        <f t="shared" si="61"/>
        <v>Low Profit</v>
      </c>
      <c r="Y474">
        <f t="shared" si="62"/>
        <v>34</v>
      </c>
      <c r="Z474">
        <f t="shared" si="63"/>
        <v>82</v>
      </c>
    </row>
    <row r="475" spans="1:26">
      <c r="A475" s="5">
        <v>505</v>
      </c>
      <c r="B475" s="5">
        <v>21</v>
      </c>
      <c r="C475" s="6">
        <v>41548</v>
      </c>
      <c r="D475" s="5" t="s">
        <v>32</v>
      </c>
      <c r="E475" s="5" t="s">
        <v>23</v>
      </c>
      <c r="F475" s="5">
        <v>5</v>
      </c>
      <c r="G475" s="5" t="s">
        <v>18</v>
      </c>
      <c r="H475" s="5" t="s">
        <v>19</v>
      </c>
      <c r="I475" s="5" t="s">
        <v>50</v>
      </c>
      <c r="J475" s="5">
        <v>21</v>
      </c>
      <c r="K475" s="5">
        <v>55</v>
      </c>
      <c r="L475" s="5" t="s">
        <v>57</v>
      </c>
      <c r="M475" s="5">
        <v>10</v>
      </c>
      <c r="N475" s="5">
        <v>30</v>
      </c>
      <c r="O475" s="5">
        <v>40</v>
      </c>
      <c r="P475" s="5">
        <v>17</v>
      </c>
      <c r="Q475">
        <f>SUM([1]!Table1[[#This Row],[Sales]])</f>
        <v>55</v>
      </c>
      <c r="R475">
        <f>SUM([1]!Table1[[#This Row],[Profit]])</f>
        <v>21</v>
      </c>
      <c r="S475" s="7">
        <f t="shared" si="56"/>
        <v>0.38181818181818183</v>
      </c>
      <c r="T475">
        <f t="shared" si="57"/>
        <v>5</v>
      </c>
      <c r="U475">
        <f t="shared" si="58"/>
        <v>15</v>
      </c>
      <c r="V475">
        <f t="shared" si="59"/>
        <v>11</v>
      </c>
      <c r="W475">
        <f t="shared" si="60"/>
        <v>4.2</v>
      </c>
      <c r="X475" t="str">
        <f t="shared" si="61"/>
        <v>Low Profit</v>
      </c>
      <c r="Y475">
        <f t="shared" si="62"/>
        <v>21</v>
      </c>
      <c r="Z475">
        <f t="shared" si="63"/>
        <v>55</v>
      </c>
    </row>
    <row r="476" spans="1:26">
      <c r="A476" s="3">
        <v>971</v>
      </c>
      <c r="B476" s="3">
        <v>25</v>
      </c>
      <c r="C476" s="4">
        <v>41548</v>
      </c>
      <c r="D476" s="3" t="s">
        <v>32</v>
      </c>
      <c r="E476" s="3" t="s">
        <v>29</v>
      </c>
      <c r="F476" s="3">
        <v>7</v>
      </c>
      <c r="G476" s="3" t="s">
        <v>18</v>
      </c>
      <c r="H476" s="3" t="s">
        <v>19</v>
      </c>
      <c r="I476" s="3" t="s">
        <v>50</v>
      </c>
      <c r="J476" s="3">
        <v>25</v>
      </c>
      <c r="K476" s="3">
        <v>65</v>
      </c>
      <c r="L476" s="3" t="s">
        <v>49</v>
      </c>
      <c r="M476" s="3">
        <v>10</v>
      </c>
      <c r="N476" s="3">
        <v>30</v>
      </c>
      <c r="O476" s="3">
        <v>40</v>
      </c>
      <c r="P476" s="3">
        <v>19</v>
      </c>
      <c r="Q476">
        <f>SUM([1]!Table1[[#This Row],[Sales]])</f>
        <v>65</v>
      </c>
      <c r="R476">
        <f>SUM([1]!Table1[[#This Row],[Profit]])</f>
        <v>25</v>
      </c>
      <c r="S476" s="7">
        <f t="shared" si="56"/>
        <v>0.38461538461538464</v>
      </c>
      <c r="T476">
        <f t="shared" si="57"/>
        <v>7</v>
      </c>
      <c r="U476">
        <f t="shared" si="58"/>
        <v>25</v>
      </c>
      <c r="V476">
        <f t="shared" si="59"/>
        <v>15</v>
      </c>
      <c r="W476">
        <f t="shared" si="60"/>
        <v>3.5714285714285716</v>
      </c>
      <c r="X476" t="str">
        <f t="shared" si="61"/>
        <v>Low Profit</v>
      </c>
      <c r="Y476">
        <f t="shared" si="62"/>
        <v>25</v>
      </c>
      <c r="Z476">
        <f t="shared" si="63"/>
        <v>65</v>
      </c>
    </row>
    <row r="477" spans="1:26">
      <c r="A477" s="5">
        <v>314</v>
      </c>
      <c r="B477" s="5">
        <v>34</v>
      </c>
      <c r="C477" s="6">
        <v>41548</v>
      </c>
      <c r="D477" s="5" t="s">
        <v>32</v>
      </c>
      <c r="E477" s="5" t="s">
        <v>17</v>
      </c>
      <c r="F477" s="5">
        <v>12</v>
      </c>
      <c r="G477" s="5" t="s">
        <v>18</v>
      </c>
      <c r="H477" s="5" t="s">
        <v>26</v>
      </c>
      <c r="I477" s="5" t="s">
        <v>30</v>
      </c>
      <c r="J477" s="5">
        <v>-4</v>
      </c>
      <c r="K477" s="5">
        <v>82</v>
      </c>
      <c r="L477" s="5" t="s">
        <v>51</v>
      </c>
      <c r="M477" s="5">
        <v>10</v>
      </c>
      <c r="N477" s="5">
        <v>10</v>
      </c>
      <c r="O477" s="5">
        <v>40</v>
      </c>
      <c r="P477" s="5">
        <v>46</v>
      </c>
      <c r="Q477">
        <f>SUM([1]!Table1[[#This Row],[Sales]])</f>
        <v>82</v>
      </c>
      <c r="R477">
        <f>SUM([1]!Table1[[#This Row],[Profit]])</f>
        <v>-4</v>
      </c>
      <c r="S477" s="7">
        <f t="shared" si="56"/>
        <v>-4.878048780487805E-2</v>
      </c>
      <c r="T477">
        <f t="shared" si="57"/>
        <v>12</v>
      </c>
      <c r="U477">
        <f t="shared" si="58"/>
        <v>42</v>
      </c>
      <c r="V477">
        <f t="shared" si="59"/>
        <v>24</v>
      </c>
      <c r="W477">
        <f t="shared" si="60"/>
        <v>-0.33333333333333331</v>
      </c>
      <c r="X477" t="str">
        <f t="shared" si="61"/>
        <v>Low Profit</v>
      </c>
      <c r="Y477">
        <f t="shared" si="62"/>
        <v>34</v>
      </c>
      <c r="Z477">
        <f t="shared" si="63"/>
        <v>82</v>
      </c>
    </row>
    <row r="478" spans="1:26">
      <c r="A478" s="3">
        <v>603</v>
      </c>
      <c r="B478" s="3">
        <v>21</v>
      </c>
      <c r="C478" s="4">
        <v>41548</v>
      </c>
      <c r="D478" s="3" t="s">
        <v>32</v>
      </c>
      <c r="E478" s="3" t="s">
        <v>25</v>
      </c>
      <c r="F478" s="3">
        <v>5</v>
      </c>
      <c r="G478" s="3" t="s">
        <v>18</v>
      </c>
      <c r="H478" s="3" t="s">
        <v>26</v>
      </c>
      <c r="I478" s="3" t="s">
        <v>27</v>
      </c>
      <c r="J478" s="3">
        <v>21</v>
      </c>
      <c r="K478" s="3">
        <v>55</v>
      </c>
      <c r="L478" s="3" t="s">
        <v>44</v>
      </c>
      <c r="M478" s="3">
        <v>20</v>
      </c>
      <c r="N478" s="3">
        <v>30</v>
      </c>
      <c r="O478" s="3">
        <v>50</v>
      </c>
      <c r="P478" s="3">
        <v>17</v>
      </c>
      <c r="Q478">
        <f>SUM([1]!Table1[[#This Row],[Sales]])</f>
        <v>55</v>
      </c>
      <c r="R478">
        <f>SUM([1]!Table1[[#This Row],[Profit]])</f>
        <v>21</v>
      </c>
      <c r="S478" s="7">
        <f t="shared" si="56"/>
        <v>0.38181818181818183</v>
      </c>
      <c r="T478">
        <f t="shared" si="57"/>
        <v>5</v>
      </c>
      <c r="U478">
        <f t="shared" si="58"/>
        <v>5</v>
      </c>
      <c r="V478">
        <f t="shared" si="59"/>
        <v>1</v>
      </c>
      <c r="W478">
        <f t="shared" si="60"/>
        <v>4.2</v>
      </c>
      <c r="X478" t="str">
        <f t="shared" si="61"/>
        <v>Low Profit</v>
      </c>
      <c r="Y478">
        <f t="shared" si="62"/>
        <v>21</v>
      </c>
      <c r="Z478">
        <f t="shared" si="63"/>
        <v>55</v>
      </c>
    </row>
    <row r="479" spans="1:26">
      <c r="A479" s="5">
        <v>435</v>
      </c>
      <c r="B479" s="5">
        <v>39</v>
      </c>
      <c r="C479" s="6">
        <v>41548</v>
      </c>
      <c r="D479" s="5" t="s">
        <v>32</v>
      </c>
      <c r="E479" s="5" t="s">
        <v>29</v>
      </c>
      <c r="F479" s="5">
        <v>12</v>
      </c>
      <c r="G479" s="5" t="s">
        <v>18</v>
      </c>
      <c r="H479" s="5" t="s">
        <v>26</v>
      </c>
      <c r="I479" s="5" t="s">
        <v>54</v>
      </c>
      <c r="J479" s="5">
        <v>21</v>
      </c>
      <c r="K479" s="5">
        <v>98</v>
      </c>
      <c r="L479" s="5" t="s">
        <v>42</v>
      </c>
      <c r="M479" s="5">
        <v>10</v>
      </c>
      <c r="N479" s="5">
        <v>20</v>
      </c>
      <c r="O479" s="5">
        <v>40</v>
      </c>
      <c r="P479" s="5">
        <v>39</v>
      </c>
      <c r="Q479">
        <f>SUM([1]!Table1[[#This Row],[Sales]])</f>
        <v>98</v>
      </c>
      <c r="R479">
        <f>SUM([1]!Table1[[#This Row],[Profit]])</f>
        <v>21</v>
      </c>
      <c r="S479" s="7">
        <f t="shared" si="56"/>
        <v>0.21428571428571427</v>
      </c>
      <c r="T479">
        <f t="shared" si="57"/>
        <v>12</v>
      </c>
      <c r="U479">
        <f t="shared" si="58"/>
        <v>58</v>
      </c>
      <c r="V479">
        <f t="shared" si="59"/>
        <v>29</v>
      </c>
      <c r="W479">
        <f t="shared" si="60"/>
        <v>1.75</v>
      </c>
      <c r="X479" t="str">
        <f t="shared" si="61"/>
        <v>Low Profit</v>
      </c>
      <c r="Y479">
        <f t="shared" si="62"/>
        <v>39</v>
      </c>
      <c r="Z479">
        <f t="shared" si="63"/>
        <v>98</v>
      </c>
    </row>
    <row r="480" spans="1:26">
      <c r="A480" s="3">
        <v>509</v>
      </c>
      <c r="B480" s="3">
        <v>46</v>
      </c>
      <c r="C480" s="4">
        <v>41548</v>
      </c>
      <c r="D480" s="3" t="s">
        <v>32</v>
      </c>
      <c r="E480" s="3" t="s">
        <v>29</v>
      </c>
      <c r="F480" s="3">
        <v>14</v>
      </c>
      <c r="G480" s="3" t="s">
        <v>18</v>
      </c>
      <c r="H480" s="3" t="s">
        <v>26</v>
      </c>
      <c r="I480" s="3" t="s">
        <v>54</v>
      </c>
      <c r="J480" s="3">
        <v>46</v>
      </c>
      <c r="K480" s="3">
        <v>120</v>
      </c>
      <c r="L480" s="3" t="s">
        <v>53</v>
      </c>
      <c r="M480" s="3">
        <v>20</v>
      </c>
      <c r="N480" s="3">
        <v>30</v>
      </c>
      <c r="O480" s="3">
        <v>50</v>
      </c>
      <c r="P480" s="3">
        <v>36</v>
      </c>
      <c r="Q480">
        <f>SUM([1]!Table1[[#This Row],[Sales]])</f>
        <v>120</v>
      </c>
      <c r="R480">
        <f>SUM([1]!Table1[[#This Row],[Profit]])</f>
        <v>46</v>
      </c>
      <c r="S480" s="7">
        <f t="shared" si="56"/>
        <v>0.38333333333333336</v>
      </c>
      <c r="T480">
        <f t="shared" si="57"/>
        <v>14</v>
      </c>
      <c r="U480">
        <f t="shared" si="58"/>
        <v>70</v>
      </c>
      <c r="V480">
        <f t="shared" si="59"/>
        <v>26</v>
      </c>
      <c r="W480">
        <f t="shared" si="60"/>
        <v>3.2857142857142856</v>
      </c>
      <c r="X480" t="str">
        <f t="shared" si="61"/>
        <v>Low Profit</v>
      </c>
      <c r="Y480">
        <f t="shared" si="62"/>
        <v>46</v>
      </c>
      <c r="Z480">
        <f t="shared" si="63"/>
        <v>120</v>
      </c>
    </row>
    <row r="481" spans="1:26">
      <c r="A481" s="5">
        <v>775</v>
      </c>
      <c r="B481" s="5">
        <v>22</v>
      </c>
      <c r="C481" s="6">
        <v>41579</v>
      </c>
      <c r="D481" s="5" t="s">
        <v>32</v>
      </c>
      <c r="E481" s="5" t="s">
        <v>29</v>
      </c>
      <c r="F481" s="5">
        <v>6</v>
      </c>
      <c r="G481" s="5" t="s">
        <v>33</v>
      </c>
      <c r="H481" s="5" t="s">
        <v>34</v>
      </c>
      <c r="I481" s="5" t="s">
        <v>35</v>
      </c>
      <c r="J481" s="5">
        <v>25</v>
      </c>
      <c r="K481" s="5">
        <v>60</v>
      </c>
      <c r="L481" s="5" t="s">
        <v>41</v>
      </c>
      <c r="M481" s="5">
        <v>20</v>
      </c>
      <c r="N481" s="5">
        <v>20</v>
      </c>
      <c r="O481" s="5">
        <v>50</v>
      </c>
      <c r="P481" s="5">
        <v>17</v>
      </c>
      <c r="Q481">
        <f>SUM([1]!Table1[[#This Row],[Sales]])</f>
        <v>60</v>
      </c>
      <c r="R481">
        <f>SUM([1]!Table1[[#This Row],[Profit]])</f>
        <v>25</v>
      </c>
      <c r="S481" s="7">
        <f t="shared" si="56"/>
        <v>0.41666666666666669</v>
      </c>
      <c r="T481">
        <f t="shared" si="57"/>
        <v>6</v>
      </c>
      <c r="U481">
        <f t="shared" si="58"/>
        <v>10</v>
      </c>
      <c r="V481">
        <f t="shared" si="59"/>
        <v>2</v>
      </c>
      <c r="W481">
        <f t="shared" si="60"/>
        <v>4.166666666666667</v>
      </c>
      <c r="X481" t="str">
        <f t="shared" si="61"/>
        <v>Low Profit</v>
      </c>
      <c r="Y481">
        <f t="shared" si="62"/>
        <v>22</v>
      </c>
      <c r="Z481">
        <f t="shared" si="63"/>
        <v>60</v>
      </c>
    </row>
    <row r="482" spans="1:26">
      <c r="A482" s="3">
        <v>505</v>
      </c>
      <c r="B482" s="3">
        <v>34</v>
      </c>
      <c r="C482" s="4">
        <v>41579</v>
      </c>
      <c r="D482" s="3" t="s">
        <v>32</v>
      </c>
      <c r="E482" s="3" t="s">
        <v>23</v>
      </c>
      <c r="F482" s="3">
        <v>12</v>
      </c>
      <c r="G482" s="3" t="s">
        <v>33</v>
      </c>
      <c r="H482" s="3" t="s">
        <v>34</v>
      </c>
      <c r="I482" s="3" t="s">
        <v>47</v>
      </c>
      <c r="J482" s="3">
        <v>-6</v>
      </c>
      <c r="K482" s="3">
        <v>81</v>
      </c>
      <c r="L482" s="3" t="s">
        <v>57</v>
      </c>
      <c r="M482" s="3">
        <v>20</v>
      </c>
      <c r="N482" s="3">
        <v>-10</v>
      </c>
      <c r="O482" s="3">
        <v>50</v>
      </c>
      <c r="P482" s="3">
        <v>46</v>
      </c>
      <c r="Q482">
        <f>SUM([1]!Table1[[#This Row],[Sales]])</f>
        <v>81</v>
      </c>
      <c r="R482">
        <f>SUM([1]!Table1[[#This Row],[Profit]])</f>
        <v>-6</v>
      </c>
      <c r="S482" s="7">
        <f t="shared" si="56"/>
        <v>-7.407407407407407E-2</v>
      </c>
      <c r="T482">
        <f t="shared" si="57"/>
        <v>12</v>
      </c>
      <c r="U482">
        <f t="shared" si="58"/>
        <v>31</v>
      </c>
      <c r="V482">
        <f t="shared" si="59"/>
        <v>14</v>
      </c>
      <c r="W482">
        <f t="shared" si="60"/>
        <v>-0.5</v>
      </c>
      <c r="X482" t="str">
        <f t="shared" si="61"/>
        <v>Low Profit</v>
      </c>
      <c r="Y482">
        <f t="shared" si="62"/>
        <v>34</v>
      </c>
      <c r="Z482">
        <f t="shared" si="63"/>
        <v>81</v>
      </c>
    </row>
    <row r="483" spans="1:26">
      <c r="A483" s="5">
        <v>425</v>
      </c>
      <c r="B483" s="5">
        <v>22</v>
      </c>
      <c r="C483" s="6">
        <v>41579</v>
      </c>
      <c r="D483" s="5" t="s">
        <v>32</v>
      </c>
      <c r="E483" s="5" t="s">
        <v>29</v>
      </c>
      <c r="F483" s="5">
        <v>7</v>
      </c>
      <c r="G483" s="5" t="s">
        <v>33</v>
      </c>
      <c r="H483" s="5" t="s">
        <v>34</v>
      </c>
      <c r="I483" s="5" t="s">
        <v>47</v>
      </c>
      <c r="J483" s="5">
        <v>16</v>
      </c>
      <c r="K483" s="5">
        <v>55</v>
      </c>
      <c r="L483" s="5" t="s">
        <v>53</v>
      </c>
      <c r="M483" s="5">
        <v>20</v>
      </c>
      <c r="N483" s="5">
        <v>20</v>
      </c>
      <c r="O483" s="5">
        <v>50</v>
      </c>
      <c r="P483" s="5">
        <v>19</v>
      </c>
      <c r="Q483">
        <f>SUM([1]!Table1[[#This Row],[Sales]])</f>
        <v>55</v>
      </c>
      <c r="R483">
        <f>SUM([1]!Table1[[#This Row],[Profit]])</f>
        <v>16</v>
      </c>
      <c r="S483" s="7">
        <f t="shared" si="56"/>
        <v>0.29090909090909089</v>
      </c>
      <c r="T483">
        <f t="shared" si="57"/>
        <v>7</v>
      </c>
      <c r="U483">
        <f t="shared" si="58"/>
        <v>5</v>
      </c>
      <c r="V483">
        <f t="shared" si="59"/>
        <v>2</v>
      </c>
      <c r="W483">
        <f t="shared" si="60"/>
        <v>2.2857142857142856</v>
      </c>
      <c r="X483" t="str">
        <f t="shared" si="61"/>
        <v>Low Profit</v>
      </c>
      <c r="Y483">
        <f t="shared" si="62"/>
        <v>22</v>
      </c>
      <c r="Z483">
        <f t="shared" si="63"/>
        <v>55</v>
      </c>
    </row>
    <row r="484" spans="1:26">
      <c r="A484" s="3">
        <v>603</v>
      </c>
      <c r="B484" s="3">
        <v>33</v>
      </c>
      <c r="C484" s="4">
        <v>41579</v>
      </c>
      <c r="D484" s="3" t="s">
        <v>32</v>
      </c>
      <c r="E484" s="3" t="s">
        <v>25</v>
      </c>
      <c r="F484" s="3">
        <v>12</v>
      </c>
      <c r="G484" s="3" t="s">
        <v>18</v>
      </c>
      <c r="H484" s="3" t="s">
        <v>19</v>
      </c>
      <c r="I484" s="3" t="s">
        <v>20</v>
      </c>
      <c r="J484" s="3">
        <v>-6</v>
      </c>
      <c r="K484" s="3">
        <v>79</v>
      </c>
      <c r="L484" s="3" t="s">
        <v>44</v>
      </c>
      <c r="M484" s="3">
        <v>20</v>
      </c>
      <c r="N484" s="3">
        <v>0</v>
      </c>
      <c r="O484" s="3">
        <v>50</v>
      </c>
      <c r="P484" s="3">
        <v>45</v>
      </c>
      <c r="Q484">
        <f>SUM([1]!Table1[[#This Row],[Sales]])</f>
        <v>79</v>
      </c>
      <c r="R484">
        <f>SUM([1]!Table1[[#This Row],[Profit]])</f>
        <v>-6</v>
      </c>
      <c r="S484" s="7">
        <f t="shared" si="56"/>
        <v>-7.5949367088607597E-2</v>
      </c>
      <c r="T484">
        <f t="shared" si="57"/>
        <v>12</v>
      </c>
      <c r="U484">
        <f t="shared" si="58"/>
        <v>29</v>
      </c>
      <c r="V484">
        <f t="shared" si="59"/>
        <v>13</v>
      </c>
      <c r="W484">
        <f t="shared" si="60"/>
        <v>-0.5</v>
      </c>
      <c r="X484" t="str">
        <f t="shared" si="61"/>
        <v>Low Profit</v>
      </c>
      <c r="Y484">
        <f t="shared" si="62"/>
        <v>33</v>
      </c>
      <c r="Z484">
        <f t="shared" si="63"/>
        <v>79</v>
      </c>
    </row>
    <row r="485" spans="1:26">
      <c r="A485" s="5">
        <v>505</v>
      </c>
      <c r="B485" s="5">
        <v>29</v>
      </c>
      <c r="C485" s="6">
        <v>41579</v>
      </c>
      <c r="D485" s="5" t="s">
        <v>32</v>
      </c>
      <c r="E485" s="5" t="s">
        <v>23</v>
      </c>
      <c r="F485" s="5">
        <v>8</v>
      </c>
      <c r="G485" s="5" t="s">
        <v>18</v>
      </c>
      <c r="H485" s="5" t="s">
        <v>19</v>
      </c>
      <c r="I485" s="5" t="s">
        <v>20</v>
      </c>
      <c r="J485" s="5">
        <v>7</v>
      </c>
      <c r="K485" s="5">
        <v>68</v>
      </c>
      <c r="L485" s="5" t="s">
        <v>57</v>
      </c>
      <c r="M485" s="5">
        <v>20</v>
      </c>
      <c r="N485" s="5">
        <v>10</v>
      </c>
      <c r="O485" s="5">
        <v>50</v>
      </c>
      <c r="P485" s="5">
        <v>30</v>
      </c>
      <c r="Q485">
        <f>SUM([1]!Table1[[#This Row],[Sales]])</f>
        <v>68</v>
      </c>
      <c r="R485">
        <f>SUM([1]!Table1[[#This Row],[Profit]])</f>
        <v>7</v>
      </c>
      <c r="S485" s="7">
        <f t="shared" si="56"/>
        <v>0.10294117647058823</v>
      </c>
      <c r="T485">
        <f t="shared" si="57"/>
        <v>8</v>
      </c>
      <c r="U485">
        <f t="shared" si="58"/>
        <v>18</v>
      </c>
      <c r="V485">
        <f t="shared" si="59"/>
        <v>9</v>
      </c>
      <c r="W485">
        <f t="shared" si="60"/>
        <v>0.875</v>
      </c>
      <c r="X485" t="str">
        <f t="shared" si="61"/>
        <v>Low Profit</v>
      </c>
      <c r="Y485">
        <f t="shared" si="62"/>
        <v>29</v>
      </c>
      <c r="Z485">
        <f t="shared" si="63"/>
        <v>68</v>
      </c>
    </row>
    <row r="486" spans="1:26">
      <c r="A486" s="3">
        <v>541</v>
      </c>
      <c r="B486" s="3">
        <v>25</v>
      </c>
      <c r="C486" s="4">
        <v>41579</v>
      </c>
      <c r="D486" s="3" t="s">
        <v>32</v>
      </c>
      <c r="E486" s="3" t="s">
        <v>29</v>
      </c>
      <c r="F486" s="3">
        <v>7</v>
      </c>
      <c r="G486" s="3" t="s">
        <v>18</v>
      </c>
      <c r="H486" s="3" t="s">
        <v>19</v>
      </c>
      <c r="I486" s="3" t="s">
        <v>50</v>
      </c>
      <c r="J486" s="3">
        <v>28</v>
      </c>
      <c r="K486" s="3">
        <v>67</v>
      </c>
      <c r="L486" s="3" t="s">
        <v>49</v>
      </c>
      <c r="M486" s="3">
        <v>20</v>
      </c>
      <c r="N486" s="3">
        <v>20</v>
      </c>
      <c r="O486" s="3">
        <v>50</v>
      </c>
      <c r="P486" s="3">
        <v>19</v>
      </c>
      <c r="Q486">
        <f>SUM([1]!Table1[[#This Row],[Sales]])</f>
        <v>67</v>
      </c>
      <c r="R486">
        <f>SUM([1]!Table1[[#This Row],[Profit]])</f>
        <v>28</v>
      </c>
      <c r="S486" s="7">
        <f t="shared" si="56"/>
        <v>0.41791044776119401</v>
      </c>
      <c r="T486">
        <f t="shared" si="57"/>
        <v>7</v>
      </c>
      <c r="U486">
        <f t="shared" si="58"/>
        <v>17</v>
      </c>
      <c r="V486">
        <f t="shared" si="59"/>
        <v>5</v>
      </c>
      <c r="W486">
        <f t="shared" si="60"/>
        <v>4</v>
      </c>
      <c r="X486" t="str">
        <f t="shared" si="61"/>
        <v>Low Profit</v>
      </c>
      <c r="Y486">
        <f t="shared" si="62"/>
        <v>25</v>
      </c>
      <c r="Z486">
        <f t="shared" si="63"/>
        <v>67</v>
      </c>
    </row>
    <row r="487" spans="1:26">
      <c r="A487" s="5">
        <v>603</v>
      </c>
      <c r="B487" s="5">
        <v>15</v>
      </c>
      <c r="C487" s="6">
        <v>41579</v>
      </c>
      <c r="D487" s="5" t="s">
        <v>32</v>
      </c>
      <c r="E487" s="5" t="s">
        <v>25</v>
      </c>
      <c r="F487" s="5">
        <v>4</v>
      </c>
      <c r="G487" s="5" t="s">
        <v>18</v>
      </c>
      <c r="H487" s="5" t="s">
        <v>26</v>
      </c>
      <c r="I487" s="5" t="s">
        <v>27</v>
      </c>
      <c r="J487" s="5">
        <v>12</v>
      </c>
      <c r="K487" s="5">
        <v>42</v>
      </c>
      <c r="L487" s="5" t="s">
        <v>44</v>
      </c>
      <c r="M487" s="5">
        <v>10</v>
      </c>
      <c r="N487" s="5">
        <v>20</v>
      </c>
      <c r="O487" s="5">
        <v>40</v>
      </c>
      <c r="P487" s="5">
        <v>16</v>
      </c>
      <c r="Q487">
        <f>SUM([1]!Table1[[#This Row],[Sales]])</f>
        <v>42</v>
      </c>
      <c r="R487">
        <f>SUM([1]!Table1[[#This Row],[Profit]])</f>
        <v>12</v>
      </c>
      <c r="S487" s="7">
        <f t="shared" si="56"/>
        <v>0.2857142857142857</v>
      </c>
      <c r="T487">
        <f t="shared" si="57"/>
        <v>4</v>
      </c>
      <c r="U487">
        <f t="shared" si="58"/>
        <v>2</v>
      </c>
      <c r="V487">
        <f t="shared" si="59"/>
        <v>5</v>
      </c>
      <c r="W487">
        <f t="shared" si="60"/>
        <v>3</v>
      </c>
      <c r="X487" t="str">
        <f t="shared" si="61"/>
        <v>Low Profit</v>
      </c>
      <c r="Y487">
        <f t="shared" si="62"/>
        <v>15</v>
      </c>
      <c r="Z487">
        <f t="shared" si="63"/>
        <v>42</v>
      </c>
    </row>
    <row r="488" spans="1:26">
      <c r="A488" s="3">
        <v>503</v>
      </c>
      <c r="B488" s="3">
        <v>32</v>
      </c>
      <c r="C488" s="4">
        <v>41579</v>
      </c>
      <c r="D488" s="3" t="s">
        <v>32</v>
      </c>
      <c r="E488" s="3" t="s">
        <v>29</v>
      </c>
      <c r="F488" s="3">
        <v>8</v>
      </c>
      <c r="G488" s="3" t="s">
        <v>18</v>
      </c>
      <c r="H488" s="3" t="s">
        <v>26</v>
      </c>
      <c r="I488" s="3" t="s">
        <v>27</v>
      </c>
      <c r="J488" s="3">
        <v>42</v>
      </c>
      <c r="K488" s="3">
        <v>85</v>
      </c>
      <c r="L488" s="3" t="s">
        <v>49</v>
      </c>
      <c r="M488" s="3">
        <v>20</v>
      </c>
      <c r="N488" s="3">
        <v>30</v>
      </c>
      <c r="O488" s="3">
        <v>50</v>
      </c>
      <c r="P488" s="3">
        <v>20</v>
      </c>
      <c r="Q488">
        <f>SUM([1]!Table1[[#This Row],[Sales]])</f>
        <v>85</v>
      </c>
      <c r="R488">
        <f>SUM([1]!Table1[[#This Row],[Profit]])</f>
        <v>42</v>
      </c>
      <c r="S488" s="7">
        <f t="shared" si="56"/>
        <v>0.49411764705882355</v>
      </c>
      <c r="T488">
        <f t="shared" si="57"/>
        <v>8</v>
      </c>
      <c r="U488">
        <f t="shared" si="58"/>
        <v>35</v>
      </c>
      <c r="V488">
        <f t="shared" si="59"/>
        <v>12</v>
      </c>
      <c r="W488">
        <f t="shared" si="60"/>
        <v>5.25</v>
      </c>
      <c r="X488" t="str">
        <f t="shared" si="61"/>
        <v>Low Profit</v>
      </c>
      <c r="Y488">
        <f t="shared" si="62"/>
        <v>32</v>
      </c>
      <c r="Z488">
        <f t="shared" si="63"/>
        <v>85</v>
      </c>
    </row>
    <row r="489" spans="1:26">
      <c r="A489" s="5">
        <v>435</v>
      </c>
      <c r="B489" s="5">
        <v>35</v>
      </c>
      <c r="C489" s="6">
        <v>41579</v>
      </c>
      <c r="D489" s="5" t="s">
        <v>32</v>
      </c>
      <c r="E489" s="5" t="s">
        <v>29</v>
      </c>
      <c r="F489" s="5">
        <v>11</v>
      </c>
      <c r="G489" s="5" t="s">
        <v>18</v>
      </c>
      <c r="H489" s="5" t="s">
        <v>26</v>
      </c>
      <c r="I489" s="5" t="s">
        <v>54</v>
      </c>
      <c r="J489" s="5">
        <v>13</v>
      </c>
      <c r="K489" s="5">
        <v>87</v>
      </c>
      <c r="L489" s="5" t="s">
        <v>42</v>
      </c>
      <c r="M489" s="5">
        <v>20</v>
      </c>
      <c r="N489" s="5">
        <v>10</v>
      </c>
      <c r="O489" s="5">
        <v>50</v>
      </c>
      <c r="P489" s="5">
        <v>38</v>
      </c>
      <c r="Q489">
        <f>SUM([1]!Table1[[#This Row],[Sales]])</f>
        <v>87</v>
      </c>
      <c r="R489">
        <f>SUM([1]!Table1[[#This Row],[Profit]])</f>
        <v>13</v>
      </c>
      <c r="S489" s="7">
        <f t="shared" si="56"/>
        <v>0.14942528735632185</v>
      </c>
      <c r="T489">
        <f t="shared" si="57"/>
        <v>11</v>
      </c>
      <c r="U489">
        <f t="shared" si="58"/>
        <v>37</v>
      </c>
      <c r="V489">
        <f t="shared" si="59"/>
        <v>15</v>
      </c>
      <c r="W489">
        <f t="shared" si="60"/>
        <v>1.1818181818181819</v>
      </c>
      <c r="X489" t="str">
        <f t="shared" si="61"/>
        <v>Low Profit</v>
      </c>
      <c r="Y489">
        <f t="shared" si="62"/>
        <v>35</v>
      </c>
      <c r="Z489">
        <f t="shared" si="63"/>
        <v>87</v>
      </c>
    </row>
    <row r="490" spans="1:26">
      <c r="A490" s="3">
        <v>435</v>
      </c>
      <c r="B490" s="3">
        <v>34</v>
      </c>
      <c r="C490" s="4">
        <v>41579</v>
      </c>
      <c r="D490" s="3" t="s">
        <v>32</v>
      </c>
      <c r="E490" s="3" t="s">
        <v>29</v>
      </c>
      <c r="F490" s="3">
        <v>12</v>
      </c>
      <c r="G490" s="3" t="s">
        <v>18</v>
      </c>
      <c r="H490" s="3" t="s">
        <v>26</v>
      </c>
      <c r="I490" s="3" t="s">
        <v>30</v>
      </c>
      <c r="J490" s="3">
        <v>-4</v>
      </c>
      <c r="K490" s="3">
        <v>81</v>
      </c>
      <c r="L490" s="3" t="s">
        <v>42</v>
      </c>
      <c r="M490" s="3">
        <v>20</v>
      </c>
      <c r="N490" s="3">
        <v>0</v>
      </c>
      <c r="O490" s="3">
        <v>50</v>
      </c>
      <c r="P490" s="3">
        <v>45</v>
      </c>
      <c r="Q490">
        <f>SUM([1]!Table1[[#This Row],[Sales]])</f>
        <v>81</v>
      </c>
      <c r="R490">
        <f>SUM([1]!Table1[[#This Row],[Profit]])</f>
        <v>-4</v>
      </c>
      <c r="S490" s="7">
        <f t="shared" si="56"/>
        <v>-4.9382716049382713E-2</v>
      </c>
      <c r="T490">
        <f t="shared" si="57"/>
        <v>12</v>
      </c>
      <c r="U490">
        <f t="shared" si="58"/>
        <v>31</v>
      </c>
      <c r="V490">
        <f t="shared" si="59"/>
        <v>14</v>
      </c>
      <c r="W490">
        <f t="shared" si="60"/>
        <v>-0.33333333333333331</v>
      </c>
      <c r="X490" t="str">
        <f t="shared" si="61"/>
        <v>Low Profit</v>
      </c>
      <c r="Y490">
        <f t="shared" si="62"/>
        <v>34</v>
      </c>
      <c r="Z490">
        <f t="shared" si="63"/>
        <v>81</v>
      </c>
    </row>
    <row r="491" spans="1:26">
      <c r="A491" s="5">
        <v>904</v>
      </c>
      <c r="B491" s="5">
        <v>24</v>
      </c>
      <c r="C491" s="6">
        <v>41609</v>
      </c>
      <c r="D491" s="5" t="s">
        <v>16</v>
      </c>
      <c r="E491" s="5" t="s">
        <v>25</v>
      </c>
      <c r="F491" s="5">
        <v>7</v>
      </c>
      <c r="G491" s="5" t="s">
        <v>18</v>
      </c>
      <c r="H491" s="5" t="s">
        <v>19</v>
      </c>
      <c r="I491" s="5" t="s">
        <v>50</v>
      </c>
      <c r="J491" s="5">
        <v>18</v>
      </c>
      <c r="K491" s="5">
        <v>60</v>
      </c>
      <c r="L491" s="5" t="s">
        <v>28</v>
      </c>
      <c r="M491" s="5">
        <v>10</v>
      </c>
      <c r="N491" s="5">
        <v>20</v>
      </c>
      <c r="O491" s="5">
        <v>40</v>
      </c>
      <c r="P491" s="5">
        <v>20</v>
      </c>
      <c r="Q491">
        <f>SUM([1]!Table1[[#This Row],[Sales]])</f>
        <v>60</v>
      </c>
      <c r="R491">
        <f>SUM([1]!Table1[[#This Row],[Profit]])</f>
        <v>18</v>
      </c>
      <c r="S491" s="7">
        <f t="shared" si="56"/>
        <v>0.3</v>
      </c>
      <c r="T491">
        <f t="shared" si="57"/>
        <v>7</v>
      </c>
      <c r="U491">
        <f t="shared" si="58"/>
        <v>20</v>
      </c>
      <c r="V491">
        <f t="shared" si="59"/>
        <v>14</v>
      </c>
      <c r="W491">
        <f t="shared" si="60"/>
        <v>2.5714285714285716</v>
      </c>
      <c r="X491" t="str">
        <f t="shared" si="61"/>
        <v>Low Profit</v>
      </c>
      <c r="Y491">
        <f t="shared" si="62"/>
        <v>24</v>
      </c>
      <c r="Z491">
        <f t="shared" si="63"/>
        <v>60</v>
      </c>
    </row>
    <row r="492" spans="1:26">
      <c r="A492" s="3">
        <v>505</v>
      </c>
      <c r="B492" s="3">
        <v>38</v>
      </c>
      <c r="C492" s="4">
        <v>41609</v>
      </c>
      <c r="D492" s="3" t="s">
        <v>32</v>
      </c>
      <c r="E492" s="3" t="s">
        <v>23</v>
      </c>
      <c r="F492" s="3">
        <v>12</v>
      </c>
      <c r="G492" s="3" t="s">
        <v>33</v>
      </c>
      <c r="H492" s="3" t="s">
        <v>34</v>
      </c>
      <c r="I492" s="3" t="s">
        <v>35</v>
      </c>
      <c r="J492" s="3">
        <v>18</v>
      </c>
      <c r="K492" s="3">
        <v>95</v>
      </c>
      <c r="L492" s="3" t="s">
        <v>57</v>
      </c>
      <c r="M492" s="3">
        <v>30</v>
      </c>
      <c r="N492" s="3">
        <v>0</v>
      </c>
      <c r="O492" s="3">
        <v>60</v>
      </c>
      <c r="P492" s="3">
        <v>39</v>
      </c>
      <c r="Q492">
        <f>SUM([1]!Table1[[#This Row],[Sales]])</f>
        <v>95</v>
      </c>
      <c r="R492">
        <f>SUM([1]!Table1[[#This Row],[Profit]])</f>
        <v>18</v>
      </c>
      <c r="S492" s="7">
        <f t="shared" si="56"/>
        <v>0.18947368421052632</v>
      </c>
      <c r="T492">
        <f t="shared" si="57"/>
        <v>12</v>
      </c>
      <c r="U492">
        <f t="shared" si="58"/>
        <v>35</v>
      </c>
      <c r="V492">
        <f t="shared" si="59"/>
        <v>8</v>
      </c>
      <c r="W492">
        <f t="shared" si="60"/>
        <v>1.5</v>
      </c>
      <c r="X492" t="str">
        <f t="shared" si="61"/>
        <v>Low Profit</v>
      </c>
      <c r="Y492">
        <f t="shared" si="62"/>
        <v>38</v>
      </c>
      <c r="Z492">
        <f t="shared" si="63"/>
        <v>95</v>
      </c>
    </row>
    <row r="493" spans="1:26">
      <c r="A493" s="5">
        <v>775</v>
      </c>
      <c r="B493" s="5">
        <v>23</v>
      </c>
      <c r="C493" s="6">
        <v>41609</v>
      </c>
      <c r="D493" s="5" t="s">
        <v>32</v>
      </c>
      <c r="E493" s="5" t="s">
        <v>29</v>
      </c>
      <c r="F493" s="5">
        <v>6</v>
      </c>
      <c r="G493" s="5" t="s">
        <v>33</v>
      </c>
      <c r="H493" s="5" t="s">
        <v>34</v>
      </c>
      <c r="I493" s="5" t="s">
        <v>35</v>
      </c>
      <c r="J493" s="5">
        <v>25</v>
      </c>
      <c r="K493" s="5">
        <v>62</v>
      </c>
      <c r="L493" s="5" t="s">
        <v>41</v>
      </c>
      <c r="M493" s="5">
        <v>20</v>
      </c>
      <c r="N493" s="5">
        <v>20</v>
      </c>
      <c r="O493" s="5">
        <v>50</v>
      </c>
      <c r="P493" s="5">
        <v>18</v>
      </c>
      <c r="Q493">
        <f>SUM([1]!Table1[[#This Row],[Sales]])</f>
        <v>62</v>
      </c>
      <c r="R493">
        <f>SUM([1]!Table1[[#This Row],[Profit]])</f>
        <v>25</v>
      </c>
      <c r="S493" s="7">
        <f t="shared" si="56"/>
        <v>0.40322580645161288</v>
      </c>
      <c r="T493">
        <f t="shared" si="57"/>
        <v>6</v>
      </c>
      <c r="U493">
        <f t="shared" si="58"/>
        <v>12</v>
      </c>
      <c r="V493">
        <f t="shared" si="59"/>
        <v>3</v>
      </c>
      <c r="W493">
        <f t="shared" si="60"/>
        <v>4.166666666666667</v>
      </c>
      <c r="X493" t="str">
        <f t="shared" si="61"/>
        <v>Low Profit</v>
      </c>
      <c r="Y493">
        <f t="shared" si="62"/>
        <v>23</v>
      </c>
      <c r="Z493">
        <f t="shared" si="63"/>
        <v>62</v>
      </c>
    </row>
    <row r="494" spans="1:26">
      <c r="A494" s="3">
        <v>563</v>
      </c>
      <c r="B494" s="3">
        <v>16</v>
      </c>
      <c r="C494" s="4">
        <v>41609</v>
      </c>
      <c r="D494" s="3" t="s">
        <v>32</v>
      </c>
      <c r="E494" s="3" t="s">
        <v>17</v>
      </c>
      <c r="F494" s="3">
        <v>4</v>
      </c>
      <c r="G494" s="3" t="s">
        <v>33</v>
      </c>
      <c r="H494" s="3" t="s">
        <v>38</v>
      </c>
      <c r="I494" s="3" t="s">
        <v>43</v>
      </c>
      <c r="J494" s="3">
        <v>15</v>
      </c>
      <c r="K494" s="3">
        <v>44</v>
      </c>
      <c r="L494" s="3" t="s">
        <v>36</v>
      </c>
      <c r="M494" s="3">
        <v>10</v>
      </c>
      <c r="N494" s="3">
        <v>20</v>
      </c>
      <c r="O494" s="3">
        <v>40</v>
      </c>
      <c r="P494" s="3">
        <v>15</v>
      </c>
      <c r="Q494">
        <f>SUM([1]!Table1[[#This Row],[Sales]])</f>
        <v>44</v>
      </c>
      <c r="R494">
        <f>SUM([1]!Table1[[#This Row],[Profit]])</f>
        <v>15</v>
      </c>
      <c r="S494" s="7">
        <f t="shared" si="56"/>
        <v>0.34090909090909088</v>
      </c>
      <c r="T494">
        <f t="shared" si="57"/>
        <v>4</v>
      </c>
      <c r="U494">
        <f t="shared" si="58"/>
        <v>4</v>
      </c>
      <c r="V494">
        <f t="shared" si="59"/>
        <v>6</v>
      </c>
      <c r="W494">
        <f t="shared" si="60"/>
        <v>3.75</v>
      </c>
      <c r="X494" t="str">
        <f t="shared" si="61"/>
        <v>Low Profit</v>
      </c>
      <c r="Y494">
        <f t="shared" si="62"/>
        <v>16</v>
      </c>
      <c r="Z494">
        <f t="shared" si="63"/>
        <v>44</v>
      </c>
    </row>
    <row r="495" spans="1:26">
      <c r="A495" s="5">
        <v>641</v>
      </c>
      <c r="B495" s="5">
        <v>31</v>
      </c>
      <c r="C495" s="6">
        <v>41609</v>
      </c>
      <c r="D495" s="5" t="s">
        <v>32</v>
      </c>
      <c r="E495" s="5" t="s">
        <v>17</v>
      </c>
      <c r="F495" s="5">
        <v>9</v>
      </c>
      <c r="G495" s="5" t="s">
        <v>33</v>
      </c>
      <c r="H495" s="5" t="s">
        <v>38</v>
      </c>
      <c r="I495" s="5" t="s">
        <v>45</v>
      </c>
      <c r="J495" s="5">
        <v>12</v>
      </c>
      <c r="K495" s="5">
        <v>74</v>
      </c>
      <c r="L495" s="5" t="s">
        <v>36</v>
      </c>
      <c r="M495" s="5">
        <v>30</v>
      </c>
      <c r="N495" s="5">
        <v>10</v>
      </c>
      <c r="O495" s="5">
        <v>60</v>
      </c>
      <c r="P495" s="5">
        <v>30</v>
      </c>
      <c r="Q495">
        <f>SUM([1]!Table1[[#This Row],[Sales]])</f>
        <v>74</v>
      </c>
      <c r="R495">
        <f>SUM([1]!Table1[[#This Row],[Profit]])</f>
        <v>12</v>
      </c>
      <c r="S495" s="7">
        <f t="shared" si="56"/>
        <v>0.16216216216216217</v>
      </c>
      <c r="T495">
        <f t="shared" si="57"/>
        <v>9</v>
      </c>
      <c r="U495">
        <f t="shared" si="58"/>
        <v>14</v>
      </c>
      <c r="V495">
        <f t="shared" si="59"/>
        <v>1</v>
      </c>
      <c r="W495">
        <f t="shared" si="60"/>
        <v>1.3333333333333333</v>
      </c>
      <c r="X495" t="str">
        <f t="shared" si="61"/>
        <v>Low Profit</v>
      </c>
      <c r="Y495">
        <f t="shared" si="62"/>
        <v>31</v>
      </c>
      <c r="Z495">
        <f t="shared" si="63"/>
        <v>74</v>
      </c>
    </row>
    <row r="496" spans="1:26">
      <c r="A496" s="3">
        <v>603</v>
      </c>
      <c r="B496" s="3">
        <v>20</v>
      </c>
      <c r="C496" s="4">
        <v>41609</v>
      </c>
      <c r="D496" s="3" t="s">
        <v>32</v>
      </c>
      <c r="E496" s="3" t="s">
        <v>25</v>
      </c>
      <c r="F496" s="3">
        <v>7</v>
      </c>
      <c r="G496" s="3" t="s">
        <v>33</v>
      </c>
      <c r="H496" s="3" t="s">
        <v>34</v>
      </c>
      <c r="I496" s="3" t="s">
        <v>59</v>
      </c>
      <c r="J496" s="3">
        <v>-24</v>
      </c>
      <c r="K496" s="3">
        <v>48</v>
      </c>
      <c r="L496" s="3" t="s">
        <v>44</v>
      </c>
      <c r="M496" s="3">
        <v>10</v>
      </c>
      <c r="N496" s="3">
        <v>0</v>
      </c>
      <c r="O496" s="3">
        <v>40</v>
      </c>
      <c r="P496" s="3">
        <v>41</v>
      </c>
      <c r="Q496">
        <f>SUM([1]!Table1[[#This Row],[Sales]])</f>
        <v>48</v>
      </c>
      <c r="R496">
        <f>SUM([1]!Table1[[#This Row],[Profit]])</f>
        <v>-24</v>
      </c>
      <c r="S496" s="7">
        <f t="shared" si="56"/>
        <v>-0.5</v>
      </c>
      <c r="T496">
        <f t="shared" si="57"/>
        <v>7</v>
      </c>
      <c r="U496">
        <f t="shared" si="58"/>
        <v>8</v>
      </c>
      <c r="V496">
        <f t="shared" si="59"/>
        <v>10</v>
      </c>
      <c r="W496">
        <f t="shared" si="60"/>
        <v>-3.4285714285714284</v>
      </c>
      <c r="X496" t="str">
        <f t="shared" si="61"/>
        <v>Low Profit</v>
      </c>
      <c r="Y496">
        <f t="shared" si="62"/>
        <v>20</v>
      </c>
      <c r="Z496">
        <f t="shared" si="63"/>
        <v>48</v>
      </c>
    </row>
    <row r="497" spans="1:26">
      <c r="A497" s="5">
        <v>580</v>
      </c>
      <c r="B497" s="5">
        <v>29</v>
      </c>
      <c r="C497" s="6">
        <v>41609</v>
      </c>
      <c r="D497" s="5" t="s">
        <v>32</v>
      </c>
      <c r="E497" s="5" t="s">
        <v>23</v>
      </c>
      <c r="F497" s="5">
        <v>8</v>
      </c>
      <c r="G497" s="5" t="s">
        <v>33</v>
      </c>
      <c r="H497" s="5" t="s">
        <v>34</v>
      </c>
      <c r="I497" s="5" t="s">
        <v>46</v>
      </c>
      <c r="J497" s="5">
        <v>36</v>
      </c>
      <c r="K497" s="5">
        <v>78</v>
      </c>
      <c r="L497" s="5" t="s">
        <v>40</v>
      </c>
      <c r="M497" s="5">
        <v>20</v>
      </c>
      <c r="N497" s="5">
        <v>20</v>
      </c>
      <c r="O497" s="5">
        <v>50</v>
      </c>
      <c r="P497" s="5">
        <v>20</v>
      </c>
      <c r="Q497">
        <f>SUM([1]!Table1[[#This Row],[Sales]])</f>
        <v>78</v>
      </c>
      <c r="R497">
        <f>SUM([1]!Table1[[#This Row],[Profit]])</f>
        <v>36</v>
      </c>
      <c r="S497" s="7">
        <f t="shared" si="56"/>
        <v>0.46153846153846156</v>
      </c>
      <c r="T497">
        <f t="shared" si="57"/>
        <v>8</v>
      </c>
      <c r="U497">
        <f t="shared" si="58"/>
        <v>28</v>
      </c>
      <c r="V497">
        <f t="shared" si="59"/>
        <v>9</v>
      </c>
      <c r="W497">
        <f t="shared" si="60"/>
        <v>4.5</v>
      </c>
      <c r="X497" t="str">
        <f t="shared" si="61"/>
        <v>Low Profit</v>
      </c>
      <c r="Y497">
        <f t="shared" si="62"/>
        <v>29</v>
      </c>
      <c r="Z497">
        <f t="shared" si="63"/>
        <v>78</v>
      </c>
    </row>
    <row r="498" spans="1:26">
      <c r="A498" s="3">
        <v>206</v>
      </c>
      <c r="B498" s="3">
        <v>24</v>
      </c>
      <c r="C498" s="4">
        <v>41609</v>
      </c>
      <c r="D498" s="3" t="s">
        <v>32</v>
      </c>
      <c r="E498" s="3" t="s">
        <v>29</v>
      </c>
      <c r="F498" s="3">
        <v>7</v>
      </c>
      <c r="G498" s="3" t="s">
        <v>33</v>
      </c>
      <c r="H498" s="3" t="s">
        <v>34</v>
      </c>
      <c r="I498" s="3" t="s">
        <v>47</v>
      </c>
      <c r="J498" s="3">
        <v>19</v>
      </c>
      <c r="K498" s="3">
        <v>60</v>
      </c>
      <c r="L498" s="3" t="s">
        <v>53</v>
      </c>
      <c r="M498" s="3">
        <v>20</v>
      </c>
      <c r="N498" s="3">
        <v>20</v>
      </c>
      <c r="O498" s="3">
        <v>50</v>
      </c>
      <c r="P498" s="3">
        <v>19</v>
      </c>
      <c r="Q498">
        <f>SUM([1]!Table1[[#This Row],[Sales]])</f>
        <v>60</v>
      </c>
      <c r="R498">
        <f>SUM([1]!Table1[[#This Row],[Profit]])</f>
        <v>19</v>
      </c>
      <c r="S498" s="7">
        <f t="shared" si="56"/>
        <v>0.31666666666666665</v>
      </c>
      <c r="T498">
        <f t="shared" si="57"/>
        <v>7</v>
      </c>
      <c r="U498">
        <f t="shared" si="58"/>
        <v>10</v>
      </c>
      <c r="V498">
        <f t="shared" si="59"/>
        <v>4</v>
      </c>
      <c r="W498">
        <f t="shared" si="60"/>
        <v>2.7142857142857144</v>
      </c>
      <c r="X498" t="str">
        <f t="shared" si="61"/>
        <v>Low Profit</v>
      </c>
      <c r="Y498">
        <f t="shared" si="62"/>
        <v>24</v>
      </c>
      <c r="Z498">
        <f t="shared" si="63"/>
        <v>60</v>
      </c>
    </row>
    <row r="499" spans="1:26">
      <c r="A499" s="5">
        <v>503</v>
      </c>
      <c r="B499" s="5">
        <v>24</v>
      </c>
      <c r="C499" s="6">
        <v>41609</v>
      </c>
      <c r="D499" s="5" t="s">
        <v>32</v>
      </c>
      <c r="E499" s="5" t="s">
        <v>29</v>
      </c>
      <c r="F499" s="5">
        <v>6</v>
      </c>
      <c r="G499" s="5" t="s">
        <v>18</v>
      </c>
      <c r="H499" s="5" t="s">
        <v>19</v>
      </c>
      <c r="I499" s="5" t="s">
        <v>50</v>
      </c>
      <c r="J499" s="5">
        <v>28</v>
      </c>
      <c r="K499" s="5">
        <v>64</v>
      </c>
      <c r="L499" s="5" t="s">
        <v>49</v>
      </c>
      <c r="M499" s="5">
        <v>20</v>
      </c>
      <c r="N499" s="5">
        <v>20</v>
      </c>
      <c r="O499" s="5">
        <v>50</v>
      </c>
      <c r="P499" s="5">
        <v>17</v>
      </c>
      <c r="Q499">
        <f>SUM([1]!Table1[[#This Row],[Sales]])</f>
        <v>64</v>
      </c>
      <c r="R499">
        <f>SUM([1]!Table1[[#This Row],[Profit]])</f>
        <v>28</v>
      </c>
      <c r="S499" s="7">
        <f t="shared" si="56"/>
        <v>0.4375</v>
      </c>
      <c r="T499">
        <f t="shared" si="57"/>
        <v>6</v>
      </c>
      <c r="U499">
        <f t="shared" si="58"/>
        <v>14</v>
      </c>
      <c r="V499">
        <f t="shared" si="59"/>
        <v>4</v>
      </c>
      <c r="W499">
        <f t="shared" si="60"/>
        <v>4.666666666666667</v>
      </c>
      <c r="X499" t="str">
        <f t="shared" si="61"/>
        <v>Low Profit</v>
      </c>
      <c r="Y499">
        <f t="shared" si="62"/>
        <v>24</v>
      </c>
      <c r="Z499">
        <f t="shared" si="63"/>
        <v>64</v>
      </c>
    </row>
    <row r="500" spans="1:26">
      <c r="A500" s="3">
        <v>603</v>
      </c>
      <c r="B500" s="3">
        <v>16</v>
      </c>
      <c r="C500" s="4">
        <v>41609</v>
      </c>
      <c r="D500" s="3" t="s">
        <v>32</v>
      </c>
      <c r="E500" s="3" t="s">
        <v>25</v>
      </c>
      <c r="F500" s="3">
        <v>4</v>
      </c>
      <c r="G500" s="3" t="s">
        <v>18</v>
      </c>
      <c r="H500" s="3" t="s">
        <v>26</v>
      </c>
      <c r="I500" s="3" t="s">
        <v>27</v>
      </c>
      <c r="J500" s="3">
        <v>15</v>
      </c>
      <c r="K500" s="3">
        <v>44</v>
      </c>
      <c r="L500" s="3" t="s">
        <v>44</v>
      </c>
      <c r="M500" s="3">
        <v>10</v>
      </c>
      <c r="N500" s="3">
        <v>20</v>
      </c>
      <c r="O500" s="3">
        <v>40</v>
      </c>
      <c r="P500" s="3">
        <v>15</v>
      </c>
      <c r="Q500">
        <f>SUM([1]!Table1[[#This Row],[Sales]])</f>
        <v>44</v>
      </c>
      <c r="R500">
        <f>SUM([1]!Table1[[#This Row],[Profit]])</f>
        <v>15</v>
      </c>
      <c r="S500" s="7">
        <f t="shared" si="56"/>
        <v>0.34090909090909088</v>
      </c>
      <c r="T500">
        <f t="shared" si="57"/>
        <v>4</v>
      </c>
      <c r="U500">
        <f t="shared" si="58"/>
        <v>4</v>
      </c>
      <c r="V500">
        <f t="shared" si="59"/>
        <v>6</v>
      </c>
      <c r="W500">
        <f t="shared" si="60"/>
        <v>3.75</v>
      </c>
      <c r="X500" t="str">
        <f t="shared" si="61"/>
        <v>Low Profit</v>
      </c>
      <c r="Y500">
        <f t="shared" si="62"/>
        <v>16</v>
      </c>
      <c r="Z500">
        <f t="shared" si="63"/>
        <v>44</v>
      </c>
    </row>
    <row r="501" spans="1:26">
      <c r="A501" s="5">
        <v>541</v>
      </c>
      <c r="B501" s="5">
        <v>29</v>
      </c>
      <c r="C501" s="6">
        <v>41609</v>
      </c>
      <c r="D501" s="5" t="s">
        <v>32</v>
      </c>
      <c r="E501" s="5" t="s">
        <v>29</v>
      </c>
      <c r="F501" s="5">
        <v>8</v>
      </c>
      <c r="G501" s="5" t="s">
        <v>18</v>
      </c>
      <c r="H501" s="5" t="s">
        <v>26</v>
      </c>
      <c r="I501" s="5" t="s">
        <v>27</v>
      </c>
      <c r="J501" s="5">
        <v>37</v>
      </c>
      <c r="K501" s="5">
        <v>78</v>
      </c>
      <c r="L501" s="5" t="s">
        <v>49</v>
      </c>
      <c r="M501" s="5">
        <v>20</v>
      </c>
      <c r="N501" s="5">
        <v>30</v>
      </c>
      <c r="O501" s="5">
        <v>50</v>
      </c>
      <c r="P501" s="5">
        <v>19</v>
      </c>
      <c r="Q501">
        <f>SUM([1]!Table1[[#This Row],[Sales]])</f>
        <v>78</v>
      </c>
      <c r="R501">
        <f>SUM([1]!Table1[[#This Row],[Profit]])</f>
        <v>37</v>
      </c>
      <c r="S501" s="7">
        <f t="shared" si="56"/>
        <v>0.47435897435897434</v>
      </c>
      <c r="T501">
        <f t="shared" si="57"/>
        <v>8</v>
      </c>
      <c r="U501">
        <f t="shared" si="58"/>
        <v>28</v>
      </c>
      <c r="V501">
        <f t="shared" si="59"/>
        <v>9</v>
      </c>
      <c r="W501">
        <f t="shared" si="60"/>
        <v>4.625</v>
      </c>
      <c r="X501" t="str">
        <f t="shared" si="61"/>
        <v>Low Profit</v>
      </c>
      <c r="Y501">
        <f t="shared" si="62"/>
        <v>29</v>
      </c>
      <c r="Z501">
        <f t="shared" si="63"/>
        <v>78</v>
      </c>
    </row>
    <row r="502" spans="1:26">
      <c r="A502" s="3">
        <v>915</v>
      </c>
      <c r="B502" s="3">
        <v>76</v>
      </c>
      <c r="C502" s="4">
        <v>41183</v>
      </c>
      <c r="D502" s="3" t="s">
        <v>16</v>
      </c>
      <c r="E502" s="3" t="s">
        <v>23</v>
      </c>
      <c r="F502" s="3">
        <v>21</v>
      </c>
      <c r="G502" s="3" t="s">
        <v>33</v>
      </c>
      <c r="H502" s="3" t="s">
        <v>34</v>
      </c>
      <c r="I502" s="3" t="s">
        <v>35</v>
      </c>
      <c r="J502" s="3">
        <v>78</v>
      </c>
      <c r="K502" s="3">
        <v>187</v>
      </c>
      <c r="L502" s="3" t="s">
        <v>24</v>
      </c>
      <c r="M502" s="3">
        <v>40</v>
      </c>
      <c r="N502" s="3">
        <v>80</v>
      </c>
      <c r="O502" s="3">
        <v>120</v>
      </c>
      <c r="P502" s="3">
        <v>33</v>
      </c>
      <c r="Q502">
        <f>SUM([1]!Table1[[#This Row],[Sales]])</f>
        <v>187</v>
      </c>
      <c r="R502">
        <f>SUM([1]!Table1[[#This Row],[Profit]])</f>
        <v>78</v>
      </c>
      <c r="S502" s="7">
        <f t="shared" si="56"/>
        <v>0.41711229946524064</v>
      </c>
      <c r="T502">
        <f t="shared" si="57"/>
        <v>21</v>
      </c>
      <c r="U502">
        <f t="shared" si="58"/>
        <v>67</v>
      </c>
      <c r="V502">
        <f t="shared" si="59"/>
        <v>36</v>
      </c>
      <c r="W502">
        <f t="shared" si="60"/>
        <v>3.7142857142857144</v>
      </c>
      <c r="X502" t="str">
        <f t="shared" si="61"/>
        <v>Low Profit</v>
      </c>
      <c r="Y502">
        <f t="shared" si="62"/>
        <v>76</v>
      </c>
      <c r="Z502">
        <f t="shared" si="63"/>
        <v>187</v>
      </c>
    </row>
    <row r="503" spans="1:26">
      <c r="A503" s="5">
        <v>713</v>
      </c>
      <c r="B503" s="5">
        <v>52</v>
      </c>
      <c r="C503" s="6">
        <v>41183</v>
      </c>
      <c r="D503" s="5" t="s">
        <v>16</v>
      </c>
      <c r="E503" s="5" t="s">
        <v>23</v>
      </c>
      <c r="F503" s="5">
        <v>17</v>
      </c>
      <c r="G503" s="5" t="s">
        <v>18</v>
      </c>
      <c r="H503" s="5" t="s">
        <v>19</v>
      </c>
      <c r="I503" s="5" t="s">
        <v>50</v>
      </c>
      <c r="J503" s="5">
        <v>26</v>
      </c>
      <c r="K503" s="5">
        <v>123</v>
      </c>
      <c r="L503" s="5" t="s">
        <v>24</v>
      </c>
      <c r="M503" s="5">
        <v>30</v>
      </c>
      <c r="N503" s="5">
        <v>70</v>
      </c>
      <c r="O503" s="5">
        <v>110</v>
      </c>
      <c r="P503" s="5">
        <v>45</v>
      </c>
      <c r="Q503">
        <f>SUM([1]!Table1[[#This Row],[Sales]])</f>
        <v>123</v>
      </c>
      <c r="R503">
        <f>SUM([1]!Table1[[#This Row],[Profit]])</f>
        <v>26</v>
      </c>
      <c r="S503" s="7">
        <f t="shared" si="56"/>
        <v>0.21138211382113822</v>
      </c>
      <c r="T503">
        <f t="shared" si="57"/>
        <v>17</v>
      </c>
      <c r="U503">
        <f t="shared" si="58"/>
        <v>13</v>
      </c>
      <c r="V503">
        <f t="shared" si="59"/>
        <v>22</v>
      </c>
      <c r="W503">
        <f t="shared" si="60"/>
        <v>1.5294117647058822</v>
      </c>
      <c r="X503" t="str">
        <f t="shared" si="61"/>
        <v>Low Profit</v>
      </c>
      <c r="Y503">
        <f t="shared" si="62"/>
        <v>52</v>
      </c>
      <c r="Z503">
        <f t="shared" si="63"/>
        <v>123</v>
      </c>
    </row>
    <row r="504" spans="1:26">
      <c r="A504" s="3">
        <v>217</v>
      </c>
      <c r="B504" s="3">
        <v>76</v>
      </c>
      <c r="C504" s="4">
        <v>41183</v>
      </c>
      <c r="D504" s="3" t="s">
        <v>16</v>
      </c>
      <c r="E504" s="3" t="s">
        <v>17</v>
      </c>
      <c r="F504" s="3">
        <v>21</v>
      </c>
      <c r="G504" s="3" t="s">
        <v>18</v>
      </c>
      <c r="H504" s="3" t="s">
        <v>26</v>
      </c>
      <c r="I504" s="3" t="s">
        <v>27</v>
      </c>
      <c r="J504" s="3">
        <v>78</v>
      </c>
      <c r="K504" s="3">
        <v>187</v>
      </c>
      <c r="L504" s="3" t="s">
        <v>56</v>
      </c>
      <c r="M504" s="3">
        <v>50</v>
      </c>
      <c r="N504" s="3">
        <v>80</v>
      </c>
      <c r="O504" s="3">
        <v>130</v>
      </c>
      <c r="P504" s="3">
        <v>33</v>
      </c>
      <c r="Q504">
        <f>SUM([1]!Table1[[#This Row],[Sales]])</f>
        <v>187</v>
      </c>
      <c r="R504">
        <f>SUM([1]!Table1[[#This Row],[Profit]])</f>
        <v>78</v>
      </c>
      <c r="S504" s="7">
        <f t="shared" si="56"/>
        <v>0.41711229946524064</v>
      </c>
      <c r="T504">
        <f t="shared" si="57"/>
        <v>21</v>
      </c>
      <c r="U504">
        <f t="shared" si="58"/>
        <v>57</v>
      </c>
      <c r="V504">
        <f t="shared" si="59"/>
        <v>26</v>
      </c>
      <c r="W504">
        <f t="shared" si="60"/>
        <v>3.7142857142857144</v>
      </c>
      <c r="X504" t="str">
        <f t="shared" si="61"/>
        <v>Low Profit</v>
      </c>
      <c r="Y504">
        <f t="shared" si="62"/>
        <v>76</v>
      </c>
      <c r="Z504">
        <f t="shared" si="63"/>
        <v>187</v>
      </c>
    </row>
    <row r="505" spans="1:26">
      <c r="A505" s="5">
        <v>847</v>
      </c>
      <c r="B505" s="5">
        <v>72</v>
      </c>
      <c r="C505" s="6">
        <v>41183</v>
      </c>
      <c r="D505" s="5" t="s">
        <v>16</v>
      </c>
      <c r="E505" s="5" t="s">
        <v>17</v>
      </c>
      <c r="F505" s="5">
        <v>23</v>
      </c>
      <c r="G505" s="5" t="s">
        <v>18</v>
      </c>
      <c r="H505" s="5" t="s">
        <v>26</v>
      </c>
      <c r="I505" s="5" t="s">
        <v>54</v>
      </c>
      <c r="J505" s="5">
        <v>55</v>
      </c>
      <c r="K505" s="5">
        <v>182</v>
      </c>
      <c r="L505" s="5" t="s">
        <v>56</v>
      </c>
      <c r="M505" s="5">
        <v>50</v>
      </c>
      <c r="N505" s="5">
        <v>50</v>
      </c>
      <c r="O505" s="5">
        <v>130</v>
      </c>
      <c r="P505" s="5">
        <v>55</v>
      </c>
      <c r="Q505">
        <f>SUM([1]!Table1[[#This Row],[Sales]])</f>
        <v>182</v>
      </c>
      <c r="R505">
        <f>SUM([1]!Table1[[#This Row],[Profit]])</f>
        <v>55</v>
      </c>
      <c r="S505" s="7">
        <f t="shared" si="56"/>
        <v>0.30219780219780218</v>
      </c>
      <c r="T505">
        <f t="shared" si="57"/>
        <v>23</v>
      </c>
      <c r="U505">
        <f t="shared" si="58"/>
        <v>52</v>
      </c>
      <c r="V505">
        <f t="shared" si="59"/>
        <v>22</v>
      </c>
      <c r="W505">
        <f t="shared" si="60"/>
        <v>2.3913043478260869</v>
      </c>
      <c r="X505" t="str">
        <f t="shared" si="61"/>
        <v>Low Profit</v>
      </c>
      <c r="Y505">
        <f t="shared" si="62"/>
        <v>72</v>
      </c>
      <c r="Z505">
        <f t="shared" si="63"/>
        <v>182</v>
      </c>
    </row>
    <row r="506" spans="1:26">
      <c r="A506" s="3">
        <v>660</v>
      </c>
      <c r="B506" s="3">
        <v>65</v>
      </c>
      <c r="C506" s="4">
        <v>41183</v>
      </c>
      <c r="D506" s="3" t="s">
        <v>32</v>
      </c>
      <c r="E506" s="3" t="s">
        <v>17</v>
      </c>
      <c r="F506" s="3">
        <v>20</v>
      </c>
      <c r="G506" s="3" t="s">
        <v>33</v>
      </c>
      <c r="H506" s="3" t="s">
        <v>38</v>
      </c>
      <c r="I506" s="3" t="s">
        <v>39</v>
      </c>
      <c r="J506" s="3">
        <v>35</v>
      </c>
      <c r="K506" s="3">
        <v>142</v>
      </c>
      <c r="L506" s="3" t="s">
        <v>51</v>
      </c>
      <c r="M506" s="3">
        <v>50</v>
      </c>
      <c r="N506" s="3">
        <v>70</v>
      </c>
      <c r="O506" s="3">
        <v>130</v>
      </c>
      <c r="P506" s="3">
        <v>42</v>
      </c>
      <c r="Q506">
        <f>SUM([1]!Table1[[#This Row],[Sales]])</f>
        <v>142</v>
      </c>
      <c r="R506">
        <f>SUM([1]!Table1[[#This Row],[Profit]])</f>
        <v>35</v>
      </c>
      <c r="S506" s="7">
        <f t="shared" si="56"/>
        <v>0.24647887323943662</v>
      </c>
      <c r="T506">
        <f t="shared" si="57"/>
        <v>20</v>
      </c>
      <c r="U506">
        <f t="shared" si="58"/>
        <v>12</v>
      </c>
      <c r="V506">
        <f t="shared" si="59"/>
        <v>15</v>
      </c>
      <c r="W506">
        <f t="shared" si="60"/>
        <v>1.75</v>
      </c>
      <c r="X506" t="str">
        <f t="shared" si="61"/>
        <v>Low Profit</v>
      </c>
      <c r="Y506">
        <f t="shared" si="62"/>
        <v>65</v>
      </c>
      <c r="Z506">
        <f t="shared" si="63"/>
        <v>142</v>
      </c>
    </row>
    <row r="507" spans="1:26">
      <c r="A507" s="5">
        <v>660</v>
      </c>
      <c r="B507" s="5">
        <v>32</v>
      </c>
      <c r="C507" s="6">
        <v>41183</v>
      </c>
      <c r="D507" s="5" t="s">
        <v>32</v>
      </c>
      <c r="E507" s="5" t="s">
        <v>17</v>
      </c>
      <c r="F507" s="5">
        <v>8</v>
      </c>
      <c r="G507" s="5" t="s">
        <v>33</v>
      </c>
      <c r="H507" s="5" t="s">
        <v>34</v>
      </c>
      <c r="I507" s="5" t="s">
        <v>35</v>
      </c>
      <c r="J507" s="5">
        <v>28</v>
      </c>
      <c r="K507" s="5">
        <v>79</v>
      </c>
      <c r="L507" s="5" t="s">
        <v>51</v>
      </c>
      <c r="M507" s="5">
        <v>30</v>
      </c>
      <c r="N507" s="5">
        <v>80</v>
      </c>
      <c r="O507" s="5">
        <v>110</v>
      </c>
      <c r="P507" s="5">
        <v>19</v>
      </c>
      <c r="Q507">
        <f>SUM([1]!Table1[[#This Row],[Sales]])</f>
        <v>79</v>
      </c>
      <c r="R507">
        <f>SUM([1]!Table1[[#This Row],[Profit]])</f>
        <v>28</v>
      </c>
      <c r="S507" s="7">
        <f t="shared" si="56"/>
        <v>0.35443037974683544</v>
      </c>
      <c r="T507">
        <f t="shared" si="57"/>
        <v>8</v>
      </c>
      <c r="U507">
        <f t="shared" si="58"/>
        <v>-31</v>
      </c>
      <c r="V507">
        <f t="shared" si="59"/>
        <v>2</v>
      </c>
      <c r="W507">
        <f t="shared" si="60"/>
        <v>3.5</v>
      </c>
      <c r="X507" t="str">
        <f t="shared" si="61"/>
        <v>Low Profit</v>
      </c>
      <c r="Y507">
        <f t="shared" si="62"/>
        <v>32</v>
      </c>
      <c r="Z507">
        <f t="shared" si="63"/>
        <v>79</v>
      </c>
    </row>
    <row r="508" spans="1:26">
      <c r="A508" s="3">
        <v>405</v>
      </c>
      <c r="B508" s="3">
        <v>82</v>
      </c>
      <c r="C508" s="4">
        <v>41183</v>
      </c>
      <c r="D508" s="3" t="s">
        <v>32</v>
      </c>
      <c r="E508" s="3" t="s">
        <v>23</v>
      </c>
      <c r="F508" s="3">
        <v>27</v>
      </c>
      <c r="G508" s="3" t="s">
        <v>33</v>
      </c>
      <c r="H508" s="3" t="s">
        <v>34</v>
      </c>
      <c r="I508" s="3" t="s">
        <v>35</v>
      </c>
      <c r="J508" s="3">
        <v>65</v>
      </c>
      <c r="K508" s="3">
        <v>205</v>
      </c>
      <c r="L508" s="3" t="s">
        <v>40</v>
      </c>
      <c r="M508" s="3">
        <v>50</v>
      </c>
      <c r="N508" s="3">
        <v>60</v>
      </c>
      <c r="O508" s="3">
        <v>130</v>
      </c>
      <c r="P508" s="3">
        <v>58</v>
      </c>
      <c r="Q508">
        <f>SUM([1]!Table1[[#This Row],[Sales]])</f>
        <v>205</v>
      </c>
      <c r="R508">
        <f>SUM([1]!Table1[[#This Row],[Profit]])</f>
        <v>65</v>
      </c>
      <c r="S508" s="7">
        <f t="shared" si="56"/>
        <v>0.31707317073170732</v>
      </c>
      <c r="T508">
        <f t="shared" si="57"/>
        <v>27</v>
      </c>
      <c r="U508">
        <f t="shared" si="58"/>
        <v>75</v>
      </c>
      <c r="V508">
        <f t="shared" si="59"/>
        <v>32</v>
      </c>
      <c r="W508">
        <f t="shared" si="60"/>
        <v>2.4074074074074074</v>
      </c>
      <c r="X508" t="str">
        <f t="shared" si="61"/>
        <v>Low Profit</v>
      </c>
      <c r="Y508">
        <f t="shared" si="62"/>
        <v>82</v>
      </c>
      <c r="Z508">
        <f t="shared" si="63"/>
        <v>205</v>
      </c>
    </row>
    <row r="509" spans="1:26">
      <c r="A509" s="5">
        <v>715</v>
      </c>
      <c r="B509" s="5">
        <v>56</v>
      </c>
      <c r="C509" s="6">
        <v>41183</v>
      </c>
      <c r="D509" s="5" t="s">
        <v>32</v>
      </c>
      <c r="E509" s="5" t="s">
        <v>17</v>
      </c>
      <c r="F509" s="5">
        <v>21</v>
      </c>
      <c r="G509" s="5" t="s">
        <v>33</v>
      </c>
      <c r="H509" s="5" t="s">
        <v>38</v>
      </c>
      <c r="I509" s="5" t="s">
        <v>43</v>
      </c>
      <c r="J509" s="5">
        <v>15</v>
      </c>
      <c r="K509" s="5">
        <v>126</v>
      </c>
      <c r="L509" s="5" t="s">
        <v>52</v>
      </c>
      <c r="M509" s="5">
        <v>40</v>
      </c>
      <c r="N509" s="5">
        <v>50</v>
      </c>
      <c r="O509" s="5">
        <v>120</v>
      </c>
      <c r="P509" s="5">
        <v>55</v>
      </c>
      <c r="Q509">
        <f>SUM([1]!Table1[[#This Row],[Sales]])</f>
        <v>126</v>
      </c>
      <c r="R509">
        <f>SUM([1]!Table1[[#This Row],[Profit]])</f>
        <v>15</v>
      </c>
      <c r="S509" s="7">
        <f t="shared" si="56"/>
        <v>0.11904761904761904</v>
      </c>
      <c r="T509">
        <f t="shared" si="57"/>
        <v>21</v>
      </c>
      <c r="U509">
        <f t="shared" si="58"/>
        <v>6</v>
      </c>
      <c r="V509">
        <f t="shared" si="59"/>
        <v>16</v>
      </c>
      <c r="W509">
        <f t="shared" si="60"/>
        <v>0.7142857142857143</v>
      </c>
      <c r="X509" t="str">
        <f t="shared" si="61"/>
        <v>Low Profit</v>
      </c>
      <c r="Y509">
        <f t="shared" si="62"/>
        <v>56</v>
      </c>
      <c r="Z509">
        <f t="shared" si="63"/>
        <v>126</v>
      </c>
    </row>
    <row r="510" spans="1:26">
      <c r="A510" s="3">
        <v>405</v>
      </c>
      <c r="B510" s="3">
        <v>91</v>
      </c>
      <c r="C510" s="4">
        <v>41183</v>
      </c>
      <c r="D510" s="3" t="s">
        <v>32</v>
      </c>
      <c r="E510" s="3" t="s">
        <v>23</v>
      </c>
      <c r="F510" s="3">
        <v>28</v>
      </c>
      <c r="G510" s="3" t="s">
        <v>33</v>
      </c>
      <c r="H510" s="3" t="s">
        <v>34</v>
      </c>
      <c r="I510" s="3" t="s">
        <v>47</v>
      </c>
      <c r="J510" s="3">
        <v>76</v>
      </c>
      <c r="K510" s="3">
        <v>218</v>
      </c>
      <c r="L510" s="3" t="s">
        <v>40</v>
      </c>
      <c r="M510" s="3">
        <v>50</v>
      </c>
      <c r="N510" s="3">
        <v>70</v>
      </c>
      <c r="O510" s="3">
        <v>130</v>
      </c>
      <c r="P510" s="3">
        <v>51</v>
      </c>
      <c r="Q510">
        <f>SUM([1]!Table1[[#This Row],[Sales]])</f>
        <v>218</v>
      </c>
      <c r="R510">
        <f>SUM([1]!Table1[[#This Row],[Profit]])</f>
        <v>76</v>
      </c>
      <c r="S510" s="7">
        <f t="shared" si="56"/>
        <v>0.34862385321100919</v>
      </c>
      <c r="T510">
        <f t="shared" si="57"/>
        <v>28</v>
      </c>
      <c r="U510">
        <f t="shared" si="58"/>
        <v>88</v>
      </c>
      <c r="V510">
        <f t="shared" si="59"/>
        <v>41</v>
      </c>
      <c r="W510">
        <f t="shared" si="60"/>
        <v>2.7142857142857144</v>
      </c>
      <c r="X510" t="str">
        <f t="shared" si="61"/>
        <v>Low Profit</v>
      </c>
      <c r="Y510">
        <f t="shared" si="62"/>
        <v>91</v>
      </c>
      <c r="Z510">
        <f t="shared" si="63"/>
        <v>218</v>
      </c>
    </row>
    <row r="511" spans="1:26">
      <c r="A511" s="5">
        <v>414</v>
      </c>
      <c r="B511" s="5">
        <v>60</v>
      </c>
      <c r="C511" s="6">
        <v>41183</v>
      </c>
      <c r="D511" s="5" t="s">
        <v>32</v>
      </c>
      <c r="E511" s="5" t="s">
        <v>17</v>
      </c>
      <c r="F511" s="5">
        <v>18</v>
      </c>
      <c r="G511" s="5" t="s">
        <v>18</v>
      </c>
      <c r="H511" s="5" t="s">
        <v>19</v>
      </c>
      <c r="I511" s="5" t="s">
        <v>50</v>
      </c>
      <c r="J511" s="5">
        <v>57</v>
      </c>
      <c r="K511" s="5">
        <v>159</v>
      </c>
      <c r="L511" s="5" t="s">
        <v>52</v>
      </c>
      <c r="M511" s="5">
        <v>40</v>
      </c>
      <c r="N511" s="5">
        <v>80</v>
      </c>
      <c r="O511" s="5">
        <v>120</v>
      </c>
      <c r="P511" s="5">
        <v>42</v>
      </c>
      <c r="Q511">
        <f>SUM([1]!Table1[[#This Row],[Sales]])</f>
        <v>159</v>
      </c>
      <c r="R511">
        <f>SUM([1]!Table1[[#This Row],[Profit]])</f>
        <v>57</v>
      </c>
      <c r="S511" s="7">
        <f t="shared" si="56"/>
        <v>0.35849056603773582</v>
      </c>
      <c r="T511">
        <f t="shared" si="57"/>
        <v>18</v>
      </c>
      <c r="U511">
        <f t="shared" si="58"/>
        <v>39</v>
      </c>
      <c r="V511">
        <f t="shared" si="59"/>
        <v>20</v>
      </c>
      <c r="W511">
        <f t="shared" si="60"/>
        <v>3.1666666666666665</v>
      </c>
      <c r="X511" t="str">
        <f t="shared" si="61"/>
        <v>Low Profit</v>
      </c>
      <c r="Y511">
        <f t="shared" si="62"/>
        <v>60</v>
      </c>
      <c r="Z511">
        <f t="shared" si="63"/>
        <v>159</v>
      </c>
    </row>
    <row r="512" spans="1:26">
      <c r="A512" s="3">
        <v>419</v>
      </c>
      <c r="B512" s="3">
        <v>55</v>
      </c>
      <c r="C512" s="4">
        <v>41214</v>
      </c>
      <c r="D512" s="3" t="s">
        <v>16</v>
      </c>
      <c r="E512" s="3" t="s">
        <v>17</v>
      </c>
      <c r="F512" s="3">
        <v>20</v>
      </c>
      <c r="G512" s="3" t="s">
        <v>33</v>
      </c>
      <c r="H512" s="3" t="s">
        <v>34</v>
      </c>
      <c r="I512" s="3" t="s">
        <v>35</v>
      </c>
      <c r="J512" s="3">
        <v>16</v>
      </c>
      <c r="K512" s="3">
        <v>124</v>
      </c>
      <c r="L512" s="3" t="s">
        <v>58</v>
      </c>
      <c r="M512" s="3">
        <v>70</v>
      </c>
      <c r="N512" s="3">
        <v>40</v>
      </c>
      <c r="O512" s="3">
        <v>150</v>
      </c>
      <c r="P512" s="3">
        <v>53</v>
      </c>
      <c r="Q512">
        <f>SUM([1]!Table1[[#This Row],[Sales]])</f>
        <v>124</v>
      </c>
      <c r="R512">
        <f>SUM([1]!Table1[[#This Row],[Profit]])</f>
        <v>16</v>
      </c>
      <c r="S512" s="7">
        <f t="shared" si="56"/>
        <v>0.12903225806451613</v>
      </c>
      <c r="T512">
        <f t="shared" si="57"/>
        <v>20</v>
      </c>
      <c r="U512">
        <f t="shared" si="58"/>
        <v>-26</v>
      </c>
      <c r="V512">
        <f t="shared" si="59"/>
        <v>-15</v>
      </c>
      <c r="W512">
        <f t="shared" si="60"/>
        <v>0.8</v>
      </c>
      <c r="X512" t="str">
        <f t="shared" si="61"/>
        <v>Low Profit</v>
      </c>
      <c r="Y512">
        <f t="shared" si="62"/>
        <v>55</v>
      </c>
      <c r="Z512">
        <f t="shared" si="63"/>
        <v>124</v>
      </c>
    </row>
    <row r="513" spans="1:26">
      <c r="A513" s="5">
        <v>330</v>
      </c>
      <c r="B513" s="5">
        <v>59</v>
      </c>
      <c r="C513" s="6">
        <v>41214</v>
      </c>
      <c r="D513" s="5" t="s">
        <v>16</v>
      </c>
      <c r="E513" s="5" t="s">
        <v>17</v>
      </c>
      <c r="F513" s="5">
        <v>19</v>
      </c>
      <c r="G513" s="5" t="s">
        <v>33</v>
      </c>
      <c r="H513" s="5" t="s">
        <v>38</v>
      </c>
      <c r="I513" s="5" t="s">
        <v>43</v>
      </c>
      <c r="J513" s="5">
        <v>33</v>
      </c>
      <c r="K513" s="5">
        <v>138</v>
      </c>
      <c r="L513" s="5" t="s">
        <v>58</v>
      </c>
      <c r="M513" s="5">
        <v>50</v>
      </c>
      <c r="N513" s="5">
        <v>50</v>
      </c>
      <c r="O513" s="5">
        <v>130</v>
      </c>
      <c r="P513" s="5">
        <v>46</v>
      </c>
      <c r="Q513">
        <f>SUM([1]!Table1[[#This Row],[Sales]])</f>
        <v>138</v>
      </c>
      <c r="R513">
        <f>SUM([1]!Table1[[#This Row],[Profit]])</f>
        <v>33</v>
      </c>
      <c r="S513" s="7">
        <f t="shared" si="56"/>
        <v>0.2391304347826087</v>
      </c>
      <c r="T513">
        <f t="shared" si="57"/>
        <v>19</v>
      </c>
      <c r="U513">
        <f t="shared" si="58"/>
        <v>8</v>
      </c>
      <c r="V513">
        <f t="shared" si="59"/>
        <v>9</v>
      </c>
      <c r="W513">
        <f t="shared" si="60"/>
        <v>1.736842105263158</v>
      </c>
      <c r="X513" t="str">
        <f t="shared" si="61"/>
        <v>Low Profit</v>
      </c>
      <c r="Y513">
        <f t="shared" si="62"/>
        <v>59</v>
      </c>
      <c r="Z513">
        <f t="shared" si="63"/>
        <v>138</v>
      </c>
    </row>
    <row r="514" spans="1:26">
      <c r="A514" s="3">
        <v>650</v>
      </c>
      <c r="B514" s="3">
        <v>75</v>
      </c>
      <c r="C514" s="4">
        <v>41214</v>
      </c>
      <c r="D514" s="3" t="s">
        <v>16</v>
      </c>
      <c r="E514" s="3" t="s">
        <v>29</v>
      </c>
      <c r="F514" s="3">
        <v>24</v>
      </c>
      <c r="G514" s="3" t="s">
        <v>18</v>
      </c>
      <c r="H514" s="3" t="s">
        <v>26</v>
      </c>
      <c r="I514" s="3" t="s">
        <v>30</v>
      </c>
      <c r="J514" s="3">
        <v>59</v>
      </c>
      <c r="K514" s="3">
        <v>189</v>
      </c>
      <c r="L514" s="3" t="s">
        <v>31</v>
      </c>
      <c r="M514" s="3">
        <v>50</v>
      </c>
      <c r="N514" s="3">
        <v>40</v>
      </c>
      <c r="O514" s="3">
        <v>130</v>
      </c>
      <c r="P514" s="3">
        <v>55</v>
      </c>
      <c r="Q514">
        <f>SUM([1]!Table1[[#This Row],[Sales]])</f>
        <v>189</v>
      </c>
      <c r="R514">
        <f>SUM([1]!Table1[[#This Row],[Profit]])</f>
        <v>59</v>
      </c>
      <c r="S514" s="7">
        <f t="shared" si="56"/>
        <v>0.31216931216931215</v>
      </c>
      <c r="T514">
        <f t="shared" si="57"/>
        <v>24</v>
      </c>
      <c r="U514">
        <f t="shared" si="58"/>
        <v>59</v>
      </c>
      <c r="V514">
        <f t="shared" si="59"/>
        <v>25</v>
      </c>
      <c r="W514">
        <f t="shared" si="60"/>
        <v>2.4583333333333335</v>
      </c>
      <c r="X514" t="str">
        <f t="shared" si="61"/>
        <v>Low Profit</v>
      </c>
      <c r="Y514">
        <f t="shared" si="62"/>
        <v>75</v>
      </c>
      <c r="Z514">
        <f t="shared" si="63"/>
        <v>189</v>
      </c>
    </row>
    <row r="515" spans="1:26">
      <c r="A515" s="5">
        <v>314</v>
      </c>
      <c r="B515" s="5">
        <v>69</v>
      </c>
      <c r="C515" s="6">
        <v>41214</v>
      </c>
      <c r="D515" s="5" t="s">
        <v>32</v>
      </c>
      <c r="E515" s="5" t="s">
        <v>17</v>
      </c>
      <c r="F515" s="5">
        <v>21</v>
      </c>
      <c r="G515" s="5" t="s">
        <v>33</v>
      </c>
      <c r="H515" s="5" t="s">
        <v>38</v>
      </c>
      <c r="I515" s="5" t="s">
        <v>39</v>
      </c>
      <c r="J515" s="5">
        <v>38</v>
      </c>
      <c r="K515" s="5">
        <v>150</v>
      </c>
      <c r="L515" s="5" t="s">
        <v>51</v>
      </c>
      <c r="M515" s="5">
        <v>60</v>
      </c>
      <c r="N515" s="5">
        <v>40</v>
      </c>
      <c r="O515" s="5">
        <v>140</v>
      </c>
      <c r="P515" s="5">
        <v>43</v>
      </c>
      <c r="Q515">
        <f>SUM([1]!Table1[[#This Row],[Sales]])</f>
        <v>150</v>
      </c>
      <c r="R515">
        <f>SUM([1]!Table1[[#This Row],[Profit]])</f>
        <v>38</v>
      </c>
      <c r="S515" s="7">
        <f t="shared" ref="S515:S578" si="64">J515/K515</f>
        <v>0.25333333333333335</v>
      </c>
      <c r="T515">
        <f t="shared" ref="T515:T578" si="65">SUM(F515)</f>
        <v>21</v>
      </c>
      <c r="U515">
        <f t="shared" ref="U515:U578" si="66">K515-O515</f>
        <v>10</v>
      </c>
      <c r="V515">
        <f t="shared" ref="V515:V578" si="67">B515-M515</f>
        <v>9</v>
      </c>
      <c r="W515">
        <f t="shared" ref="W515:W578" si="68">J515/F515</f>
        <v>1.8095238095238095</v>
      </c>
      <c r="X515" t="str">
        <f t="shared" ref="X515:X578" si="69">IF(J515&gt;100,"High Profit","Low Profit")</f>
        <v>Low Profit</v>
      </c>
      <c r="Y515">
        <f t="shared" ref="Y515:Y578" si="70">SUM(B515)</f>
        <v>69</v>
      </c>
      <c r="Z515">
        <f t="shared" ref="Z515:Z578" si="71">SUM(K515)</f>
        <v>150</v>
      </c>
    </row>
    <row r="516" spans="1:26">
      <c r="A516" s="3">
        <v>503</v>
      </c>
      <c r="B516" s="3">
        <v>46</v>
      </c>
      <c r="C516" s="4">
        <v>41214</v>
      </c>
      <c r="D516" s="3" t="s">
        <v>32</v>
      </c>
      <c r="E516" s="3" t="s">
        <v>29</v>
      </c>
      <c r="F516" s="3">
        <v>14</v>
      </c>
      <c r="G516" s="3" t="s">
        <v>33</v>
      </c>
      <c r="H516" s="3" t="s">
        <v>38</v>
      </c>
      <c r="I516" s="3" t="s">
        <v>39</v>
      </c>
      <c r="J516" s="3">
        <v>32</v>
      </c>
      <c r="K516" s="3">
        <v>114</v>
      </c>
      <c r="L516" s="3" t="s">
        <v>49</v>
      </c>
      <c r="M516" s="3">
        <v>50</v>
      </c>
      <c r="N516" s="3">
        <v>50</v>
      </c>
      <c r="O516" s="3">
        <v>130</v>
      </c>
      <c r="P516" s="3">
        <v>36</v>
      </c>
      <c r="Q516">
        <f>SUM([1]!Table1[[#This Row],[Sales]])</f>
        <v>114</v>
      </c>
      <c r="R516">
        <f>SUM([1]!Table1[[#This Row],[Profit]])</f>
        <v>32</v>
      </c>
      <c r="S516" s="7">
        <f t="shared" si="64"/>
        <v>0.2807017543859649</v>
      </c>
      <c r="T516">
        <f t="shared" si="65"/>
        <v>14</v>
      </c>
      <c r="U516">
        <f t="shared" si="66"/>
        <v>-16</v>
      </c>
      <c r="V516">
        <f t="shared" si="67"/>
        <v>-4</v>
      </c>
      <c r="W516">
        <f t="shared" si="68"/>
        <v>2.2857142857142856</v>
      </c>
      <c r="X516" t="str">
        <f t="shared" si="69"/>
        <v>Low Profit</v>
      </c>
      <c r="Y516">
        <f t="shared" si="70"/>
        <v>46</v>
      </c>
      <c r="Z516">
        <f t="shared" si="71"/>
        <v>114</v>
      </c>
    </row>
    <row r="517" spans="1:26">
      <c r="A517" s="5">
        <v>206</v>
      </c>
      <c r="B517" s="5">
        <v>75</v>
      </c>
      <c r="C517" s="6">
        <v>41214</v>
      </c>
      <c r="D517" s="5" t="s">
        <v>32</v>
      </c>
      <c r="E517" s="5" t="s">
        <v>29</v>
      </c>
      <c r="F517" s="5">
        <v>23</v>
      </c>
      <c r="G517" s="5" t="s">
        <v>33</v>
      </c>
      <c r="H517" s="5" t="s">
        <v>34</v>
      </c>
      <c r="I517" s="5" t="s">
        <v>35</v>
      </c>
      <c r="J517" s="5">
        <v>45</v>
      </c>
      <c r="K517" s="5">
        <v>164</v>
      </c>
      <c r="L517" s="5" t="s">
        <v>53</v>
      </c>
      <c r="M517" s="5">
        <v>70</v>
      </c>
      <c r="N517" s="5">
        <v>40</v>
      </c>
      <c r="O517" s="5">
        <v>150</v>
      </c>
      <c r="P517" s="5">
        <v>44</v>
      </c>
      <c r="Q517">
        <f>SUM([1]!Table1[[#This Row],[Sales]])</f>
        <v>164</v>
      </c>
      <c r="R517">
        <f>SUM([1]!Table1[[#This Row],[Profit]])</f>
        <v>45</v>
      </c>
      <c r="S517" s="7">
        <f t="shared" si="64"/>
        <v>0.27439024390243905</v>
      </c>
      <c r="T517">
        <f t="shared" si="65"/>
        <v>23</v>
      </c>
      <c r="U517">
        <f t="shared" si="66"/>
        <v>14</v>
      </c>
      <c r="V517">
        <f t="shared" si="67"/>
        <v>5</v>
      </c>
      <c r="W517">
        <f t="shared" si="68"/>
        <v>1.9565217391304348</v>
      </c>
      <c r="X517" t="str">
        <f t="shared" si="69"/>
        <v>Low Profit</v>
      </c>
      <c r="Y517">
        <f t="shared" si="70"/>
        <v>75</v>
      </c>
      <c r="Z517">
        <f t="shared" si="71"/>
        <v>164</v>
      </c>
    </row>
    <row r="518" spans="1:26">
      <c r="A518" s="3">
        <v>203</v>
      </c>
      <c r="B518" s="3">
        <v>61</v>
      </c>
      <c r="C518" s="4">
        <v>41214</v>
      </c>
      <c r="D518" s="3" t="s">
        <v>32</v>
      </c>
      <c r="E518" s="3" t="s">
        <v>25</v>
      </c>
      <c r="F518" s="3">
        <v>55</v>
      </c>
      <c r="G518" s="3" t="s">
        <v>33</v>
      </c>
      <c r="H518" s="3" t="s">
        <v>34</v>
      </c>
      <c r="I518" s="3" t="s">
        <v>46</v>
      </c>
      <c r="J518" s="3">
        <v>2</v>
      </c>
      <c r="K518" s="3">
        <v>147</v>
      </c>
      <c r="L518" s="3" t="s">
        <v>37</v>
      </c>
      <c r="M518" s="3">
        <v>60</v>
      </c>
      <c r="N518" s="3">
        <v>10</v>
      </c>
      <c r="O518" s="3">
        <v>140</v>
      </c>
      <c r="P518" s="3">
        <v>84</v>
      </c>
      <c r="Q518">
        <f>SUM([1]!Table1[[#This Row],[Sales]])</f>
        <v>147</v>
      </c>
      <c r="R518">
        <f>SUM([1]!Table1[[#This Row],[Profit]])</f>
        <v>2</v>
      </c>
      <c r="S518" s="7">
        <f t="shared" si="64"/>
        <v>1.3605442176870748E-2</v>
      </c>
      <c r="T518">
        <f t="shared" si="65"/>
        <v>55</v>
      </c>
      <c r="U518">
        <f t="shared" si="66"/>
        <v>7</v>
      </c>
      <c r="V518">
        <f t="shared" si="67"/>
        <v>1</v>
      </c>
      <c r="W518">
        <f t="shared" si="68"/>
        <v>3.6363636363636362E-2</v>
      </c>
      <c r="X518" t="str">
        <f t="shared" si="69"/>
        <v>Low Profit</v>
      </c>
      <c r="Y518">
        <f t="shared" si="70"/>
        <v>61</v>
      </c>
      <c r="Z518">
        <f t="shared" si="71"/>
        <v>147</v>
      </c>
    </row>
    <row r="519" spans="1:26">
      <c r="A519" s="5">
        <v>225</v>
      </c>
      <c r="B519" s="5">
        <v>47</v>
      </c>
      <c r="C519" s="6">
        <v>41214</v>
      </c>
      <c r="D519" s="5" t="s">
        <v>32</v>
      </c>
      <c r="E519" s="5" t="s">
        <v>23</v>
      </c>
      <c r="F519" s="5">
        <v>13</v>
      </c>
      <c r="G519" s="5" t="s">
        <v>33</v>
      </c>
      <c r="H519" s="5" t="s">
        <v>38</v>
      </c>
      <c r="I519" s="5" t="s">
        <v>45</v>
      </c>
      <c r="J519" s="5">
        <v>44</v>
      </c>
      <c r="K519" s="5">
        <v>115</v>
      </c>
      <c r="L519" s="5" t="s">
        <v>48</v>
      </c>
      <c r="M519" s="5">
        <v>50</v>
      </c>
      <c r="N519" s="5">
        <v>60</v>
      </c>
      <c r="O519" s="5">
        <v>130</v>
      </c>
      <c r="P519" s="5">
        <v>24</v>
      </c>
      <c r="Q519">
        <f>SUM([1]!Table1[[#This Row],[Sales]])</f>
        <v>115</v>
      </c>
      <c r="R519">
        <f>SUM([1]!Table1[[#This Row],[Profit]])</f>
        <v>44</v>
      </c>
      <c r="S519" s="7">
        <f t="shared" si="64"/>
        <v>0.38260869565217392</v>
      </c>
      <c r="T519">
        <f t="shared" si="65"/>
        <v>13</v>
      </c>
      <c r="U519">
        <f t="shared" si="66"/>
        <v>-15</v>
      </c>
      <c r="V519">
        <f t="shared" si="67"/>
        <v>-3</v>
      </c>
      <c r="W519">
        <f t="shared" si="68"/>
        <v>3.3846153846153846</v>
      </c>
      <c r="X519" t="str">
        <f t="shared" si="69"/>
        <v>Low Profit</v>
      </c>
      <c r="Y519">
        <f t="shared" si="70"/>
        <v>47</v>
      </c>
      <c r="Z519">
        <f t="shared" si="71"/>
        <v>115</v>
      </c>
    </row>
    <row r="520" spans="1:26">
      <c r="A520" s="3">
        <v>541</v>
      </c>
      <c r="B520" s="3">
        <v>52</v>
      </c>
      <c r="C520" s="4">
        <v>41214</v>
      </c>
      <c r="D520" s="3" t="s">
        <v>32</v>
      </c>
      <c r="E520" s="3" t="s">
        <v>29</v>
      </c>
      <c r="F520" s="3">
        <v>47</v>
      </c>
      <c r="G520" s="3" t="s">
        <v>33</v>
      </c>
      <c r="H520" s="3" t="s">
        <v>38</v>
      </c>
      <c r="I520" s="3" t="s">
        <v>43</v>
      </c>
      <c r="J520" s="3">
        <v>-4</v>
      </c>
      <c r="K520" s="3">
        <v>125</v>
      </c>
      <c r="L520" s="3" t="s">
        <v>49</v>
      </c>
      <c r="M520" s="3">
        <v>60</v>
      </c>
      <c r="N520" s="3">
        <v>10</v>
      </c>
      <c r="O520" s="3">
        <v>140</v>
      </c>
      <c r="P520" s="3">
        <v>77</v>
      </c>
      <c r="Q520">
        <f>SUM([1]!Table1[[#This Row],[Sales]])</f>
        <v>125</v>
      </c>
      <c r="R520">
        <f>SUM([1]!Table1[[#This Row],[Profit]])</f>
        <v>-4</v>
      </c>
      <c r="S520" s="7">
        <f t="shared" si="64"/>
        <v>-3.2000000000000001E-2</v>
      </c>
      <c r="T520">
        <f t="shared" si="65"/>
        <v>47</v>
      </c>
      <c r="U520">
        <f t="shared" si="66"/>
        <v>-15</v>
      </c>
      <c r="V520">
        <f t="shared" si="67"/>
        <v>-8</v>
      </c>
      <c r="W520">
        <f t="shared" si="68"/>
        <v>-8.5106382978723402E-2</v>
      </c>
      <c r="X520" t="str">
        <f t="shared" si="69"/>
        <v>Low Profit</v>
      </c>
      <c r="Y520">
        <f t="shared" si="70"/>
        <v>52</v>
      </c>
      <c r="Z520">
        <f t="shared" si="71"/>
        <v>125</v>
      </c>
    </row>
    <row r="521" spans="1:26">
      <c r="A521" s="5">
        <v>435</v>
      </c>
      <c r="B521" s="5">
        <v>53</v>
      </c>
      <c r="C521" s="6">
        <v>41214</v>
      </c>
      <c r="D521" s="5" t="s">
        <v>32</v>
      </c>
      <c r="E521" s="5" t="s">
        <v>29</v>
      </c>
      <c r="F521" s="5">
        <v>17</v>
      </c>
      <c r="G521" s="5" t="s">
        <v>33</v>
      </c>
      <c r="H521" s="5" t="s">
        <v>38</v>
      </c>
      <c r="I521" s="5" t="s">
        <v>45</v>
      </c>
      <c r="J521" s="5">
        <v>27</v>
      </c>
      <c r="K521" s="5">
        <v>124</v>
      </c>
      <c r="L521" s="5" t="s">
        <v>42</v>
      </c>
      <c r="M521" s="5">
        <v>60</v>
      </c>
      <c r="N521" s="5">
        <v>50</v>
      </c>
      <c r="O521" s="5">
        <v>140</v>
      </c>
      <c r="P521" s="5">
        <v>44</v>
      </c>
      <c r="Q521">
        <f>SUM([1]!Table1[[#This Row],[Sales]])</f>
        <v>124</v>
      </c>
      <c r="R521">
        <f>SUM([1]!Table1[[#This Row],[Profit]])</f>
        <v>27</v>
      </c>
      <c r="S521" s="7">
        <f t="shared" si="64"/>
        <v>0.21774193548387097</v>
      </c>
      <c r="T521">
        <f t="shared" si="65"/>
        <v>17</v>
      </c>
      <c r="U521">
        <f t="shared" si="66"/>
        <v>-16</v>
      </c>
      <c r="V521">
        <f t="shared" si="67"/>
        <v>-7</v>
      </c>
      <c r="W521">
        <f t="shared" si="68"/>
        <v>1.588235294117647</v>
      </c>
      <c r="X521" t="str">
        <f t="shared" si="69"/>
        <v>Low Profit</v>
      </c>
      <c r="Y521">
        <f t="shared" si="70"/>
        <v>53</v>
      </c>
      <c r="Z521">
        <f t="shared" si="71"/>
        <v>124</v>
      </c>
    </row>
    <row r="522" spans="1:26">
      <c r="A522" s="3">
        <v>503</v>
      </c>
      <c r="B522" s="3">
        <v>59</v>
      </c>
      <c r="C522" s="4">
        <v>41214</v>
      </c>
      <c r="D522" s="3" t="s">
        <v>32</v>
      </c>
      <c r="E522" s="3" t="s">
        <v>29</v>
      </c>
      <c r="F522" s="3">
        <v>19</v>
      </c>
      <c r="G522" s="3" t="s">
        <v>33</v>
      </c>
      <c r="H522" s="3" t="s">
        <v>34</v>
      </c>
      <c r="I522" s="3" t="s">
        <v>46</v>
      </c>
      <c r="J522" s="3">
        <v>33</v>
      </c>
      <c r="K522" s="3">
        <v>138</v>
      </c>
      <c r="L522" s="3" t="s">
        <v>49</v>
      </c>
      <c r="M522" s="3">
        <v>50</v>
      </c>
      <c r="N522" s="3">
        <v>50</v>
      </c>
      <c r="O522" s="3">
        <v>130</v>
      </c>
      <c r="P522" s="3">
        <v>46</v>
      </c>
      <c r="Q522">
        <f>SUM([1]!Table1[[#This Row],[Sales]])</f>
        <v>138</v>
      </c>
      <c r="R522">
        <f>SUM([1]!Table1[[#This Row],[Profit]])</f>
        <v>33</v>
      </c>
      <c r="S522" s="7">
        <f t="shared" si="64"/>
        <v>0.2391304347826087</v>
      </c>
      <c r="T522">
        <f t="shared" si="65"/>
        <v>19</v>
      </c>
      <c r="U522">
        <f t="shared" si="66"/>
        <v>8</v>
      </c>
      <c r="V522">
        <f t="shared" si="67"/>
        <v>9</v>
      </c>
      <c r="W522">
        <f t="shared" si="68"/>
        <v>1.736842105263158</v>
      </c>
      <c r="X522" t="str">
        <f t="shared" si="69"/>
        <v>Low Profit</v>
      </c>
      <c r="Y522">
        <f t="shared" si="70"/>
        <v>59</v>
      </c>
      <c r="Z522">
        <f t="shared" si="71"/>
        <v>138</v>
      </c>
    </row>
    <row r="523" spans="1:26">
      <c r="A523" s="5">
        <v>920</v>
      </c>
      <c r="B523" s="5">
        <v>53</v>
      </c>
      <c r="C523" s="6">
        <v>41214</v>
      </c>
      <c r="D523" s="5" t="s">
        <v>32</v>
      </c>
      <c r="E523" s="5" t="s">
        <v>17</v>
      </c>
      <c r="F523" s="5">
        <v>16</v>
      </c>
      <c r="G523" s="5" t="s">
        <v>18</v>
      </c>
      <c r="H523" s="5" t="s">
        <v>19</v>
      </c>
      <c r="I523" s="5" t="s">
        <v>50</v>
      </c>
      <c r="J523" s="5">
        <v>48</v>
      </c>
      <c r="K523" s="5">
        <v>141</v>
      </c>
      <c r="L523" s="5" t="s">
        <v>52</v>
      </c>
      <c r="M523" s="5">
        <v>50</v>
      </c>
      <c r="N523" s="5">
        <v>50</v>
      </c>
      <c r="O523" s="5">
        <v>130</v>
      </c>
      <c r="P523" s="5">
        <v>40</v>
      </c>
      <c r="Q523">
        <f>SUM([1]!Table1[[#This Row],[Sales]])</f>
        <v>141</v>
      </c>
      <c r="R523">
        <f>SUM([1]!Table1[[#This Row],[Profit]])</f>
        <v>48</v>
      </c>
      <c r="S523" s="7">
        <f t="shared" si="64"/>
        <v>0.34042553191489361</v>
      </c>
      <c r="T523">
        <f t="shared" si="65"/>
        <v>16</v>
      </c>
      <c r="U523">
        <f t="shared" si="66"/>
        <v>11</v>
      </c>
      <c r="V523">
        <f t="shared" si="67"/>
        <v>3</v>
      </c>
      <c r="W523">
        <f t="shared" si="68"/>
        <v>3</v>
      </c>
      <c r="X523" t="str">
        <f t="shared" si="69"/>
        <v>Low Profit</v>
      </c>
      <c r="Y523">
        <f t="shared" si="70"/>
        <v>53</v>
      </c>
      <c r="Z523">
        <f t="shared" si="71"/>
        <v>141</v>
      </c>
    </row>
    <row r="524" spans="1:26">
      <c r="A524" s="3">
        <v>959</v>
      </c>
      <c r="B524" s="3">
        <v>54</v>
      </c>
      <c r="C524" s="4">
        <v>41214</v>
      </c>
      <c r="D524" s="3" t="s">
        <v>32</v>
      </c>
      <c r="E524" s="3" t="s">
        <v>25</v>
      </c>
      <c r="F524" s="3">
        <v>15</v>
      </c>
      <c r="G524" s="3" t="s">
        <v>18</v>
      </c>
      <c r="H524" s="3" t="s">
        <v>26</v>
      </c>
      <c r="I524" s="3" t="s">
        <v>27</v>
      </c>
      <c r="J524" s="3">
        <v>51</v>
      </c>
      <c r="K524" s="3">
        <v>132</v>
      </c>
      <c r="L524" s="3" t="s">
        <v>37</v>
      </c>
      <c r="M524" s="3">
        <v>50</v>
      </c>
      <c r="N524" s="3">
        <v>60</v>
      </c>
      <c r="O524" s="3">
        <v>130</v>
      </c>
      <c r="P524" s="3">
        <v>27</v>
      </c>
      <c r="Q524">
        <f>SUM([1]!Table1[[#This Row],[Sales]])</f>
        <v>132</v>
      </c>
      <c r="R524">
        <f>SUM([1]!Table1[[#This Row],[Profit]])</f>
        <v>51</v>
      </c>
      <c r="S524" s="7">
        <f t="shared" si="64"/>
        <v>0.38636363636363635</v>
      </c>
      <c r="T524">
        <f t="shared" si="65"/>
        <v>15</v>
      </c>
      <c r="U524">
        <f t="shared" si="66"/>
        <v>2</v>
      </c>
      <c r="V524">
        <f t="shared" si="67"/>
        <v>4</v>
      </c>
      <c r="W524">
        <f t="shared" si="68"/>
        <v>3.4</v>
      </c>
      <c r="X524" t="str">
        <f t="shared" si="69"/>
        <v>Low Profit</v>
      </c>
      <c r="Y524">
        <f t="shared" si="70"/>
        <v>54</v>
      </c>
      <c r="Z524">
        <f t="shared" si="71"/>
        <v>132</v>
      </c>
    </row>
    <row r="525" spans="1:26">
      <c r="A525" s="5">
        <v>740</v>
      </c>
      <c r="B525" s="5">
        <v>46</v>
      </c>
      <c r="C525" s="6">
        <v>41244</v>
      </c>
      <c r="D525" s="5" t="s">
        <v>16</v>
      </c>
      <c r="E525" s="5" t="s">
        <v>17</v>
      </c>
      <c r="F525" s="5">
        <v>17</v>
      </c>
      <c r="G525" s="5" t="s">
        <v>33</v>
      </c>
      <c r="H525" s="5" t="s">
        <v>34</v>
      </c>
      <c r="I525" s="5" t="s">
        <v>35</v>
      </c>
      <c r="J525" s="5">
        <v>6</v>
      </c>
      <c r="K525" s="5">
        <v>103</v>
      </c>
      <c r="L525" s="5" t="s">
        <v>58</v>
      </c>
      <c r="M525" s="5">
        <v>50</v>
      </c>
      <c r="N525" s="5">
        <v>40</v>
      </c>
      <c r="O525" s="5">
        <v>130</v>
      </c>
      <c r="P525" s="5">
        <v>51</v>
      </c>
      <c r="Q525">
        <f>SUM([1]!Table1[[#This Row],[Sales]])</f>
        <v>103</v>
      </c>
      <c r="R525">
        <f>SUM([1]!Table1[[#This Row],[Profit]])</f>
        <v>6</v>
      </c>
      <c r="S525" s="7">
        <f t="shared" si="64"/>
        <v>5.8252427184466021E-2</v>
      </c>
      <c r="T525">
        <f t="shared" si="65"/>
        <v>17</v>
      </c>
      <c r="U525">
        <f t="shared" si="66"/>
        <v>-27</v>
      </c>
      <c r="V525">
        <f t="shared" si="67"/>
        <v>-4</v>
      </c>
      <c r="W525">
        <f t="shared" si="68"/>
        <v>0.35294117647058826</v>
      </c>
      <c r="X525" t="str">
        <f t="shared" si="69"/>
        <v>Low Profit</v>
      </c>
      <c r="Y525">
        <f t="shared" si="70"/>
        <v>46</v>
      </c>
      <c r="Z525">
        <f t="shared" si="71"/>
        <v>103</v>
      </c>
    </row>
    <row r="526" spans="1:26">
      <c r="A526" s="3">
        <v>630</v>
      </c>
      <c r="B526" s="3">
        <v>67</v>
      </c>
      <c r="C526" s="4">
        <v>41244</v>
      </c>
      <c r="D526" s="3" t="s">
        <v>16</v>
      </c>
      <c r="E526" s="3" t="s">
        <v>17</v>
      </c>
      <c r="F526" s="3">
        <v>22</v>
      </c>
      <c r="G526" s="3" t="s">
        <v>18</v>
      </c>
      <c r="H526" s="3" t="s">
        <v>26</v>
      </c>
      <c r="I526" s="3" t="s">
        <v>54</v>
      </c>
      <c r="J526" s="3">
        <v>47</v>
      </c>
      <c r="K526" s="3">
        <v>168</v>
      </c>
      <c r="L526" s="3" t="s">
        <v>56</v>
      </c>
      <c r="M526" s="3">
        <v>50</v>
      </c>
      <c r="N526" s="3">
        <v>40</v>
      </c>
      <c r="O526" s="3">
        <v>130</v>
      </c>
      <c r="P526" s="3">
        <v>54</v>
      </c>
      <c r="Q526">
        <f>SUM([1]!Table1[[#This Row],[Sales]])</f>
        <v>168</v>
      </c>
      <c r="R526">
        <f>SUM([1]!Table1[[#This Row],[Profit]])</f>
        <v>47</v>
      </c>
      <c r="S526" s="7">
        <f t="shared" si="64"/>
        <v>0.27976190476190477</v>
      </c>
      <c r="T526">
        <f t="shared" si="65"/>
        <v>22</v>
      </c>
      <c r="U526">
        <f t="shared" si="66"/>
        <v>38</v>
      </c>
      <c r="V526">
        <f t="shared" si="67"/>
        <v>17</v>
      </c>
      <c r="W526">
        <f t="shared" si="68"/>
        <v>2.1363636363636362</v>
      </c>
      <c r="X526" t="str">
        <f t="shared" si="69"/>
        <v>Low Profit</v>
      </c>
      <c r="Y526">
        <f t="shared" si="70"/>
        <v>67</v>
      </c>
      <c r="Z526">
        <f t="shared" si="71"/>
        <v>168</v>
      </c>
    </row>
    <row r="527" spans="1:26">
      <c r="A527" s="5">
        <v>518</v>
      </c>
      <c r="B527" s="5">
        <v>54</v>
      </c>
      <c r="C527" s="6">
        <v>41244</v>
      </c>
      <c r="D527" s="5" t="s">
        <v>16</v>
      </c>
      <c r="E527" s="5" t="s">
        <v>25</v>
      </c>
      <c r="F527" s="5">
        <v>15</v>
      </c>
      <c r="G527" s="5" t="s">
        <v>18</v>
      </c>
      <c r="H527" s="5" t="s">
        <v>26</v>
      </c>
      <c r="I527" s="5" t="s">
        <v>30</v>
      </c>
      <c r="J527" s="5">
        <v>52</v>
      </c>
      <c r="K527" s="5">
        <v>133</v>
      </c>
      <c r="L527" s="5" t="s">
        <v>60</v>
      </c>
      <c r="M527" s="5">
        <v>50</v>
      </c>
      <c r="N527" s="5">
        <v>60</v>
      </c>
      <c r="O527" s="5">
        <v>130</v>
      </c>
      <c r="P527" s="5">
        <v>27</v>
      </c>
      <c r="Q527">
        <f>SUM([1]!Table1[[#This Row],[Sales]])</f>
        <v>133</v>
      </c>
      <c r="R527">
        <f>SUM([1]!Table1[[#This Row],[Profit]])</f>
        <v>52</v>
      </c>
      <c r="S527" s="7">
        <f t="shared" si="64"/>
        <v>0.39097744360902253</v>
      </c>
      <c r="T527">
        <f t="shared" si="65"/>
        <v>15</v>
      </c>
      <c r="U527">
        <f t="shared" si="66"/>
        <v>3</v>
      </c>
      <c r="V527">
        <f t="shared" si="67"/>
        <v>4</v>
      </c>
      <c r="W527">
        <f t="shared" si="68"/>
        <v>3.4666666666666668</v>
      </c>
      <c r="X527" t="str">
        <f t="shared" si="69"/>
        <v>Low Profit</v>
      </c>
      <c r="Y527">
        <f t="shared" si="70"/>
        <v>54</v>
      </c>
      <c r="Z527">
        <f t="shared" si="71"/>
        <v>133</v>
      </c>
    </row>
    <row r="528" spans="1:26">
      <c r="A528" s="3">
        <v>213</v>
      </c>
      <c r="B528" s="3">
        <v>67</v>
      </c>
      <c r="C528" s="4">
        <v>41244</v>
      </c>
      <c r="D528" s="3" t="s">
        <v>16</v>
      </c>
      <c r="E528" s="3" t="s">
        <v>29</v>
      </c>
      <c r="F528" s="3">
        <v>22</v>
      </c>
      <c r="G528" s="3" t="s">
        <v>18</v>
      </c>
      <c r="H528" s="3" t="s">
        <v>26</v>
      </c>
      <c r="I528" s="3" t="s">
        <v>30</v>
      </c>
      <c r="J528" s="3">
        <v>47</v>
      </c>
      <c r="K528" s="3">
        <v>168</v>
      </c>
      <c r="L528" s="3" t="s">
        <v>31</v>
      </c>
      <c r="M528" s="3">
        <v>40</v>
      </c>
      <c r="N528" s="3">
        <v>50</v>
      </c>
      <c r="O528" s="3">
        <v>120</v>
      </c>
      <c r="P528" s="3">
        <v>54</v>
      </c>
      <c r="Q528">
        <f>SUM([1]!Table1[[#This Row],[Sales]])</f>
        <v>168</v>
      </c>
      <c r="R528">
        <f>SUM([1]!Table1[[#This Row],[Profit]])</f>
        <v>47</v>
      </c>
      <c r="S528" s="7">
        <f t="shared" si="64"/>
        <v>0.27976190476190477</v>
      </c>
      <c r="T528">
        <f t="shared" si="65"/>
        <v>22</v>
      </c>
      <c r="U528">
        <f t="shared" si="66"/>
        <v>48</v>
      </c>
      <c r="V528">
        <f t="shared" si="67"/>
        <v>27</v>
      </c>
      <c r="W528">
        <f t="shared" si="68"/>
        <v>2.1363636363636362</v>
      </c>
      <c r="X528" t="str">
        <f t="shared" si="69"/>
        <v>Low Profit</v>
      </c>
      <c r="Y528">
        <f t="shared" si="70"/>
        <v>67</v>
      </c>
      <c r="Z528">
        <f t="shared" si="71"/>
        <v>168</v>
      </c>
    </row>
    <row r="529" spans="1:26">
      <c r="A529" s="5">
        <v>503</v>
      </c>
      <c r="B529" s="5">
        <v>41</v>
      </c>
      <c r="C529" s="6">
        <v>41244</v>
      </c>
      <c r="D529" s="5" t="s">
        <v>32</v>
      </c>
      <c r="E529" s="5" t="s">
        <v>29</v>
      </c>
      <c r="F529" s="5">
        <v>13</v>
      </c>
      <c r="G529" s="5" t="s">
        <v>33</v>
      </c>
      <c r="H529" s="5" t="s">
        <v>38</v>
      </c>
      <c r="I529" s="5" t="s">
        <v>39</v>
      </c>
      <c r="J529" s="5">
        <v>25</v>
      </c>
      <c r="K529" s="5">
        <v>101</v>
      </c>
      <c r="L529" s="5" t="s">
        <v>49</v>
      </c>
      <c r="M529" s="5">
        <v>40</v>
      </c>
      <c r="N529" s="5">
        <v>50</v>
      </c>
      <c r="O529" s="5">
        <v>120</v>
      </c>
      <c r="P529" s="5">
        <v>35</v>
      </c>
      <c r="Q529">
        <f>SUM([1]!Table1[[#This Row],[Sales]])</f>
        <v>101</v>
      </c>
      <c r="R529">
        <f>SUM([1]!Table1[[#This Row],[Profit]])</f>
        <v>25</v>
      </c>
      <c r="S529" s="7">
        <f t="shared" si="64"/>
        <v>0.24752475247524752</v>
      </c>
      <c r="T529">
        <f t="shared" si="65"/>
        <v>13</v>
      </c>
      <c r="U529">
        <f t="shared" si="66"/>
        <v>-19</v>
      </c>
      <c r="V529">
        <f t="shared" si="67"/>
        <v>1</v>
      </c>
      <c r="W529">
        <f t="shared" si="68"/>
        <v>1.9230769230769231</v>
      </c>
      <c r="X529" t="str">
        <f t="shared" si="69"/>
        <v>Low Profit</v>
      </c>
      <c r="Y529">
        <f t="shared" si="70"/>
        <v>41</v>
      </c>
      <c r="Z529">
        <f t="shared" si="71"/>
        <v>101</v>
      </c>
    </row>
    <row r="530" spans="1:26">
      <c r="A530" s="3">
        <v>715</v>
      </c>
      <c r="B530" s="3">
        <v>65</v>
      </c>
      <c r="C530" s="4">
        <v>41244</v>
      </c>
      <c r="D530" s="3" t="s">
        <v>32</v>
      </c>
      <c r="E530" s="3" t="s">
        <v>17</v>
      </c>
      <c r="F530" s="3">
        <v>24</v>
      </c>
      <c r="G530" s="3" t="s">
        <v>33</v>
      </c>
      <c r="H530" s="3" t="s">
        <v>38</v>
      </c>
      <c r="I530" s="3" t="s">
        <v>43</v>
      </c>
      <c r="J530" s="3">
        <v>22</v>
      </c>
      <c r="K530" s="3">
        <v>145</v>
      </c>
      <c r="L530" s="3" t="s">
        <v>52</v>
      </c>
      <c r="M530" s="3">
        <v>60</v>
      </c>
      <c r="N530" s="3">
        <v>30</v>
      </c>
      <c r="O530" s="3">
        <v>140</v>
      </c>
      <c r="P530" s="3">
        <v>58</v>
      </c>
      <c r="Q530">
        <f>SUM([1]!Table1[[#This Row],[Sales]])</f>
        <v>145</v>
      </c>
      <c r="R530">
        <f>SUM([1]!Table1[[#This Row],[Profit]])</f>
        <v>22</v>
      </c>
      <c r="S530" s="7">
        <f t="shared" si="64"/>
        <v>0.15172413793103448</v>
      </c>
      <c r="T530">
        <f t="shared" si="65"/>
        <v>24</v>
      </c>
      <c r="U530">
        <f t="shared" si="66"/>
        <v>5</v>
      </c>
      <c r="V530">
        <f t="shared" si="67"/>
        <v>5</v>
      </c>
      <c r="W530">
        <f t="shared" si="68"/>
        <v>0.91666666666666663</v>
      </c>
      <c r="X530" t="str">
        <f t="shared" si="69"/>
        <v>Low Profit</v>
      </c>
      <c r="Y530">
        <f t="shared" si="70"/>
        <v>65</v>
      </c>
      <c r="Z530">
        <f t="shared" si="71"/>
        <v>145</v>
      </c>
    </row>
    <row r="531" spans="1:26">
      <c r="A531" s="5">
        <v>503</v>
      </c>
      <c r="B531" s="5">
        <v>47</v>
      </c>
      <c r="C531" s="6">
        <v>41244</v>
      </c>
      <c r="D531" s="5" t="s">
        <v>32</v>
      </c>
      <c r="E531" s="5" t="s">
        <v>29</v>
      </c>
      <c r="F531" s="5">
        <v>42</v>
      </c>
      <c r="G531" s="5" t="s">
        <v>33</v>
      </c>
      <c r="H531" s="5" t="s">
        <v>38</v>
      </c>
      <c r="I531" s="5" t="s">
        <v>43</v>
      </c>
      <c r="J531" s="5">
        <v>-7</v>
      </c>
      <c r="K531" s="5">
        <v>112</v>
      </c>
      <c r="L531" s="5" t="s">
        <v>49</v>
      </c>
      <c r="M531" s="5">
        <v>50</v>
      </c>
      <c r="N531" s="5">
        <v>20</v>
      </c>
      <c r="O531" s="5">
        <v>130</v>
      </c>
      <c r="P531" s="5">
        <v>72</v>
      </c>
      <c r="Q531">
        <f>SUM([1]!Table1[[#This Row],[Sales]])</f>
        <v>112</v>
      </c>
      <c r="R531">
        <f>SUM([1]!Table1[[#This Row],[Profit]])</f>
        <v>-7</v>
      </c>
      <c r="S531" s="7">
        <f t="shared" si="64"/>
        <v>-6.25E-2</v>
      </c>
      <c r="T531">
        <f t="shared" si="65"/>
        <v>42</v>
      </c>
      <c r="U531">
        <f t="shared" si="66"/>
        <v>-18</v>
      </c>
      <c r="V531">
        <f t="shared" si="67"/>
        <v>-3</v>
      </c>
      <c r="W531">
        <f t="shared" si="68"/>
        <v>-0.16666666666666666</v>
      </c>
      <c r="X531" t="str">
        <f t="shared" si="69"/>
        <v>Low Profit</v>
      </c>
      <c r="Y531">
        <f t="shared" si="70"/>
        <v>47</v>
      </c>
      <c r="Z531">
        <f t="shared" si="71"/>
        <v>112</v>
      </c>
    </row>
    <row r="532" spans="1:26">
      <c r="A532" s="3">
        <v>801</v>
      </c>
      <c r="B532" s="3">
        <v>49</v>
      </c>
      <c r="C532" s="4">
        <v>41244</v>
      </c>
      <c r="D532" s="3" t="s">
        <v>32</v>
      </c>
      <c r="E532" s="3" t="s">
        <v>29</v>
      </c>
      <c r="F532" s="3">
        <v>16</v>
      </c>
      <c r="G532" s="3" t="s">
        <v>33</v>
      </c>
      <c r="H532" s="3" t="s">
        <v>38</v>
      </c>
      <c r="I532" s="3" t="s">
        <v>45</v>
      </c>
      <c r="J532" s="3">
        <v>21</v>
      </c>
      <c r="K532" s="3">
        <v>114</v>
      </c>
      <c r="L532" s="3" t="s">
        <v>42</v>
      </c>
      <c r="M532" s="3">
        <v>50</v>
      </c>
      <c r="N532" s="3">
        <v>50</v>
      </c>
      <c r="O532" s="3">
        <v>130</v>
      </c>
      <c r="P532" s="3">
        <v>44</v>
      </c>
      <c r="Q532">
        <f>SUM([1]!Table1[[#This Row],[Sales]])</f>
        <v>114</v>
      </c>
      <c r="R532">
        <f>SUM([1]!Table1[[#This Row],[Profit]])</f>
        <v>21</v>
      </c>
      <c r="S532" s="7">
        <f t="shared" si="64"/>
        <v>0.18421052631578946</v>
      </c>
      <c r="T532">
        <f t="shared" si="65"/>
        <v>16</v>
      </c>
      <c r="U532">
        <f t="shared" si="66"/>
        <v>-16</v>
      </c>
      <c r="V532">
        <f t="shared" si="67"/>
        <v>-1</v>
      </c>
      <c r="W532">
        <f t="shared" si="68"/>
        <v>1.3125</v>
      </c>
      <c r="X532" t="str">
        <f t="shared" si="69"/>
        <v>Low Profit</v>
      </c>
      <c r="Y532">
        <f t="shared" si="70"/>
        <v>49</v>
      </c>
      <c r="Z532">
        <f t="shared" si="71"/>
        <v>114</v>
      </c>
    </row>
    <row r="533" spans="1:26">
      <c r="A533" s="5">
        <v>509</v>
      </c>
      <c r="B533" s="5">
        <v>65</v>
      </c>
      <c r="C533" s="6">
        <v>41244</v>
      </c>
      <c r="D533" s="5" t="s">
        <v>32</v>
      </c>
      <c r="E533" s="5" t="s">
        <v>29</v>
      </c>
      <c r="F533" s="5">
        <v>24</v>
      </c>
      <c r="G533" s="5" t="s">
        <v>33</v>
      </c>
      <c r="H533" s="5" t="s">
        <v>34</v>
      </c>
      <c r="I533" s="5" t="s">
        <v>46</v>
      </c>
      <c r="J533" s="5">
        <v>23</v>
      </c>
      <c r="K533" s="5">
        <v>145</v>
      </c>
      <c r="L533" s="5" t="s">
        <v>53</v>
      </c>
      <c r="M533" s="5">
        <v>60</v>
      </c>
      <c r="N533" s="5">
        <v>30</v>
      </c>
      <c r="O533" s="5">
        <v>140</v>
      </c>
      <c r="P533" s="5">
        <v>57</v>
      </c>
      <c r="Q533">
        <f>SUM([1]!Table1[[#This Row],[Sales]])</f>
        <v>145</v>
      </c>
      <c r="R533">
        <f>SUM([1]!Table1[[#This Row],[Profit]])</f>
        <v>23</v>
      </c>
      <c r="S533" s="7">
        <f t="shared" si="64"/>
        <v>0.15862068965517243</v>
      </c>
      <c r="T533">
        <f t="shared" si="65"/>
        <v>24</v>
      </c>
      <c r="U533">
        <f t="shared" si="66"/>
        <v>5</v>
      </c>
      <c r="V533">
        <f t="shared" si="67"/>
        <v>5</v>
      </c>
      <c r="W533">
        <f t="shared" si="68"/>
        <v>0.95833333333333337</v>
      </c>
      <c r="X533" t="str">
        <f t="shared" si="69"/>
        <v>Low Profit</v>
      </c>
      <c r="Y533">
        <f t="shared" si="70"/>
        <v>65</v>
      </c>
      <c r="Z533">
        <f t="shared" si="71"/>
        <v>145</v>
      </c>
    </row>
    <row r="534" spans="1:26">
      <c r="A534" s="3">
        <v>985</v>
      </c>
      <c r="B534" s="3">
        <v>68</v>
      </c>
      <c r="C534" s="4">
        <v>41244</v>
      </c>
      <c r="D534" s="3" t="s">
        <v>32</v>
      </c>
      <c r="E534" s="3" t="s">
        <v>23</v>
      </c>
      <c r="F534" s="3">
        <v>25</v>
      </c>
      <c r="G534" s="3" t="s">
        <v>18</v>
      </c>
      <c r="H534" s="3" t="s">
        <v>19</v>
      </c>
      <c r="I534" s="3" t="s">
        <v>20</v>
      </c>
      <c r="J534" s="3">
        <v>26</v>
      </c>
      <c r="K534" s="3">
        <v>153</v>
      </c>
      <c r="L534" s="3" t="s">
        <v>48</v>
      </c>
      <c r="M534" s="3">
        <v>60</v>
      </c>
      <c r="N534" s="3">
        <v>30</v>
      </c>
      <c r="O534" s="3">
        <v>140</v>
      </c>
      <c r="P534" s="3">
        <v>59</v>
      </c>
      <c r="Q534">
        <f>SUM([1]!Table1[[#This Row],[Sales]])</f>
        <v>153</v>
      </c>
      <c r="R534">
        <f>SUM([1]!Table1[[#This Row],[Profit]])</f>
        <v>26</v>
      </c>
      <c r="S534" s="7">
        <f t="shared" si="64"/>
        <v>0.16993464052287582</v>
      </c>
      <c r="T534">
        <f t="shared" si="65"/>
        <v>25</v>
      </c>
      <c r="U534">
        <f t="shared" si="66"/>
        <v>13</v>
      </c>
      <c r="V534">
        <f t="shared" si="67"/>
        <v>8</v>
      </c>
      <c r="W534">
        <f t="shared" si="68"/>
        <v>1.04</v>
      </c>
      <c r="X534" t="str">
        <f t="shared" si="69"/>
        <v>Low Profit</v>
      </c>
      <c r="Y534">
        <f t="shared" si="70"/>
        <v>68</v>
      </c>
      <c r="Z534">
        <f t="shared" si="71"/>
        <v>153</v>
      </c>
    </row>
    <row r="535" spans="1:26">
      <c r="A535" s="5">
        <v>432</v>
      </c>
      <c r="B535" s="5">
        <v>76</v>
      </c>
      <c r="C535" s="6">
        <v>41548</v>
      </c>
      <c r="D535" s="5" t="s">
        <v>16</v>
      </c>
      <c r="E535" s="5" t="s">
        <v>23</v>
      </c>
      <c r="F535" s="5">
        <v>21</v>
      </c>
      <c r="G535" s="5" t="s">
        <v>33</v>
      </c>
      <c r="H535" s="5" t="s">
        <v>34</v>
      </c>
      <c r="I535" s="5" t="s">
        <v>35</v>
      </c>
      <c r="J535" s="5">
        <v>116</v>
      </c>
      <c r="K535" s="5">
        <v>199</v>
      </c>
      <c r="L535" s="5" t="s">
        <v>24</v>
      </c>
      <c r="M535" s="5">
        <v>40</v>
      </c>
      <c r="N535" s="5">
        <v>80</v>
      </c>
      <c r="O535" s="5">
        <v>120</v>
      </c>
      <c r="P535" s="5">
        <v>33</v>
      </c>
      <c r="Q535">
        <f>SUM([1]!Table1[[#This Row],[Sales]])</f>
        <v>199</v>
      </c>
      <c r="R535">
        <f>SUM([1]!Table1[[#This Row],[Profit]])</f>
        <v>116</v>
      </c>
      <c r="S535" s="7">
        <f t="shared" si="64"/>
        <v>0.58291457286432158</v>
      </c>
      <c r="T535">
        <f t="shared" si="65"/>
        <v>21</v>
      </c>
      <c r="U535">
        <f t="shared" si="66"/>
        <v>79</v>
      </c>
      <c r="V535">
        <f t="shared" si="67"/>
        <v>36</v>
      </c>
      <c r="W535">
        <f t="shared" si="68"/>
        <v>5.5238095238095237</v>
      </c>
      <c r="X535" t="str">
        <f t="shared" si="69"/>
        <v>High Profit</v>
      </c>
      <c r="Y535">
        <f t="shared" si="70"/>
        <v>76</v>
      </c>
      <c r="Z535">
        <f t="shared" si="71"/>
        <v>199</v>
      </c>
    </row>
    <row r="536" spans="1:26">
      <c r="A536" s="3">
        <v>325</v>
      </c>
      <c r="B536" s="3">
        <v>52</v>
      </c>
      <c r="C536" s="4">
        <v>41548</v>
      </c>
      <c r="D536" s="3" t="s">
        <v>16</v>
      </c>
      <c r="E536" s="3" t="s">
        <v>23</v>
      </c>
      <c r="F536" s="3">
        <v>17</v>
      </c>
      <c r="G536" s="3" t="s">
        <v>18</v>
      </c>
      <c r="H536" s="3" t="s">
        <v>19</v>
      </c>
      <c r="I536" s="3" t="s">
        <v>50</v>
      </c>
      <c r="J536" s="3">
        <v>39</v>
      </c>
      <c r="K536" s="3">
        <v>131</v>
      </c>
      <c r="L536" s="3" t="s">
        <v>24</v>
      </c>
      <c r="M536" s="3">
        <v>30</v>
      </c>
      <c r="N536" s="3">
        <v>70</v>
      </c>
      <c r="O536" s="3">
        <v>110</v>
      </c>
      <c r="P536" s="3">
        <v>45</v>
      </c>
      <c r="Q536">
        <f>SUM([1]!Table1[[#This Row],[Sales]])</f>
        <v>131</v>
      </c>
      <c r="R536">
        <f>SUM([1]!Table1[[#This Row],[Profit]])</f>
        <v>39</v>
      </c>
      <c r="S536" s="7">
        <f t="shared" si="64"/>
        <v>0.29770992366412213</v>
      </c>
      <c r="T536">
        <f t="shared" si="65"/>
        <v>17</v>
      </c>
      <c r="U536">
        <f t="shared" si="66"/>
        <v>21</v>
      </c>
      <c r="V536">
        <f t="shared" si="67"/>
        <v>22</v>
      </c>
      <c r="W536">
        <f t="shared" si="68"/>
        <v>2.2941176470588234</v>
      </c>
      <c r="X536" t="str">
        <f t="shared" si="69"/>
        <v>Low Profit</v>
      </c>
      <c r="Y536">
        <f t="shared" si="70"/>
        <v>52</v>
      </c>
      <c r="Z536">
        <f t="shared" si="71"/>
        <v>131</v>
      </c>
    </row>
    <row r="537" spans="1:26">
      <c r="A537" s="5">
        <v>815</v>
      </c>
      <c r="B537" s="5">
        <v>76</v>
      </c>
      <c r="C537" s="6">
        <v>41548</v>
      </c>
      <c r="D537" s="5" t="s">
        <v>16</v>
      </c>
      <c r="E537" s="5" t="s">
        <v>17</v>
      </c>
      <c r="F537" s="5">
        <v>21</v>
      </c>
      <c r="G537" s="5" t="s">
        <v>18</v>
      </c>
      <c r="H537" s="5" t="s">
        <v>26</v>
      </c>
      <c r="I537" s="5" t="s">
        <v>27</v>
      </c>
      <c r="J537" s="5">
        <v>116</v>
      </c>
      <c r="K537" s="5">
        <v>199</v>
      </c>
      <c r="L537" s="5" t="s">
        <v>56</v>
      </c>
      <c r="M537" s="5">
        <v>50</v>
      </c>
      <c r="N537" s="5">
        <v>80</v>
      </c>
      <c r="O537" s="5">
        <v>130</v>
      </c>
      <c r="P537" s="5">
        <v>33</v>
      </c>
      <c r="Q537">
        <f>SUM([1]!Table1[[#This Row],[Sales]])</f>
        <v>199</v>
      </c>
      <c r="R537">
        <f>SUM([1]!Table1[[#This Row],[Profit]])</f>
        <v>116</v>
      </c>
      <c r="S537" s="7">
        <f t="shared" si="64"/>
        <v>0.58291457286432158</v>
      </c>
      <c r="T537">
        <f t="shared" si="65"/>
        <v>21</v>
      </c>
      <c r="U537">
        <f t="shared" si="66"/>
        <v>69</v>
      </c>
      <c r="V537">
        <f t="shared" si="67"/>
        <v>26</v>
      </c>
      <c r="W537">
        <f t="shared" si="68"/>
        <v>5.5238095238095237</v>
      </c>
      <c r="X537" t="str">
        <f t="shared" si="69"/>
        <v>High Profit</v>
      </c>
      <c r="Y537">
        <f t="shared" si="70"/>
        <v>76</v>
      </c>
      <c r="Z537">
        <f t="shared" si="71"/>
        <v>199</v>
      </c>
    </row>
    <row r="538" spans="1:26">
      <c r="A538" s="3">
        <v>815</v>
      </c>
      <c r="B538" s="3">
        <v>72</v>
      </c>
      <c r="C538" s="4">
        <v>41548</v>
      </c>
      <c r="D538" s="3" t="s">
        <v>16</v>
      </c>
      <c r="E538" s="3" t="s">
        <v>17</v>
      </c>
      <c r="F538" s="3">
        <v>23</v>
      </c>
      <c r="G538" s="3" t="s">
        <v>18</v>
      </c>
      <c r="H538" s="3" t="s">
        <v>26</v>
      </c>
      <c r="I538" s="3" t="s">
        <v>54</v>
      </c>
      <c r="J538" s="3">
        <v>82</v>
      </c>
      <c r="K538" s="3">
        <v>194</v>
      </c>
      <c r="L538" s="3" t="s">
        <v>56</v>
      </c>
      <c r="M538" s="3">
        <v>50</v>
      </c>
      <c r="N538" s="3">
        <v>50</v>
      </c>
      <c r="O538" s="3">
        <v>130</v>
      </c>
      <c r="P538" s="3">
        <v>55</v>
      </c>
      <c r="Q538">
        <f>SUM([1]!Table1[[#This Row],[Sales]])</f>
        <v>194</v>
      </c>
      <c r="R538">
        <f>SUM([1]!Table1[[#This Row],[Profit]])</f>
        <v>82</v>
      </c>
      <c r="S538" s="7">
        <f t="shared" si="64"/>
        <v>0.42268041237113402</v>
      </c>
      <c r="T538">
        <f t="shared" si="65"/>
        <v>23</v>
      </c>
      <c r="U538">
        <f t="shared" si="66"/>
        <v>64</v>
      </c>
      <c r="V538">
        <f t="shared" si="67"/>
        <v>22</v>
      </c>
      <c r="W538">
        <f t="shared" si="68"/>
        <v>3.5652173913043477</v>
      </c>
      <c r="X538" t="str">
        <f t="shared" si="69"/>
        <v>Low Profit</v>
      </c>
      <c r="Y538">
        <f t="shared" si="70"/>
        <v>72</v>
      </c>
      <c r="Z538">
        <f t="shared" si="71"/>
        <v>194</v>
      </c>
    </row>
    <row r="539" spans="1:26">
      <c r="A539" s="5">
        <v>636</v>
      </c>
      <c r="B539" s="5">
        <v>65</v>
      </c>
      <c r="C539" s="6">
        <v>41548</v>
      </c>
      <c r="D539" s="5" t="s">
        <v>32</v>
      </c>
      <c r="E539" s="5" t="s">
        <v>17</v>
      </c>
      <c r="F539" s="5">
        <v>20</v>
      </c>
      <c r="G539" s="5" t="s">
        <v>33</v>
      </c>
      <c r="H539" s="5" t="s">
        <v>38</v>
      </c>
      <c r="I539" s="5" t="s">
        <v>39</v>
      </c>
      <c r="J539" s="5">
        <v>52</v>
      </c>
      <c r="K539" s="5">
        <v>151</v>
      </c>
      <c r="L539" s="5" t="s">
        <v>51</v>
      </c>
      <c r="M539" s="5">
        <v>50</v>
      </c>
      <c r="N539" s="5">
        <v>70</v>
      </c>
      <c r="O539" s="5">
        <v>130</v>
      </c>
      <c r="P539" s="5">
        <v>42</v>
      </c>
      <c r="Q539">
        <f>SUM([1]!Table1[[#This Row],[Sales]])</f>
        <v>151</v>
      </c>
      <c r="R539">
        <f>SUM([1]!Table1[[#This Row],[Profit]])</f>
        <v>52</v>
      </c>
      <c r="S539" s="7">
        <f t="shared" si="64"/>
        <v>0.3443708609271523</v>
      </c>
      <c r="T539">
        <f t="shared" si="65"/>
        <v>20</v>
      </c>
      <c r="U539">
        <f t="shared" si="66"/>
        <v>21</v>
      </c>
      <c r="V539">
        <f t="shared" si="67"/>
        <v>15</v>
      </c>
      <c r="W539">
        <f t="shared" si="68"/>
        <v>2.6</v>
      </c>
      <c r="X539" t="str">
        <f t="shared" si="69"/>
        <v>Low Profit</v>
      </c>
      <c r="Y539">
        <f t="shared" si="70"/>
        <v>65</v>
      </c>
      <c r="Z539">
        <f t="shared" si="71"/>
        <v>151</v>
      </c>
    </row>
    <row r="540" spans="1:26">
      <c r="A540" s="3">
        <v>417</v>
      </c>
      <c r="B540" s="3">
        <v>32</v>
      </c>
      <c r="C540" s="4">
        <v>41548</v>
      </c>
      <c r="D540" s="3" t="s">
        <v>32</v>
      </c>
      <c r="E540" s="3" t="s">
        <v>17</v>
      </c>
      <c r="F540" s="3">
        <v>8</v>
      </c>
      <c r="G540" s="3" t="s">
        <v>33</v>
      </c>
      <c r="H540" s="3" t="s">
        <v>34</v>
      </c>
      <c r="I540" s="3" t="s">
        <v>35</v>
      </c>
      <c r="J540" s="3">
        <v>42</v>
      </c>
      <c r="K540" s="3">
        <v>84</v>
      </c>
      <c r="L540" s="3" t="s">
        <v>51</v>
      </c>
      <c r="M540" s="3">
        <v>30</v>
      </c>
      <c r="N540" s="3">
        <v>80</v>
      </c>
      <c r="O540" s="3">
        <v>110</v>
      </c>
      <c r="P540" s="3">
        <v>19</v>
      </c>
      <c r="Q540">
        <f>SUM([1]!Table1[[#This Row],[Sales]])</f>
        <v>84</v>
      </c>
      <c r="R540">
        <f>SUM([1]!Table1[[#This Row],[Profit]])</f>
        <v>42</v>
      </c>
      <c r="S540" s="7">
        <f t="shared" si="64"/>
        <v>0.5</v>
      </c>
      <c r="T540">
        <f t="shared" si="65"/>
        <v>8</v>
      </c>
      <c r="U540">
        <f t="shared" si="66"/>
        <v>-26</v>
      </c>
      <c r="V540">
        <f t="shared" si="67"/>
        <v>2</v>
      </c>
      <c r="W540">
        <f t="shared" si="68"/>
        <v>5.25</v>
      </c>
      <c r="X540" t="str">
        <f t="shared" si="69"/>
        <v>Low Profit</v>
      </c>
      <c r="Y540">
        <f t="shared" si="70"/>
        <v>32</v>
      </c>
      <c r="Z540">
        <f t="shared" si="71"/>
        <v>84</v>
      </c>
    </row>
    <row r="541" spans="1:26">
      <c r="A541" s="5">
        <v>405</v>
      </c>
      <c r="B541" s="5">
        <v>82</v>
      </c>
      <c r="C541" s="6">
        <v>41548</v>
      </c>
      <c r="D541" s="5" t="s">
        <v>32</v>
      </c>
      <c r="E541" s="5" t="s">
        <v>23</v>
      </c>
      <c r="F541" s="5">
        <v>27</v>
      </c>
      <c r="G541" s="5" t="s">
        <v>33</v>
      </c>
      <c r="H541" s="5" t="s">
        <v>34</v>
      </c>
      <c r="I541" s="5" t="s">
        <v>35</v>
      </c>
      <c r="J541" s="5">
        <v>96</v>
      </c>
      <c r="K541" s="5">
        <v>218</v>
      </c>
      <c r="L541" s="5" t="s">
        <v>40</v>
      </c>
      <c r="M541" s="5">
        <v>50</v>
      </c>
      <c r="N541" s="5">
        <v>60</v>
      </c>
      <c r="O541" s="5">
        <v>130</v>
      </c>
      <c r="P541" s="5">
        <v>58</v>
      </c>
      <c r="Q541">
        <f>SUM([1]!Table1[[#This Row],[Sales]])</f>
        <v>218</v>
      </c>
      <c r="R541">
        <f>SUM([1]!Table1[[#This Row],[Profit]])</f>
        <v>96</v>
      </c>
      <c r="S541" s="7">
        <f t="shared" si="64"/>
        <v>0.44036697247706424</v>
      </c>
      <c r="T541">
        <f t="shared" si="65"/>
        <v>27</v>
      </c>
      <c r="U541">
        <f t="shared" si="66"/>
        <v>88</v>
      </c>
      <c r="V541">
        <f t="shared" si="67"/>
        <v>32</v>
      </c>
      <c r="W541">
        <f t="shared" si="68"/>
        <v>3.5555555555555554</v>
      </c>
      <c r="X541" t="str">
        <f t="shared" si="69"/>
        <v>Low Profit</v>
      </c>
      <c r="Y541">
        <f t="shared" si="70"/>
        <v>82</v>
      </c>
      <c r="Z541">
        <f t="shared" si="71"/>
        <v>218</v>
      </c>
    </row>
    <row r="542" spans="1:26">
      <c r="A542" s="3">
        <v>414</v>
      </c>
      <c r="B542" s="3">
        <v>56</v>
      </c>
      <c r="C542" s="4">
        <v>41548</v>
      </c>
      <c r="D542" s="3" t="s">
        <v>32</v>
      </c>
      <c r="E542" s="3" t="s">
        <v>17</v>
      </c>
      <c r="F542" s="3">
        <v>21</v>
      </c>
      <c r="G542" s="3" t="s">
        <v>33</v>
      </c>
      <c r="H542" s="3" t="s">
        <v>38</v>
      </c>
      <c r="I542" s="3" t="s">
        <v>43</v>
      </c>
      <c r="J542" s="3">
        <v>22</v>
      </c>
      <c r="K542" s="3">
        <v>134</v>
      </c>
      <c r="L542" s="3" t="s">
        <v>52</v>
      </c>
      <c r="M542" s="3">
        <v>40</v>
      </c>
      <c r="N542" s="3">
        <v>50</v>
      </c>
      <c r="O542" s="3">
        <v>120</v>
      </c>
      <c r="P542" s="3">
        <v>55</v>
      </c>
      <c r="Q542">
        <f>SUM([1]!Table1[[#This Row],[Sales]])</f>
        <v>134</v>
      </c>
      <c r="R542">
        <f>SUM([1]!Table1[[#This Row],[Profit]])</f>
        <v>22</v>
      </c>
      <c r="S542" s="7">
        <f t="shared" si="64"/>
        <v>0.16417910447761194</v>
      </c>
      <c r="T542">
        <f t="shared" si="65"/>
        <v>21</v>
      </c>
      <c r="U542">
        <f t="shared" si="66"/>
        <v>14</v>
      </c>
      <c r="V542">
        <f t="shared" si="67"/>
        <v>16</v>
      </c>
      <c r="W542">
        <f t="shared" si="68"/>
        <v>1.0476190476190477</v>
      </c>
      <c r="X542" t="str">
        <f t="shared" si="69"/>
        <v>Low Profit</v>
      </c>
      <c r="Y542">
        <f t="shared" si="70"/>
        <v>56</v>
      </c>
      <c r="Z542">
        <f t="shared" si="71"/>
        <v>134</v>
      </c>
    </row>
    <row r="543" spans="1:26">
      <c r="A543" s="5">
        <v>405</v>
      </c>
      <c r="B543" s="5">
        <v>91</v>
      </c>
      <c r="C543" s="6">
        <v>41548</v>
      </c>
      <c r="D543" s="5" t="s">
        <v>32</v>
      </c>
      <c r="E543" s="5" t="s">
        <v>23</v>
      </c>
      <c r="F543" s="5">
        <v>28</v>
      </c>
      <c r="G543" s="5" t="s">
        <v>33</v>
      </c>
      <c r="H543" s="5" t="s">
        <v>34</v>
      </c>
      <c r="I543" s="5" t="s">
        <v>47</v>
      </c>
      <c r="J543" s="5">
        <v>113</v>
      </c>
      <c r="K543" s="5">
        <v>232</v>
      </c>
      <c r="L543" s="5" t="s">
        <v>40</v>
      </c>
      <c r="M543" s="5">
        <v>50</v>
      </c>
      <c r="N543" s="5">
        <v>70</v>
      </c>
      <c r="O543" s="5">
        <v>130</v>
      </c>
      <c r="P543" s="5">
        <v>51</v>
      </c>
      <c r="Q543">
        <f>SUM([1]!Table1[[#This Row],[Sales]])</f>
        <v>232</v>
      </c>
      <c r="R543">
        <f>SUM([1]!Table1[[#This Row],[Profit]])</f>
        <v>113</v>
      </c>
      <c r="S543" s="7">
        <f t="shared" si="64"/>
        <v>0.48706896551724138</v>
      </c>
      <c r="T543">
        <f t="shared" si="65"/>
        <v>28</v>
      </c>
      <c r="U543">
        <f t="shared" si="66"/>
        <v>102</v>
      </c>
      <c r="V543">
        <f t="shared" si="67"/>
        <v>41</v>
      </c>
      <c r="W543">
        <f t="shared" si="68"/>
        <v>4.0357142857142856</v>
      </c>
      <c r="X543" t="str">
        <f t="shared" si="69"/>
        <v>High Profit</v>
      </c>
      <c r="Y543">
        <f t="shared" si="70"/>
        <v>91</v>
      </c>
      <c r="Z543">
        <f t="shared" si="71"/>
        <v>232</v>
      </c>
    </row>
    <row r="544" spans="1:26">
      <c r="A544" s="3">
        <v>715</v>
      </c>
      <c r="B544" s="3">
        <v>60</v>
      </c>
      <c r="C544" s="4">
        <v>41548</v>
      </c>
      <c r="D544" s="3" t="s">
        <v>32</v>
      </c>
      <c r="E544" s="3" t="s">
        <v>17</v>
      </c>
      <c r="F544" s="3">
        <v>18</v>
      </c>
      <c r="G544" s="3" t="s">
        <v>18</v>
      </c>
      <c r="H544" s="3" t="s">
        <v>19</v>
      </c>
      <c r="I544" s="3" t="s">
        <v>50</v>
      </c>
      <c r="J544" s="3">
        <v>85</v>
      </c>
      <c r="K544" s="3">
        <v>169</v>
      </c>
      <c r="L544" s="3" t="s">
        <v>52</v>
      </c>
      <c r="M544" s="3">
        <v>40</v>
      </c>
      <c r="N544" s="3">
        <v>80</v>
      </c>
      <c r="O544" s="3">
        <v>120</v>
      </c>
      <c r="P544" s="3">
        <v>42</v>
      </c>
      <c r="Q544">
        <f>SUM([1]!Table1[[#This Row],[Sales]])</f>
        <v>169</v>
      </c>
      <c r="R544">
        <f>SUM([1]!Table1[[#This Row],[Profit]])</f>
        <v>85</v>
      </c>
      <c r="S544" s="7">
        <f t="shared" si="64"/>
        <v>0.50295857988165682</v>
      </c>
      <c r="T544">
        <f t="shared" si="65"/>
        <v>18</v>
      </c>
      <c r="U544">
        <f t="shared" si="66"/>
        <v>49</v>
      </c>
      <c r="V544">
        <f t="shared" si="67"/>
        <v>20</v>
      </c>
      <c r="W544">
        <f t="shared" si="68"/>
        <v>4.7222222222222223</v>
      </c>
      <c r="X544" t="str">
        <f t="shared" si="69"/>
        <v>Low Profit</v>
      </c>
      <c r="Y544">
        <f t="shared" si="70"/>
        <v>60</v>
      </c>
      <c r="Z544">
        <f t="shared" si="71"/>
        <v>169</v>
      </c>
    </row>
    <row r="545" spans="1:26">
      <c r="A545" s="5">
        <v>937</v>
      </c>
      <c r="B545" s="5">
        <v>55</v>
      </c>
      <c r="C545" s="6">
        <v>41579</v>
      </c>
      <c r="D545" s="5" t="s">
        <v>16</v>
      </c>
      <c r="E545" s="5" t="s">
        <v>17</v>
      </c>
      <c r="F545" s="5">
        <v>20</v>
      </c>
      <c r="G545" s="5" t="s">
        <v>33</v>
      </c>
      <c r="H545" s="5" t="s">
        <v>34</v>
      </c>
      <c r="I545" s="5" t="s">
        <v>35</v>
      </c>
      <c r="J545" s="5">
        <v>24</v>
      </c>
      <c r="K545" s="5">
        <v>132</v>
      </c>
      <c r="L545" s="5" t="s">
        <v>58</v>
      </c>
      <c r="M545" s="5">
        <v>70</v>
      </c>
      <c r="N545" s="5">
        <v>40</v>
      </c>
      <c r="O545" s="5">
        <v>150</v>
      </c>
      <c r="P545" s="5">
        <v>53</v>
      </c>
      <c r="Q545">
        <f>SUM([1]!Table1[[#This Row],[Sales]])</f>
        <v>132</v>
      </c>
      <c r="R545">
        <f>SUM([1]!Table1[[#This Row],[Profit]])</f>
        <v>24</v>
      </c>
      <c r="S545" s="7">
        <f t="shared" si="64"/>
        <v>0.18181818181818182</v>
      </c>
      <c r="T545">
        <f t="shared" si="65"/>
        <v>20</v>
      </c>
      <c r="U545">
        <f t="shared" si="66"/>
        <v>-18</v>
      </c>
      <c r="V545">
        <f t="shared" si="67"/>
        <v>-15</v>
      </c>
      <c r="W545">
        <f t="shared" si="68"/>
        <v>1.2</v>
      </c>
      <c r="X545" t="str">
        <f t="shared" si="69"/>
        <v>Low Profit</v>
      </c>
      <c r="Y545">
        <f t="shared" si="70"/>
        <v>55</v>
      </c>
      <c r="Z545">
        <f t="shared" si="71"/>
        <v>132</v>
      </c>
    </row>
    <row r="546" spans="1:26">
      <c r="A546" s="3">
        <v>234</v>
      </c>
      <c r="B546" s="3">
        <v>59</v>
      </c>
      <c r="C546" s="4">
        <v>41579</v>
      </c>
      <c r="D546" s="3" t="s">
        <v>16</v>
      </c>
      <c r="E546" s="3" t="s">
        <v>17</v>
      </c>
      <c r="F546" s="3">
        <v>19</v>
      </c>
      <c r="G546" s="3" t="s">
        <v>33</v>
      </c>
      <c r="H546" s="3" t="s">
        <v>38</v>
      </c>
      <c r="I546" s="3" t="s">
        <v>43</v>
      </c>
      <c r="J546" s="3">
        <v>49</v>
      </c>
      <c r="K546" s="3">
        <v>147</v>
      </c>
      <c r="L546" s="3" t="s">
        <v>58</v>
      </c>
      <c r="M546" s="3">
        <v>50</v>
      </c>
      <c r="N546" s="3">
        <v>50</v>
      </c>
      <c r="O546" s="3">
        <v>130</v>
      </c>
      <c r="P546" s="3">
        <v>46</v>
      </c>
      <c r="Q546">
        <f>SUM([1]!Table1[[#This Row],[Sales]])</f>
        <v>147</v>
      </c>
      <c r="R546">
        <f>SUM([1]!Table1[[#This Row],[Profit]])</f>
        <v>49</v>
      </c>
      <c r="S546" s="7">
        <f t="shared" si="64"/>
        <v>0.33333333333333331</v>
      </c>
      <c r="T546">
        <f t="shared" si="65"/>
        <v>19</v>
      </c>
      <c r="U546">
        <f t="shared" si="66"/>
        <v>17</v>
      </c>
      <c r="V546">
        <f t="shared" si="67"/>
        <v>9</v>
      </c>
      <c r="W546">
        <f t="shared" si="68"/>
        <v>2.5789473684210527</v>
      </c>
      <c r="X546" t="str">
        <f t="shared" si="69"/>
        <v>Low Profit</v>
      </c>
      <c r="Y546">
        <f t="shared" si="70"/>
        <v>59</v>
      </c>
      <c r="Z546">
        <f t="shared" si="71"/>
        <v>147</v>
      </c>
    </row>
    <row r="547" spans="1:26">
      <c r="A547" s="5">
        <v>209</v>
      </c>
      <c r="B547" s="5">
        <v>75</v>
      </c>
      <c r="C547" s="6">
        <v>41579</v>
      </c>
      <c r="D547" s="5" t="s">
        <v>16</v>
      </c>
      <c r="E547" s="5" t="s">
        <v>29</v>
      </c>
      <c r="F547" s="5">
        <v>24</v>
      </c>
      <c r="G547" s="5" t="s">
        <v>18</v>
      </c>
      <c r="H547" s="5" t="s">
        <v>26</v>
      </c>
      <c r="I547" s="5" t="s">
        <v>30</v>
      </c>
      <c r="J547" s="5">
        <v>88</v>
      </c>
      <c r="K547" s="5">
        <v>201</v>
      </c>
      <c r="L547" s="5" t="s">
        <v>31</v>
      </c>
      <c r="M547" s="5">
        <v>50</v>
      </c>
      <c r="N547" s="5">
        <v>40</v>
      </c>
      <c r="O547" s="5">
        <v>130</v>
      </c>
      <c r="P547" s="5">
        <v>55</v>
      </c>
      <c r="Q547">
        <f>SUM([1]!Table1[[#This Row],[Sales]])</f>
        <v>201</v>
      </c>
      <c r="R547">
        <f>SUM([1]!Table1[[#This Row],[Profit]])</f>
        <v>88</v>
      </c>
      <c r="S547" s="7">
        <f t="shared" si="64"/>
        <v>0.43781094527363185</v>
      </c>
      <c r="T547">
        <f t="shared" si="65"/>
        <v>24</v>
      </c>
      <c r="U547">
        <f t="shared" si="66"/>
        <v>71</v>
      </c>
      <c r="V547">
        <f t="shared" si="67"/>
        <v>25</v>
      </c>
      <c r="W547">
        <f t="shared" si="68"/>
        <v>3.6666666666666665</v>
      </c>
      <c r="X547" t="str">
        <f t="shared" si="69"/>
        <v>Low Profit</v>
      </c>
      <c r="Y547">
        <f t="shared" si="70"/>
        <v>75</v>
      </c>
      <c r="Z547">
        <f t="shared" si="71"/>
        <v>201</v>
      </c>
    </row>
    <row r="548" spans="1:26">
      <c r="A548" s="3">
        <v>417</v>
      </c>
      <c r="B548" s="3">
        <v>69</v>
      </c>
      <c r="C548" s="4">
        <v>41579</v>
      </c>
      <c r="D548" s="3" t="s">
        <v>32</v>
      </c>
      <c r="E548" s="3" t="s">
        <v>17</v>
      </c>
      <c r="F548" s="3">
        <v>21</v>
      </c>
      <c r="G548" s="3" t="s">
        <v>33</v>
      </c>
      <c r="H548" s="3" t="s">
        <v>38</v>
      </c>
      <c r="I548" s="3" t="s">
        <v>39</v>
      </c>
      <c r="J548" s="3">
        <v>56</v>
      </c>
      <c r="K548" s="3">
        <v>160</v>
      </c>
      <c r="L548" s="3" t="s">
        <v>51</v>
      </c>
      <c r="M548" s="3">
        <v>60</v>
      </c>
      <c r="N548" s="3">
        <v>40</v>
      </c>
      <c r="O548" s="3">
        <v>140</v>
      </c>
      <c r="P548" s="3">
        <v>43</v>
      </c>
      <c r="Q548">
        <f>SUM([1]!Table1[[#This Row],[Sales]])</f>
        <v>160</v>
      </c>
      <c r="R548">
        <f>SUM([1]!Table1[[#This Row],[Profit]])</f>
        <v>56</v>
      </c>
      <c r="S548" s="7">
        <f t="shared" si="64"/>
        <v>0.35</v>
      </c>
      <c r="T548">
        <f t="shared" si="65"/>
        <v>21</v>
      </c>
      <c r="U548">
        <f t="shared" si="66"/>
        <v>20</v>
      </c>
      <c r="V548">
        <f t="shared" si="67"/>
        <v>9</v>
      </c>
      <c r="W548">
        <f t="shared" si="68"/>
        <v>2.6666666666666665</v>
      </c>
      <c r="X548" t="str">
        <f t="shared" si="69"/>
        <v>Low Profit</v>
      </c>
      <c r="Y548">
        <f t="shared" si="70"/>
        <v>69</v>
      </c>
      <c r="Z548">
        <f t="shared" si="71"/>
        <v>160</v>
      </c>
    </row>
    <row r="549" spans="1:26">
      <c r="A549" s="5">
        <v>503</v>
      </c>
      <c r="B549" s="5">
        <v>46</v>
      </c>
      <c r="C549" s="6">
        <v>41579</v>
      </c>
      <c r="D549" s="5" t="s">
        <v>32</v>
      </c>
      <c r="E549" s="5" t="s">
        <v>29</v>
      </c>
      <c r="F549" s="5">
        <v>14</v>
      </c>
      <c r="G549" s="5" t="s">
        <v>33</v>
      </c>
      <c r="H549" s="5" t="s">
        <v>38</v>
      </c>
      <c r="I549" s="5" t="s">
        <v>39</v>
      </c>
      <c r="J549" s="5">
        <v>47</v>
      </c>
      <c r="K549" s="5">
        <v>121</v>
      </c>
      <c r="L549" s="5" t="s">
        <v>49</v>
      </c>
      <c r="M549" s="5">
        <v>50</v>
      </c>
      <c r="N549" s="5">
        <v>50</v>
      </c>
      <c r="O549" s="5">
        <v>130</v>
      </c>
      <c r="P549" s="5">
        <v>36</v>
      </c>
      <c r="Q549">
        <f>SUM([1]!Table1[[#This Row],[Sales]])</f>
        <v>121</v>
      </c>
      <c r="R549">
        <f>SUM([1]!Table1[[#This Row],[Profit]])</f>
        <v>47</v>
      </c>
      <c r="S549" s="7">
        <f t="shared" si="64"/>
        <v>0.38842975206611569</v>
      </c>
      <c r="T549">
        <f t="shared" si="65"/>
        <v>14</v>
      </c>
      <c r="U549">
        <f t="shared" si="66"/>
        <v>-9</v>
      </c>
      <c r="V549">
        <f t="shared" si="67"/>
        <v>-4</v>
      </c>
      <c r="W549">
        <f t="shared" si="68"/>
        <v>3.3571428571428572</v>
      </c>
      <c r="X549" t="str">
        <f t="shared" si="69"/>
        <v>Low Profit</v>
      </c>
      <c r="Y549">
        <f t="shared" si="70"/>
        <v>46</v>
      </c>
      <c r="Z549">
        <f t="shared" si="71"/>
        <v>121</v>
      </c>
    </row>
    <row r="550" spans="1:26">
      <c r="A550" s="3">
        <v>425</v>
      </c>
      <c r="B550" s="3">
        <v>75</v>
      </c>
      <c r="C550" s="4">
        <v>41579</v>
      </c>
      <c r="D550" s="3" t="s">
        <v>32</v>
      </c>
      <c r="E550" s="3" t="s">
        <v>29</v>
      </c>
      <c r="F550" s="3">
        <v>23</v>
      </c>
      <c r="G550" s="3" t="s">
        <v>33</v>
      </c>
      <c r="H550" s="3" t="s">
        <v>34</v>
      </c>
      <c r="I550" s="3" t="s">
        <v>35</v>
      </c>
      <c r="J550" s="3">
        <v>67</v>
      </c>
      <c r="K550" s="3">
        <v>175</v>
      </c>
      <c r="L550" s="3" t="s">
        <v>53</v>
      </c>
      <c r="M550" s="3">
        <v>70</v>
      </c>
      <c r="N550" s="3">
        <v>40</v>
      </c>
      <c r="O550" s="3">
        <v>150</v>
      </c>
      <c r="P550" s="3">
        <v>44</v>
      </c>
      <c r="Q550">
        <f>SUM([1]!Table1[[#This Row],[Sales]])</f>
        <v>175</v>
      </c>
      <c r="R550">
        <f>SUM([1]!Table1[[#This Row],[Profit]])</f>
        <v>67</v>
      </c>
      <c r="S550" s="7">
        <f t="shared" si="64"/>
        <v>0.38285714285714284</v>
      </c>
      <c r="T550">
        <f t="shared" si="65"/>
        <v>23</v>
      </c>
      <c r="U550">
        <f t="shared" si="66"/>
        <v>25</v>
      </c>
      <c r="V550">
        <f t="shared" si="67"/>
        <v>5</v>
      </c>
      <c r="W550">
        <f t="shared" si="68"/>
        <v>2.9130434782608696</v>
      </c>
      <c r="X550" t="str">
        <f t="shared" si="69"/>
        <v>Low Profit</v>
      </c>
      <c r="Y550">
        <f t="shared" si="70"/>
        <v>75</v>
      </c>
      <c r="Z550">
        <f t="shared" si="71"/>
        <v>175</v>
      </c>
    </row>
    <row r="551" spans="1:26">
      <c r="A551" s="5">
        <v>475</v>
      </c>
      <c r="B551" s="5">
        <v>61</v>
      </c>
      <c r="C551" s="6">
        <v>41579</v>
      </c>
      <c r="D551" s="5" t="s">
        <v>32</v>
      </c>
      <c r="E551" s="5" t="s">
        <v>25</v>
      </c>
      <c r="F551" s="5">
        <v>55</v>
      </c>
      <c r="G551" s="5" t="s">
        <v>33</v>
      </c>
      <c r="H551" s="5" t="s">
        <v>34</v>
      </c>
      <c r="I551" s="5" t="s">
        <v>46</v>
      </c>
      <c r="J551" s="5">
        <v>3</v>
      </c>
      <c r="K551" s="5">
        <v>157</v>
      </c>
      <c r="L551" s="5" t="s">
        <v>37</v>
      </c>
      <c r="M551" s="5">
        <v>60</v>
      </c>
      <c r="N551" s="5">
        <v>10</v>
      </c>
      <c r="O551" s="5">
        <v>140</v>
      </c>
      <c r="P551" s="5">
        <v>84</v>
      </c>
      <c r="Q551">
        <f>SUM([1]!Table1[[#This Row],[Sales]])</f>
        <v>157</v>
      </c>
      <c r="R551">
        <f>SUM([1]!Table1[[#This Row],[Profit]])</f>
        <v>3</v>
      </c>
      <c r="S551" s="7">
        <f t="shared" si="64"/>
        <v>1.9108280254777069E-2</v>
      </c>
      <c r="T551">
        <f t="shared" si="65"/>
        <v>55</v>
      </c>
      <c r="U551">
        <f t="shared" si="66"/>
        <v>17</v>
      </c>
      <c r="V551">
        <f t="shared" si="67"/>
        <v>1</v>
      </c>
      <c r="W551">
        <f t="shared" si="68"/>
        <v>5.4545454545454543E-2</v>
      </c>
      <c r="X551" t="str">
        <f t="shared" si="69"/>
        <v>Low Profit</v>
      </c>
      <c r="Y551">
        <f t="shared" si="70"/>
        <v>61</v>
      </c>
      <c r="Z551">
        <f t="shared" si="71"/>
        <v>157</v>
      </c>
    </row>
    <row r="552" spans="1:26">
      <c r="A552" s="3">
        <v>318</v>
      </c>
      <c r="B552" s="3">
        <v>47</v>
      </c>
      <c r="C552" s="4">
        <v>41579</v>
      </c>
      <c r="D552" s="3" t="s">
        <v>32</v>
      </c>
      <c r="E552" s="3" t="s">
        <v>23</v>
      </c>
      <c r="F552" s="3">
        <v>13</v>
      </c>
      <c r="G552" s="3" t="s">
        <v>33</v>
      </c>
      <c r="H552" s="3" t="s">
        <v>38</v>
      </c>
      <c r="I552" s="3" t="s">
        <v>45</v>
      </c>
      <c r="J552" s="3">
        <v>65</v>
      </c>
      <c r="K552" s="3">
        <v>123</v>
      </c>
      <c r="L552" s="3" t="s">
        <v>48</v>
      </c>
      <c r="M552" s="3">
        <v>50</v>
      </c>
      <c r="N552" s="3">
        <v>60</v>
      </c>
      <c r="O552" s="3">
        <v>130</v>
      </c>
      <c r="P552" s="3">
        <v>24</v>
      </c>
      <c r="Q552">
        <f>SUM([1]!Table1[[#This Row],[Sales]])</f>
        <v>123</v>
      </c>
      <c r="R552">
        <f>SUM([1]!Table1[[#This Row],[Profit]])</f>
        <v>65</v>
      </c>
      <c r="S552" s="7">
        <f t="shared" si="64"/>
        <v>0.52845528455284552</v>
      </c>
      <c r="T552">
        <f t="shared" si="65"/>
        <v>13</v>
      </c>
      <c r="U552">
        <f t="shared" si="66"/>
        <v>-7</v>
      </c>
      <c r="V552">
        <f t="shared" si="67"/>
        <v>-3</v>
      </c>
      <c r="W552">
        <f t="shared" si="68"/>
        <v>5</v>
      </c>
      <c r="X552" t="str">
        <f t="shared" si="69"/>
        <v>Low Profit</v>
      </c>
      <c r="Y552">
        <f t="shared" si="70"/>
        <v>47</v>
      </c>
      <c r="Z552">
        <f t="shared" si="71"/>
        <v>123</v>
      </c>
    </row>
    <row r="553" spans="1:26">
      <c r="A553" s="5">
        <v>971</v>
      </c>
      <c r="B553" s="5">
        <v>52</v>
      </c>
      <c r="C553" s="6">
        <v>41579</v>
      </c>
      <c r="D553" s="5" t="s">
        <v>32</v>
      </c>
      <c r="E553" s="5" t="s">
        <v>29</v>
      </c>
      <c r="F553" s="5">
        <v>47</v>
      </c>
      <c r="G553" s="5" t="s">
        <v>33</v>
      </c>
      <c r="H553" s="5" t="s">
        <v>38</v>
      </c>
      <c r="I553" s="5" t="s">
        <v>43</v>
      </c>
      <c r="J553" s="5">
        <v>-6</v>
      </c>
      <c r="K553" s="5">
        <v>133</v>
      </c>
      <c r="L553" s="5" t="s">
        <v>49</v>
      </c>
      <c r="M553" s="5">
        <v>60</v>
      </c>
      <c r="N553" s="5">
        <v>10</v>
      </c>
      <c r="O553" s="5">
        <v>140</v>
      </c>
      <c r="P553" s="5">
        <v>77</v>
      </c>
      <c r="Q553">
        <f>SUM([1]!Table1[[#This Row],[Sales]])</f>
        <v>133</v>
      </c>
      <c r="R553">
        <f>SUM([1]!Table1[[#This Row],[Profit]])</f>
        <v>-6</v>
      </c>
      <c r="S553" s="7">
        <f t="shared" si="64"/>
        <v>-4.5112781954887216E-2</v>
      </c>
      <c r="T553">
        <f t="shared" si="65"/>
        <v>47</v>
      </c>
      <c r="U553">
        <f t="shared" si="66"/>
        <v>-7</v>
      </c>
      <c r="V553">
        <f t="shared" si="67"/>
        <v>-8</v>
      </c>
      <c r="W553">
        <f t="shared" si="68"/>
        <v>-0.1276595744680851</v>
      </c>
      <c r="X553" t="str">
        <f t="shared" si="69"/>
        <v>Low Profit</v>
      </c>
      <c r="Y553">
        <f t="shared" si="70"/>
        <v>52</v>
      </c>
      <c r="Z553">
        <f t="shared" si="71"/>
        <v>133</v>
      </c>
    </row>
    <row r="554" spans="1:26">
      <c r="A554" s="3">
        <v>435</v>
      </c>
      <c r="B554" s="3">
        <v>53</v>
      </c>
      <c r="C554" s="4">
        <v>41579</v>
      </c>
      <c r="D554" s="3" t="s">
        <v>32</v>
      </c>
      <c r="E554" s="3" t="s">
        <v>29</v>
      </c>
      <c r="F554" s="3">
        <v>17</v>
      </c>
      <c r="G554" s="3" t="s">
        <v>33</v>
      </c>
      <c r="H554" s="3" t="s">
        <v>38</v>
      </c>
      <c r="I554" s="3" t="s">
        <v>45</v>
      </c>
      <c r="J554" s="3">
        <v>40</v>
      </c>
      <c r="K554" s="3">
        <v>132</v>
      </c>
      <c r="L554" s="3" t="s">
        <v>42</v>
      </c>
      <c r="M554" s="3">
        <v>60</v>
      </c>
      <c r="N554" s="3">
        <v>50</v>
      </c>
      <c r="O554" s="3">
        <v>140</v>
      </c>
      <c r="P554" s="3">
        <v>44</v>
      </c>
      <c r="Q554">
        <f>SUM([1]!Table1[[#This Row],[Sales]])</f>
        <v>132</v>
      </c>
      <c r="R554">
        <f>SUM([1]!Table1[[#This Row],[Profit]])</f>
        <v>40</v>
      </c>
      <c r="S554" s="7">
        <f t="shared" si="64"/>
        <v>0.30303030303030304</v>
      </c>
      <c r="T554">
        <f t="shared" si="65"/>
        <v>17</v>
      </c>
      <c r="U554">
        <f t="shared" si="66"/>
        <v>-8</v>
      </c>
      <c r="V554">
        <f t="shared" si="67"/>
        <v>-7</v>
      </c>
      <c r="W554">
        <f t="shared" si="68"/>
        <v>2.3529411764705883</v>
      </c>
      <c r="X554" t="str">
        <f t="shared" si="69"/>
        <v>Low Profit</v>
      </c>
      <c r="Y554">
        <f t="shared" si="70"/>
        <v>53</v>
      </c>
      <c r="Z554">
        <f t="shared" si="71"/>
        <v>132</v>
      </c>
    </row>
    <row r="555" spans="1:26">
      <c r="A555" s="5">
        <v>541</v>
      </c>
      <c r="B555" s="5">
        <v>59</v>
      </c>
      <c r="C555" s="6">
        <v>41579</v>
      </c>
      <c r="D555" s="5" t="s">
        <v>32</v>
      </c>
      <c r="E555" s="5" t="s">
        <v>29</v>
      </c>
      <c r="F555" s="5">
        <v>19</v>
      </c>
      <c r="G555" s="5" t="s">
        <v>33</v>
      </c>
      <c r="H555" s="5" t="s">
        <v>34</v>
      </c>
      <c r="I555" s="5" t="s">
        <v>46</v>
      </c>
      <c r="J555" s="5">
        <v>49</v>
      </c>
      <c r="K555" s="5">
        <v>147</v>
      </c>
      <c r="L555" s="5" t="s">
        <v>49</v>
      </c>
      <c r="M555" s="5">
        <v>50</v>
      </c>
      <c r="N555" s="5">
        <v>50</v>
      </c>
      <c r="O555" s="5">
        <v>130</v>
      </c>
      <c r="P555" s="5">
        <v>46</v>
      </c>
      <c r="Q555">
        <f>SUM([1]!Table1[[#This Row],[Sales]])</f>
        <v>147</v>
      </c>
      <c r="R555">
        <f>SUM([1]!Table1[[#This Row],[Profit]])</f>
        <v>49</v>
      </c>
      <c r="S555" s="7">
        <f t="shared" si="64"/>
        <v>0.33333333333333331</v>
      </c>
      <c r="T555">
        <f t="shared" si="65"/>
        <v>19</v>
      </c>
      <c r="U555">
        <f t="shared" si="66"/>
        <v>17</v>
      </c>
      <c r="V555">
        <f t="shared" si="67"/>
        <v>9</v>
      </c>
      <c r="W555">
        <f t="shared" si="68"/>
        <v>2.5789473684210527</v>
      </c>
      <c r="X555" t="str">
        <f t="shared" si="69"/>
        <v>Low Profit</v>
      </c>
      <c r="Y555">
        <f t="shared" si="70"/>
        <v>59</v>
      </c>
      <c r="Z555">
        <f t="shared" si="71"/>
        <v>147</v>
      </c>
    </row>
    <row r="556" spans="1:26">
      <c r="A556" s="3">
        <v>262</v>
      </c>
      <c r="B556" s="3">
        <v>53</v>
      </c>
      <c r="C556" s="4">
        <v>41579</v>
      </c>
      <c r="D556" s="3" t="s">
        <v>32</v>
      </c>
      <c r="E556" s="3" t="s">
        <v>17</v>
      </c>
      <c r="F556" s="3">
        <v>16</v>
      </c>
      <c r="G556" s="3" t="s">
        <v>18</v>
      </c>
      <c r="H556" s="3" t="s">
        <v>19</v>
      </c>
      <c r="I556" s="3" t="s">
        <v>50</v>
      </c>
      <c r="J556" s="3">
        <v>71</v>
      </c>
      <c r="K556" s="3">
        <v>150</v>
      </c>
      <c r="L556" s="3" t="s">
        <v>52</v>
      </c>
      <c r="M556" s="3">
        <v>50</v>
      </c>
      <c r="N556" s="3">
        <v>50</v>
      </c>
      <c r="O556" s="3">
        <v>130</v>
      </c>
      <c r="P556" s="3">
        <v>40</v>
      </c>
      <c r="Q556">
        <f>SUM([1]!Table1[[#This Row],[Sales]])</f>
        <v>150</v>
      </c>
      <c r="R556">
        <f>SUM([1]!Table1[[#This Row],[Profit]])</f>
        <v>71</v>
      </c>
      <c r="S556" s="7">
        <f t="shared" si="64"/>
        <v>0.47333333333333333</v>
      </c>
      <c r="T556">
        <f t="shared" si="65"/>
        <v>16</v>
      </c>
      <c r="U556">
        <f t="shared" si="66"/>
        <v>20</v>
      </c>
      <c r="V556">
        <f t="shared" si="67"/>
        <v>3</v>
      </c>
      <c r="W556">
        <f t="shared" si="68"/>
        <v>4.4375</v>
      </c>
      <c r="X556" t="str">
        <f t="shared" si="69"/>
        <v>Low Profit</v>
      </c>
      <c r="Y556">
        <f t="shared" si="70"/>
        <v>53</v>
      </c>
      <c r="Z556">
        <f t="shared" si="71"/>
        <v>150</v>
      </c>
    </row>
    <row r="557" spans="1:26">
      <c r="A557" s="5">
        <v>860</v>
      </c>
      <c r="B557" s="5">
        <v>54</v>
      </c>
      <c r="C557" s="6">
        <v>41579</v>
      </c>
      <c r="D557" s="5" t="s">
        <v>32</v>
      </c>
      <c r="E557" s="5" t="s">
        <v>25</v>
      </c>
      <c r="F557" s="5">
        <v>15</v>
      </c>
      <c r="G557" s="5" t="s">
        <v>18</v>
      </c>
      <c r="H557" s="5" t="s">
        <v>26</v>
      </c>
      <c r="I557" s="5" t="s">
        <v>27</v>
      </c>
      <c r="J557" s="5">
        <v>76</v>
      </c>
      <c r="K557" s="5">
        <v>141</v>
      </c>
      <c r="L557" s="5" t="s">
        <v>37</v>
      </c>
      <c r="M557" s="5">
        <v>50</v>
      </c>
      <c r="N557" s="5">
        <v>60</v>
      </c>
      <c r="O557" s="5">
        <v>130</v>
      </c>
      <c r="P557" s="5">
        <v>27</v>
      </c>
      <c r="Q557">
        <f>SUM([1]!Table1[[#This Row],[Sales]])</f>
        <v>141</v>
      </c>
      <c r="R557">
        <f>SUM([1]!Table1[[#This Row],[Profit]])</f>
        <v>76</v>
      </c>
      <c r="S557" s="7">
        <f t="shared" si="64"/>
        <v>0.53900709219858156</v>
      </c>
      <c r="T557">
        <f t="shared" si="65"/>
        <v>15</v>
      </c>
      <c r="U557">
        <f t="shared" si="66"/>
        <v>11</v>
      </c>
      <c r="V557">
        <f t="shared" si="67"/>
        <v>4</v>
      </c>
      <c r="W557">
        <f t="shared" si="68"/>
        <v>5.0666666666666664</v>
      </c>
      <c r="X557" t="str">
        <f t="shared" si="69"/>
        <v>Low Profit</v>
      </c>
      <c r="Y557">
        <f t="shared" si="70"/>
        <v>54</v>
      </c>
      <c r="Z557">
        <f t="shared" si="71"/>
        <v>141</v>
      </c>
    </row>
    <row r="558" spans="1:26">
      <c r="A558" s="3">
        <v>419</v>
      </c>
      <c r="B558" s="3">
        <v>46</v>
      </c>
      <c r="C558" s="4">
        <v>41609</v>
      </c>
      <c r="D558" s="3" t="s">
        <v>16</v>
      </c>
      <c r="E558" s="3" t="s">
        <v>17</v>
      </c>
      <c r="F558" s="3">
        <v>17</v>
      </c>
      <c r="G558" s="3" t="s">
        <v>33</v>
      </c>
      <c r="H558" s="3" t="s">
        <v>34</v>
      </c>
      <c r="I558" s="3" t="s">
        <v>35</v>
      </c>
      <c r="J558" s="3">
        <v>9</v>
      </c>
      <c r="K558" s="3">
        <v>110</v>
      </c>
      <c r="L558" s="3" t="s">
        <v>58</v>
      </c>
      <c r="M558" s="3">
        <v>50</v>
      </c>
      <c r="N558" s="3">
        <v>40</v>
      </c>
      <c r="O558" s="3">
        <v>130</v>
      </c>
      <c r="P558" s="3">
        <v>51</v>
      </c>
      <c r="Q558">
        <f>SUM([1]!Table1[[#This Row],[Sales]])</f>
        <v>110</v>
      </c>
      <c r="R558">
        <f>SUM([1]!Table1[[#This Row],[Profit]])</f>
        <v>9</v>
      </c>
      <c r="S558" s="7">
        <f t="shared" si="64"/>
        <v>8.1818181818181818E-2</v>
      </c>
      <c r="T558">
        <f t="shared" si="65"/>
        <v>17</v>
      </c>
      <c r="U558">
        <f t="shared" si="66"/>
        <v>-20</v>
      </c>
      <c r="V558">
        <f t="shared" si="67"/>
        <v>-4</v>
      </c>
      <c r="W558">
        <f t="shared" si="68"/>
        <v>0.52941176470588236</v>
      </c>
      <c r="X558" t="str">
        <f t="shared" si="69"/>
        <v>Low Profit</v>
      </c>
      <c r="Y558">
        <f t="shared" si="70"/>
        <v>46</v>
      </c>
      <c r="Z558">
        <f t="shared" si="71"/>
        <v>110</v>
      </c>
    </row>
    <row r="559" spans="1:26">
      <c r="A559" s="5">
        <v>708</v>
      </c>
      <c r="B559" s="5">
        <v>67</v>
      </c>
      <c r="C559" s="6">
        <v>41609</v>
      </c>
      <c r="D559" s="5" t="s">
        <v>16</v>
      </c>
      <c r="E559" s="5" t="s">
        <v>17</v>
      </c>
      <c r="F559" s="5">
        <v>22</v>
      </c>
      <c r="G559" s="5" t="s">
        <v>18</v>
      </c>
      <c r="H559" s="5" t="s">
        <v>26</v>
      </c>
      <c r="I559" s="5" t="s">
        <v>54</v>
      </c>
      <c r="J559" s="5">
        <v>70</v>
      </c>
      <c r="K559" s="5">
        <v>179</v>
      </c>
      <c r="L559" s="5" t="s">
        <v>56</v>
      </c>
      <c r="M559" s="5">
        <v>50</v>
      </c>
      <c r="N559" s="5">
        <v>40</v>
      </c>
      <c r="O559" s="5">
        <v>130</v>
      </c>
      <c r="P559" s="5">
        <v>54</v>
      </c>
      <c r="Q559">
        <f>SUM([1]!Table1[[#This Row],[Sales]])</f>
        <v>179</v>
      </c>
      <c r="R559">
        <f>SUM([1]!Table1[[#This Row],[Profit]])</f>
        <v>70</v>
      </c>
      <c r="S559" s="7">
        <f t="shared" si="64"/>
        <v>0.39106145251396646</v>
      </c>
      <c r="T559">
        <f t="shared" si="65"/>
        <v>22</v>
      </c>
      <c r="U559">
        <f t="shared" si="66"/>
        <v>49</v>
      </c>
      <c r="V559">
        <f t="shared" si="67"/>
        <v>17</v>
      </c>
      <c r="W559">
        <f t="shared" si="68"/>
        <v>3.1818181818181817</v>
      </c>
      <c r="X559" t="str">
        <f t="shared" si="69"/>
        <v>Low Profit</v>
      </c>
      <c r="Y559">
        <f t="shared" si="70"/>
        <v>67</v>
      </c>
      <c r="Z559">
        <f t="shared" si="71"/>
        <v>179</v>
      </c>
    </row>
    <row r="560" spans="1:26">
      <c r="A560" s="3">
        <v>585</v>
      </c>
      <c r="B560" s="3">
        <v>54</v>
      </c>
      <c r="C560" s="4">
        <v>41609</v>
      </c>
      <c r="D560" s="3" t="s">
        <v>16</v>
      </c>
      <c r="E560" s="3" t="s">
        <v>25</v>
      </c>
      <c r="F560" s="3">
        <v>15</v>
      </c>
      <c r="G560" s="3" t="s">
        <v>18</v>
      </c>
      <c r="H560" s="3" t="s">
        <v>26</v>
      </c>
      <c r="I560" s="3" t="s">
        <v>30</v>
      </c>
      <c r="J560" s="3">
        <v>77</v>
      </c>
      <c r="K560" s="3">
        <v>142</v>
      </c>
      <c r="L560" s="3" t="s">
        <v>60</v>
      </c>
      <c r="M560" s="3">
        <v>50</v>
      </c>
      <c r="N560" s="3">
        <v>60</v>
      </c>
      <c r="O560" s="3">
        <v>130</v>
      </c>
      <c r="P560" s="3">
        <v>27</v>
      </c>
      <c r="Q560">
        <f>SUM([1]!Table1[[#This Row],[Sales]])</f>
        <v>142</v>
      </c>
      <c r="R560">
        <f>SUM([1]!Table1[[#This Row],[Profit]])</f>
        <v>77</v>
      </c>
      <c r="S560" s="7">
        <f t="shared" si="64"/>
        <v>0.54225352112676062</v>
      </c>
      <c r="T560">
        <f t="shared" si="65"/>
        <v>15</v>
      </c>
      <c r="U560">
        <f t="shared" si="66"/>
        <v>12</v>
      </c>
      <c r="V560">
        <f t="shared" si="67"/>
        <v>4</v>
      </c>
      <c r="W560">
        <f t="shared" si="68"/>
        <v>5.1333333333333337</v>
      </c>
      <c r="X560" t="str">
        <f t="shared" si="69"/>
        <v>Low Profit</v>
      </c>
      <c r="Y560">
        <f t="shared" si="70"/>
        <v>54</v>
      </c>
      <c r="Z560">
        <f t="shared" si="71"/>
        <v>142</v>
      </c>
    </row>
    <row r="561" spans="1:26">
      <c r="A561" s="5">
        <v>510</v>
      </c>
      <c r="B561" s="5">
        <v>67</v>
      </c>
      <c r="C561" s="6">
        <v>41609</v>
      </c>
      <c r="D561" s="5" t="s">
        <v>16</v>
      </c>
      <c r="E561" s="5" t="s">
        <v>29</v>
      </c>
      <c r="F561" s="5">
        <v>22</v>
      </c>
      <c r="G561" s="5" t="s">
        <v>18</v>
      </c>
      <c r="H561" s="5" t="s">
        <v>26</v>
      </c>
      <c r="I561" s="5" t="s">
        <v>30</v>
      </c>
      <c r="J561" s="5">
        <v>70</v>
      </c>
      <c r="K561" s="5">
        <v>179</v>
      </c>
      <c r="L561" s="5" t="s">
        <v>31</v>
      </c>
      <c r="M561" s="5">
        <v>40</v>
      </c>
      <c r="N561" s="5">
        <v>50</v>
      </c>
      <c r="O561" s="5">
        <v>120</v>
      </c>
      <c r="P561" s="5">
        <v>54</v>
      </c>
      <c r="Q561">
        <f>SUM([1]!Table1[[#This Row],[Sales]])</f>
        <v>179</v>
      </c>
      <c r="R561">
        <f>SUM([1]!Table1[[#This Row],[Profit]])</f>
        <v>70</v>
      </c>
      <c r="S561" s="7">
        <f t="shared" si="64"/>
        <v>0.39106145251396646</v>
      </c>
      <c r="T561">
        <f t="shared" si="65"/>
        <v>22</v>
      </c>
      <c r="U561">
        <f t="shared" si="66"/>
        <v>59</v>
      </c>
      <c r="V561">
        <f t="shared" si="67"/>
        <v>27</v>
      </c>
      <c r="W561">
        <f t="shared" si="68"/>
        <v>3.1818181818181817</v>
      </c>
      <c r="X561" t="str">
        <f t="shared" si="69"/>
        <v>Low Profit</v>
      </c>
      <c r="Y561">
        <f t="shared" si="70"/>
        <v>67</v>
      </c>
      <c r="Z561">
        <f t="shared" si="71"/>
        <v>179</v>
      </c>
    </row>
    <row r="562" spans="1:26">
      <c r="A562" s="3">
        <v>541</v>
      </c>
      <c r="B562" s="3">
        <v>41</v>
      </c>
      <c r="C562" s="4">
        <v>41609</v>
      </c>
      <c r="D562" s="3" t="s">
        <v>32</v>
      </c>
      <c r="E562" s="3" t="s">
        <v>29</v>
      </c>
      <c r="F562" s="3">
        <v>13</v>
      </c>
      <c r="G562" s="3" t="s">
        <v>33</v>
      </c>
      <c r="H562" s="3" t="s">
        <v>38</v>
      </c>
      <c r="I562" s="3" t="s">
        <v>39</v>
      </c>
      <c r="J562" s="3">
        <v>37</v>
      </c>
      <c r="K562" s="3">
        <v>108</v>
      </c>
      <c r="L562" s="3" t="s">
        <v>49</v>
      </c>
      <c r="M562" s="3">
        <v>40</v>
      </c>
      <c r="N562" s="3">
        <v>50</v>
      </c>
      <c r="O562" s="3">
        <v>120</v>
      </c>
      <c r="P562" s="3">
        <v>35</v>
      </c>
      <c r="Q562">
        <f>SUM([1]!Table1[[#This Row],[Sales]])</f>
        <v>108</v>
      </c>
      <c r="R562">
        <f>SUM([1]!Table1[[#This Row],[Profit]])</f>
        <v>37</v>
      </c>
      <c r="S562" s="7">
        <f t="shared" si="64"/>
        <v>0.34259259259259262</v>
      </c>
      <c r="T562">
        <f t="shared" si="65"/>
        <v>13</v>
      </c>
      <c r="U562">
        <f t="shared" si="66"/>
        <v>-12</v>
      </c>
      <c r="V562">
        <f t="shared" si="67"/>
        <v>1</v>
      </c>
      <c r="W562">
        <f t="shared" si="68"/>
        <v>2.8461538461538463</v>
      </c>
      <c r="X562" t="str">
        <f t="shared" si="69"/>
        <v>Low Profit</v>
      </c>
      <c r="Y562">
        <f t="shared" si="70"/>
        <v>41</v>
      </c>
      <c r="Z562">
        <f t="shared" si="71"/>
        <v>108</v>
      </c>
    </row>
    <row r="563" spans="1:26">
      <c r="A563" s="5">
        <v>920</v>
      </c>
      <c r="B563" s="5">
        <v>65</v>
      </c>
      <c r="C563" s="6">
        <v>41609</v>
      </c>
      <c r="D563" s="5" t="s">
        <v>32</v>
      </c>
      <c r="E563" s="5" t="s">
        <v>17</v>
      </c>
      <c r="F563" s="5">
        <v>24</v>
      </c>
      <c r="G563" s="5" t="s">
        <v>33</v>
      </c>
      <c r="H563" s="5" t="s">
        <v>38</v>
      </c>
      <c r="I563" s="5" t="s">
        <v>43</v>
      </c>
      <c r="J563" s="5">
        <v>33</v>
      </c>
      <c r="K563" s="5">
        <v>155</v>
      </c>
      <c r="L563" s="5" t="s">
        <v>52</v>
      </c>
      <c r="M563" s="5">
        <v>60</v>
      </c>
      <c r="N563" s="5">
        <v>30</v>
      </c>
      <c r="O563" s="5">
        <v>140</v>
      </c>
      <c r="P563" s="5">
        <v>58</v>
      </c>
      <c r="Q563">
        <f>SUM([1]!Table1[[#This Row],[Sales]])</f>
        <v>155</v>
      </c>
      <c r="R563">
        <f>SUM([1]!Table1[[#This Row],[Profit]])</f>
        <v>33</v>
      </c>
      <c r="S563" s="7">
        <f t="shared" si="64"/>
        <v>0.2129032258064516</v>
      </c>
      <c r="T563">
        <f t="shared" si="65"/>
        <v>24</v>
      </c>
      <c r="U563">
        <f t="shared" si="66"/>
        <v>15</v>
      </c>
      <c r="V563">
        <f t="shared" si="67"/>
        <v>5</v>
      </c>
      <c r="W563">
        <f t="shared" si="68"/>
        <v>1.375</v>
      </c>
      <c r="X563" t="str">
        <f t="shared" si="69"/>
        <v>Low Profit</v>
      </c>
      <c r="Y563">
        <f t="shared" si="70"/>
        <v>65</v>
      </c>
      <c r="Z563">
        <f t="shared" si="71"/>
        <v>155</v>
      </c>
    </row>
    <row r="564" spans="1:26">
      <c r="A564" s="3">
        <v>541</v>
      </c>
      <c r="B564" s="3">
        <v>47</v>
      </c>
      <c r="C564" s="4">
        <v>41609</v>
      </c>
      <c r="D564" s="3" t="s">
        <v>32</v>
      </c>
      <c r="E564" s="3" t="s">
        <v>29</v>
      </c>
      <c r="F564" s="3">
        <v>42</v>
      </c>
      <c r="G564" s="3" t="s">
        <v>33</v>
      </c>
      <c r="H564" s="3" t="s">
        <v>38</v>
      </c>
      <c r="I564" s="3" t="s">
        <v>43</v>
      </c>
      <c r="J564" s="3">
        <v>-10</v>
      </c>
      <c r="K564" s="3">
        <v>119</v>
      </c>
      <c r="L564" s="3" t="s">
        <v>49</v>
      </c>
      <c r="M564" s="3">
        <v>50</v>
      </c>
      <c r="N564" s="3">
        <v>20</v>
      </c>
      <c r="O564" s="3">
        <v>130</v>
      </c>
      <c r="P564" s="3">
        <v>72</v>
      </c>
      <c r="Q564">
        <f>SUM([1]!Table1[[#This Row],[Sales]])</f>
        <v>119</v>
      </c>
      <c r="R564">
        <f>SUM([1]!Table1[[#This Row],[Profit]])</f>
        <v>-10</v>
      </c>
      <c r="S564" s="7">
        <f t="shared" si="64"/>
        <v>-8.4033613445378158E-2</v>
      </c>
      <c r="T564">
        <f t="shared" si="65"/>
        <v>42</v>
      </c>
      <c r="U564">
        <f t="shared" si="66"/>
        <v>-11</v>
      </c>
      <c r="V564">
        <f t="shared" si="67"/>
        <v>-3</v>
      </c>
      <c r="W564">
        <f t="shared" si="68"/>
        <v>-0.23809523809523808</v>
      </c>
      <c r="X564" t="str">
        <f t="shared" si="69"/>
        <v>Low Profit</v>
      </c>
      <c r="Y564">
        <f t="shared" si="70"/>
        <v>47</v>
      </c>
      <c r="Z564">
        <f t="shared" si="71"/>
        <v>119</v>
      </c>
    </row>
    <row r="565" spans="1:26">
      <c r="A565" s="5">
        <v>435</v>
      </c>
      <c r="B565" s="5">
        <v>49</v>
      </c>
      <c r="C565" s="6">
        <v>41609</v>
      </c>
      <c r="D565" s="5" t="s">
        <v>32</v>
      </c>
      <c r="E565" s="5" t="s">
        <v>29</v>
      </c>
      <c r="F565" s="5">
        <v>16</v>
      </c>
      <c r="G565" s="5" t="s">
        <v>33</v>
      </c>
      <c r="H565" s="5" t="s">
        <v>38</v>
      </c>
      <c r="I565" s="5" t="s">
        <v>45</v>
      </c>
      <c r="J565" s="5">
        <v>31</v>
      </c>
      <c r="K565" s="5">
        <v>121</v>
      </c>
      <c r="L565" s="5" t="s">
        <v>42</v>
      </c>
      <c r="M565" s="5">
        <v>50</v>
      </c>
      <c r="N565" s="5">
        <v>50</v>
      </c>
      <c r="O565" s="5">
        <v>130</v>
      </c>
      <c r="P565" s="5">
        <v>44</v>
      </c>
      <c r="Q565">
        <f>SUM([1]!Table1[[#This Row],[Sales]])</f>
        <v>121</v>
      </c>
      <c r="R565">
        <f>SUM([1]!Table1[[#This Row],[Profit]])</f>
        <v>31</v>
      </c>
      <c r="S565" s="7">
        <f t="shared" si="64"/>
        <v>0.256198347107438</v>
      </c>
      <c r="T565">
        <f t="shared" si="65"/>
        <v>16</v>
      </c>
      <c r="U565">
        <f t="shared" si="66"/>
        <v>-9</v>
      </c>
      <c r="V565">
        <f t="shared" si="67"/>
        <v>-1</v>
      </c>
      <c r="W565">
        <f t="shared" si="68"/>
        <v>1.9375</v>
      </c>
      <c r="X565" t="str">
        <f t="shared" si="69"/>
        <v>Low Profit</v>
      </c>
      <c r="Y565">
        <f t="shared" si="70"/>
        <v>49</v>
      </c>
      <c r="Z565">
        <f t="shared" si="71"/>
        <v>121</v>
      </c>
    </row>
    <row r="566" spans="1:26">
      <c r="A566" s="3">
        <v>509</v>
      </c>
      <c r="B566" s="3">
        <v>65</v>
      </c>
      <c r="C566" s="4">
        <v>41609</v>
      </c>
      <c r="D566" s="3" t="s">
        <v>32</v>
      </c>
      <c r="E566" s="3" t="s">
        <v>29</v>
      </c>
      <c r="F566" s="3">
        <v>24</v>
      </c>
      <c r="G566" s="3" t="s">
        <v>33</v>
      </c>
      <c r="H566" s="3" t="s">
        <v>34</v>
      </c>
      <c r="I566" s="3" t="s">
        <v>46</v>
      </c>
      <c r="J566" s="3">
        <v>34</v>
      </c>
      <c r="K566" s="3">
        <v>155</v>
      </c>
      <c r="L566" s="3" t="s">
        <v>53</v>
      </c>
      <c r="M566" s="3">
        <v>60</v>
      </c>
      <c r="N566" s="3">
        <v>30</v>
      </c>
      <c r="O566" s="3">
        <v>140</v>
      </c>
      <c r="P566" s="3">
        <v>57</v>
      </c>
      <c r="Q566">
        <f>SUM([1]!Table1[[#This Row],[Sales]])</f>
        <v>155</v>
      </c>
      <c r="R566">
        <f>SUM([1]!Table1[[#This Row],[Profit]])</f>
        <v>34</v>
      </c>
      <c r="S566" s="7">
        <f t="shared" si="64"/>
        <v>0.21935483870967742</v>
      </c>
      <c r="T566">
        <f t="shared" si="65"/>
        <v>24</v>
      </c>
      <c r="U566">
        <f t="shared" si="66"/>
        <v>15</v>
      </c>
      <c r="V566">
        <f t="shared" si="67"/>
        <v>5</v>
      </c>
      <c r="W566">
        <f t="shared" si="68"/>
        <v>1.4166666666666667</v>
      </c>
      <c r="X566" t="str">
        <f t="shared" si="69"/>
        <v>Low Profit</v>
      </c>
      <c r="Y566">
        <f t="shared" si="70"/>
        <v>65</v>
      </c>
      <c r="Z566">
        <f t="shared" si="71"/>
        <v>155</v>
      </c>
    </row>
    <row r="567" spans="1:26">
      <c r="A567" s="5">
        <v>318</v>
      </c>
      <c r="B567" s="5">
        <v>68</v>
      </c>
      <c r="C567" s="6">
        <v>41609</v>
      </c>
      <c r="D567" s="5" t="s">
        <v>32</v>
      </c>
      <c r="E567" s="5" t="s">
        <v>23</v>
      </c>
      <c r="F567" s="5">
        <v>25</v>
      </c>
      <c r="G567" s="5" t="s">
        <v>18</v>
      </c>
      <c r="H567" s="5" t="s">
        <v>19</v>
      </c>
      <c r="I567" s="5" t="s">
        <v>20</v>
      </c>
      <c r="J567" s="5">
        <v>39</v>
      </c>
      <c r="K567" s="5">
        <v>163</v>
      </c>
      <c r="L567" s="5" t="s">
        <v>48</v>
      </c>
      <c r="M567" s="5">
        <v>60</v>
      </c>
      <c r="N567" s="5">
        <v>30</v>
      </c>
      <c r="O567" s="5">
        <v>140</v>
      </c>
      <c r="P567" s="5">
        <v>59</v>
      </c>
      <c r="Q567">
        <f>SUM([1]!Table1[[#This Row],[Sales]])</f>
        <v>163</v>
      </c>
      <c r="R567">
        <f>SUM([1]!Table1[[#This Row],[Profit]])</f>
        <v>39</v>
      </c>
      <c r="S567" s="7">
        <f t="shared" si="64"/>
        <v>0.2392638036809816</v>
      </c>
      <c r="T567">
        <f t="shared" si="65"/>
        <v>25</v>
      </c>
      <c r="U567">
        <f t="shared" si="66"/>
        <v>23</v>
      </c>
      <c r="V567">
        <f t="shared" si="67"/>
        <v>8</v>
      </c>
      <c r="W567">
        <f t="shared" si="68"/>
        <v>1.56</v>
      </c>
      <c r="X567" t="str">
        <f t="shared" si="69"/>
        <v>Low Profit</v>
      </c>
      <c r="Y567">
        <f t="shared" si="70"/>
        <v>68</v>
      </c>
      <c r="Z567">
        <f t="shared" si="71"/>
        <v>163</v>
      </c>
    </row>
    <row r="568" spans="1:26">
      <c r="A568" s="3">
        <v>214</v>
      </c>
      <c r="B568" s="3">
        <v>39</v>
      </c>
      <c r="C568" s="4">
        <v>41183</v>
      </c>
      <c r="D568" s="3" t="s">
        <v>16</v>
      </c>
      <c r="E568" s="3" t="s">
        <v>23</v>
      </c>
      <c r="F568" s="3">
        <v>12</v>
      </c>
      <c r="G568" s="3" t="s">
        <v>33</v>
      </c>
      <c r="H568" s="3" t="s">
        <v>38</v>
      </c>
      <c r="I568" s="3" t="s">
        <v>39</v>
      </c>
      <c r="J568" s="3">
        <v>26</v>
      </c>
      <c r="K568" s="3">
        <v>90</v>
      </c>
      <c r="L568" s="3" t="s">
        <v>24</v>
      </c>
      <c r="M568" s="3">
        <v>40</v>
      </c>
      <c r="N568" s="3">
        <v>80</v>
      </c>
      <c r="O568" s="3">
        <v>130</v>
      </c>
      <c r="P568" s="3">
        <v>25</v>
      </c>
      <c r="Q568">
        <f>SUM([1]!Table1[[#This Row],[Sales]])</f>
        <v>90</v>
      </c>
      <c r="R568">
        <f>SUM([1]!Table1[[#This Row],[Profit]])</f>
        <v>26</v>
      </c>
      <c r="S568" s="7">
        <f t="shared" si="64"/>
        <v>0.28888888888888886</v>
      </c>
      <c r="T568">
        <f t="shared" si="65"/>
        <v>12</v>
      </c>
      <c r="U568">
        <f t="shared" si="66"/>
        <v>-40</v>
      </c>
      <c r="V568">
        <f t="shared" si="67"/>
        <v>-1</v>
      </c>
      <c r="W568">
        <f t="shared" si="68"/>
        <v>2.1666666666666665</v>
      </c>
      <c r="X568" t="str">
        <f t="shared" si="69"/>
        <v>Low Profit</v>
      </c>
      <c r="Y568">
        <f t="shared" si="70"/>
        <v>39</v>
      </c>
      <c r="Z568">
        <f t="shared" si="71"/>
        <v>90</v>
      </c>
    </row>
    <row r="569" spans="1:26">
      <c r="A569" s="5">
        <v>936</v>
      </c>
      <c r="B569" s="5">
        <v>239</v>
      </c>
      <c r="C569" s="6">
        <v>41183</v>
      </c>
      <c r="D569" s="5" t="s">
        <v>16</v>
      </c>
      <c r="E569" s="5" t="s">
        <v>23</v>
      </c>
      <c r="F569" s="5">
        <v>74</v>
      </c>
      <c r="G569" s="5" t="s">
        <v>33</v>
      </c>
      <c r="H569" s="5" t="s">
        <v>38</v>
      </c>
      <c r="I569" s="5" t="s">
        <v>45</v>
      </c>
      <c r="J569" s="5">
        <v>185</v>
      </c>
      <c r="K569" s="5">
        <v>520</v>
      </c>
      <c r="L569" s="5" t="s">
        <v>24</v>
      </c>
      <c r="M569" s="5">
        <v>350</v>
      </c>
      <c r="N569" s="5">
        <v>340</v>
      </c>
      <c r="O569" s="5">
        <v>770</v>
      </c>
      <c r="P569" s="5">
        <v>96</v>
      </c>
      <c r="Q569">
        <f>SUM([1]!Table1[[#This Row],[Sales]])</f>
        <v>520</v>
      </c>
      <c r="R569">
        <f>SUM([1]!Table1[[#This Row],[Profit]])</f>
        <v>185</v>
      </c>
      <c r="S569" s="7">
        <f t="shared" si="64"/>
        <v>0.35576923076923078</v>
      </c>
      <c r="T569">
        <f t="shared" si="65"/>
        <v>74</v>
      </c>
      <c r="U569">
        <f t="shared" si="66"/>
        <v>-250</v>
      </c>
      <c r="V569">
        <f t="shared" si="67"/>
        <v>-111</v>
      </c>
      <c r="W569">
        <f t="shared" si="68"/>
        <v>2.5</v>
      </c>
      <c r="X569" t="str">
        <f t="shared" si="69"/>
        <v>High Profit</v>
      </c>
      <c r="Y569">
        <f t="shared" si="70"/>
        <v>239</v>
      </c>
      <c r="Z569">
        <f t="shared" si="71"/>
        <v>520</v>
      </c>
    </row>
    <row r="570" spans="1:26">
      <c r="A570" s="3">
        <v>210</v>
      </c>
      <c r="B570" s="3">
        <v>123</v>
      </c>
      <c r="C570" s="4">
        <v>41183</v>
      </c>
      <c r="D570" s="3" t="s">
        <v>16</v>
      </c>
      <c r="E570" s="3" t="s">
        <v>23</v>
      </c>
      <c r="F570" s="3">
        <v>34</v>
      </c>
      <c r="G570" s="3" t="s">
        <v>33</v>
      </c>
      <c r="H570" s="3" t="s">
        <v>34</v>
      </c>
      <c r="I570" s="3" t="s">
        <v>46</v>
      </c>
      <c r="J570" s="3">
        <v>133</v>
      </c>
      <c r="K570" s="3">
        <v>302</v>
      </c>
      <c r="L570" s="3" t="s">
        <v>24</v>
      </c>
      <c r="M570" s="3">
        <v>70</v>
      </c>
      <c r="N570" s="3">
        <v>100</v>
      </c>
      <c r="O570" s="3">
        <v>190</v>
      </c>
      <c r="P570" s="3">
        <v>46</v>
      </c>
      <c r="Q570">
        <f>SUM([1]!Table1[[#This Row],[Sales]])</f>
        <v>302</v>
      </c>
      <c r="R570">
        <f>SUM([1]!Table1[[#This Row],[Profit]])</f>
        <v>133</v>
      </c>
      <c r="S570" s="7">
        <f t="shared" si="64"/>
        <v>0.44039735099337746</v>
      </c>
      <c r="T570">
        <f t="shared" si="65"/>
        <v>34</v>
      </c>
      <c r="U570">
        <f t="shared" si="66"/>
        <v>112</v>
      </c>
      <c r="V570">
        <f t="shared" si="67"/>
        <v>53</v>
      </c>
      <c r="W570">
        <f t="shared" si="68"/>
        <v>3.9117647058823528</v>
      </c>
      <c r="X570" t="str">
        <f t="shared" si="69"/>
        <v>High Profit</v>
      </c>
      <c r="Y570">
        <f t="shared" si="70"/>
        <v>123</v>
      </c>
      <c r="Z570">
        <f t="shared" si="71"/>
        <v>302</v>
      </c>
    </row>
    <row r="571" spans="1:26">
      <c r="A571" s="5">
        <v>225</v>
      </c>
      <c r="B571" s="5">
        <v>48</v>
      </c>
      <c r="C571" s="6">
        <v>41183</v>
      </c>
      <c r="D571" s="5" t="s">
        <v>32</v>
      </c>
      <c r="E571" s="5" t="s">
        <v>23</v>
      </c>
      <c r="F571" s="5">
        <v>13</v>
      </c>
      <c r="G571" s="5" t="s">
        <v>33</v>
      </c>
      <c r="H571" s="5" t="s">
        <v>38</v>
      </c>
      <c r="I571" s="5" t="s">
        <v>39</v>
      </c>
      <c r="J571" s="5">
        <v>45</v>
      </c>
      <c r="K571" s="5">
        <v>118</v>
      </c>
      <c r="L571" s="5" t="s">
        <v>48</v>
      </c>
      <c r="M571" s="5">
        <v>70</v>
      </c>
      <c r="N571" s="5">
        <v>80</v>
      </c>
      <c r="O571" s="5">
        <v>160</v>
      </c>
      <c r="P571" s="5">
        <v>25</v>
      </c>
      <c r="Q571">
        <f>SUM([1]!Table1[[#This Row],[Sales]])</f>
        <v>118</v>
      </c>
      <c r="R571">
        <f>SUM([1]!Table1[[#This Row],[Profit]])</f>
        <v>45</v>
      </c>
      <c r="S571" s="7">
        <f t="shared" si="64"/>
        <v>0.38135593220338981</v>
      </c>
      <c r="T571">
        <f t="shared" si="65"/>
        <v>13</v>
      </c>
      <c r="U571">
        <f t="shared" si="66"/>
        <v>-42</v>
      </c>
      <c r="V571">
        <f t="shared" si="67"/>
        <v>-22</v>
      </c>
      <c r="W571">
        <f t="shared" si="68"/>
        <v>3.4615384615384617</v>
      </c>
      <c r="X571" t="str">
        <f t="shared" si="69"/>
        <v>Low Profit</v>
      </c>
      <c r="Y571">
        <f t="shared" si="70"/>
        <v>48</v>
      </c>
      <c r="Z571">
        <f t="shared" si="71"/>
        <v>118</v>
      </c>
    </row>
    <row r="572" spans="1:26">
      <c r="A572" s="3">
        <v>225</v>
      </c>
      <c r="B572" s="3">
        <v>48</v>
      </c>
      <c r="C572" s="4">
        <v>41183</v>
      </c>
      <c r="D572" s="3" t="s">
        <v>32</v>
      </c>
      <c r="E572" s="3" t="s">
        <v>23</v>
      </c>
      <c r="F572" s="3">
        <v>13</v>
      </c>
      <c r="G572" s="3" t="s">
        <v>33</v>
      </c>
      <c r="H572" s="3" t="s">
        <v>38</v>
      </c>
      <c r="I572" s="3" t="s">
        <v>45</v>
      </c>
      <c r="J572" s="3">
        <v>47</v>
      </c>
      <c r="K572" s="3">
        <v>119</v>
      </c>
      <c r="L572" s="3" t="s">
        <v>48</v>
      </c>
      <c r="M572" s="3">
        <v>70</v>
      </c>
      <c r="N572" s="3">
        <v>80</v>
      </c>
      <c r="O572" s="3">
        <v>160</v>
      </c>
      <c r="P572" s="3">
        <v>24</v>
      </c>
      <c r="Q572">
        <f>SUM([1]!Table1[[#This Row],[Sales]])</f>
        <v>119</v>
      </c>
      <c r="R572">
        <f>SUM([1]!Table1[[#This Row],[Profit]])</f>
        <v>47</v>
      </c>
      <c r="S572" s="7">
        <f t="shared" si="64"/>
        <v>0.3949579831932773</v>
      </c>
      <c r="T572">
        <f t="shared" si="65"/>
        <v>13</v>
      </c>
      <c r="U572">
        <f t="shared" si="66"/>
        <v>-41</v>
      </c>
      <c r="V572">
        <f t="shared" si="67"/>
        <v>-22</v>
      </c>
      <c r="W572">
        <f t="shared" si="68"/>
        <v>3.6153846153846154</v>
      </c>
      <c r="X572" t="str">
        <f t="shared" si="69"/>
        <v>Low Profit</v>
      </c>
      <c r="Y572">
        <f t="shared" si="70"/>
        <v>48</v>
      </c>
      <c r="Z572">
        <f t="shared" si="71"/>
        <v>119</v>
      </c>
    </row>
    <row r="573" spans="1:26">
      <c r="A573" s="5">
        <v>505</v>
      </c>
      <c r="B573" s="5">
        <v>45</v>
      </c>
      <c r="C573" s="6">
        <v>41183</v>
      </c>
      <c r="D573" s="5" t="s">
        <v>32</v>
      </c>
      <c r="E573" s="5" t="s">
        <v>23</v>
      </c>
      <c r="F573" s="5">
        <v>14</v>
      </c>
      <c r="G573" s="5" t="s">
        <v>33</v>
      </c>
      <c r="H573" s="5" t="s">
        <v>38</v>
      </c>
      <c r="I573" s="5" t="s">
        <v>45</v>
      </c>
      <c r="J573" s="5">
        <v>23</v>
      </c>
      <c r="K573" s="5">
        <v>114</v>
      </c>
      <c r="L573" s="5" t="s">
        <v>57</v>
      </c>
      <c r="M573" s="5">
        <v>50</v>
      </c>
      <c r="N573" s="5">
        <v>80</v>
      </c>
      <c r="O573" s="5">
        <v>160</v>
      </c>
      <c r="P573" s="5">
        <v>46</v>
      </c>
      <c r="Q573">
        <f>SUM([1]!Table1[[#This Row],[Sales]])</f>
        <v>114</v>
      </c>
      <c r="R573">
        <f>SUM([1]!Table1[[#This Row],[Profit]])</f>
        <v>23</v>
      </c>
      <c r="S573" s="7">
        <f t="shared" si="64"/>
        <v>0.20175438596491227</v>
      </c>
      <c r="T573">
        <f t="shared" si="65"/>
        <v>14</v>
      </c>
      <c r="U573">
        <f t="shared" si="66"/>
        <v>-46</v>
      </c>
      <c r="V573">
        <f t="shared" si="67"/>
        <v>-5</v>
      </c>
      <c r="W573">
        <f t="shared" si="68"/>
        <v>1.6428571428571428</v>
      </c>
      <c r="X573" t="str">
        <f t="shared" si="69"/>
        <v>Low Profit</v>
      </c>
      <c r="Y573">
        <f t="shared" si="70"/>
        <v>45</v>
      </c>
      <c r="Z573">
        <f t="shared" si="71"/>
        <v>114</v>
      </c>
    </row>
    <row r="574" spans="1:26">
      <c r="A574" s="3">
        <v>918</v>
      </c>
      <c r="B574" s="3">
        <v>90</v>
      </c>
      <c r="C574" s="4">
        <v>41183</v>
      </c>
      <c r="D574" s="3" t="s">
        <v>32</v>
      </c>
      <c r="E574" s="3" t="s">
        <v>23</v>
      </c>
      <c r="F574" s="3">
        <v>29</v>
      </c>
      <c r="G574" s="3" t="s">
        <v>33</v>
      </c>
      <c r="H574" s="3" t="s">
        <v>38</v>
      </c>
      <c r="I574" s="3" t="s">
        <v>45</v>
      </c>
      <c r="J574" s="3">
        <v>74</v>
      </c>
      <c r="K574" s="3">
        <v>205</v>
      </c>
      <c r="L574" s="3" t="s">
        <v>40</v>
      </c>
      <c r="M574" s="3">
        <v>130</v>
      </c>
      <c r="N574" s="3">
        <v>140</v>
      </c>
      <c r="O574" s="3">
        <v>290</v>
      </c>
      <c r="P574" s="3">
        <v>41</v>
      </c>
      <c r="Q574">
        <f>SUM([1]!Table1[[#This Row],[Sales]])</f>
        <v>205</v>
      </c>
      <c r="R574">
        <f>SUM([1]!Table1[[#This Row],[Profit]])</f>
        <v>74</v>
      </c>
      <c r="S574" s="7">
        <f t="shared" si="64"/>
        <v>0.36097560975609755</v>
      </c>
      <c r="T574">
        <f t="shared" si="65"/>
        <v>29</v>
      </c>
      <c r="U574">
        <f t="shared" si="66"/>
        <v>-85</v>
      </c>
      <c r="V574">
        <f t="shared" si="67"/>
        <v>-40</v>
      </c>
      <c r="W574">
        <f t="shared" si="68"/>
        <v>2.5517241379310347</v>
      </c>
      <c r="X574" t="str">
        <f t="shared" si="69"/>
        <v>Low Profit</v>
      </c>
      <c r="Y574">
        <f t="shared" si="70"/>
        <v>90</v>
      </c>
      <c r="Z574">
        <f t="shared" si="71"/>
        <v>205</v>
      </c>
    </row>
    <row r="575" spans="1:26">
      <c r="A575" s="5">
        <v>505</v>
      </c>
      <c r="B575" s="5">
        <v>25</v>
      </c>
      <c r="C575" s="6">
        <v>41183</v>
      </c>
      <c r="D575" s="5" t="s">
        <v>32</v>
      </c>
      <c r="E575" s="5" t="s">
        <v>23</v>
      </c>
      <c r="F575" s="5">
        <v>9</v>
      </c>
      <c r="G575" s="5" t="s">
        <v>33</v>
      </c>
      <c r="H575" s="5" t="s">
        <v>34</v>
      </c>
      <c r="I575" s="5" t="s">
        <v>47</v>
      </c>
      <c r="J575" s="5">
        <v>-12</v>
      </c>
      <c r="K575" s="5">
        <v>56</v>
      </c>
      <c r="L575" s="5" t="s">
        <v>57</v>
      </c>
      <c r="M575" s="5">
        <v>10</v>
      </c>
      <c r="N575" s="5">
        <v>10</v>
      </c>
      <c r="O575" s="5">
        <v>30</v>
      </c>
      <c r="P575" s="5">
        <v>43</v>
      </c>
      <c r="Q575">
        <f>SUM([1]!Table1[[#This Row],[Sales]])</f>
        <v>56</v>
      </c>
      <c r="R575">
        <f>SUM([1]!Table1[[#This Row],[Profit]])</f>
        <v>-12</v>
      </c>
      <c r="S575" s="7">
        <f t="shared" si="64"/>
        <v>-0.21428571428571427</v>
      </c>
      <c r="T575">
        <f t="shared" si="65"/>
        <v>9</v>
      </c>
      <c r="U575">
        <f t="shared" si="66"/>
        <v>26</v>
      </c>
      <c r="V575">
        <f t="shared" si="67"/>
        <v>15</v>
      </c>
      <c r="W575">
        <f t="shared" si="68"/>
        <v>-1.3333333333333333</v>
      </c>
      <c r="X575" t="str">
        <f t="shared" si="69"/>
        <v>Low Profit</v>
      </c>
      <c r="Y575">
        <f t="shared" si="70"/>
        <v>25</v>
      </c>
      <c r="Z575">
        <f t="shared" si="71"/>
        <v>56</v>
      </c>
    </row>
    <row r="576" spans="1:26">
      <c r="A576" s="3">
        <v>225</v>
      </c>
      <c r="B576" s="3">
        <v>103</v>
      </c>
      <c r="C576" s="4">
        <v>41183</v>
      </c>
      <c r="D576" s="3" t="s">
        <v>32</v>
      </c>
      <c r="E576" s="3" t="s">
        <v>23</v>
      </c>
      <c r="F576" s="3">
        <v>33</v>
      </c>
      <c r="G576" s="3" t="s">
        <v>18</v>
      </c>
      <c r="H576" s="3" t="s">
        <v>19</v>
      </c>
      <c r="I576" s="3" t="s">
        <v>50</v>
      </c>
      <c r="J576" s="3">
        <v>87</v>
      </c>
      <c r="K576" s="3">
        <v>236</v>
      </c>
      <c r="L576" s="3" t="s">
        <v>48</v>
      </c>
      <c r="M576" s="3">
        <v>80</v>
      </c>
      <c r="N576" s="3">
        <v>110</v>
      </c>
      <c r="O576" s="3">
        <v>210</v>
      </c>
      <c r="P576" s="3">
        <v>46</v>
      </c>
      <c r="Q576">
        <f>SUM([1]!Table1[[#This Row],[Sales]])</f>
        <v>236</v>
      </c>
      <c r="R576">
        <f>SUM([1]!Table1[[#This Row],[Profit]])</f>
        <v>87</v>
      </c>
      <c r="S576" s="7">
        <f t="shared" si="64"/>
        <v>0.36864406779661019</v>
      </c>
      <c r="T576">
        <f t="shared" si="65"/>
        <v>33</v>
      </c>
      <c r="U576">
        <f t="shared" si="66"/>
        <v>26</v>
      </c>
      <c r="V576">
        <f t="shared" si="67"/>
        <v>23</v>
      </c>
      <c r="W576">
        <f t="shared" si="68"/>
        <v>2.6363636363636362</v>
      </c>
      <c r="X576" t="str">
        <f t="shared" si="69"/>
        <v>Low Profit</v>
      </c>
      <c r="Y576">
        <f t="shared" si="70"/>
        <v>103</v>
      </c>
      <c r="Z576">
        <f t="shared" si="71"/>
        <v>236</v>
      </c>
    </row>
    <row r="577" spans="1:26">
      <c r="A577" s="5">
        <v>504</v>
      </c>
      <c r="B577" s="5">
        <v>79</v>
      </c>
      <c r="C577" s="6">
        <v>41183</v>
      </c>
      <c r="D577" s="5" t="s">
        <v>32</v>
      </c>
      <c r="E577" s="5" t="s">
        <v>23</v>
      </c>
      <c r="F577" s="5">
        <v>30</v>
      </c>
      <c r="G577" s="5" t="s">
        <v>18</v>
      </c>
      <c r="H577" s="5" t="s">
        <v>19</v>
      </c>
      <c r="I577" s="5" t="s">
        <v>20</v>
      </c>
      <c r="J577" s="5">
        <v>34</v>
      </c>
      <c r="K577" s="5">
        <v>177</v>
      </c>
      <c r="L577" s="5" t="s">
        <v>48</v>
      </c>
      <c r="M577" s="5">
        <v>60</v>
      </c>
      <c r="N577" s="5">
        <v>60</v>
      </c>
      <c r="O577" s="5">
        <v>150</v>
      </c>
      <c r="P577" s="5">
        <v>64</v>
      </c>
      <c r="Q577">
        <f>SUM([1]!Table1[[#This Row],[Sales]])</f>
        <v>177</v>
      </c>
      <c r="R577">
        <f>SUM([1]!Table1[[#This Row],[Profit]])</f>
        <v>34</v>
      </c>
      <c r="S577" s="7">
        <f t="shared" si="64"/>
        <v>0.19209039548022599</v>
      </c>
      <c r="T577">
        <f t="shared" si="65"/>
        <v>30</v>
      </c>
      <c r="U577">
        <f t="shared" si="66"/>
        <v>27</v>
      </c>
      <c r="V577">
        <f t="shared" si="67"/>
        <v>19</v>
      </c>
      <c r="W577">
        <f t="shared" si="68"/>
        <v>1.1333333333333333</v>
      </c>
      <c r="X577" t="str">
        <f t="shared" si="69"/>
        <v>Low Profit</v>
      </c>
      <c r="Y577">
        <f t="shared" si="70"/>
        <v>79</v>
      </c>
      <c r="Z577">
        <f t="shared" si="71"/>
        <v>177</v>
      </c>
    </row>
    <row r="578" spans="1:26">
      <c r="A578" s="3">
        <v>405</v>
      </c>
      <c r="B578" s="3">
        <v>96</v>
      </c>
      <c r="C578" s="4">
        <v>41183</v>
      </c>
      <c r="D578" s="3" t="s">
        <v>32</v>
      </c>
      <c r="E578" s="3" t="s">
        <v>23</v>
      </c>
      <c r="F578" s="3">
        <v>87</v>
      </c>
      <c r="G578" s="3" t="s">
        <v>18</v>
      </c>
      <c r="H578" s="3" t="s">
        <v>19</v>
      </c>
      <c r="I578" s="3" t="s">
        <v>20</v>
      </c>
      <c r="J578" s="3">
        <v>17</v>
      </c>
      <c r="K578" s="3">
        <v>230</v>
      </c>
      <c r="L578" s="3" t="s">
        <v>40</v>
      </c>
      <c r="M578" s="3">
        <v>80</v>
      </c>
      <c r="N578" s="3">
        <v>40</v>
      </c>
      <c r="O578" s="3">
        <v>200</v>
      </c>
      <c r="P578" s="3">
        <v>117</v>
      </c>
      <c r="Q578">
        <f>SUM([1]!Table1[[#This Row],[Sales]])</f>
        <v>230</v>
      </c>
      <c r="R578">
        <f>SUM([1]!Table1[[#This Row],[Profit]])</f>
        <v>17</v>
      </c>
      <c r="S578" s="7">
        <f t="shared" si="64"/>
        <v>7.3913043478260873E-2</v>
      </c>
      <c r="T578">
        <f t="shared" si="65"/>
        <v>87</v>
      </c>
      <c r="U578">
        <f t="shared" si="66"/>
        <v>30</v>
      </c>
      <c r="V578">
        <f t="shared" si="67"/>
        <v>16</v>
      </c>
      <c r="W578">
        <f t="shared" si="68"/>
        <v>0.19540229885057472</v>
      </c>
      <c r="X578" t="str">
        <f t="shared" si="69"/>
        <v>Low Profit</v>
      </c>
      <c r="Y578">
        <f t="shared" si="70"/>
        <v>96</v>
      </c>
      <c r="Z578">
        <f t="shared" si="71"/>
        <v>230</v>
      </c>
    </row>
    <row r="579" spans="1:26">
      <c r="A579" s="5">
        <v>956</v>
      </c>
      <c r="B579" s="5">
        <v>225</v>
      </c>
      <c r="C579" s="6">
        <v>41214</v>
      </c>
      <c r="D579" s="5" t="s">
        <v>16</v>
      </c>
      <c r="E579" s="5" t="s">
        <v>23</v>
      </c>
      <c r="F579" s="5">
        <v>69</v>
      </c>
      <c r="G579" s="5" t="s">
        <v>33</v>
      </c>
      <c r="H579" s="5" t="s">
        <v>38</v>
      </c>
      <c r="I579" s="5" t="s">
        <v>45</v>
      </c>
      <c r="J579" s="5">
        <v>174</v>
      </c>
      <c r="K579" s="5">
        <v>490</v>
      </c>
      <c r="L579" s="5" t="s">
        <v>24</v>
      </c>
      <c r="M579" s="5">
        <v>260</v>
      </c>
      <c r="N579" s="5">
        <v>230</v>
      </c>
      <c r="O579" s="5">
        <v>580</v>
      </c>
      <c r="P579" s="5">
        <v>91</v>
      </c>
      <c r="Q579">
        <f>SUM([1]!Table1[[#This Row],[Sales]])</f>
        <v>490</v>
      </c>
      <c r="R579">
        <f>SUM([1]!Table1[[#This Row],[Profit]])</f>
        <v>174</v>
      </c>
      <c r="S579" s="7">
        <f t="shared" ref="S579:S642" si="72">J579/K579</f>
        <v>0.35510204081632651</v>
      </c>
      <c r="T579">
        <f t="shared" ref="T579:T642" si="73">SUM(F579)</f>
        <v>69</v>
      </c>
      <c r="U579">
        <f t="shared" ref="U579:U642" si="74">K579-O579</f>
        <v>-90</v>
      </c>
      <c r="V579">
        <f t="shared" ref="V579:V642" si="75">B579-M579</f>
        <v>-35</v>
      </c>
      <c r="W579">
        <f t="shared" ref="W579:W642" si="76">J579/F579</f>
        <v>2.5217391304347827</v>
      </c>
      <c r="X579" t="str">
        <f t="shared" ref="X579:X642" si="77">IF(J579&gt;100,"High Profit","Low Profit")</f>
        <v>High Profit</v>
      </c>
      <c r="Y579">
        <f t="shared" ref="Y579:Y642" si="78">SUM(B579)</f>
        <v>225</v>
      </c>
      <c r="Z579">
        <f t="shared" ref="Z579:Z642" si="79">SUM(K579)</f>
        <v>490</v>
      </c>
    </row>
    <row r="580" spans="1:26">
      <c r="A580" s="3">
        <v>817</v>
      </c>
      <c r="B580" s="3">
        <v>75</v>
      </c>
      <c r="C580" s="4">
        <v>41214</v>
      </c>
      <c r="D580" s="3" t="s">
        <v>16</v>
      </c>
      <c r="E580" s="3" t="s">
        <v>23</v>
      </c>
      <c r="F580" s="3">
        <v>24</v>
      </c>
      <c r="G580" s="3" t="s">
        <v>33</v>
      </c>
      <c r="H580" s="3" t="s">
        <v>34</v>
      </c>
      <c r="I580" s="3" t="s">
        <v>47</v>
      </c>
      <c r="J580" s="3">
        <v>59</v>
      </c>
      <c r="K580" s="3">
        <v>189</v>
      </c>
      <c r="L580" s="3" t="s">
        <v>24</v>
      </c>
      <c r="M580" s="3">
        <v>50</v>
      </c>
      <c r="N580" s="3">
        <v>40</v>
      </c>
      <c r="O580" s="3">
        <v>140</v>
      </c>
      <c r="P580" s="3">
        <v>55</v>
      </c>
      <c r="Q580">
        <f>SUM([1]!Table1[[#This Row],[Sales]])</f>
        <v>189</v>
      </c>
      <c r="R580">
        <f>SUM([1]!Table1[[#This Row],[Profit]])</f>
        <v>59</v>
      </c>
      <c r="S580" s="7">
        <f t="shared" si="72"/>
        <v>0.31216931216931215</v>
      </c>
      <c r="T580">
        <f t="shared" si="73"/>
        <v>24</v>
      </c>
      <c r="U580">
        <f t="shared" si="74"/>
        <v>49</v>
      </c>
      <c r="V580">
        <f t="shared" si="75"/>
        <v>25</v>
      </c>
      <c r="W580">
        <f t="shared" si="76"/>
        <v>2.4583333333333335</v>
      </c>
      <c r="X580" t="str">
        <f t="shared" si="77"/>
        <v>Low Profit</v>
      </c>
      <c r="Y580">
        <f t="shared" si="78"/>
        <v>75</v>
      </c>
      <c r="Z580">
        <f t="shared" si="79"/>
        <v>189</v>
      </c>
    </row>
    <row r="581" spans="1:26">
      <c r="A581" s="5">
        <v>409</v>
      </c>
      <c r="B581" s="5">
        <v>118</v>
      </c>
      <c r="C581" s="6">
        <v>41214</v>
      </c>
      <c r="D581" s="5" t="s">
        <v>16</v>
      </c>
      <c r="E581" s="5" t="s">
        <v>23</v>
      </c>
      <c r="F581" s="5">
        <v>33</v>
      </c>
      <c r="G581" s="5" t="s">
        <v>33</v>
      </c>
      <c r="H581" s="5" t="s">
        <v>34</v>
      </c>
      <c r="I581" s="5" t="s">
        <v>46</v>
      </c>
      <c r="J581" s="5">
        <v>127</v>
      </c>
      <c r="K581" s="5">
        <v>290</v>
      </c>
      <c r="L581" s="5" t="s">
        <v>24</v>
      </c>
      <c r="M581" s="5">
        <v>90</v>
      </c>
      <c r="N581" s="5">
        <v>100</v>
      </c>
      <c r="O581" s="5">
        <v>220</v>
      </c>
      <c r="P581" s="5">
        <v>45</v>
      </c>
      <c r="Q581">
        <f>SUM([1]!Table1[[#This Row],[Sales]])</f>
        <v>290</v>
      </c>
      <c r="R581">
        <f>SUM([1]!Table1[[#This Row],[Profit]])</f>
        <v>127</v>
      </c>
      <c r="S581" s="7">
        <f t="shared" si="72"/>
        <v>0.43793103448275861</v>
      </c>
      <c r="T581">
        <f t="shared" si="73"/>
        <v>33</v>
      </c>
      <c r="U581">
        <f t="shared" si="74"/>
        <v>70</v>
      </c>
      <c r="V581">
        <f t="shared" si="75"/>
        <v>28</v>
      </c>
      <c r="W581">
        <f t="shared" si="76"/>
        <v>3.8484848484848486</v>
      </c>
      <c r="X581" t="str">
        <f t="shared" si="77"/>
        <v>High Profit</v>
      </c>
      <c r="Y581">
        <f t="shared" si="78"/>
        <v>118</v>
      </c>
      <c r="Z581">
        <f t="shared" si="79"/>
        <v>290</v>
      </c>
    </row>
    <row r="582" spans="1:26">
      <c r="A582" s="3">
        <v>918</v>
      </c>
      <c r="B582" s="3">
        <v>78</v>
      </c>
      <c r="C582" s="4">
        <v>41214</v>
      </c>
      <c r="D582" s="3" t="s">
        <v>32</v>
      </c>
      <c r="E582" s="3" t="s">
        <v>23</v>
      </c>
      <c r="F582" s="3">
        <v>25</v>
      </c>
      <c r="G582" s="3" t="s">
        <v>33</v>
      </c>
      <c r="H582" s="3" t="s">
        <v>34</v>
      </c>
      <c r="I582" s="3" t="s">
        <v>35</v>
      </c>
      <c r="J582" s="3">
        <v>62</v>
      </c>
      <c r="K582" s="3">
        <v>197</v>
      </c>
      <c r="L582" s="3" t="s">
        <v>40</v>
      </c>
      <c r="M582" s="3">
        <v>60</v>
      </c>
      <c r="N582" s="3">
        <v>40</v>
      </c>
      <c r="O582" s="3">
        <v>150</v>
      </c>
      <c r="P582" s="3">
        <v>57</v>
      </c>
      <c r="Q582">
        <f>SUM([1]!Table1[[#This Row],[Sales]])</f>
        <v>197</v>
      </c>
      <c r="R582">
        <f>SUM([1]!Table1[[#This Row],[Profit]])</f>
        <v>62</v>
      </c>
      <c r="S582" s="7">
        <f t="shared" si="72"/>
        <v>0.31472081218274112</v>
      </c>
      <c r="T582">
        <f t="shared" si="73"/>
        <v>25</v>
      </c>
      <c r="U582">
        <f t="shared" si="74"/>
        <v>47</v>
      </c>
      <c r="V582">
        <f t="shared" si="75"/>
        <v>18</v>
      </c>
      <c r="W582">
        <f t="shared" si="76"/>
        <v>2.48</v>
      </c>
      <c r="X582" t="str">
        <f t="shared" si="77"/>
        <v>Low Profit</v>
      </c>
      <c r="Y582">
        <f t="shared" si="78"/>
        <v>78</v>
      </c>
      <c r="Z582">
        <f t="shared" si="79"/>
        <v>197</v>
      </c>
    </row>
    <row r="583" spans="1:26">
      <c r="A583" s="5">
        <v>918</v>
      </c>
      <c r="B583" s="5">
        <v>88</v>
      </c>
      <c r="C583" s="6">
        <v>41214</v>
      </c>
      <c r="D583" s="5" t="s">
        <v>32</v>
      </c>
      <c r="E583" s="5" t="s">
        <v>23</v>
      </c>
      <c r="F583" s="5">
        <v>29</v>
      </c>
      <c r="G583" s="5" t="s">
        <v>33</v>
      </c>
      <c r="H583" s="5" t="s">
        <v>38</v>
      </c>
      <c r="I583" s="5" t="s">
        <v>45</v>
      </c>
      <c r="J583" s="5">
        <v>71</v>
      </c>
      <c r="K583" s="5">
        <v>200</v>
      </c>
      <c r="L583" s="5" t="s">
        <v>40</v>
      </c>
      <c r="M583" s="5">
        <v>100</v>
      </c>
      <c r="N583" s="5">
        <v>90</v>
      </c>
      <c r="O583" s="5">
        <v>230</v>
      </c>
      <c r="P583" s="5">
        <v>41</v>
      </c>
      <c r="Q583">
        <f>SUM([1]!Table1[[#This Row],[Sales]])</f>
        <v>200</v>
      </c>
      <c r="R583">
        <f>SUM([1]!Table1[[#This Row],[Profit]])</f>
        <v>71</v>
      </c>
      <c r="S583" s="7">
        <f t="shared" si="72"/>
        <v>0.35499999999999998</v>
      </c>
      <c r="T583">
        <f t="shared" si="73"/>
        <v>29</v>
      </c>
      <c r="U583">
        <f t="shared" si="74"/>
        <v>-30</v>
      </c>
      <c r="V583">
        <f t="shared" si="75"/>
        <v>-12</v>
      </c>
      <c r="W583">
        <f t="shared" si="76"/>
        <v>2.4482758620689653</v>
      </c>
      <c r="X583" t="str">
        <f t="shared" si="77"/>
        <v>Low Profit</v>
      </c>
      <c r="Y583">
        <f t="shared" si="78"/>
        <v>88</v>
      </c>
      <c r="Z583">
        <f t="shared" si="79"/>
        <v>200</v>
      </c>
    </row>
    <row r="584" spans="1:26">
      <c r="A584" s="3">
        <v>918</v>
      </c>
      <c r="B584" s="3">
        <v>102</v>
      </c>
      <c r="C584" s="4">
        <v>41214</v>
      </c>
      <c r="D584" s="3" t="s">
        <v>32</v>
      </c>
      <c r="E584" s="3" t="s">
        <v>23</v>
      </c>
      <c r="F584" s="3">
        <v>31</v>
      </c>
      <c r="G584" s="3" t="s">
        <v>33</v>
      </c>
      <c r="H584" s="3" t="s">
        <v>34</v>
      </c>
      <c r="I584" s="3" t="s">
        <v>47</v>
      </c>
      <c r="J584" s="3">
        <v>89</v>
      </c>
      <c r="K584" s="3">
        <v>245</v>
      </c>
      <c r="L584" s="3" t="s">
        <v>40</v>
      </c>
      <c r="M584" s="3">
        <v>80</v>
      </c>
      <c r="N584" s="3">
        <v>60</v>
      </c>
      <c r="O584" s="3">
        <v>180</v>
      </c>
      <c r="P584" s="3">
        <v>54</v>
      </c>
      <c r="Q584">
        <f>SUM([1]!Table1[[#This Row],[Sales]])</f>
        <v>245</v>
      </c>
      <c r="R584">
        <f>SUM([1]!Table1[[#This Row],[Profit]])</f>
        <v>89</v>
      </c>
      <c r="S584" s="7">
        <f t="shared" si="72"/>
        <v>0.36326530612244901</v>
      </c>
      <c r="T584">
        <f t="shared" si="73"/>
        <v>31</v>
      </c>
      <c r="U584">
        <f t="shared" si="74"/>
        <v>65</v>
      </c>
      <c r="V584">
        <f t="shared" si="75"/>
        <v>22</v>
      </c>
      <c r="W584">
        <f t="shared" si="76"/>
        <v>2.870967741935484</v>
      </c>
      <c r="X584" t="str">
        <f t="shared" si="77"/>
        <v>Low Profit</v>
      </c>
      <c r="Y584">
        <f t="shared" si="78"/>
        <v>102</v>
      </c>
      <c r="Z584">
        <f t="shared" si="79"/>
        <v>245</v>
      </c>
    </row>
    <row r="585" spans="1:26">
      <c r="A585" s="5">
        <v>337</v>
      </c>
      <c r="B585" s="5">
        <v>101</v>
      </c>
      <c r="C585" s="6">
        <v>41214</v>
      </c>
      <c r="D585" s="5" t="s">
        <v>32</v>
      </c>
      <c r="E585" s="5" t="s">
        <v>23</v>
      </c>
      <c r="F585" s="5">
        <v>33</v>
      </c>
      <c r="G585" s="5" t="s">
        <v>18</v>
      </c>
      <c r="H585" s="5" t="s">
        <v>19</v>
      </c>
      <c r="I585" s="5" t="s">
        <v>50</v>
      </c>
      <c r="J585" s="5">
        <v>85</v>
      </c>
      <c r="K585" s="5">
        <v>231</v>
      </c>
      <c r="L585" s="5" t="s">
        <v>48</v>
      </c>
      <c r="M585" s="5">
        <v>90</v>
      </c>
      <c r="N585" s="5">
        <v>80</v>
      </c>
      <c r="O585" s="5">
        <v>210</v>
      </c>
      <c r="P585" s="5">
        <v>45</v>
      </c>
      <c r="Q585">
        <f>SUM([1]!Table1[[#This Row],[Sales]])</f>
        <v>231</v>
      </c>
      <c r="R585">
        <f>SUM([1]!Table1[[#This Row],[Profit]])</f>
        <v>85</v>
      </c>
      <c r="S585" s="7">
        <f t="shared" si="72"/>
        <v>0.36796536796536794</v>
      </c>
      <c r="T585">
        <f t="shared" si="73"/>
        <v>33</v>
      </c>
      <c r="U585">
        <f t="shared" si="74"/>
        <v>21</v>
      </c>
      <c r="V585">
        <f t="shared" si="75"/>
        <v>11</v>
      </c>
      <c r="W585">
        <f t="shared" si="76"/>
        <v>2.5757575757575757</v>
      </c>
      <c r="X585" t="str">
        <f t="shared" si="77"/>
        <v>Low Profit</v>
      </c>
      <c r="Y585">
        <f t="shared" si="78"/>
        <v>101</v>
      </c>
      <c r="Z585">
        <f t="shared" si="79"/>
        <v>231</v>
      </c>
    </row>
    <row r="586" spans="1:26">
      <c r="A586" s="3">
        <v>505</v>
      </c>
      <c r="B586" s="3">
        <v>15</v>
      </c>
      <c r="C586" s="4">
        <v>41214</v>
      </c>
      <c r="D586" s="3" t="s">
        <v>32</v>
      </c>
      <c r="E586" s="3" t="s">
        <v>23</v>
      </c>
      <c r="F586" s="3">
        <v>4</v>
      </c>
      <c r="G586" s="3" t="s">
        <v>18</v>
      </c>
      <c r="H586" s="3" t="s">
        <v>19</v>
      </c>
      <c r="I586" s="3" t="s">
        <v>50</v>
      </c>
      <c r="J586" s="3">
        <v>9</v>
      </c>
      <c r="K586" s="3">
        <v>39</v>
      </c>
      <c r="L586" s="3" t="s">
        <v>57</v>
      </c>
      <c r="M586" s="3">
        <v>10</v>
      </c>
      <c r="N586" s="3">
        <v>10</v>
      </c>
      <c r="O586" s="3">
        <v>30</v>
      </c>
      <c r="P586" s="3">
        <v>15</v>
      </c>
      <c r="Q586">
        <f>SUM([1]!Table1[[#This Row],[Sales]])</f>
        <v>39</v>
      </c>
      <c r="R586">
        <f>SUM([1]!Table1[[#This Row],[Profit]])</f>
        <v>9</v>
      </c>
      <c r="S586" s="7">
        <f t="shared" si="72"/>
        <v>0.23076923076923078</v>
      </c>
      <c r="T586">
        <f t="shared" si="73"/>
        <v>4</v>
      </c>
      <c r="U586">
        <f t="shared" si="74"/>
        <v>9</v>
      </c>
      <c r="V586">
        <f t="shared" si="75"/>
        <v>5</v>
      </c>
      <c r="W586">
        <f t="shared" si="76"/>
        <v>2.25</v>
      </c>
      <c r="X586" t="str">
        <f t="shared" si="77"/>
        <v>Low Profit</v>
      </c>
      <c r="Y586">
        <f t="shared" si="78"/>
        <v>15</v>
      </c>
      <c r="Z586">
        <f t="shared" si="79"/>
        <v>39</v>
      </c>
    </row>
    <row r="587" spans="1:26">
      <c r="A587" s="5">
        <v>337</v>
      </c>
      <c r="B587" s="5">
        <v>82</v>
      </c>
      <c r="C587" s="6">
        <v>41214</v>
      </c>
      <c r="D587" s="5" t="s">
        <v>32</v>
      </c>
      <c r="E587" s="5" t="s">
        <v>23</v>
      </c>
      <c r="F587" s="5">
        <v>31</v>
      </c>
      <c r="G587" s="5" t="s">
        <v>18</v>
      </c>
      <c r="H587" s="5" t="s">
        <v>19</v>
      </c>
      <c r="I587" s="5" t="s">
        <v>20</v>
      </c>
      <c r="J587" s="5">
        <v>38</v>
      </c>
      <c r="K587" s="5">
        <v>184</v>
      </c>
      <c r="L587" s="5" t="s">
        <v>48</v>
      </c>
      <c r="M587" s="5">
        <v>70</v>
      </c>
      <c r="N587" s="5">
        <v>40</v>
      </c>
      <c r="O587" s="5">
        <v>170</v>
      </c>
      <c r="P587" s="5">
        <v>64</v>
      </c>
      <c r="Q587">
        <f>SUM([1]!Table1[[#This Row],[Sales]])</f>
        <v>184</v>
      </c>
      <c r="R587">
        <f>SUM([1]!Table1[[#This Row],[Profit]])</f>
        <v>38</v>
      </c>
      <c r="S587" s="7">
        <f t="shared" si="72"/>
        <v>0.20652173913043478</v>
      </c>
      <c r="T587">
        <f t="shared" si="73"/>
        <v>31</v>
      </c>
      <c r="U587">
        <f t="shared" si="74"/>
        <v>14</v>
      </c>
      <c r="V587">
        <f t="shared" si="75"/>
        <v>12</v>
      </c>
      <c r="W587">
        <f t="shared" si="76"/>
        <v>1.2258064516129032</v>
      </c>
      <c r="X587" t="str">
        <f t="shared" si="77"/>
        <v>Low Profit</v>
      </c>
      <c r="Y587">
        <f t="shared" si="78"/>
        <v>82</v>
      </c>
      <c r="Z587">
        <f t="shared" si="79"/>
        <v>184</v>
      </c>
    </row>
    <row r="588" spans="1:26">
      <c r="A588" s="3">
        <v>580</v>
      </c>
      <c r="B588" s="3">
        <v>94</v>
      </c>
      <c r="C588" s="4">
        <v>41214</v>
      </c>
      <c r="D588" s="3" t="s">
        <v>32</v>
      </c>
      <c r="E588" s="3" t="s">
        <v>23</v>
      </c>
      <c r="F588" s="3">
        <v>85</v>
      </c>
      <c r="G588" s="3" t="s">
        <v>18</v>
      </c>
      <c r="H588" s="3" t="s">
        <v>19</v>
      </c>
      <c r="I588" s="3" t="s">
        <v>20</v>
      </c>
      <c r="J588" s="3">
        <v>15</v>
      </c>
      <c r="K588" s="3">
        <v>224</v>
      </c>
      <c r="L588" s="3" t="s">
        <v>40</v>
      </c>
      <c r="M588" s="3">
        <v>80</v>
      </c>
      <c r="N588" s="3">
        <v>20</v>
      </c>
      <c r="O588" s="3">
        <v>200</v>
      </c>
      <c r="P588" s="3">
        <v>115</v>
      </c>
      <c r="Q588">
        <f>SUM([1]!Table1[[#This Row],[Sales]])</f>
        <v>224</v>
      </c>
      <c r="R588">
        <f>SUM([1]!Table1[[#This Row],[Profit]])</f>
        <v>15</v>
      </c>
      <c r="S588" s="7">
        <f t="shared" si="72"/>
        <v>6.6964285714285712E-2</v>
      </c>
      <c r="T588">
        <f t="shared" si="73"/>
        <v>85</v>
      </c>
      <c r="U588">
        <f t="shared" si="74"/>
        <v>24</v>
      </c>
      <c r="V588">
        <f t="shared" si="75"/>
        <v>14</v>
      </c>
      <c r="W588">
        <f t="shared" si="76"/>
        <v>0.17647058823529413</v>
      </c>
      <c r="X588" t="str">
        <f t="shared" si="77"/>
        <v>Low Profit</v>
      </c>
      <c r="Y588">
        <f t="shared" si="78"/>
        <v>94</v>
      </c>
      <c r="Z588">
        <f t="shared" si="79"/>
        <v>224</v>
      </c>
    </row>
    <row r="589" spans="1:26">
      <c r="A589" s="5">
        <v>972</v>
      </c>
      <c r="B589" s="5">
        <v>241</v>
      </c>
      <c r="C589" s="6">
        <v>41244</v>
      </c>
      <c r="D589" s="5" t="s">
        <v>16</v>
      </c>
      <c r="E589" s="5" t="s">
        <v>23</v>
      </c>
      <c r="F589" s="5">
        <v>74</v>
      </c>
      <c r="G589" s="5" t="s">
        <v>33</v>
      </c>
      <c r="H589" s="5" t="s">
        <v>38</v>
      </c>
      <c r="I589" s="5" t="s">
        <v>45</v>
      </c>
      <c r="J589" s="5">
        <v>188</v>
      </c>
      <c r="K589" s="5">
        <v>525</v>
      </c>
      <c r="L589" s="5" t="s">
        <v>24</v>
      </c>
      <c r="M589" s="5">
        <v>280</v>
      </c>
      <c r="N589" s="5">
        <v>240</v>
      </c>
      <c r="O589" s="5">
        <v>620</v>
      </c>
      <c r="P589" s="5">
        <v>96</v>
      </c>
      <c r="Q589">
        <f>SUM([1]!Table1[[#This Row],[Sales]])</f>
        <v>525</v>
      </c>
      <c r="R589">
        <f>SUM([1]!Table1[[#This Row],[Profit]])</f>
        <v>188</v>
      </c>
      <c r="S589" s="7">
        <f t="shared" si="72"/>
        <v>0.35809523809523808</v>
      </c>
      <c r="T589">
        <f t="shared" si="73"/>
        <v>74</v>
      </c>
      <c r="U589">
        <f t="shared" si="74"/>
        <v>-95</v>
      </c>
      <c r="V589">
        <f t="shared" si="75"/>
        <v>-39</v>
      </c>
      <c r="W589">
        <f t="shared" si="76"/>
        <v>2.5405405405405403</v>
      </c>
      <c r="X589" t="str">
        <f t="shared" si="77"/>
        <v>High Profit</v>
      </c>
      <c r="Y589">
        <f t="shared" si="78"/>
        <v>241</v>
      </c>
      <c r="Z589">
        <f t="shared" si="79"/>
        <v>525</v>
      </c>
    </row>
    <row r="590" spans="1:26">
      <c r="A590" s="3">
        <v>972</v>
      </c>
      <c r="B590" s="3">
        <v>123</v>
      </c>
      <c r="C590" s="4">
        <v>41244</v>
      </c>
      <c r="D590" s="3" t="s">
        <v>16</v>
      </c>
      <c r="E590" s="3" t="s">
        <v>23</v>
      </c>
      <c r="F590" s="3">
        <v>34</v>
      </c>
      <c r="G590" s="3" t="s">
        <v>33</v>
      </c>
      <c r="H590" s="3" t="s">
        <v>34</v>
      </c>
      <c r="I590" s="3" t="s">
        <v>46</v>
      </c>
      <c r="J590" s="3">
        <v>133</v>
      </c>
      <c r="K590" s="3">
        <v>302</v>
      </c>
      <c r="L590" s="3" t="s">
        <v>24</v>
      </c>
      <c r="M590" s="3">
        <v>90</v>
      </c>
      <c r="N590" s="3">
        <v>110</v>
      </c>
      <c r="O590" s="3">
        <v>230</v>
      </c>
      <c r="P590" s="3">
        <v>46</v>
      </c>
      <c r="Q590">
        <f>SUM([1]!Table1[[#This Row],[Sales]])</f>
        <v>302</v>
      </c>
      <c r="R590">
        <f>SUM([1]!Table1[[#This Row],[Profit]])</f>
        <v>133</v>
      </c>
      <c r="S590" s="7">
        <f t="shared" si="72"/>
        <v>0.44039735099337746</v>
      </c>
      <c r="T590">
        <f t="shared" si="73"/>
        <v>34</v>
      </c>
      <c r="U590">
        <f t="shared" si="74"/>
        <v>72</v>
      </c>
      <c r="V590">
        <f t="shared" si="75"/>
        <v>33</v>
      </c>
      <c r="W590">
        <f t="shared" si="76"/>
        <v>3.9117647058823528</v>
      </c>
      <c r="X590" t="str">
        <f t="shared" si="77"/>
        <v>High Profit</v>
      </c>
      <c r="Y590">
        <f t="shared" si="78"/>
        <v>123</v>
      </c>
      <c r="Z590">
        <f t="shared" si="79"/>
        <v>302</v>
      </c>
    </row>
    <row r="591" spans="1:26">
      <c r="A591" s="5">
        <v>505</v>
      </c>
      <c r="B591" s="5">
        <v>92</v>
      </c>
      <c r="C591" s="6">
        <v>41244</v>
      </c>
      <c r="D591" s="5" t="s">
        <v>32</v>
      </c>
      <c r="E591" s="5" t="s">
        <v>23</v>
      </c>
      <c r="F591" s="5">
        <v>28</v>
      </c>
      <c r="G591" s="5" t="s">
        <v>33</v>
      </c>
      <c r="H591" s="5" t="s">
        <v>38</v>
      </c>
      <c r="I591" s="5" t="s">
        <v>39</v>
      </c>
      <c r="J591" s="5">
        <v>16</v>
      </c>
      <c r="K591" s="5">
        <v>160</v>
      </c>
      <c r="L591" s="5" t="s">
        <v>57</v>
      </c>
      <c r="M591" s="5">
        <v>100</v>
      </c>
      <c r="N591" s="5">
        <v>40</v>
      </c>
      <c r="O591" s="5">
        <v>190</v>
      </c>
      <c r="P591" s="5">
        <v>52</v>
      </c>
      <c r="Q591">
        <f>SUM([1]!Table1[[#This Row],[Sales]])</f>
        <v>160</v>
      </c>
      <c r="R591">
        <f>SUM([1]!Table1[[#This Row],[Profit]])</f>
        <v>16</v>
      </c>
      <c r="S591" s="7">
        <f t="shared" si="72"/>
        <v>0.1</v>
      </c>
      <c r="T591">
        <f t="shared" si="73"/>
        <v>28</v>
      </c>
      <c r="U591">
        <f t="shared" si="74"/>
        <v>-30</v>
      </c>
      <c r="V591">
        <f t="shared" si="75"/>
        <v>-8</v>
      </c>
      <c r="W591">
        <f t="shared" si="76"/>
        <v>0.5714285714285714</v>
      </c>
      <c r="X591" t="str">
        <f t="shared" si="77"/>
        <v>Low Profit</v>
      </c>
      <c r="Y591">
        <f t="shared" si="78"/>
        <v>92</v>
      </c>
      <c r="Z591">
        <f t="shared" si="79"/>
        <v>160</v>
      </c>
    </row>
    <row r="592" spans="1:26">
      <c r="A592" s="3">
        <v>405</v>
      </c>
      <c r="B592" s="3">
        <v>88</v>
      </c>
      <c r="C592" s="4">
        <v>41244</v>
      </c>
      <c r="D592" s="3" t="s">
        <v>32</v>
      </c>
      <c r="E592" s="3" t="s">
        <v>23</v>
      </c>
      <c r="F592" s="3">
        <v>29</v>
      </c>
      <c r="G592" s="3" t="s">
        <v>33</v>
      </c>
      <c r="H592" s="3" t="s">
        <v>34</v>
      </c>
      <c r="I592" s="3" t="s">
        <v>35</v>
      </c>
      <c r="J592" s="3">
        <v>72</v>
      </c>
      <c r="K592" s="3">
        <v>221</v>
      </c>
      <c r="L592" s="3" t="s">
        <v>40</v>
      </c>
      <c r="M592" s="3">
        <v>60</v>
      </c>
      <c r="N592" s="3">
        <v>60</v>
      </c>
      <c r="O592" s="3">
        <v>170</v>
      </c>
      <c r="P592" s="3">
        <v>61</v>
      </c>
      <c r="Q592">
        <f>SUM([1]!Table1[[#This Row],[Sales]])</f>
        <v>221</v>
      </c>
      <c r="R592">
        <f>SUM([1]!Table1[[#This Row],[Profit]])</f>
        <v>72</v>
      </c>
      <c r="S592" s="7">
        <f t="shared" si="72"/>
        <v>0.32579185520361992</v>
      </c>
      <c r="T592">
        <f t="shared" si="73"/>
        <v>29</v>
      </c>
      <c r="U592">
        <f t="shared" si="74"/>
        <v>51</v>
      </c>
      <c r="V592">
        <f t="shared" si="75"/>
        <v>28</v>
      </c>
      <c r="W592">
        <f t="shared" si="76"/>
        <v>2.4827586206896552</v>
      </c>
      <c r="X592" t="str">
        <f t="shared" si="77"/>
        <v>Low Profit</v>
      </c>
      <c r="Y592">
        <f t="shared" si="78"/>
        <v>88</v>
      </c>
      <c r="Z592">
        <f t="shared" si="79"/>
        <v>221</v>
      </c>
    </row>
    <row r="593" spans="1:26">
      <c r="A593" s="5">
        <v>318</v>
      </c>
      <c r="B593" s="5">
        <v>49</v>
      </c>
      <c r="C593" s="6">
        <v>41244</v>
      </c>
      <c r="D593" s="5" t="s">
        <v>32</v>
      </c>
      <c r="E593" s="5" t="s">
        <v>23</v>
      </c>
      <c r="F593" s="5">
        <v>13</v>
      </c>
      <c r="G593" s="5" t="s">
        <v>33</v>
      </c>
      <c r="H593" s="5" t="s">
        <v>38</v>
      </c>
      <c r="I593" s="5" t="s">
        <v>45</v>
      </c>
      <c r="J593" s="5">
        <v>46</v>
      </c>
      <c r="K593" s="5">
        <v>120</v>
      </c>
      <c r="L593" s="5" t="s">
        <v>48</v>
      </c>
      <c r="M593" s="5">
        <v>50</v>
      </c>
      <c r="N593" s="5">
        <v>70</v>
      </c>
      <c r="O593" s="5">
        <v>140</v>
      </c>
      <c r="P593" s="5">
        <v>25</v>
      </c>
      <c r="Q593">
        <f>SUM([1]!Table1[[#This Row],[Sales]])</f>
        <v>120</v>
      </c>
      <c r="R593">
        <f>SUM([1]!Table1[[#This Row],[Profit]])</f>
        <v>46</v>
      </c>
      <c r="S593" s="7">
        <f t="shared" si="72"/>
        <v>0.38333333333333336</v>
      </c>
      <c r="T593">
        <f t="shared" si="73"/>
        <v>13</v>
      </c>
      <c r="U593">
        <f t="shared" si="74"/>
        <v>-20</v>
      </c>
      <c r="V593">
        <f t="shared" si="75"/>
        <v>-1</v>
      </c>
      <c r="W593">
        <f t="shared" si="76"/>
        <v>3.5384615384615383</v>
      </c>
      <c r="X593" t="str">
        <f t="shared" si="77"/>
        <v>Low Profit</v>
      </c>
      <c r="Y593">
        <f t="shared" si="78"/>
        <v>49</v>
      </c>
      <c r="Z593">
        <f t="shared" si="79"/>
        <v>120</v>
      </c>
    </row>
    <row r="594" spans="1:26">
      <c r="A594" s="3">
        <v>505</v>
      </c>
      <c r="B594" s="3">
        <v>48</v>
      </c>
      <c r="C594" s="4">
        <v>41244</v>
      </c>
      <c r="D594" s="3" t="s">
        <v>32</v>
      </c>
      <c r="E594" s="3" t="s">
        <v>23</v>
      </c>
      <c r="F594" s="3">
        <v>15</v>
      </c>
      <c r="G594" s="3" t="s">
        <v>33</v>
      </c>
      <c r="H594" s="3" t="s">
        <v>38</v>
      </c>
      <c r="I594" s="3" t="s">
        <v>45</v>
      </c>
      <c r="J594" s="3">
        <v>27</v>
      </c>
      <c r="K594" s="3">
        <v>122</v>
      </c>
      <c r="L594" s="3" t="s">
        <v>57</v>
      </c>
      <c r="M594" s="3">
        <v>50</v>
      </c>
      <c r="N594" s="3">
        <v>50</v>
      </c>
      <c r="O594" s="3">
        <v>140</v>
      </c>
      <c r="P594" s="3">
        <v>47</v>
      </c>
      <c r="Q594">
        <f>SUM([1]!Table1[[#This Row],[Sales]])</f>
        <v>122</v>
      </c>
      <c r="R594">
        <f>SUM([1]!Table1[[#This Row],[Profit]])</f>
        <v>27</v>
      </c>
      <c r="S594" s="7">
        <f t="shared" si="72"/>
        <v>0.22131147540983606</v>
      </c>
      <c r="T594">
        <f t="shared" si="73"/>
        <v>15</v>
      </c>
      <c r="U594">
        <f t="shared" si="74"/>
        <v>-18</v>
      </c>
      <c r="V594">
        <f t="shared" si="75"/>
        <v>-2</v>
      </c>
      <c r="W594">
        <f t="shared" si="76"/>
        <v>1.8</v>
      </c>
      <c r="X594" t="str">
        <f t="shared" si="77"/>
        <v>Low Profit</v>
      </c>
      <c r="Y594">
        <f t="shared" si="78"/>
        <v>48</v>
      </c>
      <c r="Z594">
        <f t="shared" si="79"/>
        <v>122</v>
      </c>
    </row>
    <row r="595" spans="1:26">
      <c r="A595" s="5">
        <v>405</v>
      </c>
      <c r="B595" s="5">
        <v>81</v>
      </c>
      <c r="C595" s="6">
        <v>41244</v>
      </c>
      <c r="D595" s="5" t="s">
        <v>32</v>
      </c>
      <c r="E595" s="5" t="s">
        <v>23</v>
      </c>
      <c r="F595" s="5">
        <v>26</v>
      </c>
      <c r="G595" s="5" t="s">
        <v>33</v>
      </c>
      <c r="H595" s="5" t="s">
        <v>38</v>
      </c>
      <c r="I595" s="5" t="s">
        <v>45</v>
      </c>
      <c r="J595" s="5">
        <v>66</v>
      </c>
      <c r="K595" s="5">
        <v>185</v>
      </c>
      <c r="L595" s="5" t="s">
        <v>40</v>
      </c>
      <c r="M595" s="5">
        <v>90</v>
      </c>
      <c r="N595" s="5">
        <v>100</v>
      </c>
      <c r="O595" s="5">
        <v>220</v>
      </c>
      <c r="P595" s="5">
        <v>38</v>
      </c>
      <c r="Q595">
        <f>SUM([1]!Table1[[#This Row],[Sales]])</f>
        <v>185</v>
      </c>
      <c r="R595">
        <f>SUM([1]!Table1[[#This Row],[Profit]])</f>
        <v>66</v>
      </c>
      <c r="S595" s="7">
        <f t="shared" si="72"/>
        <v>0.35675675675675678</v>
      </c>
      <c r="T595">
        <f t="shared" si="73"/>
        <v>26</v>
      </c>
      <c r="U595">
        <f t="shared" si="74"/>
        <v>-35</v>
      </c>
      <c r="V595">
        <f t="shared" si="75"/>
        <v>-9</v>
      </c>
      <c r="W595">
        <f t="shared" si="76"/>
        <v>2.5384615384615383</v>
      </c>
      <c r="X595" t="str">
        <f t="shared" si="77"/>
        <v>Low Profit</v>
      </c>
      <c r="Y595">
        <f t="shared" si="78"/>
        <v>81</v>
      </c>
      <c r="Z595">
        <f t="shared" si="79"/>
        <v>185</v>
      </c>
    </row>
    <row r="596" spans="1:26">
      <c r="A596" s="3">
        <v>505</v>
      </c>
      <c r="B596" s="3">
        <v>20</v>
      </c>
      <c r="C596" s="4">
        <v>41244</v>
      </c>
      <c r="D596" s="3" t="s">
        <v>32</v>
      </c>
      <c r="E596" s="3" t="s">
        <v>23</v>
      </c>
      <c r="F596" s="3">
        <v>7</v>
      </c>
      <c r="G596" s="3" t="s">
        <v>33</v>
      </c>
      <c r="H596" s="3" t="s">
        <v>34</v>
      </c>
      <c r="I596" s="3" t="s">
        <v>47</v>
      </c>
      <c r="J596" s="3">
        <v>-15</v>
      </c>
      <c r="K596" s="3">
        <v>45</v>
      </c>
      <c r="L596" s="3" t="s">
        <v>57</v>
      </c>
      <c r="M596" s="3">
        <v>10</v>
      </c>
      <c r="N596" s="3">
        <v>-10</v>
      </c>
      <c r="O596" s="3">
        <v>30</v>
      </c>
      <c r="P596" s="3">
        <v>40</v>
      </c>
      <c r="Q596">
        <f>SUM([1]!Table1[[#This Row],[Sales]])</f>
        <v>45</v>
      </c>
      <c r="R596">
        <f>SUM([1]!Table1[[#This Row],[Profit]])</f>
        <v>-15</v>
      </c>
      <c r="S596" s="7">
        <f t="shared" si="72"/>
        <v>-0.33333333333333331</v>
      </c>
      <c r="T596">
        <f t="shared" si="73"/>
        <v>7</v>
      </c>
      <c r="U596">
        <f t="shared" si="74"/>
        <v>15</v>
      </c>
      <c r="V596">
        <f t="shared" si="75"/>
        <v>10</v>
      </c>
      <c r="W596">
        <f t="shared" si="76"/>
        <v>-2.1428571428571428</v>
      </c>
      <c r="X596" t="str">
        <f t="shared" si="77"/>
        <v>Low Profit</v>
      </c>
      <c r="Y596">
        <f t="shared" si="78"/>
        <v>20</v>
      </c>
      <c r="Z596">
        <f t="shared" si="79"/>
        <v>45</v>
      </c>
    </row>
    <row r="597" spans="1:26">
      <c r="A597" s="5">
        <v>918</v>
      </c>
      <c r="B597" s="5">
        <v>134</v>
      </c>
      <c r="C597" s="6">
        <v>41244</v>
      </c>
      <c r="D597" s="5" t="s">
        <v>32</v>
      </c>
      <c r="E597" s="5" t="s">
        <v>23</v>
      </c>
      <c r="F597" s="5">
        <v>41</v>
      </c>
      <c r="G597" s="5" t="s">
        <v>33</v>
      </c>
      <c r="H597" s="5" t="s">
        <v>34</v>
      </c>
      <c r="I597" s="5" t="s">
        <v>47</v>
      </c>
      <c r="J597" s="5">
        <v>121</v>
      </c>
      <c r="K597" s="5">
        <v>320</v>
      </c>
      <c r="L597" s="5" t="s">
        <v>40</v>
      </c>
      <c r="M597" s="5">
        <v>100</v>
      </c>
      <c r="N597" s="5">
        <v>90</v>
      </c>
      <c r="O597" s="5">
        <v>240</v>
      </c>
      <c r="P597" s="5">
        <v>65</v>
      </c>
      <c r="Q597">
        <f>SUM([1]!Table1[[#This Row],[Sales]])</f>
        <v>320</v>
      </c>
      <c r="R597">
        <f>SUM([1]!Table1[[#This Row],[Profit]])</f>
        <v>121</v>
      </c>
      <c r="S597" s="7">
        <f t="shared" si="72"/>
        <v>0.37812499999999999</v>
      </c>
      <c r="T597">
        <f t="shared" si="73"/>
        <v>41</v>
      </c>
      <c r="U597">
        <f t="shared" si="74"/>
        <v>80</v>
      </c>
      <c r="V597">
        <f t="shared" si="75"/>
        <v>34</v>
      </c>
      <c r="W597">
        <f t="shared" si="76"/>
        <v>2.9512195121951219</v>
      </c>
      <c r="X597" t="str">
        <f t="shared" si="77"/>
        <v>High Profit</v>
      </c>
      <c r="Y597">
        <f t="shared" si="78"/>
        <v>134</v>
      </c>
      <c r="Z597">
        <f t="shared" si="79"/>
        <v>320</v>
      </c>
    </row>
    <row r="598" spans="1:26">
      <c r="A598" s="3">
        <v>225</v>
      </c>
      <c r="B598" s="3">
        <v>94</v>
      </c>
      <c r="C598" s="4">
        <v>41244</v>
      </c>
      <c r="D598" s="3" t="s">
        <v>32</v>
      </c>
      <c r="E598" s="3" t="s">
        <v>23</v>
      </c>
      <c r="F598" s="3">
        <v>31</v>
      </c>
      <c r="G598" s="3" t="s">
        <v>18</v>
      </c>
      <c r="H598" s="3" t="s">
        <v>19</v>
      </c>
      <c r="I598" s="3" t="s">
        <v>50</v>
      </c>
      <c r="J598" s="3">
        <v>77</v>
      </c>
      <c r="K598" s="3">
        <v>214</v>
      </c>
      <c r="L598" s="3" t="s">
        <v>48</v>
      </c>
      <c r="M598" s="3">
        <v>80</v>
      </c>
      <c r="N598" s="3">
        <v>70</v>
      </c>
      <c r="O598" s="3">
        <v>190</v>
      </c>
      <c r="P598" s="3">
        <v>43</v>
      </c>
      <c r="Q598">
        <f>SUM([1]!Table1[[#This Row],[Sales]])</f>
        <v>214</v>
      </c>
      <c r="R598">
        <f>SUM([1]!Table1[[#This Row],[Profit]])</f>
        <v>77</v>
      </c>
      <c r="S598" s="7">
        <f t="shared" si="72"/>
        <v>0.35981308411214952</v>
      </c>
      <c r="T598">
        <f t="shared" si="73"/>
        <v>31</v>
      </c>
      <c r="U598">
        <f t="shared" si="74"/>
        <v>24</v>
      </c>
      <c r="V598">
        <f t="shared" si="75"/>
        <v>14</v>
      </c>
      <c r="W598">
        <f t="shared" si="76"/>
        <v>2.4838709677419355</v>
      </c>
      <c r="X598" t="str">
        <f t="shared" si="77"/>
        <v>Low Profit</v>
      </c>
      <c r="Y598">
        <f t="shared" si="78"/>
        <v>94</v>
      </c>
      <c r="Z598">
        <f t="shared" si="79"/>
        <v>214</v>
      </c>
    </row>
    <row r="599" spans="1:26">
      <c r="A599" s="5">
        <v>505</v>
      </c>
      <c r="B599" s="5">
        <v>16</v>
      </c>
      <c r="C599" s="6">
        <v>41244</v>
      </c>
      <c r="D599" s="5" t="s">
        <v>32</v>
      </c>
      <c r="E599" s="5" t="s">
        <v>23</v>
      </c>
      <c r="F599" s="5">
        <v>4</v>
      </c>
      <c r="G599" s="5" t="s">
        <v>18</v>
      </c>
      <c r="H599" s="5" t="s">
        <v>19</v>
      </c>
      <c r="I599" s="5" t="s">
        <v>50</v>
      </c>
      <c r="J599" s="5">
        <v>9</v>
      </c>
      <c r="K599" s="5">
        <v>41</v>
      </c>
      <c r="L599" s="5" t="s">
        <v>57</v>
      </c>
      <c r="M599" s="5">
        <v>10</v>
      </c>
      <c r="N599" s="5">
        <v>10</v>
      </c>
      <c r="O599" s="5">
        <v>30</v>
      </c>
      <c r="P599" s="5">
        <v>16</v>
      </c>
      <c r="Q599">
        <f>SUM([1]!Table1[[#This Row],[Sales]])</f>
        <v>41</v>
      </c>
      <c r="R599">
        <f>SUM([1]!Table1[[#This Row],[Profit]])</f>
        <v>9</v>
      </c>
      <c r="S599" s="7">
        <f t="shared" si="72"/>
        <v>0.21951219512195122</v>
      </c>
      <c r="T599">
        <f t="shared" si="73"/>
        <v>4</v>
      </c>
      <c r="U599">
        <f t="shared" si="74"/>
        <v>11</v>
      </c>
      <c r="V599">
        <f t="shared" si="75"/>
        <v>6</v>
      </c>
      <c r="W599">
        <f t="shared" si="76"/>
        <v>2.25</v>
      </c>
      <c r="X599" t="str">
        <f t="shared" si="77"/>
        <v>Low Profit</v>
      </c>
      <c r="Y599">
        <f t="shared" si="78"/>
        <v>16</v>
      </c>
      <c r="Z599">
        <f t="shared" si="79"/>
        <v>41</v>
      </c>
    </row>
    <row r="600" spans="1:26">
      <c r="A600" s="3">
        <v>580</v>
      </c>
      <c r="B600" s="3">
        <v>105</v>
      </c>
      <c r="C600" s="4">
        <v>41244</v>
      </c>
      <c r="D600" s="3" t="s">
        <v>32</v>
      </c>
      <c r="E600" s="3" t="s">
        <v>23</v>
      </c>
      <c r="F600" s="3">
        <v>95</v>
      </c>
      <c r="G600" s="3" t="s">
        <v>18</v>
      </c>
      <c r="H600" s="3" t="s">
        <v>19</v>
      </c>
      <c r="I600" s="3" t="s">
        <v>20</v>
      </c>
      <c r="J600" s="3">
        <v>20</v>
      </c>
      <c r="K600" s="3">
        <v>250</v>
      </c>
      <c r="L600" s="3" t="s">
        <v>40</v>
      </c>
      <c r="M600" s="3">
        <v>90</v>
      </c>
      <c r="N600" s="3">
        <v>30</v>
      </c>
      <c r="O600" s="3">
        <v>230</v>
      </c>
      <c r="P600" s="3">
        <v>125</v>
      </c>
      <c r="Q600">
        <f>SUM([1]!Table1[[#This Row],[Sales]])</f>
        <v>250</v>
      </c>
      <c r="R600">
        <f>SUM([1]!Table1[[#This Row],[Profit]])</f>
        <v>20</v>
      </c>
      <c r="S600" s="7">
        <f t="shared" si="72"/>
        <v>0.08</v>
      </c>
      <c r="T600">
        <f t="shared" si="73"/>
        <v>95</v>
      </c>
      <c r="U600">
        <f t="shared" si="74"/>
        <v>20</v>
      </c>
      <c r="V600">
        <f t="shared" si="75"/>
        <v>15</v>
      </c>
      <c r="W600">
        <f t="shared" si="76"/>
        <v>0.21052631578947367</v>
      </c>
      <c r="X600" t="str">
        <f t="shared" si="77"/>
        <v>Low Profit</v>
      </c>
      <c r="Y600">
        <f t="shared" si="78"/>
        <v>105</v>
      </c>
      <c r="Z600">
        <f t="shared" si="79"/>
        <v>250</v>
      </c>
    </row>
    <row r="601" spans="1:26">
      <c r="A601" s="5">
        <v>281</v>
      </c>
      <c r="B601" s="5">
        <v>39</v>
      </c>
      <c r="C601" s="6">
        <v>41548</v>
      </c>
      <c r="D601" s="5" t="s">
        <v>16</v>
      </c>
      <c r="E601" s="5" t="s">
        <v>23</v>
      </c>
      <c r="F601" s="5">
        <v>12</v>
      </c>
      <c r="G601" s="5" t="s">
        <v>33</v>
      </c>
      <c r="H601" s="5" t="s">
        <v>38</v>
      </c>
      <c r="I601" s="5" t="s">
        <v>39</v>
      </c>
      <c r="J601" s="5">
        <v>39</v>
      </c>
      <c r="K601" s="5">
        <v>96</v>
      </c>
      <c r="L601" s="5" t="s">
        <v>24</v>
      </c>
      <c r="M601" s="5">
        <v>40</v>
      </c>
      <c r="N601" s="5">
        <v>80</v>
      </c>
      <c r="O601" s="5">
        <v>130</v>
      </c>
      <c r="P601" s="5">
        <v>25</v>
      </c>
      <c r="Q601">
        <f>SUM([1]!Table1[[#This Row],[Sales]])</f>
        <v>96</v>
      </c>
      <c r="R601">
        <f>SUM([1]!Table1[[#This Row],[Profit]])</f>
        <v>39</v>
      </c>
      <c r="S601" s="7">
        <f t="shared" si="72"/>
        <v>0.40625</v>
      </c>
      <c r="T601">
        <f t="shared" si="73"/>
        <v>12</v>
      </c>
      <c r="U601">
        <f t="shared" si="74"/>
        <v>-34</v>
      </c>
      <c r="V601">
        <f t="shared" si="75"/>
        <v>-1</v>
      </c>
      <c r="W601">
        <f t="shared" si="76"/>
        <v>3.25</v>
      </c>
      <c r="X601" t="str">
        <f t="shared" si="77"/>
        <v>Low Profit</v>
      </c>
      <c r="Y601">
        <f t="shared" si="78"/>
        <v>39</v>
      </c>
      <c r="Z601">
        <f t="shared" si="79"/>
        <v>96</v>
      </c>
    </row>
    <row r="602" spans="1:26">
      <c r="A602" s="3">
        <v>432</v>
      </c>
      <c r="B602" s="3">
        <v>239</v>
      </c>
      <c r="C602" s="4">
        <v>41548</v>
      </c>
      <c r="D602" s="3" t="s">
        <v>16</v>
      </c>
      <c r="E602" s="3" t="s">
        <v>23</v>
      </c>
      <c r="F602" s="3">
        <v>74</v>
      </c>
      <c r="G602" s="3" t="s">
        <v>33</v>
      </c>
      <c r="H602" s="3" t="s">
        <v>38</v>
      </c>
      <c r="I602" s="3" t="s">
        <v>45</v>
      </c>
      <c r="J602" s="3">
        <v>275</v>
      </c>
      <c r="K602" s="3">
        <v>554</v>
      </c>
      <c r="L602" s="3" t="s">
        <v>24</v>
      </c>
      <c r="M602" s="3">
        <v>350</v>
      </c>
      <c r="N602" s="3">
        <v>340</v>
      </c>
      <c r="O602" s="3">
        <v>770</v>
      </c>
      <c r="P602" s="3">
        <v>96</v>
      </c>
      <c r="Q602">
        <f>SUM([1]!Table1[[#This Row],[Sales]])</f>
        <v>554</v>
      </c>
      <c r="R602">
        <f>SUM([1]!Table1[[#This Row],[Profit]])</f>
        <v>275</v>
      </c>
      <c r="S602" s="7">
        <f t="shared" si="72"/>
        <v>0.49638989169675091</v>
      </c>
      <c r="T602">
        <f t="shared" si="73"/>
        <v>74</v>
      </c>
      <c r="U602">
        <f t="shared" si="74"/>
        <v>-216</v>
      </c>
      <c r="V602">
        <f t="shared" si="75"/>
        <v>-111</v>
      </c>
      <c r="W602">
        <f t="shared" si="76"/>
        <v>3.7162162162162162</v>
      </c>
      <c r="X602" t="str">
        <f t="shared" si="77"/>
        <v>High Profit</v>
      </c>
      <c r="Y602">
        <f t="shared" si="78"/>
        <v>239</v>
      </c>
      <c r="Z602">
        <f t="shared" si="79"/>
        <v>554</v>
      </c>
    </row>
    <row r="603" spans="1:26">
      <c r="A603" s="5">
        <v>817</v>
      </c>
      <c r="B603" s="5">
        <v>123</v>
      </c>
      <c r="C603" s="6">
        <v>41548</v>
      </c>
      <c r="D603" s="5" t="s">
        <v>16</v>
      </c>
      <c r="E603" s="5" t="s">
        <v>23</v>
      </c>
      <c r="F603" s="5">
        <v>34</v>
      </c>
      <c r="G603" s="5" t="s">
        <v>33</v>
      </c>
      <c r="H603" s="5" t="s">
        <v>34</v>
      </c>
      <c r="I603" s="5" t="s">
        <v>46</v>
      </c>
      <c r="J603" s="5">
        <v>197</v>
      </c>
      <c r="K603" s="5">
        <v>322</v>
      </c>
      <c r="L603" s="5" t="s">
        <v>24</v>
      </c>
      <c r="M603" s="5">
        <v>70</v>
      </c>
      <c r="N603" s="5">
        <v>100</v>
      </c>
      <c r="O603" s="5">
        <v>190</v>
      </c>
      <c r="P603" s="5">
        <v>46</v>
      </c>
      <c r="Q603">
        <f>SUM([1]!Table1[[#This Row],[Sales]])</f>
        <v>322</v>
      </c>
      <c r="R603">
        <f>SUM([1]!Table1[[#This Row],[Profit]])</f>
        <v>197</v>
      </c>
      <c r="S603" s="7">
        <f t="shared" si="72"/>
        <v>0.61180124223602483</v>
      </c>
      <c r="T603">
        <f t="shared" si="73"/>
        <v>34</v>
      </c>
      <c r="U603">
        <f t="shared" si="74"/>
        <v>132</v>
      </c>
      <c r="V603">
        <f t="shared" si="75"/>
        <v>53</v>
      </c>
      <c r="W603">
        <f t="shared" si="76"/>
        <v>5.7941176470588234</v>
      </c>
      <c r="X603" t="str">
        <f t="shared" si="77"/>
        <v>High Profit</v>
      </c>
      <c r="Y603">
        <f t="shared" si="78"/>
        <v>123</v>
      </c>
      <c r="Z603">
        <f t="shared" si="79"/>
        <v>322</v>
      </c>
    </row>
    <row r="604" spans="1:26">
      <c r="A604" s="3">
        <v>985</v>
      </c>
      <c r="B604" s="3">
        <v>48</v>
      </c>
      <c r="C604" s="4">
        <v>41548</v>
      </c>
      <c r="D604" s="3" t="s">
        <v>32</v>
      </c>
      <c r="E604" s="3" t="s">
        <v>23</v>
      </c>
      <c r="F604" s="3">
        <v>13</v>
      </c>
      <c r="G604" s="3" t="s">
        <v>33</v>
      </c>
      <c r="H604" s="3" t="s">
        <v>38</v>
      </c>
      <c r="I604" s="3" t="s">
        <v>39</v>
      </c>
      <c r="J604" s="3">
        <v>67</v>
      </c>
      <c r="K604" s="3">
        <v>126</v>
      </c>
      <c r="L604" s="3" t="s">
        <v>48</v>
      </c>
      <c r="M604" s="3">
        <v>70</v>
      </c>
      <c r="N604" s="3">
        <v>80</v>
      </c>
      <c r="O604" s="3">
        <v>160</v>
      </c>
      <c r="P604" s="3">
        <v>25</v>
      </c>
      <c r="Q604">
        <f>SUM([1]!Table1[[#This Row],[Sales]])</f>
        <v>126</v>
      </c>
      <c r="R604">
        <f>SUM([1]!Table1[[#This Row],[Profit]])</f>
        <v>67</v>
      </c>
      <c r="S604" s="7">
        <f t="shared" si="72"/>
        <v>0.53174603174603174</v>
      </c>
      <c r="T604">
        <f t="shared" si="73"/>
        <v>13</v>
      </c>
      <c r="U604">
        <f t="shared" si="74"/>
        <v>-34</v>
      </c>
      <c r="V604">
        <f t="shared" si="75"/>
        <v>-22</v>
      </c>
      <c r="W604">
        <f t="shared" si="76"/>
        <v>5.1538461538461542</v>
      </c>
      <c r="X604" t="str">
        <f t="shared" si="77"/>
        <v>Low Profit</v>
      </c>
      <c r="Y604">
        <f t="shared" si="78"/>
        <v>48</v>
      </c>
      <c r="Z604">
        <f t="shared" si="79"/>
        <v>126</v>
      </c>
    </row>
    <row r="605" spans="1:26">
      <c r="A605" s="5">
        <v>337</v>
      </c>
      <c r="B605" s="5">
        <v>48</v>
      </c>
      <c r="C605" s="6">
        <v>41548</v>
      </c>
      <c r="D605" s="5" t="s">
        <v>32</v>
      </c>
      <c r="E605" s="5" t="s">
        <v>23</v>
      </c>
      <c r="F605" s="5">
        <v>13</v>
      </c>
      <c r="G605" s="5" t="s">
        <v>33</v>
      </c>
      <c r="H605" s="5" t="s">
        <v>38</v>
      </c>
      <c r="I605" s="5" t="s">
        <v>45</v>
      </c>
      <c r="J605" s="5">
        <v>70</v>
      </c>
      <c r="K605" s="5">
        <v>127</v>
      </c>
      <c r="L605" s="5" t="s">
        <v>48</v>
      </c>
      <c r="M605" s="5">
        <v>70</v>
      </c>
      <c r="N605" s="5">
        <v>80</v>
      </c>
      <c r="O605" s="5">
        <v>160</v>
      </c>
      <c r="P605" s="5">
        <v>24</v>
      </c>
      <c r="Q605">
        <f>SUM([1]!Table1[[#This Row],[Sales]])</f>
        <v>127</v>
      </c>
      <c r="R605">
        <f>SUM([1]!Table1[[#This Row],[Profit]])</f>
        <v>70</v>
      </c>
      <c r="S605" s="7">
        <f t="shared" si="72"/>
        <v>0.55118110236220474</v>
      </c>
      <c r="T605">
        <f t="shared" si="73"/>
        <v>13</v>
      </c>
      <c r="U605">
        <f t="shared" si="74"/>
        <v>-33</v>
      </c>
      <c r="V605">
        <f t="shared" si="75"/>
        <v>-22</v>
      </c>
      <c r="W605">
        <f t="shared" si="76"/>
        <v>5.384615384615385</v>
      </c>
      <c r="X605" t="str">
        <f t="shared" si="77"/>
        <v>Low Profit</v>
      </c>
      <c r="Y605">
        <f t="shared" si="78"/>
        <v>48</v>
      </c>
      <c r="Z605">
        <f t="shared" si="79"/>
        <v>127</v>
      </c>
    </row>
    <row r="606" spans="1:26">
      <c r="A606" s="3">
        <v>505</v>
      </c>
      <c r="B606" s="3">
        <v>45</v>
      </c>
      <c r="C606" s="4">
        <v>41548</v>
      </c>
      <c r="D606" s="3" t="s">
        <v>32</v>
      </c>
      <c r="E606" s="3" t="s">
        <v>23</v>
      </c>
      <c r="F606" s="3">
        <v>14</v>
      </c>
      <c r="G606" s="3" t="s">
        <v>33</v>
      </c>
      <c r="H606" s="3" t="s">
        <v>38</v>
      </c>
      <c r="I606" s="3" t="s">
        <v>45</v>
      </c>
      <c r="J606" s="3">
        <v>34</v>
      </c>
      <c r="K606" s="3">
        <v>121</v>
      </c>
      <c r="L606" s="3" t="s">
        <v>57</v>
      </c>
      <c r="M606" s="3">
        <v>50</v>
      </c>
      <c r="N606" s="3">
        <v>80</v>
      </c>
      <c r="O606" s="3">
        <v>160</v>
      </c>
      <c r="P606" s="3">
        <v>46</v>
      </c>
      <c r="Q606">
        <f>SUM([1]!Table1[[#This Row],[Sales]])</f>
        <v>121</v>
      </c>
      <c r="R606">
        <f>SUM([1]!Table1[[#This Row],[Profit]])</f>
        <v>34</v>
      </c>
      <c r="S606" s="7">
        <f t="shared" si="72"/>
        <v>0.28099173553719009</v>
      </c>
      <c r="T606">
        <f t="shared" si="73"/>
        <v>14</v>
      </c>
      <c r="U606">
        <f t="shared" si="74"/>
        <v>-39</v>
      </c>
      <c r="V606">
        <f t="shared" si="75"/>
        <v>-5</v>
      </c>
      <c r="W606">
        <f t="shared" si="76"/>
        <v>2.4285714285714284</v>
      </c>
      <c r="X606" t="str">
        <f t="shared" si="77"/>
        <v>Low Profit</v>
      </c>
      <c r="Y606">
        <f t="shared" si="78"/>
        <v>45</v>
      </c>
      <c r="Z606">
        <f t="shared" si="79"/>
        <v>121</v>
      </c>
    </row>
    <row r="607" spans="1:26">
      <c r="A607" s="5">
        <v>918</v>
      </c>
      <c r="B607" s="5">
        <v>90</v>
      </c>
      <c r="C607" s="6">
        <v>41548</v>
      </c>
      <c r="D607" s="5" t="s">
        <v>32</v>
      </c>
      <c r="E607" s="5" t="s">
        <v>23</v>
      </c>
      <c r="F607" s="5">
        <v>29</v>
      </c>
      <c r="G607" s="5" t="s">
        <v>33</v>
      </c>
      <c r="H607" s="5" t="s">
        <v>38</v>
      </c>
      <c r="I607" s="5" t="s">
        <v>45</v>
      </c>
      <c r="J607" s="5">
        <v>110</v>
      </c>
      <c r="K607" s="5">
        <v>218</v>
      </c>
      <c r="L607" s="5" t="s">
        <v>40</v>
      </c>
      <c r="M607" s="5">
        <v>130</v>
      </c>
      <c r="N607" s="5">
        <v>140</v>
      </c>
      <c r="O607" s="5">
        <v>290</v>
      </c>
      <c r="P607" s="5">
        <v>41</v>
      </c>
      <c r="Q607">
        <f>SUM([1]!Table1[[#This Row],[Sales]])</f>
        <v>218</v>
      </c>
      <c r="R607">
        <f>SUM([1]!Table1[[#This Row],[Profit]])</f>
        <v>110</v>
      </c>
      <c r="S607" s="7">
        <f t="shared" si="72"/>
        <v>0.50458715596330272</v>
      </c>
      <c r="T607">
        <f t="shared" si="73"/>
        <v>29</v>
      </c>
      <c r="U607">
        <f t="shared" si="74"/>
        <v>-72</v>
      </c>
      <c r="V607">
        <f t="shared" si="75"/>
        <v>-40</v>
      </c>
      <c r="W607">
        <f t="shared" si="76"/>
        <v>3.7931034482758621</v>
      </c>
      <c r="X607" t="str">
        <f t="shared" si="77"/>
        <v>High Profit</v>
      </c>
      <c r="Y607">
        <f t="shared" si="78"/>
        <v>90</v>
      </c>
      <c r="Z607">
        <f t="shared" si="79"/>
        <v>218</v>
      </c>
    </row>
    <row r="608" spans="1:26">
      <c r="A608" s="3">
        <v>505</v>
      </c>
      <c r="B608" s="3">
        <v>25</v>
      </c>
      <c r="C608" s="4">
        <v>41548</v>
      </c>
      <c r="D608" s="3" t="s">
        <v>32</v>
      </c>
      <c r="E608" s="3" t="s">
        <v>23</v>
      </c>
      <c r="F608" s="3">
        <v>9</v>
      </c>
      <c r="G608" s="3" t="s">
        <v>33</v>
      </c>
      <c r="H608" s="3" t="s">
        <v>34</v>
      </c>
      <c r="I608" s="3" t="s">
        <v>47</v>
      </c>
      <c r="J608" s="3">
        <v>-18</v>
      </c>
      <c r="K608" s="3">
        <v>60</v>
      </c>
      <c r="L608" s="3" t="s">
        <v>57</v>
      </c>
      <c r="M608" s="3">
        <v>10</v>
      </c>
      <c r="N608" s="3">
        <v>10</v>
      </c>
      <c r="O608" s="3">
        <v>30</v>
      </c>
      <c r="P608" s="3">
        <v>43</v>
      </c>
      <c r="Q608">
        <f>SUM([1]!Table1[[#This Row],[Sales]])</f>
        <v>60</v>
      </c>
      <c r="R608">
        <f>SUM([1]!Table1[[#This Row],[Profit]])</f>
        <v>-18</v>
      </c>
      <c r="S608" s="7">
        <f t="shared" si="72"/>
        <v>-0.3</v>
      </c>
      <c r="T608">
        <f t="shared" si="73"/>
        <v>9</v>
      </c>
      <c r="U608">
        <f t="shared" si="74"/>
        <v>30</v>
      </c>
      <c r="V608">
        <f t="shared" si="75"/>
        <v>15</v>
      </c>
      <c r="W608">
        <f t="shared" si="76"/>
        <v>-2</v>
      </c>
      <c r="X608" t="str">
        <f t="shared" si="77"/>
        <v>Low Profit</v>
      </c>
      <c r="Y608">
        <f t="shared" si="78"/>
        <v>25</v>
      </c>
      <c r="Z608">
        <f t="shared" si="79"/>
        <v>60</v>
      </c>
    </row>
    <row r="609" spans="1:26">
      <c r="A609" s="5">
        <v>318</v>
      </c>
      <c r="B609" s="5">
        <v>103</v>
      </c>
      <c r="C609" s="6">
        <v>41548</v>
      </c>
      <c r="D609" s="5" t="s">
        <v>32</v>
      </c>
      <c r="E609" s="5" t="s">
        <v>23</v>
      </c>
      <c r="F609" s="5">
        <v>33</v>
      </c>
      <c r="G609" s="5" t="s">
        <v>18</v>
      </c>
      <c r="H609" s="5" t="s">
        <v>19</v>
      </c>
      <c r="I609" s="5" t="s">
        <v>50</v>
      </c>
      <c r="J609" s="5">
        <v>129</v>
      </c>
      <c r="K609" s="5">
        <v>251</v>
      </c>
      <c r="L609" s="5" t="s">
        <v>48</v>
      </c>
      <c r="M609" s="5">
        <v>80</v>
      </c>
      <c r="N609" s="5">
        <v>110</v>
      </c>
      <c r="O609" s="5">
        <v>210</v>
      </c>
      <c r="P609" s="5">
        <v>46</v>
      </c>
      <c r="Q609">
        <f>SUM([1]!Table1[[#This Row],[Sales]])</f>
        <v>251</v>
      </c>
      <c r="R609">
        <f>SUM([1]!Table1[[#This Row],[Profit]])</f>
        <v>129</v>
      </c>
      <c r="S609" s="7">
        <f t="shared" si="72"/>
        <v>0.51394422310756971</v>
      </c>
      <c r="T609">
        <f t="shared" si="73"/>
        <v>33</v>
      </c>
      <c r="U609">
        <f t="shared" si="74"/>
        <v>41</v>
      </c>
      <c r="V609">
        <f t="shared" si="75"/>
        <v>23</v>
      </c>
      <c r="W609">
        <f t="shared" si="76"/>
        <v>3.9090909090909092</v>
      </c>
      <c r="X609" t="str">
        <f t="shared" si="77"/>
        <v>High Profit</v>
      </c>
      <c r="Y609">
        <f t="shared" si="78"/>
        <v>103</v>
      </c>
      <c r="Z609">
        <f t="shared" si="79"/>
        <v>251</v>
      </c>
    </row>
    <row r="610" spans="1:26">
      <c r="A610" s="3">
        <v>225</v>
      </c>
      <c r="B610" s="3">
        <v>79</v>
      </c>
      <c r="C610" s="4">
        <v>41548</v>
      </c>
      <c r="D610" s="3" t="s">
        <v>32</v>
      </c>
      <c r="E610" s="3" t="s">
        <v>23</v>
      </c>
      <c r="F610" s="3">
        <v>30</v>
      </c>
      <c r="G610" s="3" t="s">
        <v>18</v>
      </c>
      <c r="H610" s="3" t="s">
        <v>19</v>
      </c>
      <c r="I610" s="3" t="s">
        <v>20</v>
      </c>
      <c r="J610" s="3">
        <v>50</v>
      </c>
      <c r="K610" s="3">
        <v>189</v>
      </c>
      <c r="L610" s="3" t="s">
        <v>48</v>
      </c>
      <c r="M610" s="3">
        <v>60</v>
      </c>
      <c r="N610" s="3">
        <v>60</v>
      </c>
      <c r="O610" s="3">
        <v>150</v>
      </c>
      <c r="P610" s="3">
        <v>64</v>
      </c>
      <c r="Q610">
        <f>SUM([1]!Table1[[#This Row],[Sales]])</f>
        <v>189</v>
      </c>
      <c r="R610">
        <f>SUM([1]!Table1[[#This Row],[Profit]])</f>
        <v>50</v>
      </c>
      <c r="S610" s="7">
        <f t="shared" si="72"/>
        <v>0.26455026455026454</v>
      </c>
      <c r="T610">
        <f t="shared" si="73"/>
        <v>30</v>
      </c>
      <c r="U610">
        <f t="shared" si="74"/>
        <v>39</v>
      </c>
      <c r="V610">
        <f t="shared" si="75"/>
        <v>19</v>
      </c>
      <c r="W610">
        <f t="shared" si="76"/>
        <v>1.6666666666666667</v>
      </c>
      <c r="X610" t="str">
        <f t="shared" si="77"/>
        <v>Low Profit</v>
      </c>
      <c r="Y610">
        <f t="shared" si="78"/>
        <v>79</v>
      </c>
      <c r="Z610">
        <f t="shared" si="79"/>
        <v>189</v>
      </c>
    </row>
    <row r="611" spans="1:26">
      <c r="A611" s="5">
        <v>918</v>
      </c>
      <c r="B611" s="5">
        <v>96</v>
      </c>
      <c r="C611" s="6">
        <v>41548</v>
      </c>
      <c r="D611" s="5" t="s">
        <v>32</v>
      </c>
      <c r="E611" s="5" t="s">
        <v>23</v>
      </c>
      <c r="F611" s="5">
        <v>87</v>
      </c>
      <c r="G611" s="5" t="s">
        <v>18</v>
      </c>
      <c r="H611" s="5" t="s">
        <v>19</v>
      </c>
      <c r="I611" s="5" t="s">
        <v>20</v>
      </c>
      <c r="J611" s="5">
        <v>25</v>
      </c>
      <c r="K611" s="5">
        <v>245</v>
      </c>
      <c r="L611" s="5" t="s">
        <v>40</v>
      </c>
      <c r="M611" s="5">
        <v>80</v>
      </c>
      <c r="N611" s="5">
        <v>40</v>
      </c>
      <c r="O611" s="5">
        <v>200</v>
      </c>
      <c r="P611" s="5">
        <v>117</v>
      </c>
      <c r="Q611">
        <f>SUM([1]!Table1[[#This Row],[Sales]])</f>
        <v>245</v>
      </c>
      <c r="R611">
        <f>SUM([1]!Table1[[#This Row],[Profit]])</f>
        <v>25</v>
      </c>
      <c r="S611" s="7">
        <f t="shared" si="72"/>
        <v>0.10204081632653061</v>
      </c>
      <c r="T611">
        <f t="shared" si="73"/>
        <v>87</v>
      </c>
      <c r="U611">
        <f t="shared" si="74"/>
        <v>45</v>
      </c>
      <c r="V611">
        <f t="shared" si="75"/>
        <v>16</v>
      </c>
      <c r="W611">
        <f t="shared" si="76"/>
        <v>0.28735632183908044</v>
      </c>
      <c r="X611" t="str">
        <f t="shared" si="77"/>
        <v>Low Profit</v>
      </c>
      <c r="Y611">
        <f t="shared" si="78"/>
        <v>96</v>
      </c>
      <c r="Z611">
        <f t="shared" si="79"/>
        <v>245</v>
      </c>
    </row>
    <row r="612" spans="1:26">
      <c r="A612" s="3">
        <v>432</v>
      </c>
      <c r="B612" s="3">
        <v>225</v>
      </c>
      <c r="C612" s="4">
        <v>41579</v>
      </c>
      <c r="D612" s="3" t="s">
        <v>16</v>
      </c>
      <c r="E612" s="3" t="s">
        <v>23</v>
      </c>
      <c r="F612" s="3">
        <v>69</v>
      </c>
      <c r="G612" s="3" t="s">
        <v>33</v>
      </c>
      <c r="H612" s="3" t="s">
        <v>38</v>
      </c>
      <c r="I612" s="3" t="s">
        <v>45</v>
      </c>
      <c r="J612" s="3">
        <v>258</v>
      </c>
      <c r="K612" s="3">
        <v>522</v>
      </c>
      <c r="L612" s="3" t="s">
        <v>24</v>
      </c>
      <c r="M612" s="3">
        <v>260</v>
      </c>
      <c r="N612" s="3">
        <v>230</v>
      </c>
      <c r="O612" s="3">
        <v>580</v>
      </c>
      <c r="P612" s="3">
        <v>91</v>
      </c>
      <c r="Q612">
        <f>SUM([1]!Table1[[#This Row],[Sales]])</f>
        <v>522</v>
      </c>
      <c r="R612">
        <f>SUM([1]!Table1[[#This Row],[Profit]])</f>
        <v>258</v>
      </c>
      <c r="S612" s="7">
        <f t="shared" si="72"/>
        <v>0.4942528735632184</v>
      </c>
      <c r="T612">
        <f t="shared" si="73"/>
        <v>69</v>
      </c>
      <c r="U612">
        <f t="shared" si="74"/>
        <v>-58</v>
      </c>
      <c r="V612">
        <f t="shared" si="75"/>
        <v>-35</v>
      </c>
      <c r="W612">
        <f t="shared" si="76"/>
        <v>3.7391304347826089</v>
      </c>
      <c r="X612" t="str">
        <f t="shared" si="77"/>
        <v>High Profit</v>
      </c>
      <c r="Y612">
        <f t="shared" si="78"/>
        <v>225</v>
      </c>
      <c r="Z612">
        <f t="shared" si="79"/>
        <v>522</v>
      </c>
    </row>
    <row r="613" spans="1:26">
      <c r="A613" s="5">
        <v>806</v>
      </c>
      <c r="B613" s="5">
        <v>75</v>
      </c>
      <c r="C613" s="6">
        <v>41579</v>
      </c>
      <c r="D613" s="5" t="s">
        <v>16</v>
      </c>
      <c r="E613" s="5" t="s">
        <v>23</v>
      </c>
      <c r="F613" s="5">
        <v>24</v>
      </c>
      <c r="G613" s="5" t="s">
        <v>33</v>
      </c>
      <c r="H613" s="5" t="s">
        <v>34</v>
      </c>
      <c r="I613" s="5" t="s">
        <v>47</v>
      </c>
      <c r="J613" s="5">
        <v>88</v>
      </c>
      <c r="K613" s="5">
        <v>201</v>
      </c>
      <c r="L613" s="5" t="s">
        <v>24</v>
      </c>
      <c r="M613" s="5">
        <v>50</v>
      </c>
      <c r="N613" s="5">
        <v>40</v>
      </c>
      <c r="O613" s="5">
        <v>140</v>
      </c>
      <c r="P613" s="5">
        <v>55</v>
      </c>
      <c r="Q613">
        <f>SUM([1]!Table1[[#This Row],[Sales]])</f>
        <v>201</v>
      </c>
      <c r="R613">
        <f>SUM([1]!Table1[[#This Row],[Profit]])</f>
        <v>88</v>
      </c>
      <c r="S613" s="7">
        <f t="shared" si="72"/>
        <v>0.43781094527363185</v>
      </c>
      <c r="T613">
        <f t="shared" si="73"/>
        <v>24</v>
      </c>
      <c r="U613">
        <f t="shared" si="74"/>
        <v>61</v>
      </c>
      <c r="V613">
        <f t="shared" si="75"/>
        <v>25</v>
      </c>
      <c r="W613">
        <f t="shared" si="76"/>
        <v>3.6666666666666665</v>
      </c>
      <c r="X613" t="str">
        <f t="shared" si="77"/>
        <v>Low Profit</v>
      </c>
      <c r="Y613">
        <f t="shared" si="78"/>
        <v>75</v>
      </c>
      <c r="Z613">
        <f t="shared" si="79"/>
        <v>201</v>
      </c>
    </row>
    <row r="614" spans="1:26">
      <c r="A614" s="3">
        <v>915</v>
      </c>
      <c r="B614" s="3">
        <v>118</v>
      </c>
      <c r="C614" s="4">
        <v>41579</v>
      </c>
      <c r="D614" s="3" t="s">
        <v>16</v>
      </c>
      <c r="E614" s="3" t="s">
        <v>23</v>
      </c>
      <c r="F614" s="3">
        <v>33</v>
      </c>
      <c r="G614" s="3" t="s">
        <v>33</v>
      </c>
      <c r="H614" s="3" t="s">
        <v>34</v>
      </c>
      <c r="I614" s="3" t="s">
        <v>46</v>
      </c>
      <c r="J614" s="3">
        <v>188</v>
      </c>
      <c r="K614" s="3">
        <v>309</v>
      </c>
      <c r="L614" s="3" t="s">
        <v>24</v>
      </c>
      <c r="M614" s="3">
        <v>90</v>
      </c>
      <c r="N614" s="3">
        <v>100</v>
      </c>
      <c r="O614" s="3">
        <v>220</v>
      </c>
      <c r="P614" s="3">
        <v>45</v>
      </c>
      <c r="Q614">
        <f>SUM([1]!Table1[[#This Row],[Sales]])</f>
        <v>309</v>
      </c>
      <c r="R614">
        <f>SUM([1]!Table1[[#This Row],[Profit]])</f>
        <v>188</v>
      </c>
      <c r="S614" s="7">
        <f t="shared" si="72"/>
        <v>0.60841423948220064</v>
      </c>
      <c r="T614">
        <f t="shared" si="73"/>
        <v>33</v>
      </c>
      <c r="U614">
        <f t="shared" si="74"/>
        <v>89</v>
      </c>
      <c r="V614">
        <f t="shared" si="75"/>
        <v>28</v>
      </c>
      <c r="W614">
        <f t="shared" si="76"/>
        <v>5.6969696969696972</v>
      </c>
      <c r="X614" t="str">
        <f t="shared" si="77"/>
        <v>High Profit</v>
      </c>
      <c r="Y614">
        <f t="shared" si="78"/>
        <v>118</v>
      </c>
      <c r="Z614">
        <f t="shared" si="79"/>
        <v>309</v>
      </c>
    </row>
    <row r="615" spans="1:26">
      <c r="A615" s="5">
        <v>580</v>
      </c>
      <c r="B615" s="5">
        <v>78</v>
      </c>
      <c r="C615" s="6">
        <v>41579</v>
      </c>
      <c r="D615" s="5" t="s">
        <v>32</v>
      </c>
      <c r="E615" s="5" t="s">
        <v>23</v>
      </c>
      <c r="F615" s="5">
        <v>25</v>
      </c>
      <c r="G615" s="5" t="s">
        <v>33</v>
      </c>
      <c r="H615" s="5" t="s">
        <v>34</v>
      </c>
      <c r="I615" s="5" t="s">
        <v>35</v>
      </c>
      <c r="J615" s="5">
        <v>92</v>
      </c>
      <c r="K615" s="5">
        <v>210</v>
      </c>
      <c r="L615" s="5" t="s">
        <v>40</v>
      </c>
      <c r="M615" s="5">
        <v>60</v>
      </c>
      <c r="N615" s="5">
        <v>40</v>
      </c>
      <c r="O615" s="5">
        <v>150</v>
      </c>
      <c r="P615" s="5">
        <v>57</v>
      </c>
      <c r="Q615">
        <f>SUM([1]!Table1[[#This Row],[Sales]])</f>
        <v>210</v>
      </c>
      <c r="R615">
        <f>SUM([1]!Table1[[#This Row],[Profit]])</f>
        <v>92</v>
      </c>
      <c r="S615" s="7">
        <f t="shared" si="72"/>
        <v>0.43809523809523809</v>
      </c>
      <c r="T615">
        <f t="shared" si="73"/>
        <v>25</v>
      </c>
      <c r="U615">
        <f t="shared" si="74"/>
        <v>60</v>
      </c>
      <c r="V615">
        <f t="shared" si="75"/>
        <v>18</v>
      </c>
      <c r="W615">
        <f t="shared" si="76"/>
        <v>3.68</v>
      </c>
      <c r="X615" t="str">
        <f t="shared" si="77"/>
        <v>Low Profit</v>
      </c>
      <c r="Y615">
        <f t="shared" si="78"/>
        <v>78</v>
      </c>
      <c r="Z615">
        <f t="shared" si="79"/>
        <v>210</v>
      </c>
    </row>
    <row r="616" spans="1:26">
      <c r="A616" s="3">
        <v>918</v>
      </c>
      <c r="B616" s="3">
        <v>88</v>
      </c>
      <c r="C616" s="4">
        <v>41579</v>
      </c>
      <c r="D616" s="3" t="s">
        <v>32</v>
      </c>
      <c r="E616" s="3" t="s">
        <v>23</v>
      </c>
      <c r="F616" s="3">
        <v>29</v>
      </c>
      <c r="G616" s="3" t="s">
        <v>33</v>
      </c>
      <c r="H616" s="3" t="s">
        <v>38</v>
      </c>
      <c r="I616" s="3" t="s">
        <v>45</v>
      </c>
      <c r="J616" s="3">
        <v>105</v>
      </c>
      <c r="K616" s="3">
        <v>213</v>
      </c>
      <c r="L616" s="3" t="s">
        <v>40</v>
      </c>
      <c r="M616" s="3">
        <v>100</v>
      </c>
      <c r="N616" s="3">
        <v>90</v>
      </c>
      <c r="O616" s="3">
        <v>230</v>
      </c>
      <c r="P616" s="3">
        <v>41</v>
      </c>
      <c r="Q616">
        <f>SUM([1]!Table1[[#This Row],[Sales]])</f>
        <v>213</v>
      </c>
      <c r="R616">
        <f>SUM([1]!Table1[[#This Row],[Profit]])</f>
        <v>105</v>
      </c>
      <c r="S616" s="7">
        <f t="shared" si="72"/>
        <v>0.49295774647887325</v>
      </c>
      <c r="T616">
        <f t="shared" si="73"/>
        <v>29</v>
      </c>
      <c r="U616">
        <f t="shared" si="74"/>
        <v>-17</v>
      </c>
      <c r="V616">
        <f t="shared" si="75"/>
        <v>-12</v>
      </c>
      <c r="W616">
        <f t="shared" si="76"/>
        <v>3.6206896551724137</v>
      </c>
      <c r="X616" t="str">
        <f t="shared" si="77"/>
        <v>High Profit</v>
      </c>
      <c r="Y616">
        <f t="shared" si="78"/>
        <v>88</v>
      </c>
      <c r="Z616">
        <f t="shared" si="79"/>
        <v>213</v>
      </c>
    </row>
    <row r="617" spans="1:26">
      <c r="A617" s="5">
        <v>405</v>
      </c>
      <c r="B617" s="5">
        <v>102</v>
      </c>
      <c r="C617" s="6">
        <v>41579</v>
      </c>
      <c r="D617" s="5" t="s">
        <v>32</v>
      </c>
      <c r="E617" s="5" t="s">
        <v>23</v>
      </c>
      <c r="F617" s="5">
        <v>31</v>
      </c>
      <c r="G617" s="5" t="s">
        <v>33</v>
      </c>
      <c r="H617" s="5" t="s">
        <v>34</v>
      </c>
      <c r="I617" s="5" t="s">
        <v>47</v>
      </c>
      <c r="J617" s="5">
        <v>132</v>
      </c>
      <c r="K617" s="5">
        <v>261</v>
      </c>
      <c r="L617" s="5" t="s">
        <v>40</v>
      </c>
      <c r="M617" s="5">
        <v>80</v>
      </c>
      <c r="N617" s="5">
        <v>60</v>
      </c>
      <c r="O617" s="5">
        <v>180</v>
      </c>
      <c r="P617" s="5">
        <v>54</v>
      </c>
      <c r="Q617">
        <f>SUM([1]!Table1[[#This Row],[Sales]])</f>
        <v>261</v>
      </c>
      <c r="R617">
        <f>SUM([1]!Table1[[#This Row],[Profit]])</f>
        <v>132</v>
      </c>
      <c r="S617" s="7">
        <f t="shared" si="72"/>
        <v>0.50574712643678166</v>
      </c>
      <c r="T617">
        <f t="shared" si="73"/>
        <v>31</v>
      </c>
      <c r="U617">
        <f t="shared" si="74"/>
        <v>81</v>
      </c>
      <c r="V617">
        <f t="shared" si="75"/>
        <v>22</v>
      </c>
      <c r="W617">
        <f t="shared" si="76"/>
        <v>4.258064516129032</v>
      </c>
      <c r="X617" t="str">
        <f t="shared" si="77"/>
        <v>High Profit</v>
      </c>
      <c r="Y617">
        <f t="shared" si="78"/>
        <v>102</v>
      </c>
      <c r="Z617">
        <f t="shared" si="79"/>
        <v>261</v>
      </c>
    </row>
    <row r="618" spans="1:26">
      <c r="A618" s="3">
        <v>985</v>
      </c>
      <c r="B618" s="3">
        <v>101</v>
      </c>
      <c r="C618" s="4">
        <v>41579</v>
      </c>
      <c r="D618" s="3" t="s">
        <v>32</v>
      </c>
      <c r="E618" s="3" t="s">
        <v>23</v>
      </c>
      <c r="F618" s="3">
        <v>33</v>
      </c>
      <c r="G618" s="3" t="s">
        <v>18</v>
      </c>
      <c r="H618" s="3" t="s">
        <v>19</v>
      </c>
      <c r="I618" s="3" t="s">
        <v>50</v>
      </c>
      <c r="J618" s="3">
        <v>126</v>
      </c>
      <c r="K618" s="3">
        <v>246</v>
      </c>
      <c r="L618" s="3" t="s">
        <v>48</v>
      </c>
      <c r="M618" s="3">
        <v>90</v>
      </c>
      <c r="N618" s="3">
        <v>80</v>
      </c>
      <c r="O618" s="3">
        <v>210</v>
      </c>
      <c r="P618" s="3">
        <v>45</v>
      </c>
      <c r="Q618">
        <f>SUM([1]!Table1[[#This Row],[Sales]])</f>
        <v>246</v>
      </c>
      <c r="R618">
        <f>SUM([1]!Table1[[#This Row],[Profit]])</f>
        <v>126</v>
      </c>
      <c r="S618" s="7">
        <f t="shared" si="72"/>
        <v>0.51219512195121952</v>
      </c>
      <c r="T618">
        <f t="shared" si="73"/>
        <v>33</v>
      </c>
      <c r="U618">
        <f t="shared" si="74"/>
        <v>36</v>
      </c>
      <c r="V618">
        <f t="shared" si="75"/>
        <v>11</v>
      </c>
      <c r="W618">
        <f t="shared" si="76"/>
        <v>3.8181818181818183</v>
      </c>
      <c r="X618" t="str">
        <f t="shared" si="77"/>
        <v>High Profit</v>
      </c>
      <c r="Y618">
        <f t="shared" si="78"/>
        <v>101</v>
      </c>
      <c r="Z618">
        <f t="shared" si="79"/>
        <v>246</v>
      </c>
    </row>
    <row r="619" spans="1:26">
      <c r="A619" s="5">
        <v>505</v>
      </c>
      <c r="B619" s="5">
        <v>15</v>
      </c>
      <c r="C619" s="6">
        <v>41579</v>
      </c>
      <c r="D619" s="5" t="s">
        <v>32</v>
      </c>
      <c r="E619" s="5" t="s">
        <v>23</v>
      </c>
      <c r="F619" s="5">
        <v>4</v>
      </c>
      <c r="G619" s="5" t="s">
        <v>18</v>
      </c>
      <c r="H619" s="5" t="s">
        <v>19</v>
      </c>
      <c r="I619" s="5" t="s">
        <v>50</v>
      </c>
      <c r="J619" s="5">
        <v>13</v>
      </c>
      <c r="K619" s="5">
        <v>42</v>
      </c>
      <c r="L619" s="5" t="s">
        <v>57</v>
      </c>
      <c r="M619" s="5">
        <v>10</v>
      </c>
      <c r="N619" s="5">
        <v>10</v>
      </c>
      <c r="O619" s="5">
        <v>30</v>
      </c>
      <c r="P619" s="5">
        <v>15</v>
      </c>
      <c r="Q619">
        <f>SUM([1]!Table1[[#This Row],[Sales]])</f>
        <v>42</v>
      </c>
      <c r="R619">
        <f>SUM([1]!Table1[[#This Row],[Profit]])</f>
        <v>13</v>
      </c>
      <c r="S619" s="7">
        <f t="shared" si="72"/>
        <v>0.30952380952380953</v>
      </c>
      <c r="T619">
        <f t="shared" si="73"/>
        <v>4</v>
      </c>
      <c r="U619">
        <f t="shared" si="74"/>
        <v>12</v>
      </c>
      <c r="V619">
        <f t="shared" si="75"/>
        <v>5</v>
      </c>
      <c r="W619">
        <f t="shared" si="76"/>
        <v>3.25</v>
      </c>
      <c r="X619" t="str">
        <f t="shared" si="77"/>
        <v>Low Profit</v>
      </c>
      <c r="Y619">
        <f t="shared" si="78"/>
        <v>15</v>
      </c>
      <c r="Z619">
        <f t="shared" si="79"/>
        <v>42</v>
      </c>
    </row>
    <row r="620" spans="1:26">
      <c r="A620" s="3">
        <v>337</v>
      </c>
      <c r="B620" s="3">
        <v>82</v>
      </c>
      <c r="C620" s="4">
        <v>41579</v>
      </c>
      <c r="D620" s="3" t="s">
        <v>32</v>
      </c>
      <c r="E620" s="3" t="s">
        <v>23</v>
      </c>
      <c r="F620" s="3">
        <v>31</v>
      </c>
      <c r="G620" s="3" t="s">
        <v>18</v>
      </c>
      <c r="H620" s="3" t="s">
        <v>19</v>
      </c>
      <c r="I620" s="3" t="s">
        <v>20</v>
      </c>
      <c r="J620" s="3">
        <v>56</v>
      </c>
      <c r="K620" s="3">
        <v>196</v>
      </c>
      <c r="L620" s="3" t="s">
        <v>48</v>
      </c>
      <c r="M620" s="3">
        <v>70</v>
      </c>
      <c r="N620" s="3">
        <v>40</v>
      </c>
      <c r="O620" s="3">
        <v>170</v>
      </c>
      <c r="P620" s="3">
        <v>64</v>
      </c>
      <c r="Q620">
        <f>SUM([1]!Table1[[#This Row],[Sales]])</f>
        <v>196</v>
      </c>
      <c r="R620">
        <f>SUM([1]!Table1[[#This Row],[Profit]])</f>
        <v>56</v>
      </c>
      <c r="S620" s="7">
        <f t="shared" si="72"/>
        <v>0.2857142857142857</v>
      </c>
      <c r="T620">
        <f t="shared" si="73"/>
        <v>31</v>
      </c>
      <c r="U620">
        <f t="shared" si="74"/>
        <v>26</v>
      </c>
      <c r="V620">
        <f t="shared" si="75"/>
        <v>12</v>
      </c>
      <c r="W620">
        <f t="shared" si="76"/>
        <v>1.8064516129032258</v>
      </c>
      <c r="X620" t="str">
        <f t="shared" si="77"/>
        <v>Low Profit</v>
      </c>
      <c r="Y620">
        <f t="shared" si="78"/>
        <v>82</v>
      </c>
      <c r="Z620">
        <f t="shared" si="79"/>
        <v>196</v>
      </c>
    </row>
    <row r="621" spans="1:26">
      <c r="A621" s="5">
        <v>405</v>
      </c>
      <c r="B621" s="5">
        <v>94</v>
      </c>
      <c r="C621" s="6">
        <v>41579</v>
      </c>
      <c r="D621" s="5" t="s">
        <v>32</v>
      </c>
      <c r="E621" s="5" t="s">
        <v>23</v>
      </c>
      <c r="F621" s="5">
        <v>85</v>
      </c>
      <c r="G621" s="5" t="s">
        <v>18</v>
      </c>
      <c r="H621" s="5" t="s">
        <v>19</v>
      </c>
      <c r="I621" s="5" t="s">
        <v>20</v>
      </c>
      <c r="J621" s="5">
        <v>22</v>
      </c>
      <c r="K621" s="5">
        <v>239</v>
      </c>
      <c r="L621" s="5" t="s">
        <v>40</v>
      </c>
      <c r="M621" s="5">
        <v>80</v>
      </c>
      <c r="N621" s="5">
        <v>20</v>
      </c>
      <c r="O621" s="5">
        <v>200</v>
      </c>
      <c r="P621" s="5">
        <v>115</v>
      </c>
      <c r="Q621">
        <f>SUM([1]!Table1[[#This Row],[Sales]])</f>
        <v>239</v>
      </c>
      <c r="R621">
        <f>SUM([1]!Table1[[#This Row],[Profit]])</f>
        <v>22</v>
      </c>
      <c r="S621" s="7">
        <f t="shared" si="72"/>
        <v>9.2050209205020925E-2</v>
      </c>
      <c r="T621">
        <f t="shared" si="73"/>
        <v>85</v>
      </c>
      <c r="U621">
        <f t="shared" si="74"/>
        <v>39</v>
      </c>
      <c r="V621">
        <f t="shared" si="75"/>
        <v>14</v>
      </c>
      <c r="W621">
        <f t="shared" si="76"/>
        <v>0.25882352941176473</v>
      </c>
      <c r="X621" t="str">
        <f t="shared" si="77"/>
        <v>Low Profit</v>
      </c>
      <c r="Y621">
        <f t="shared" si="78"/>
        <v>94</v>
      </c>
      <c r="Z621">
        <f t="shared" si="79"/>
        <v>239</v>
      </c>
    </row>
    <row r="622" spans="1:26">
      <c r="A622" s="3">
        <v>409</v>
      </c>
      <c r="B622" s="3">
        <v>241</v>
      </c>
      <c r="C622" s="4">
        <v>41609</v>
      </c>
      <c r="D622" s="3" t="s">
        <v>16</v>
      </c>
      <c r="E622" s="3" t="s">
        <v>23</v>
      </c>
      <c r="F622" s="3">
        <v>74</v>
      </c>
      <c r="G622" s="3" t="s">
        <v>33</v>
      </c>
      <c r="H622" s="3" t="s">
        <v>38</v>
      </c>
      <c r="I622" s="3" t="s">
        <v>45</v>
      </c>
      <c r="J622" s="3">
        <v>279</v>
      </c>
      <c r="K622" s="3">
        <v>559</v>
      </c>
      <c r="L622" s="3" t="s">
        <v>24</v>
      </c>
      <c r="M622" s="3">
        <v>280</v>
      </c>
      <c r="N622" s="3">
        <v>240</v>
      </c>
      <c r="O622" s="3">
        <v>620</v>
      </c>
      <c r="P622" s="3">
        <v>96</v>
      </c>
      <c r="Q622">
        <f>SUM([1]!Table1[[#This Row],[Sales]])</f>
        <v>559</v>
      </c>
      <c r="R622">
        <f>SUM([1]!Table1[[#This Row],[Profit]])</f>
        <v>279</v>
      </c>
      <c r="S622" s="7">
        <f t="shared" si="72"/>
        <v>0.49910554561717352</v>
      </c>
      <c r="T622">
        <f t="shared" si="73"/>
        <v>74</v>
      </c>
      <c r="U622">
        <f t="shared" si="74"/>
        <v>-61</v>
      </c>
      <c r="V622">
        <f t="shared" si="75"/>
        <v>-39</v>
      </c>
      <c r="W622">
        <f t="shared" si="76"/>
        <v>3.7702702702702702</v>
      </c>
      <c r="X622" t="str">
        <f t="shared" si="77"/>
        <v>High Profit</v>
      </c>
      <c r="Y622">
        <f t="shared" si="78"/>
        <v>241</v>
      </c>
      <c r="Z622">
        <f t="shared" si="79"/>
        <v>559</v>
      </c>
    </row>
    <row r="623" spans="1:26">
      <c r="A623" s="5">
        <v>254</v>
      </c>
      <c r="B623" s="5">
        <v>123</v>
      </c>
      <c r="C623" s="6">
        <v>41609</v>
      </c>
      <c r="D623" s="5" t="s">
        <v>16</v>
      </c>
      <c r="E623" s="5" t="s">
        <v>23</v>
      </c>
      <c r="F623" s="5">
        <v>34</v>
      </c>
      <c r="G623" s="5" t="s">
        <v>33</v>
      </c>
      <c r="H623" s="5" t="s">
        <v>34</v>
      </c>
      <c r="I623" s="5" t="s">
        <v>46</v>
      </c>
      <c r="J623" s="5">
        <v>197</v>
      </c>
      <c r="K623" s="5">
        <v>322</v>
      </c>
      <c r="L623" s="5" t="s">
        <v>24</v>
      </c>
      <c r="M623" s="5">
        <v>90</v>
      </c>
      <c r="N623" s="5">
        <v>110</v>
      </c>
      <c r="O623" s="5">
        <v>230</v>
      </c>
      <c r="P623" s="5">
        <v>46</v>
      </c>
      <c r="Q623">
        <f>SUM([1]!Table1[[#This Row],[Sales]])</f>
        <v>322</v>
      </c>
      <c r="R623">
        <f>SUM([1]!Table1[[#This Row],[Profit]])</f>
        <v>197</v>
      </c>
      <c r="S623" s="7">
        <f t="shared" si="72"/>
        <v>0.61180124223602483</v>
      </c>
      <c r="T623">
        <f t="shared" si="73"/>
        <v>34</v>
      </c>
      <c r="U623">
        <f t="shared" si="74"/>
        <v>92</v>
      </c>
      <c r="V623">
        <f t="shared" si="75"/>
        <v>33</v>
      </c>
      <c r="W623">
        <f t="shared" si="76"/>
        <v>5.7941176470588234</v>
      </c>
      <c r="X623" t="str">
        <f t="shared" si="77"/>
        <v>High Profit</v>
      </c>
      <c r="Y623">
        <f t="shared" si="78"/>
        <v>123</v>
      </c>
      <c r="Z623">
        <f t="shared" si="79"/>
        <v>322</v>
      </c>
    </row>
    <row r="624" spans="1:26">
      <c r="A624" s="3">
        <v>505</v>
      </c>
      <c r="B624" s="3">
        <v>92</v>
      </c>
      <c r="C624" s="4">
        <v>41609</v>
      </c>
      <c r="D624" s="3" t="s">
        <v>32</v>
      </c>
      <c r="E624" s="3" t="s">
        <v>23</v>
      </c>
      <c r="F624" s="3">
        <v>28</v>
      </c>
      <c r="G624" s="3" t="s">
        <v>33</v>
      </c>
      <c r="H624" s="3" t="s">
        <v>38</v>
      </c>
      <c r="I624" s="3" t="s">
        <v>39</v>
      </c>
      <c r="J624" s="3">
        <v>24</v>
      </c>
      <c r="K624" s="3">
        <v>171</v>
      </c>
      <c r="L624" s="3" t="s">
        <v>57</v>
      </c>
      <c r="M624" s="3">
        <v>100</v>
      </c>
      <c r="N624" s="3">
        <v>40</v>
      </c>
      <c r="O624" s="3">
        <v>190</v>
      </c>
      <c r="P624" s="3">
        <v>52</v>
      </c>
      <c r="Q624">
        <f>SUM([1]!Table1[[#This Row],[Sales]])</f>
        <v>171</v>
      </c>
      <c r="R624">
        <f>SUM([1]!Table1[[#This Row],[Profit]])</f>
        <v>24</v>
      </c>
      <c r="S624" s="7">
        <f t="shared" si="72"/>
        <v>0.14035087719298245</v>
      </c>
      <c r="T624">
        <f t="shared" si="73"/>
        <v>28</v>
      </c>
      <c r="U624">
        <f t="shared" si="74"/>
        <v>-19</v>
      </c>
      <c r="V624">
        <f t="shared" si="75"/>
        <v>-8</v>
      </c>
      <c r="W624">
        <f t="shared" si="76"/>
        <v>0.8571428571428571</v>
      </c>
      <c r="X624" t="str">
        <f t="shared" si="77"/>
        <v>Low Profit</v>
      </c>
      <c r="Y624">
        <f t="shared" si="78"/>
        <v>92</v>
      </c>
      <c r="Z624">
        <f t="shared" si="79"/>
        <v>171</v>
      </c>
    </row>
    <row r="625" spans="1:26">
      <c r="A625" s="5">
        <v>918</v>
      </c>
      <c r="B625" s="5">
        <v>88</v>
      </c>
      <c r="C625" s="6">
        <v>41609</v>
      </c>
      <c r="D625" s="5" t="s">
        <v>32</v>
      </c>
      <c r="E625" s="5" t="s">
        <v>23</v>
      </c>
      <c r="F625" s="5">
        <v>29</v>
      </c>
      <c r="G625" s="5" t="s">
        <v>33</v>
      </c>
      <c r="H625" s="5" t="s">
        <v>34</v>
      </c>
      <c r="I625" s="5" t="s">
        <v>35</v>
      </c>
      <c r="J625" s="5">
        <v>107</v>
      </c>
      <c r="K625" s="5">
        <v>236</v>
      </c>
      <c r="L625" s="5" t="s">
        <v>40</v>
      </c>
      <c r="M625" s="5">
        <v>60</v>
      </c>
      <c r="N625" s="5">
        <v>60</v>
      </c>
      <c r="O625" s="5">
        <v>170</v>
      </c>
      <c r="P625" s="5">
        <v>61</v>
      </c>
      <c r="Q625">
        <f>SUM([1]!Table1[[#This Row],[Sales]])</f>
        <v>236</v>
      </c>
      <c r="R625">
        <f>SUM([1]!Table1[[#This Row],[Profit]])</f>
        <v>107</v>
      </c>
      <c r="S625" s="7">
        <f t="shared" si="72"/>
        <v>0.45338983050847459</v>
      </c>
      <c r="T625">
        <f t="shared" si="73"/>
        <v>29</v>
      </c>
      <c r="U625">
        <f t="shared" si="74"/>
        <v>66</v>
      </c>
      <c r="V625">
        <f t="shared" si="75"/>
        <v>28</v>
      </c>
      <c r="W625">
        <f t="shared" si="76"/>
        <v>3.6896551724137931</v>
      </c>
      <c r="X625" t="str">
        <f t="shared" si="77"/>
        <v>High Profit</v>
      </c>
      <c r="Y625">
        <f t="shared" si="78"/>
        <v>88</v>
      </c>
      <c r="Z625">
        <f t="shared" si="79"/>
        <v>236</v>
      </c>
    </row>
    <row r="626" spans="1:26">
      <c r="A626" s="3">
        <v>985</v>
      </c>
      <c r="B626" s="3">
        <v>49</v>
      </c>
      <c r="C626" s="4">
        <v>41609</v>
      </c>
      <c r="D626" s="3" t="s">
        <v>32</v>
      </c>
      <c r="E626" s="3" t="s">
        <v>23</v>
      </c>
      <c r="F626" s="3">
        <v>13</v>
      </c>
      <c r="G626" s="3" t="s">
        <v>33</v>
      </c>
      <c r="H626" s="3" t="s">
        <v>38</v>
      </c>
      <c r="I626" s="3" t="s">
        <v>45</v>
      </c>
      <c r="J626" s="3">
        <v>68</v>
      </c>
      <c r="K626" s="3">
        <v>128</v>
      </c>
      <c r="L626" s="3" t="s">
        <v>48</v>
      </c>
      <c r="M626" s="3">
        <v>50</v>
      </c>
      <c r="N626" s="3">
        <v>70</v>
      </c>
      <c r="O626" s="3">
        <v>140</v>
      </c>
      <c r="P626" s="3">
        <v>25</v>
      </c>
      <c r="Q626">
        <f>SUM([1]!Table1[[#This Row],[Sales]])</f>
        <v>128</v>
      </c>
      <c r="R626">
        <f>SUM([1]!Table1[[#This Row],[Profit]])</f>
        <v>68</v>
      </c>
      <c r="S626" s="7">
        <f t="shared" si="72"/>
        <v>0.53125</v>
      </c>
      <c r="T626">
        <f t="shared" si="73"/>
        <v>13</v>
      </c>
      <c r="U626">
        <f t="shared" si="74"/>
        <v>-12</v>
      </c>
      <c r="V626">
        <f t="shared" si="75"/>
        <v>-1</v>
      </c>
      <c r="W626">
        <f t="shared" si="76"/>
        <v>5.2307692307692308</v>
      </c>
      <c r="X626" t="str">
        <f t="shared" si="77"/>
        <v>Low Profit</v>
      </c>
      <c r="Y626">
        <f t="shared" si="78"/>
        <v>49</v>
      </c>
      <c r="Z626">
        <f t="shared" si="79"/>
        <v>128</v>
      </c>
    </row>
    <row r="627" spans="1:26">
      <c r="A627" s="5">
        <v>505</v>
      </c>
      <c r="B627" s="5">
        <v>48</v>
      </c>
      <c r="C627" s="6">
        <v>41609</v>
      </c>
      <c r="D627" s="5" t="s">
        <v>32</v>
      </c>
      <c r="E627" s="5" t="s">
        <v>23</v>
      </c>
      <c r="F627" s="5">
        <v>15</v>
      </c>
      <c r="G627" s="5" t="s">
        <v>33</v>
      </c>
      <c r="H627" s="5" t="s">
        <v>38</v>
      </c>
      <c r="I627" s="5" t="s">
        <v>45</v>
      </c>
      <c r="J627" s="5">
        <v>40</v>
      </c>
      <c r="K627" s="5">
        <v>130</v>
      </c>
      <c r="L627" s="5" t="s">
        <v>57</v>
      </c>
      <c r="M627" s="5">
        <v>50</v>
      </c>
      <c r="N627" s="5">
        <v>50</v>
      </c>
      <c r="O627" s="5">
        <v>140</v>
      </c>
      <c r="P627" s="5">
        <v>47</v>
      </c>
      <c r="Q627">
        <f>SUM([1]!Table1[[#This Row],[Sales]])</f>
        <v>130</v>
      </c>
      <c r="R627">
        <f>SUM([1]!Table1[[#This Row],[Profit]])</f>
        <v>40</v>
      </c>
      <c r="S627" s="7">
        <f t="shared" si="72"/>
        <v>0.30769230769230771</v>
      </c>
      <c r="T627">
        <f t="shared" si="73"/>
        <v>15</v>
      </c>
      <c r="U627">
        <f t="shared" si="74"/>
        <v>-10</v>
      </c>
      <c r="V627">
        <f t="shared" si="75"/>
        <v>-2</v>
      </c>
      <c r="W627">
        <f t="shared" si="76"/>
        <v>2.6666666666666665</v>
      </c>
      <c r="X627" t="str">
        <f t="shared" si="77"/>
        <v>Low Profit</v>
      </c>
      <c r="Y627">
        <f t="shared" si="78"/>
        <v>48</v>
      </c>
      <c r="Z627">
        <f t="shared" si="79"/>
        <v>130</v>
      </c>
    </row>
    <row r="628" spans="1:26">
      <c r="A628" s="3">
        <v>580</v>
      </c>
      <c r="B628" s="3">
        <v>81</v>
      </c>
      <c r="C628" s="4">
        <v>41609</v>
      </c>
      <c r="D628" s="3" t="s">
        <v>32</v>
      </c>
      <c r="E628" s="3" t="s">
        <v>23</v>
      </c>
      <c r="F628" s="3">
        <v>26</v>
      </c>
      <c r="G628" s="3" t="s">
        <v>33</v>
      </c>
      <c r="H628" s="3" t="s">
        <v>38</v>
      </c>
      <c r="I628" s="3" t="s">
        <v>45</v>
      </c>
      <c r="J628" s="3">
        <v>98</v>
      </c>
      <c r="K628" s="3">
        <v>197</v>
      </c>
      <c r="L628" s="3" t="s">
        <v>40</v>
      </c>
      <c r="M628" s="3">
        <v>90</v>
      </c>
      <c r="N628" s="3">
        <v>100</v>
      </c>
      <c r="O628" s="3">
        <v>220</v>
      </c>
      <c r="P628" s="3">
        <v>38</v>
      </c>
      <c r="Q628">
        <f>SUM([1]!Table1[[#This Row],[Sales]])</f>
        <v>197</v>
      </c>
      <c r="R628">
        <f>SUM([1]!Table1[[#This Row],[Profit]])</f>
        <v>98</v>
      </c>
      <c r="S628" s="7">
        <f t="shared" si="72"/>
        <v>0.49746192893401014</v>
      </c>
      <c r="T628">
        <f t="shared" si="73"/>
        <v>26</v>
      </c>
      <c r="U628">
        <f t="shared" si="74"/>
        <v>-23</v>
      </c>
      <c r="V628">
        <f t="shared" si="75"/>
        <v>-9</v>
      </c>
      <c r="W628">
        <f t="shared" si="76"/>
        <v>3.7692307692307692</v>
      </c>
      <c r="X628" t="str">
        <f t="shared" si="77"/>
        <v>Low Profit</v>
      </c>
      <c r="Y628">
        <f t="shared" si="78"/>
        <v>81</v>
      </c>
      <c r="Z628">
        <f t="shared" si="79"/>
        <v>197</v>
      </c>
    </row>
    <row r="629" spans="1:26">
      <c r="A629" s="5">
        <v>505</v>
      </c>
      <c r="B629" s="5">
        <v>20</v>
      </c>
      <c r="C629" s="6">
        <v>41609</v>
      </c>
      <c r="D629" s="5" t="s">
        <v>32</v>
      </c>
      <c r="E629" s="5" t="s">
        <v>23</v>
      </c>
      <c r="F629" s="5">
        <v>7</v>
      </c>
      <c r="G629" s="5" t="s">
        <v>33</v>
      </c>
      <c r="H629" s="5" t="s">
        <v>34</v>
      </c>
      <c r="I629" s="5" t="s">
        <v>47</v>
      </c>
      <c r="J629" s="5">
        <v>-22</v>
      </c>
      <c r="K629" s="5">
        <v>48</v>
      </c>
      <c r="L629" s="5" t="s">
        <v>57</v>
      </c>
      <c r="M629" s="5">
        <v>10</v>
      </c>
      <c r="N629" s="5">
        <v>-10</v>
      </c>
      <c r="O629" s="5">
        <v>30</v>
      </c>
      <c r="P629" s="5">
        <v>40</v>
      </c>
      <c r="Q629">
        <f>SUM([1]!Table1[[#This Row],[Sales]])</f>
        <v>48</v>
      </c>
      <c r="R629">
        <f>SUM([1]!Table1[[#This Row],[Profit]])</f>
        <v>-22</v>
      </c>
      <c r="S629" s="7">
        <f t="shared" si="72"/>
        <v>-0.45833333333333331</v>
      </c>
      <c r="T629">
        <f t="shared" si="73"/>
        <v>7</v>
      </c>
      <c r="U629">
        <f t="shared" si="74"/>
        <v>18</v>
      </c>
      <c r="V629">
        <f t="shared" si="75"/>
        <v>10</v>
      </c>
      <c r="W629">
        <f t="shared" si="76"/>
        <v>-3.1428571428571428</v>
      </c>
      <c r="X629" t="str">
        <f t="shared" si="77"/>
        <v>Low Profit</v>
      </c>
      <c r="Y629">
        <f t="shared" si="78"/>
        <v>20</v>
      </c>
      <c r="Z629">
        <f t="shared" si="79"/>
        <v>48</v>
      </c>
    </row>
    <row r="630" spans="1:26">
      <c r="A630" s="3">
        <v>918</v>
      </c>
      <c r="B630" s="3">
        <v>134</v>
      </c>
      <c r="C630" s="4">
        <v>41609</v>
      </c>
      <c r="D630" s="3" t="s">
        <v>32</v>
      </c>
      <c r="E630" s="3" t="s">
        <v>23</v>
      </c>
      <c r="F630" s="3">
        <v>41</v>
      </c>
      <c r="G630" s="3" t="s">
        <v>33</v>
      </c>
      <c r="H630" s="3" t="s">
        <v>34</v>
      </c>
      <c r="I630" s="3" t="s">
        <v>47</v>
      </c>
      <c r="J630" s="3">
        <v>180</v>
      </c>
      <c r="K630" s="3">
        <v>341</v>
      </c>
      <c r="L630" s="3" t="s">
        <v>40</v>
      </c>
      <c r="M630" s="3">
        <v>100</v>
      </c>
      <c r="N630" s="3">
        <v>90</v>
      </c>
      <c r="O630" s="3">
        <v>240</v>
      </c>
      <c r="P630" s="3">
        <v>65</v>
      </c>
      <c r="Q630">
        <f>SUM([1]!Table1[[#This Row],[Sales]])</f>
        <v>341</v>
      </c>
      <c r="R630">
        <f>SUM([1]!Table1[[#This Row],[Profit]])</f>
        <v>180</v>
      </c>
      <c r="S630" s="7">
        <f t="shared" si="72"/>
        <v>0.52785923753665687</v>
      </c>
      <c r="T630">
        <f t="shared" si="73"/>
        <v>41</v>
      </c>
      <c r="U630">
        <f t="shared" si="74"/>
        <v>101</v>
      </c>
      <c r="V630">
        <f t="shared" si="75"/>
        <v>34</v>
      </c>
      <c r="W630">
        <f t="shared" si="76"/>
        <v>4.3902439024390247</v>
      </c>
      <c r="X630" t="str">
        <f t="shared" si="77"/>
        <v>High Profit</v>
      </c>
      <c r="Y630">
        <f t="shared" si="78"/>
        <v>134</v>
      </c>
      <c r="Z630">
        <f t="shared" si="79"/>
        <v>341</v>
      </c>
    </row>
    <row r="631" spans="1:26">
      <c r="A631" s="5">
        <v>985</v>
      </c>
      <c r="B631" s="5">
        <v>94</v>
      </c>
      <c r="C631" s="6">
        <v>41609</v>
      </c>
      <c r="D631" s="5" t="s">
        <v>32</v>
      </c>
      <c r="E631" s="5" t="s">
        <v>23</v>
      </c>
      <c r="F631" s="5">
        <v>31</v>
      </c>
      <c r="G631" s="5" t="s">
        <v>18</v>
      </c>
      <c r="H631" s="5" t="s">
        <v>19</v>
      </c>
      <c r="I631" s="5" t="s">
        <v>50</v>
      </c>
      <c r="J631" s="5">
        <v>114</v>
      </c>
      <c r="K631" s="5">
        <v>228</v>
      </c>
      <c r="L631" s="5" t="s">
        <v>48</v>
      </c>
      <c r="M631" s="5">
        <v>80</v>
      </c>
      <c r="N631" s="5">
        <v>70</v>
      </c>
      <c r="O631" s="5">
        <v>190</v>
      </c>
      <c r="P631" s="5">
        <v>43</v>
      </c>
      <c r="Q631">
        <f>SUM([1]!Table1[[#This Row],[Sales]])</f>
        <v>228</v>
      </c>
      <c r="R631">
        <f>SUM([1]!Table1[[#This Row],[Profit]])</f>
        <v>114</v>
      </c>
      <c r="S631" s="7">
        <f t="shared" si="72"/>
        <v>0.5</v>
      </c>
      <c r="T631">
        <f t="shared" si="73"/>
        <v>31</v>
      </c>
      <c r="U631">
        <f t="shared" si="74"/>
        <v>38</v>
      </c>
      <c r="V631">
        <f t="shared" si="75"/>
        <v>14</v>
      </c>
      <c r="W631">
        <f t="shared" si="76"/>
        <v>3.6774193548387095</v>
      </c>
      <c r="X631" t="str">
        <f t="shared" si="77"/>
        <v>High Profit</v>
      </c>
      <c r="Y631">
        <f t="shared" si="78"/>
        <v>94</v>
      </c>
      <c r="Z631">
        <f t="shared" si="79"/>
        <v>228</v>
      </c>
    </row>
    <row r="632" spans="1:26">
      <c r="A632" s="3">
        <v>505</v>
      </c>
      <c r="B632" s="3">
        <v>16</v>
      </c>
      <c r="C632" s="4">
        <v>41609</v>
      </c>
      <c r="D632" s="3" t="s">
        <v>32</v>
      </c>
      <c r="E632" s="3" t="s">
        <v>23</v>
      </c>
      <c r="F632" s="3">
        <v>4</v>
      </c>
      <c r="G632" s="3" t="s">
        <v>18</v>
      </c>
      <c r="H632" s="3" t="s">
        <v>19</v>
      </c>
      <c r="I632" s="3" t="s">
        <v>50</v>
      </c>
      <c r="J632" s="3">
        <v>13</v>
      </c>
      <c r="K632" s="3">
        <v>44</v>
      </c>
      <c r="L632" s="3" t="s">
        <v>57</v>
      </c>
      <c r="M632" s="3">
        <v>10</v>
      </c>
      <c r="N632" s="3">
        <v>10</v>
      </c>
      <c r="O632" s="3">
        <v>30</v>
      </c>
      <c r="P632" s="3">
        <v>16</v>
      </c>
      <c r="Q632">
        <f>SUM([1]!Table1[[#This Row],[Sales]])</f>
        <v>44</v>
      </c>
      <c r="R632">
        <f>SUM([1]!Table1[[#This Row],[Profit]])</f>
        <v>13</v>
      </c>
      <c r="S632" s="7">
        <f t="shared" si="72"/>
        <v>0.29545454545454547</v>
      </c>
      <c r="T632">
        <f t="shared" si="73"/>
        <v>4</v>
      </c>
      <c r="U632">
        <f t="shared" si="74"/>
        <v>14</v>
      </c>
      <c r="V632">
        <f t="shared" si="75"/>
        <v>6</v>
      </c>
      <c r="W632">
        <f t="shared" si="76"/>
        <v>3.25</v>
      </c>
      <c r="X632" t="str">
        <f t="shared" si="77"/>
        <v>Low Profit</v>
      </c>
      <c r="Y632">
        <f t="shared" si="78"/>
        <v>16</v>
      </c>
      <c r="Z632">
        <f t="shared" si="79"/>
        <v>44</v>
      </c>
    </row>
    <row r="633" spans="1:26">
      <c r="A633" s="5">
        <v>580</v>
      </c>
      <c r="B633" s="5">
        <v>105</v>
      </c>
      <c r="C633" s="6">
        <v>41609</v>
      </c>
      <c r="D633" s="5" t="s">
        <v>32</v>
      </c>
      <c r="E633" s="5" t="s">
        <v>23</v>
      </c>
      <c r="F633" s="5">
        <v>95</v>
      </c>
      <c r="G633" s="5" t="s">
        <v>18</v>
      </c>
      <c r="H633" s="5" t="s">
        <v>19</v>
      </c>
      <c r="I633" s="5" t="s">
        <v>20</v>
      </c>
      <c r="J633" s="5">
        <v>30</v>
      </c>
      <c r="K633" s="5">
        <v>266</v>
      </c>
      <c r="L633" s="5" t="s">
        <v>40</v>
      </c>
      <c r="M633" s="5">
        <v>90</v>
      </c>
      <c r="N633" s="5">
        <v>30</v>
      </c>
      <c r="O633" s="5">
        <v>230</v>
      </c>
      <c r="P633" s="5">
        <v>125</v>
      </c>
      <c r="Q633">
        <f>SUM([1]!Table1[[#This Row],[Sales]])</f>
        <v>266</v>
      </c>
      <c r="R633">
        <f>SUM([1]!Table1[[#This Row],[Profit]])</f>
        <v>30</v>
      </c>
      <c r="S633" s="7">
        <f t="shared" si="72"/>
        <v>0.11278195488721804</v>
      </c>
      <c r="T633">
        <f t="shared" si="73"/>
        <v>95</v>
      </c>
      <c r="U633">
        <f t="shared" si="74"/>
        <v>36</v>
      </c>
      <c r="V633">
        <f t="shared" si="75"/>
        <v>15</v>
      </c>
      <c r="W633">
        <f t="shared" si="76"/>
        <v>0.31578947368421051</v>
      </c>
      <c r="X633" t="str">
        <f t="shared" si="77"/>
        <v>Low Profit</v>
      </c>
      <c r="Y633">
        <f t="shared" si="78"/>
        <v>105</v>
      </c>
      <c r="Z633">
        <f t="shared" si="79"/>
        <v>266</v>
      </c>
    </row>
    <row r="634" spans="1:26">
      <c r="A634" s="3">
        <v>860</v>
      </c>
      <c r="B634" s="3">
        <v>125</v>
      </c>
      <c r="C634" s="4">
        <v>41183</v>
      </c>
      <c r="D634" s="3" t="s">
        <v>32</v>
      </c>
      <c r="E634" s="3" t="s">
        <v>25</v>
      </c>
      <c r="F634" s="3">
        <v>41</v>
      </c>
      <c r="G634" s="3" t="s">
        <v>33</v>
      </c>
      <c r="H634" s="3" t="s">
        <v>38</v>
      </c>
      <c r="I634" s="3" t="s">
        <v>45</v>
      </c>
      <c r="J634" s="3">
        <v>115</v>
      </c>
      <c r="K634" s="3">
        <v>313</v>
      </c>
      <c r="L634" s="3" t="s">
        <v>37</v>
      </c>
      <c r="M634" s="3">
        <v>100</v>
      </c>
      <c r="N634" s="3">
        <v>130</v>
      </c>
      <c r="O634" s="3">
        <v>260</v>
      </c>
      <c r="P634" s="3">
        <v>73</v>
      </c>
      <c r="Q634">
        <f>SUM([1]!Table1[[#This Row],[Sales]])</f>
        <v>313</v>
      </c>
      <c r="R634">
        <f>SUM([1]!Table1[[#This Row],[Profit]])</f>
        <v>115</v>
      </c>
      <c r="S634" s="7">
        <f t="shared" si="72"/>
        <v>0.36741214057507987</v>
      </c>
      <c r="T634">
        <f t="shared" si="73"/>
        <v>41</v>
      </c>
      <c r="U634">
        <f t="shared" si="74"/>
        <v>53</v>
      </c>
      <c r="V634">
        <f t="shared" si="75"/>
        <v>25</v>
      </c>
      <c r="W634">
        <f t="shared" si="76"/>
        <v>2.8048780487804876</v>
      </c>
      <c r="X634" t="str">
        <f t="shared" si="77"/>
        <v>High Profit</v>
      </c>
      <c r="Y634">
        <f t="shared" si="78"/>
        <v>125</v>
      </c>
      <c r="Z634">
        <f t="shared" si="79"/>
        <v>313</v>
      </c>
    </row>
    <row r="635" spans="1:26">
      <c r="A635" s="5">
        <v>203</v>
      </c>
      <c r="B635" s="5">
        <v>60</v>
      </c>
      <c r="C635" s="6">
        <v>41183</v>
      </c>
      <c r="D635" s="5" t="s">
        <v>32</v>
      </c>
      <c r="E635" s="5" t="s">
        <v>25</v>
      </c>
      <c r="F635" s="5">
        <v>54</v>
      </c>
      <c r="G635" s="5" t="s">
        <v>33</v>
      </c>
      <c r="H635" s="5" t="s">
        <v>34</v>
      </c>
      <c r="I635" s="5" t="s">
        <v>46</v>
      </c>
      <c r="J635" s="5">
        <v>1</v>
      </c>
      <c r="K635" s="5">
        <v>144</v>
      </c>
      <c r="L635" s="5" t="s">
        <v>37</v>
      </c>
      <c r="M635" s="5">
        <v>40</v>
      </c>
      <c r="N635" s="5">
        <v>40</v>
      </c>
      <c r="O635" s="5">
        <v>130</v>
      </c>
      <c r="P635" s="5">
        <v>83</v>
      </c>
      <c r="Q635">
        <f>SUM([1]!Table1[[#This Row],[Sales]])</f>
        <v>144</v>
      </c>
      <c r="R635">
        <f>SUM([1]!Table1[[#This Row],[Profit]])</f>
        <v>1</v>
      </c>
      <c r="S635" s="7">
        <f t="shared" si="72"/>
        <v>6.9444444444444441E-3</v>
      </c>
      <c r="T635">
        <f t="shared" si="73"/>
        <v>54</v>
      </c>
      <c r="U635">
        <f t="shared" si="74"/>
        <v>14</v>
      </c>
      <c r="V635">
        <f t="shared" si="75"/>
        <v>20</v>
      </c>
      <c r="W635">
        <f t="shared" si="76"/>
        <v>1.8518518518518517E-2</v>
      </c>
      <c r="X635" t="str">
        <f t="shared" si="77"/>
        <v>Low Profit</v>
      </c>
      <c r="Y635">
        <f t="shared" si="78"/>
        <v>60</v>
      </c>
      <c r="Z635">
        <f t="shared" si="79"/>
        <v>144</v>
      </c>
    </row>
    <row r="636" spans="1:26">
      <c r="A636" s="3">
        <v>203</v>
      </c>
      <c r="B636" s="3">
        <v>130</v>
      </c>
      <c r="C636" s="4">
        <v>41214</v>
      </c>
      <c r="D636" s="3" t="s">
        <v>32</v>
      </c>
      <c r="E636" s="3" t="s">
        <v>25</v>
      </c>
      <c r="F636" s="3">
        <v>42</v>
      </c>
      <c r="G636" s="3" t="s">
        <v>33</v>
      </c>
      <c r="H636" s="3" t="s">
        <v>38</v>
      </c>
      <c r="I636" s="3" t="s">
        <v>45</v>
      </c>
      <c r="J636" s="3">
        <v>122</v>
      </c>
      <c r="K636" s="3">
        <v>325</v>
      </c>
      <c r="L636" s="3" t="s">
        <v>37</v>
      </c>
      <c r="M636" s="3">
        <v>110</v>
      </c>
      <c r="N636" s="3">
        <v>130</v>
      </c>
      <c r="O636" s="3">
        <v>290</v>
      </c>
      <c r="P636" s="3">
        <v>73</v>
      </c>
      <c r="Q636">
        <f>SUM([1]!Table1[[#This Row],[Sales]])</f>
        <v>325</v>
      </c>
      <c r="R636">
        <f>SUM([1]!Table1[[#This Row],[Profit]])</f>
        <v>122</v>
      </c>
      <c r="S636" s="7">
        <f t="shared" si="72"/>
        <v>0.37538461538461537</v>
      </c>
      <c r="T636">
        <f t="shared" si="73"/>
        <v>42</v>
      </c>
      <c r="U636">
        <f t="shared" si="74"/>
        <v>35</v>
      </c>
      <c r="V636">
        <f t="shared" si="75"/>
        <v>20</v>
      </c>
      <c r="W636">
        <f t="shared" si="76"/>
        <v>2.9047619047619047</v>
      </c>
      <c r="X636" t="str">
        <f t="shared" si="77"/>
        <v>High Profit</v>
      </c>
      <c r="Y636">
        <f t="shared" si="78"/>
        <v>130</v>
      </c>
      <c r="Z636">
        <f t="shared" si="79"/>
        <v>325</v>
      </c>
    </row>
    <row r="637" spans="1:26">
      <c r="A637" s="5">
        <v>203</v>
      </c>
      <c r="B637" s="5">
        <v>115</v>
      </c>
      <c r="C637" s="6">
        <v>41244</v>
      </c>
      <c r="D637" s="5" t="s">
        <v>32</v>
      </c>
      <c r="E637" s="5" t="s">
        <v>25</v>
      </c>
      <c r="F637" s="5">
        <v>37</v>
      </c>
      <c r="G637" s="5" t="s">
        <v>33</v>
      </c>
      <c r="H637" s="5" t="s">
        <v>38</v>
      </c>
      <c r="I637" s="5" t="s">
        <v>45</v>
      </c>
      <c r="J637" s="5">
        <v>105</v>
      </c>
      <c r="K637" s="5">
        <v>289</v>
      </c>
      <c r="L637" s="5" t="s">
        <v>37</v>
      </c>
      <c r="M637" s="5">
        <v>100</v>
      </c>
      <c r="N637" s="5">
        <v>110</v>
      </c>
      <c r="O637" s="5">
        <v>260</v>
      </c>
      <c r="P637" s="5">
        <v>69</v>
      </c>
      <c r="Q637">
        <f>SUM([1]!Table1[[#This Row],[Sales]])</f>
        <v>289</v>
      </c>
      <c r="R637">
        <f>SUM([1]!Table1[[#This Row],[Profit]])</f>
        <v>105</v>
      </c>
      <c r="S637" s="7">
        <f t="shared" si="72"/>
        <v>0.36332179930795849</v>
      </c>
      <c r="T637">
        <f t="shared" si="73"/>
        <v>37</v>
      </c>
      <c r="U637">
        <f t="shared" si="74"/>
        <v>29</v>
      </c>
      <c r="V637">
        <f t="shared" si="75"/>
        <v>15</v>
      </c>
      <c r="W637">
        <f t="shared" si="76"/>
        <v>2.8378378378378377</v>
      </c>
      <c r="X637" t="str">
        <f t="shared" si="77"/>
        <v>High Profit</v>
      </c>
      <c r="Y637">
        <f t="shared" si="78"/>
        <v>115</v>
      </c>
      <c r="Z637">
        <f t="shared" si="79"/>
        <v>289</v>
      </c>
    </row>
    <row r="638" spans="1:26">
      <c r="A638" s="3">
        <v>203</v>
      </c>
      <c r="B638" s="3">
        <v>125</v>
      </c>
      <c r="C638" s="4">
        <v>41548</v>
      </c>
      <c r="D638" s="3" t="s">
        <v>32</v>
      </c>
      <c r="E638" s="3" t="s">
        <v>25</v>
      </c>
      <c r="F638" s="3">
        <v>41</v>
      </c>
      <c r="G638" s="3" t="s">
        <v>33</v>
      </c>
      <c r="H638" s="3" t="s">
        <v>38</v>
      </c>
      <c r="I638" s="3" t="s">
        <v>45</v>
      </c>
      <c r="J638" s="3">
        <v>171</v>
      </c>
      <c r="K638" s="3">
        <v>334</v>
      </c>
      <c r="L638" s="3" t="s">
        <v>37</v>
      </c>
      <c r="M638" s="3">
        <v>100</v>
      </c>
      <c r="N638" s="3">
        <v>130</v>
      </c>
      <c r="O638" s="3">
        <v>260</v>
      </c>
      <c r="P638" s="3">
        <v>73</v>
      </c>
      <c r="Q638">
        <f>SUM([1]!Table1[[#This Row],[Sales]])</f>
        <v>334</v>
      </c>
      <c r="R638">
        <f>SUM([1]!Table1[[#This Row],[Profit]])</f>
        <v>171</v>
      </c>
      <c r="S638" s="7">
        <f t="shared" si="72"/>
        <v>0.5119760479041916</v>
      </c>
      <c r="T638">
        <f t="shared" si="73"/>
        <v>41</v>
      </c>
      <c r="U638">
        <f t="shared" si="74"/>
        <v>74</v>
      </c>
      <c r="V638">
        <f t="shared" si="75"/>
        <v>25</v>
      </c>
      <c r="W638">
        <f t="shared" si="76"/>
        <v>4.1707317073170733</v>
      </c>
      <c r="X638" t="str">
        <f t="shared" si="77"/>
        <v>High Profit</v>
      </c>
      <c r="Y638">
        <f t="shared" si="78"/>
        <v>125</v>
      </c>
      <c r="Z638">
        <f t="shared" si="79"/>
        <v>334</v>
      </c>
    </row>
    <row r="639" spans="1:26">
      <c r="A639" s="5">
        <v>959</v>
      </c>
      <c r="B639" s="5">
        <v>60</v>
      </c>
      <c r="C639" s="6">
        <v>41548</v>
      </c>
      <c r="D639" s="5" t="s">
        <v>32</v>
      </c>
      <c r="E639" s="5" t="s">
        <v>25</v>
      </c>
      <c r="F639" s="5">
        <v>54</v>
      </c>
      <c r="G639" s="5" t="s">
        <v>33</v>
      </c>
      <c r="H639" s="5" t="s">
        <v>34</v>
      </c>
      <c r="I639" s="5" t="s">
        <v>46</v>
      </c>
      <c r="J639" s="5">
        <v>1</v>
      </c>
      <c r="K639" s="5">
        <v>153</v>
      </c>
      <c r="L639" s="5" t="s">
        <v>37</v>
      </c>
      <c r="M639" s="5">
        <v>40</v>
      </c>
      <c r="N639" s="5">
        <v>40</v>
      </c>
      <c r="O639" s="5">
        <v>130</v>
      </c>
      <c r="P639" s="5">
        <v>83</v>
      </c>
      <c r="Q639">
        <f>SUM([1]!Table1[[#This Row],[Sales]])</f>
        <v>153</v>
      </c>
      <c r="R639">
        <f>SUM([1]!Table1[[#This Row],[Profit]])</f>
        <v>1</v>
      </c>
      <c r="S639" s="7">
        <f t="shared" si="72"/>
        <v>6.5359477124183009E-3</v>
      </c>
      <c r="T639">
        <f t="shared" si="73"/>
        <v>54</v>
      </c>
      <c r="U639">
        <f t="shared" si="74"/>
        <v>23</v>
      </c>
      <c r="V639">
        <f t="shared" si="75"/>
        <v>20</v>
      </c>
      <c r="W639">
        <f t="shared" si="76"/>
        <v>1.8518518518518517E-2</v>
      </c>
      <c r="X639" t="str">
        <f t="shared" si="77"/>
        <v>Low Profit</v>
      </c>
      <c r="Y639">
        <f t="shared" si="78"/>
        <v>60</v>
      </c>
      <c r="Z639">
        <f t="shared" si="79"/>
        <v>153</v>
      </c>
    </row>
    <row r="640" spans="1:26">
      <c r="A640" s="3">
        <v>203</v>
      </c>
      <c r="B640" s="3">
        <v>130</v>
      </c>
      <c r="C640" s="4">
        <v>41579</v>
      </c>
      <c r="D640" s="3" t="s">
        <v>32</v>
      </c>
      <c r="E640" s="3" t="s">
        <v>25</v>
      </c>
      <c r="F640" s="3">
        <v>42</v>
      </c>
      <c r="G640" s="3" t="s">
        <v>33</v>
      </c>
      <c r="H640" s="3" t="s">
        <v>38</v>
      </c>
      <c r="I640" s="3" t="s">
        <v>45</v>
      </c>
      <c r="J640" s="3">
        <v>181</v>
      </c>
      <c r="K640" s="3">
        <v>346</v>
      </c>
      <c r="L640" s="3" t="s">
        <v>37</v>
      </c>
      <c r="M640" s="3">
        <v>110</v>
      </c>
      <c r="N640" s="3">
        <v>130</v>
      </c>
      <c r="O640" s="3">
        <v>290</v>
      </c>
      <c r="P640" s="3">
        <v>73</v>
      </c>
      <c r="Q640">
        <f>SUM([1]!Table1[[#This Row],[Sales]])</f>
        <v>346</v>
      </c>
      <c r="R640">
        <f>SUM([1]!Table1[[#This Row],[Profit]])</f>
        <v>181</v>
      </c>
      <c r="S640" s="7">
        <f t="shared" si="72"/>
        <v>0.52312138728323698</v>
      </c>
      <c r="T640">
        <f t="shared" si="73"/>
        <v>42</v>
      </c>
      <c r="U640">
        <f t="shared" si="74"/>
        <v>56</v>
      </c>
      <c r="V640">
        <f t="shared" si="75"/>
        <v>20</v>
      </c>
      <c r="W640">
        <f t="shared" si="76"/>
        <v>4.3095238095238093</v>
      </c>
      <c r="X640" t="str">
        <f t="shared" si="77"/>
        <v>High Profit</v>
      </c>
      <c r="Y640">
        <f t="shared" si="78"/>
        <v>130</v>
      </c>
      <c r="Z640">
        <f t="shared" si="79"/>
        <v>346</v>
      </c>
    </row>
    <row r="641" spans="1:26">
      <c r="A641" s="5">
        <v>959</v>
      </c>
      <c r="B641" s="5">
        <v>115</v>
      </c>
      <c r="C641" s="6">
        <v>41609</v>
      </c>
      <c r="D641" s="5" t="s">
        <v>32</v>
      </c>
      <c r="E641" s="5" t="s">
        <v>25</v>
      </c>
      <c r="F641" s="5">
        <v>37</v>
      </c>
      <c r="G641" s="5" t="s">
        <v>33</v>
      </c>
      <c r="H641" s="5" t="s">
        <v>38</v>
      </c>
      <c r="I641" s="5" t="s">
        <v>45</v>
      </c>
      <c r="J641" s="5">
        <v>156</v>
      </c>
      <c r="K641" s="5">
        <v>308</v>
      </c>
      <c r="L641" s="5" t="s">
        <v>37</v>
      </c>
      <c r="M641" s="5">
        <v>100</v>
      </c>
      <c r="N641" s="5">
        <v>110</v>
      </c>
      <c r="O641" s="5">
        <v>260</v>
      </c>
      <c r="P641" s="5">
        <v>69</v>
      </c>
      <c r="Q641">
        <f>SUM([1]!Table1[[#This Row],[Sales]])</f>
        <v>308</v>
      </c>
      <c r="R641">
        <f>SUM([1]!Table1[[#This Row],[Profit]])</f>
        <v>156</v>
      </c>
      <c r="S641" s="7">
        <f t="shared" si="72"/>
        <v>0.50649350649350644</v>
      </c>
      <c r="T641">
        <f t="shared" si="73"/>
        <v>37</v>
      </c>
      <c r="U641">
        <f t="shared" si="74"/>
        <v>48</v>
      </c>
      <c r="V641">
        <f t="shared" si="75"/>
        <v>15</v>
      </c>
      <c r="W641">
        <f t="shared" si="76"/>
        <v>4.2162162162162158</v>
      </c>
      <c r="X641" t="str">
        <f t="shared" si="77"/>
        <v>High Profit</v>
      </c>
      <c r="Y641">
        <f t="shared" si="78"/>
        <v>115</v>
      </c>
      <c r="Z641">
        <f t="shared" si="79"/>
        <v>308</v>
      </c>
    </row>
    <row r="642" spans="1:26">
      <c r="A642" s="3">
        <v>561</v>
      </c>
      <c r="B642" s="3">
        <v>91</v>
      </c>
      <c r="C642" s="4">
        <v>41183</v>
      </c>
      <c r="D642" s="3" t="s">
        <v>16</v>
      </c>
      <c r="E642" s="3" t="s">
        <v>25</v>
      </c>
      <c r="F642" s="3">
        <v>28</v>
      </c>
      <c r="G642" s="3" t="s">
        <v>33</v>
      </c>
      <c r="H642" s="3" t="s">
        <v>38</v>
      </c>
      <c r="I642" s="3" t="s">
        <v>39</v>
      </c>
      <c r="J642" s="3">
        <v>76</v>
      </c>
      <c r="K642" s="3">
        <v>218</v>
      </c>
      <c r="L642" s="3" t="s">
        <v>28</v>
      </c>
      <c r="M642" s="3">
        <v>70</v>
      </c>
      <c r="N642" s="3">
        <v>90</v>
      </c>
      <c r="O642" s="3">
        <v>180</v>
      </c>
      <c r="P642" s="3">
        <v>51</v>
      </c>
      <c r="Q642">
        <f>SUM([1]!Table1[[#This Row],[Sales]])</f>
        <v>218</v>
      </c>
      <c r="R642">
        <f>SUM([1]!Table1[[#This Row],[Profit]])</f>
        <v>76</v>
      </c>
      <c r="S642" s="7">
        <f t="shared" si="72"/>
        <v>0.34862385321100919</v>
      </c>
      <c r="T642">
        <f t="shared" si="73"/>
        <v>28</v>
      </c>
      <c r="U642">
        <f t="shared" si="74"/>
        <v>38</v>
      </c>
      <c r="V642">
        <f t="shared" si="75"/>
        <v>21</v>
      </c>
      <c r="W642">
        <f t="shared" si="76"/>
        <v>2.7142857142857144</v>
      </c>
      <c r="X642" t="str">
        <f t="shared" si="77"/>
        <v>Low Profit</v>
      </c>
      <c r="Y642">
        <f t="shared" si="78"/>
        <v>91</v>
      </c>
      <c r="Z642">
        <f t="shared" si="79"/>
        <v>218</v>
      </c>
    </row>
    <row r="643" spans="1:26">
      <c r="A643" s="5">
        <v>239</v>
      </c>
      <c r="B643" s="5">
        <v>86</v>
      </c>
      <c r="C643" s="6">
        <v>41183</v>
      </c>
      <c r="D643" s="5" t="s">
        <v>16</v>
      </c>
      <c r="E643" s="5" t="s">
        <v>25</v>
      </c>
      <c r="F643" s="5">
        <v>28</v>
      </c>
      <c r="G643" s="5" t="s">
        <v>33</v>
      </c>
      <c r="H643" s="5" t="s">
        <v>34</v>
      </c>
      <c r="I643" s="5" t="s">
        <v>35</v>
      </c>
      <c r="J643" s="5">
        <v>60</v>
      </c>
      <c r="K643" s="5">
        <v>202</v>
      </c>
      <c r="L643" s="5" t="s">
        <v>28</v>
      </c>
      <c r="M643" s="5">
        <v>70</v>
      </c>
      <c r="N643" s="5">
        <v>90</v>
      </c>
      <c r="O643" s="5">
        <v>180</v>
      </c>
      <c r="P643" s="5">
        <v>56</v>
      </c>
      <c r="Q643">
        <f>SUM([1]!Table1[[#This Row],[Sales]])</f>
        <v>202</v>
      </c>
      <c r="R643">
        <f>SUM([1]!Table1[[#This Row],[Profit]])</f>
        <v>60</v>
      </c>
      <c r="S643" s="7">
        <f t="shared" ref="S643:S706" si="80">J643/K643</f>
        <v>0.29702970297029702</v>
      </c>
      <c r="T643">
        <f t="shared" ref="T643:T706" si="81">SUM(F643)</f>
        <v>28</v>
      </c>
      <c r="U643">
        <f t="shared" ref="U643:U706" si="82">K643-O643</f>
        <v>22</v>
      </c>
      <c r="V643">
        <f t="shared" ref="V643:V706" si="83">B643-M643</f>
        <v>16</v>
      </c>
      <c r="W643">
        <f t="shared" ref="W643:W706" si="84">J643/F643</f>
        <v>2.1428571428571428</v>
      </c>
      <c r="X643" t="str">
        <f t="shared" ref="X643:X706" si="85">IF(J643&gt;100,"High Profit","Low Profit")</f>
        <v>Low Profit</v>
      </c>
      <c r="Y643">
        <f t="shared" ref="Y643:Y706" si="86">SUM(B643)</f>
        <v>86</v>
      </c>
      <c r="Z643">
        <f t="shared" ref="Z643:Z706" si="87">SUM(K643)</f>
        <v>202</v>
      </c>
    </row>
    <row r="644" spans="1:26">
      <c r="A644" s="3">
        <v>407</v>
      </c>
      <c r="B644" s="3">
        <v>82</v>
      </c>
      <c r="C644" s="4">
        <v>41183</v>
      </c>
      <c r="D644" s="3" t="s">
        <v>16</v>
      </c>
      <c r="E644" s="3" t="s">
        <v>25</v>
      </c>
      <c r="F644" s="3">
        <v>27</v>
      </c>
      <c r="G644" s="3" t="s">
        <v>33</v>
      </c>
      <c r="H644" s="3" t="s">
        <v>38</v>
      </c>
      <c r="I644" s="3" t="s">
        <v>45</v>
      </c>
      <c r="J644" s="3">
        <v>64</v>
      </c>
      <c r="K644" s="3">
        <v>205</v>
      </c>
      <c r="L644" s="3" t="s">
        <v>28</v>
      </c>
      <c r="M644" s="3">
        <v>60</v>
      </c>
      <c r="N644" s="3">
        <v>90</v>
      </c>
      <c r="O644" s="3">
        <v>170</v>
      </c>
      <c r="P644" s="3">
        <v>59</v>
      </c>
      <c r="Q644">
        <f>SUM([1]!Table1[[#This Row],[Sales]])</f>
        <v>205</v>
      </c>
      <c r="R644">
        <f>SUM([1]!Table1[[#This Row],[Profit]])</f>
        <v>64</v>
      </c>
      <c r="S644" s="7">
        <f t="shared" si="80"/>
        <v>0.31219512195121951</v>
      </c>
      <c r="T644">
        <f t="shared" si="81"/>
        <v>27</v>
      </c>
      <c r="U644">
        <f t="shared" si="82"/>
        <v>35</v>
      </c>
      <c r="V644">
        <f t="shared" si="83"/>
        <v>22</v>
      </c>
      <c r="W644">
        <f t="shared" si="84"/>
        <v>2.3703703703703702</v>
      </c>
      <c r="X644" t="str">
        <f t="shared" si="85"/>
        <v>Low Profit</v>
      </c>
      <c r="Y644">
        <f t="shared" si="86"/>
        <v>82</v>
      </c>
      <c r="Z644">
        <f t="shared" si="87"/>
        <v>205</v>
      </c>
    </row>
    <row r="645" spans="1:26">
      <c r="A645" s="5">
        <v>857</v>
      </c>
      <c r="B645" s="5">
        <v>72</v>
      </c>
      <c r="C645" s="6">
        <v>41183</v>
      </c>
      <c r="D645" s="5" t="s">
        <v>16</v>
      </c>
      <c r="E645" s="5" t="s">
        <v>25</v>
      </c>
      <c r="F645" s="5">
        <v>23</v>
      </c>
      <c r="G645" s="5" t="s">
        <v>33</v>
      </c>
      <c r="H645" s="5" t="s">
        <v>38</v>
      </c>
      <c r="I645" s="5" t="s">
        <v>45</v>
      </c>
      <c r="J645" s="5">
        <v>348</v>
      </c>
      <c r="K645" s="5">
        <v>474</v>
      </c>
      <c r="L645" s="5" t="s">
        <v>55</v>
      </c>
      <c r="M645" s="5">
        <v>50</v>
      </c>
      <c r="N645" s="5">
        <v>330</v>
      </c>
      <c r="O645" s="5">
        <v>400</v>
      </c>
      <c r="P645" s="5">
        <v>54</v>
      </c>
      <c r="Q645">
        <f>SUM([1]!Table1[[#This Row],[Sales]])</f>
        <v>474</v>
      </c>
      <c r="R645">
        <f>SUM([1]!Table1[[#This Row],[Profit]])</f>
        <v>348</v>
      </c>
      <c r="S645" s="7">
        <f t="shared" si="80"/>
        <v>0.73417721518987344</v>
      </c>
      <c r="T645">
        <f t="shared" si="81"/>
        <v>23</v>
      </c>
      <c r="U645">
        <f t="shared" si="82"/>
        <v>74</v>
      </c>
      <c r="V645">
        <f t="shared" si="83"/>
        <v>22</v>
      </c>
      <c r="W645">
        <f t="shared" si="84"/>
        <v>15.130434782608695</v>
      </c>
      <c r="X645" t="str">
        <f t="shared" si="85"/>
        <v>High Profit</v>
      </c>
      <c r="Y645">
        <f t="shared" si="86"/>
        <v>72</v>
      </c>
      <c r="Z645">
        <f t="shared" si="87"/>
        <v>474</v>
      </c>
    </row>
    <row r="646" spans="1:26">
      <c r="A646" s="3">
        <v>315</v>
      </c>
      <c r="B646" s="3">
        <v>260</v>
      </c>
      <c r="C646" s="4">
        <v>41183</v>
      </c>
      <c r="D646" s="3" t="s">
        <v>16</v>
      </c>
      <c r="E646" s="3" t="s">
        <v>25</v>
      </c>
      <c r="F646" s="3">
        <v>91</v>
      </c>
      <c r="G646" s="3" t="s">
        <v>33</v>
      </c>
      <c r="H646" s="3" t="s">
        <v>38</v>
      </c>
      <c r="I646" s="3" t="s">
        <v>45</v>
      </c>
      <c r="J646" s="3">
        <v>247</v>
      </c>
      <c r="K646" s="3">
        <v>650</v>
      </c>
      <c r="L646" s="3" t="s">
        <v>60</v>
      </c>
      <c r="M646" s="3">
        <v>210</v>
      </c>
      <c r="N646" s="3">
        <v>230</v>
      </c>
      <c r="O646" s="3">
        <v>540</v>
      </c>
      <c r="P646" s="3">
        <v>143</v>
      </c>
      <c r="Q646">
        <f>SUM([1]!Table1[[#This Row],[Sales]])</f>
        <v>650</v>
      </c>
      <c r="R646">
        <f>SUM([1]!Table1[[#This Row],[Profit]])</f>
        <v>247</v>
      </c>
      <c r="S646" s="7">
        <f t="shared" si="80"/>
        <v>0.38</v>
      </c>
      <c r="T646">
        <f t="shared" si="81"/>
        <v>91</v>
      </c>
      <c r="U646">
        <f t="shared" si="82"/>
        <v>110</v>
      </c>
      <c r="V646">
        <f t="shared" si="83"/>
        <v>50</v>
      </c>
      <c r="W646">
        <f t="shared" si="84"/>
        <v>2.7142857142857144</v>
      </c>
      <c r="X646" t="str">
        <f t="shared" si="85"/>
        <v>High Profit</v>
      </c>
      <c r="Y646">
        <f t="shared" si="86"/>
        <v>260</v>
      </c>
      <c r="Z646">
        <f t="shared" si="87"/>
        <v>650</v>
      </c>
    </row>
    <row r="647" spans="1:26">
      <c r="A647" s="5">
        <v>239</v>
      </c>
      <c r="B647" s="5">
        <v>96</v>
      </c>
      <c r="C647" s="6">
        <v>41183</v>
      </c>
      <c r="D647" s="5" t="s">
        <v>16</v>
      </c>
      <c r="E647" s="5" t="s">
        <v>25</v>
      </c>
      <c r="F647" s="5">
        <v>87</v>
      </c>
      <c r="G647" s="5" t="s">
        <v>33</v>
      </c>
      <c r="H647" s="5" t="s">
        <v>34</v>
      </c>
      <c r="I647" s="5" t="s">
        <v>46</v>
      </c>
      <c r="J647" s="5">
        <v>18</v>
      </c>
      <c r="K647" s="5">
        <v>230</v>
      </c>
      <c r="L647" s="5" t="s">
        <v>28</v>
      </c>
      <c r="M647" s="5">
        <v>80</v>
      </c>
      <c r="N647" s="5">
        <v>50</v>
      </c>
      <c r="O647" s="5">
        <v>210</v>
      </c>
      <c r="P647" s="5">
        <v>116</v>
      </c>
      <c r="Q647">
        <f>SUM([1]!Table1[[#This Row],[Sales]])</f>
        <v>230</v>
      </c>
      <c r="R647">
        <f>SUM([1]!Table1[[#This Row],[Profit]])</f>
        <v>18</v>
      </c>
      <c r="S647" s="7">
        <f t="shared" si="80"/>
        <v>7.8260869565217397E-2</v>
      </c>
      <c r="T647">
        <f t="shared" si="81"/>
        <v>87</v>
      </c>
      <c r="U647">
        <f t="shared" si="82"/>
        <v>20</v>
      </c>
      <c r="V647">
        <f t="shared" si="83"/>
        <v>16</v>
      </c>
      <c r="W647">
        <f t="shared" si="84"/>
        <v>0.20689655172413793</v>
      </c>
      <c r="X647" t="str">
        <f t="shared" si="85"/>
        <v>Low Profit</v>
      </c>
      <c r="Y647">
        <f t="shared" si="86"/>
        <v>96</v>
      </c>
      <c r="Z647">
        <f t="shared" si="87"/>
        <v>230</v>
      </c>
    </row>
    <row r="648" spans="1:26">
      <c r="A648" s="3">
        <v>845</v>
      </c>
      <c r="B648" s="3">
        <v>125</v>
      </c>
      <c r="C648" s="4">
        <v>41183</v>
      </c>
      <c r="D648" s="3" t="s">
        <v>16</v>
      </c>
      <c r="E648" s="3" t="s">
        <v>25</v>
      </c>
      <c r="F648" s="3">
        <v>113</v>
      </c>
      <c r="G648" s="3" t="s">
        <v>33</v>
      </c>
      <c r="H648" s="3" t="s">
        <v>34</v>
      </c>
      <c r="I648" s="3" t="s">
        <v>46</v>
      </c>
      <c r="J648" s="3">
        <v>-202</v>
      </c>
      <c r="K648" s="3">
        <v>69</v>
      </c>
      <c r="L648" s="3" t="s">
        <v>60</v>
      </c>
      <c r="M648" s="3">
        <v>110</v>
      </c>
      <c r="N648" s="3">
        <v>-170</v>
      </c>
      <c r="O648" s="3">
        <v>50</v>
      </c>
      <c r="P648" s="3">
        <v>146</v>
      </c>
      <c r="Q648">
        <f>SUM([1]!Table1[[#This Row],[Sales]])</f>
        <v>69</v>
      </c>
      <c r="R648">
        <f>SUM([1]!Table1[[#This Row],[Profit]])</f>
        <v>-202</v>
      </c>
      <c r="S648" s="7">
        <f t="shared" si="80"/>
        <v>-2.9275362318840581</v>
      </c>
      <c r="T648">
        <f t="shared" si="81"/>
        <v>113</v>
      </c>
      <c r="U648">
        <f t="shared" si="82"/>
        <v>19</v>
      </c>
      <c r="V648">
        <f t="shared" si="83"/>
        <v>15</v>
      </c>
      <c r="W648">
        <f t="shared" si="84"/>
        <v>-1.7876106194690264</v>
      </c>
      <c r="X648" t="str">
        <f t="shared" si="85"/>
        <v>Low Profit</v>
      </c>
      <c r="Y648">
        <f t="shared" si="86"/>
        <v>125</v>
      </c>
      <c r="Z648">
        <f t="shared" si="87"/>
        <v>69</v>
      </c>
    </row>
    <row r="649" spans="1:26">
      <c r="A649" s="5">
        <v>781</v>
      </c>
      <c r="B649" s="5">
        <v>161</v>
      </c>
      <c r="C649" s="6">
        <v>41183</v>
      </c>
      <c r="D649" s="5" t="s">
        <v>16</v>
      </c>
      <c r="E649" s="5" t="s">
        <v>25</v>
      </c>
      <c r="F649" s="5">
        <v>45</v>
      </c>
      <c r="G649" s="5" t="s">
        <v>33</v>
      </c>
      <c r="H649" s="5" t="s">
        <v>34</v>
      </c>
      <c r="I649" s="5" t="s">
        <v>59</v>
      </c>
      <c r="J649" s="5">
        <v>92</v>
      </c>
      <c r="K649" s="5">
        <v>322</v>
      </c>
      <c r="L649" s="5" t="s">
        <v>55</v>
      </c>
      <c r="M649" s="5">
        <v>140</v>
      </c>
      <c r="N649" s="5">
        <v>120</v>
      </c>
      <c r="O649" s="5">
        <v>300</v>
      </c>
      <c r="P649" s="5">
        <v>69</v>
      </c>
      <c r="Q649">
        <f>SUM([1]!Table1[[#This Row],[Sales]])</f>
        <v>322</v>
      </c>
      <c r="R649">
        <f>SUM([1]!Table1[[#This Row],[Profit]])</f>
        <v>92</v>
      </c>
      <c r="S649" s="7">
        <f t="shared" si="80"/>
        <v>0.2857142857142857</v>
      </c>
      <c r="T649">
        <f t="shared" si="81"/>
        <v>45</v>
      </c>
      <c r="U649">
        <f t="shared" si="82"/>
        <v>22</v>
      </c>
      <c r="V649">
        <f t="shared" si="83"/>
        <v>21</v>
      </c>
      <c r="W649">
        <f t="shared" si="84"/>
        <v>2.0444444444444443</v>
      </c>
      <c r="X649" t="str">
        <f t="shared" si="85"/>
        <v>Low Profit</v>
      </c>
      <c r="Y649">
        <f t="shared" si="86"/>
        <v>161</v>
      </c>
      <c r="Z649">
        <f t="shared" si="87"/>
        <v>322</v>
      </c>
    </row>
    <row r="650" spans="1:26">
      <c r="A650" s="3">
        <v>718</v>
      </c>
      <c r="B650" s="3">
        <v>239</v>
      </c>
      <c r="C650" s="4">
        <v>41183</v>
      </c>
      <c r="D650" s="3" t="s">
        <v>16</v>
      </c>
      <c r="E650" s="3" t="s">
        <v>25</v>
      </c>
      <c r="F650" s="3">
        <v>66</v>
      </c>
      <c r="G650" s="3" t="s">
        <v>33</v>
      </c>
      <c r="H650" s="3" t="s">
        <v>34</v>
      </c>
      <c r="I650" s="3" t="s">
        <v>59</v>
      </c>
      <c r="J650" s="3">
        <v>435</v>
      </c>
      <c r="K650" s="3">
        <v>765</v>
      </c>
      <c r="L650" s="3" t="s">
        <v>60</v>
      </c>
      <c r="M650" s="3">
        <v>210</v>
      </c>
      <c r="N650" s="3">
        <v>450</v>
      </c>
      <c r="O650" s="3">
        <v>720</v>
      </c>
      <c r="P650" s="3">
        <v>91</v>
      </c>
      <c r="Q650">
        <f>SUM([1]!Table1[[#This Row],[Sales]])</f>
        <v>765</v>
      </c>
      <c r="R650">
        <f>SUM([1]!Table1[[#This Row],[Profit]])</f>
        <v>435</v>
      </c>
      <c r="S650" s="7">
        <f t="shared" si="80"/>
        <v>0.56862745098039214</v>
      </c>
      <c r="T650">
        <f t="shared" si="81"/>
        <v>66</v>
      </c>
      <c r="U650">
        <f t="shared" si="82"/>
        <v>45</v>
      </c>
      <c r="V650">
        <f t="shared" si="83"/>
        <v>29</v>
      </c>
      <c r="W650">
        <f t="shared" si="84"/>
        <v>6.5909090909090908</v>
      </c>
      <c r="X650" t="str">
        <f t="shared" si="85"/>
        <v>High Profit</v>
      </c>
      <c r="Y650">
        <f t="shared" si="86"/>
        <v>239</v>
      </c>
      <c r="Z650">
        <f t="shared" si="87"/>
        <v>765</v>
      </c>
    </row>
    <row r="651" spans="1:26">
      <c r="A651" s="5">
        <v>386</v>
      </c>
      <c r="B651" s="5">
        <v>22</v>
      </c>
      <c r="C651" s="6">
        <v>41183</v>
      </c>
      <c r="D651" s="5" t="s">
        <v>16</v>
      </c>
      <c r="E651" s="5" t="s">
        <v>25</v>
      </c>
      <c r="F651" s="5">
        <v>7</v>
      </c>
      <c r="G651" s="5" t="s">
        <v>18</v>
      </c>
      <c r="H651" s="5" t="s">
        <v>19</v>
      </c>
      <c r="I651" s="5" t="s">
        <v>50</v>
      </c>
      <c r="J651" s="5">
        <v>10</v>
      </c>
      <c r="K651" s="5">
        <v>51</v>
      </c>
      <c r="L651" s="5" t="s">
        <v>28</v>
      </c>
      <c r="M651" s="5">
        <v>0</v>
      </c>
      <c r="N651" s="5">
        <v>20</v>
      </c>
      <c r="O651" s="5">
        <v>20</v>
      </c>
      <c r="P651" s="5">
        <v>19</v>
      </c>
      <c r="Q651">
        <f>SUM([1]!Table1[[#This Row],[Sales]])</f>
        <v>51</v>
      </c>
      <c r="R651">
        <f>SUM([1]!Table1[[#This Row],[Profit]])</f>
        <v>10</v>
      </c>
      <c r="S651" s="7">
        <f t="shared" si="80"/>
        <v>0.19607843137254902</v>
      </c>
      <c r="T651">
        <f t="shared" si="81"/>
        <v>7</v>
      </c>
      <c r="U651">
        <f t="shared" si="82"/>
        <v>31</v>
      </c>
      <c r="V651">
        <f t="shared" si="83"/>
        <v>22</v>
      </c>
      <c r="W651">
        <f t="shared" si="84"/>
        <v>1.4285714285714286</v>
      </c>
      <c r="X651" t="str">
        <f t="shared" si="85"/>
        <v>Low Profit</v>
      </c>
      <c r="Y651">
        <f t="shared" si="86"/>
        <v>22</v>
      </c>
      <c r="Z651">
        <f t="shared" si="87"/>
        <v>51</v>
      </c>
    </row>
    <row r="652" spans="1:26">
      <c r="A652" s="3">
        <v>845</v>
      </c>
      <c r="B652" s="3">
        <v>255</v>
      </c>
      <c r="C652" s="4">
        <v>41183</v>
      </c>
      <c r="D652" s="3" t="s">
        <v>16</v>
      </c>
      <c r="E652" s="3" t="s">
        <v>25</v>
      </c>
      <c r="F652" s="3">
        <v>96</v>
      </c>
      <c r="G652" s="3" t="s">
        <v>18</v>
      </c>
      <c r="H652" s="3" t="s">
        <v>19</v>
      </c>
      <c r="I652" s="3" t="s">
        <v>20</v>
      </c>
      <c r="J652" s="3">
        <v>129</v>
      </c>
      <c r="K652" s="3">
        <v>513</v>
      </c>
      <c r="L652" s="3" t="s">
        <v>60</v>
      </c>
      <c r="M652" s="3">
        <v>140</v>
      </c>
      <c r="N652" s="3">
        <v>70</v>
      </c>
      <c r="O652" s="3">
        <v>290</v>
      </c>
      <c r="P652" s="3">
        <v>129</v>
      </c>
      <c r="Q652">
        <f>SUM([1]!Table1[[#This Row],[Sales]])</f>
        <v>513</v>
      </c>
      <c r="R652">
        <f>SUM([1]!Table1[[#This Row],[Profit]])</f>
        <v>129</v>
      </c>
      <c r="S652" s="7">
        <f t="shared" si="80"/>
        <v>0.25146198830409355</v>
      </c>
      <c r="T652">
        <f t="shared" si="81"/>
        <v>96</v>
      </c>
      <c r="U652">
        <f t="shared" si="82"/>
        <v>223</v>
      </c>
      <c r="V652">
        <f t="shared" si="83"/>
        <v>115</v>
      </c>
      <c r="W652">
        <f t="shared" si="84"/>
        <v>1.34375</v>
      </c>
      <c r="X652" t="str">
        <f t="shared" si="85"/>
        <v>High Profit</v>
      </c>
      <c r="Y652">
        <f t="shared" si="86"/>
        <v>255</v>
      </c>
      <c r="Z652">
        <f t="shared" si="87"/>
        <v>513</v>
      </c>
    </row>
    <row r="653" spans="1:26">
      <c r="A653" s="5">
        <v>315</v>
      </c>
      <c r="B653" s="5">
        <v>239</v>
      </c>
      <c r="C653" s="6">
        <v>41183</v>
      </c>
      <c r="D653" s="5" t="s">
        <v>16</v>
      </c>
      <c r="E653" s="5" t="s">
        <v>25</v>
      </c>
      <c r="F653" s="5">
        <v>74</v>
      </c>
      <c r="G653" s="5" t="s">
        <v>18</v>
      </c>
      <c r="H653" s="5" t="s">
        <v>19</v>
      </c>
      <c r="I653" s="5" t="s">
        <v>22</v>
      </c>
      <c r="J653" s="5">
        <v>-170</v>
      </c>
      <c r="K653" s="5">
        <v>164</v>
      </c>
      <c r="L653" s="5" t="s">
        <v>60</v>
      </c>
      <c r="M653" s="5">
        <v>130</v>
      </c>
      <c r="N653" s="5">
        <v>-100</v>
      </c>
      <c r="O653" s="5">
        <v>80</v>
      </c>
      <c r="P653" s="5">
        <v>95</v>
      </c>
      <c r="Q653">
        <f>SUM([1]!Table1[[#This Row],[Sales]])</f>
        <v>164</v>
      </c>
      <c r="R653">
        <f>SUM([1]!Table1[[#This Row],[Profit]])</f>
        <v>-170</v>
      </c>
      <c r="S653" s="7">
        <f t="shared" si="80"/>
        <v>-1.0365853658536586</v>
      </c>
      <c r="T653">
        <f t="shared" si="81"/>
        <v>74</v>
      </c>
      <c r="U653">
        <f t="shared" si="82"/>
        <v>84</v>
      </c>
      <c r="V653">
        <f t="shared" si="83"/>
        <v>109</v>
      </c>
      <c r="W653">
        <f t="shared" si="84"/>
        <v>-2.2972972972972974</v>
      </c>
      <c r="X653" t="str">
        <f t="shared" si="85"/>
        <v>Low Profit</v>
      </c>
      <c r="Y653">
        <f t="shared" si="86"/>
        <v>239</v>
      </c>
      <c r="Z653">
        <f t="shared" si="87"/>
        <v>164</v>
      </c>
    </row>
    <row r="654" spans="1:26">
      <c r="A654" s="3">
        <v>516</v>
      </c>
      <c r="B654" s="3">
        <v>108</v>
      </c>
      <c r="C654" s="4">
        <v>41183</v>
      </c>
      <c r="D654" s="3" t="s">
        <v>16</v>
      </c>
      <c r="E654" s="3" t="s">
        <v>25</v>
      </c>
      <c r="F654" s="3">
        <v>30</v>
      </c>
      <c r="G654" s="3" t="s">
        <v>18</v>
      </c>
      <c r="H654" s="3" t="s">
        <v>26</v>
      </c>
      <c r="I654" s="3" t="s">
        <v>27</v>
      </c>
      <c r="J654" s="3">
        <v>115</v>
      </c>
      <c r="K654" s="3">
        <v>265</v>
      </c>
      <c r="L654" s="3" t="s">
        <v>60</v>
      </c>
      <c r="M654" s="3">
        <v>110</v>
      </c>
      <c r="N654" s="3">
        <v>140</v>
      </c>
      <c r="O654" s="3">
        <v>280</v>
      </c>
      <c r="P654" s="3">
        <v>42</v>
      </c>
      <c r="Q654">
        <f>SUM([1]!Table1[[#This Row],[Sales]])</f>
        <v>265</v>
      </c>
      <c r="R654">
        <f>SUM([1]!Table1[[#This Row],[Profit]])</f>
        <v>115</v>
      </c>
      <c r="S654" s="7">
        <f t="shared" si="80"/>
        <v>0.43396226415094341</v>
      </c>
      <c r="T654">
        <f t="shared" si="81"/>
        <v>30</v>
      </c>
      <c r="U654">
        <f t="shared" si="82"/>
        <v>-15</v>
      </c>
      <c r="V654">
        <f t="shared" si="83"/>
        <v>-2</v>
      </c>
      <c r="W654">
        <f t="shared" si="84"/>
        <v>3.8333333333333335</v>
      </c>
      <c r="X654" t="str">
        <f t="shared" si="85"/>
        <v>High Profit</v>
      </c>
      <c r="Y654">
        <f t="shared" si="86"/>
        <v>108</v>
      </c>
      <c r="Z654">
        <f t="shared" si="87"/>
        <v>265</v>
      </c>
    </row>
    <row r="655" spans="1:26">
      <c r="A655" s="5">
        <v>716</v>
      </c>
      <c r="B655" s="5">
        <v>123</v>
      </c>
      <c r="C655" s="6">
        <v>41183</v>
      </c>
      <c r="D655" s="5" t="s">
        <v>16</v>
      </c>
      <c r="E655" s="5" t="s">
        <v>25</v>
      </c>
      <c r="F655" s="5">
        <v>34</v>
      </c>
      <c r="G655" s="5" t="s">
        <v>18</v>
      </c>
      <c r="H655" s="5" t="s">
        <v>26</v>
      </c>
      <c r="I655" s="5" t="s">
        <v>54</v>
      </c>
      <c r="J655" s="5">
        <v>134</v>
      </c>
      <c r="K655" s="5">
        <v>302</v>
      </c>
      <c r="L655" s="5" t="s">
        <v>60</v>
      </c>
      <c r="M655" s="5">
        <v>130</v>
      </c>
      <c r="N655" s="5">
        <v>160</v>
      </c>
      <c r="O655" s="5">
        <v>320</v>
      </c>
      <c r="P655" s="5">
        <v>45</v>
      </c>
      <c r="Q655">
        <f>SUM([1]!Table1[[#This Row],[Sales]])</f>
        <v>302</v>
      </c>
      <c r="R655">
        <f>SUM([1]!Table1[[#This Row],[Profit]])</f>
        <v>134</v>
      </c>
      <c r="S655" s="7">
        <f t="shared" si="80"/>
        <v>0.44370860927152317</v>
      </c>
      <c r="T655">
        <f t="shared" si="81"/>
        <v>34</v>
      </c>
      <c r="U655">
        <f t="shared" si="82"/>
        <v>-18</v>
      </c>
      <c r="V655">
        <f t="shared" si="83"/>
        <v>-7</v>
      </c>
      <c r="W655">
        <f t="shared" si="84"/>
        <v>3.9411764705882355</v>
      </c>
      <c r="X655" t="str">
        <f t="shared" si="85"/>
        <v>High Profit</v>
      </c>
      <c r="Y655">
        <f t="shared" si="86"/>
        <v>123</v>
      </c>
      <c r="Z655">
        <f t="shared" si="87"/>
        <v>302</v>
      </c>
    </row>
    <row r="656" spans="1:26">
      <c r="A656" s="3">
        <v>518</v>
      </c>
      <c r="B656" s="3">
        <v>76</v>
      </c>
      <c r="C656" s="4">
        <v>41183</v>
      </c>
      <c r="D656" s="3" t="s">
        <v>16</v>
      </c>
      <c r="E656" s="3" t="s">
        <v>25</v>
      </c>
      <c r="F656" s="3">
        <v>21</v>
      </c>
      <c r="G656" s="3" t="s">
        <v>18</v>
      </c>
      <c r="H656" s="3" t="s">
        <v>26</v>
      </c>
      <c r="I656" s="3" t="s">
        <v>30</v>
      </c>
      <c r="J656" s="3">
        <v>78</v>
      </c>
      <c r="K656" s="3">
        <v>187</v>
      </c>
      <c r="L656" s="3" t="s">
        <v>60</v>
      </c>
      <c r="M656" s="3">
        <v>80</v>
      </c>
      <c r="N656" s="3">
        <v>100</v>
      </c>
      <c r="O656" s="3">
        <v>200</v>
      </c>
      <c r="P656" s="3">
        <v>33</v>
      </c>
      <c r="Q656">
        <f>SUM([1]!Table1[[#This Row],[Sales]])</f>
        <v>187</v>
      </c>
      <c r="R656">
        <f>SUM([1]!Table1[[#This Row],[Profit]])</f>
        <v>78</v>
      </c>
      <c r="S656" s="7">
        <f t="shared" si="80"/>
        <v>0.41711229946524064</v>
      </c>
      <c r="T656">
        <f t="shared" si="81"/>
        <v>21</v>
      </c>
      <c r="U656">
        <f t="shared" si="82"/>
        <v>-13</v>
      </c>
      <c r="V656">
        <f t="shared" si="83"/>
        <v>-4</v>
      </c>
      <c r="W656">
        <f t="shared" si="84"/>
        <v>3.7142857142857144</v>
      </c>
      <c r="X656" t="str">
        <f t="shared" si="85"/>
        <v>Low Profit</v>
      </c>
      <c r="Y656">
        <f t="shared" si="86"/>
        <v>76</v>
      </c>
      <c r="Z656">
        <f t="shared" si="87"/>
        <v>187</v>
      </c>
    </row>
    <row r="657" spans="1:26">
      <c r="A657" s="5">
        <v>772</v>
      </c>
      <c r="B657" s="5">
        <v>102</v>
      </c>
      <c r="C657" s="6">
        <v>41214</v>
      </c>
      <c r="D657" s="5" t="s">
        <v>16</v>
      </c>
      <c r="E657" s="5" t="s">
        <v>25</v>
      </c>
      <c r="F657" s="5">
        <v>31</v>
      </c>
      <c r="G657" s="5" t="s">
        <v>33</v>
      </c>
      <c r="H657" s="5" t="s">
        <v>38</v>
      </c>
      <c r="I657" s="5" t="s">
        <v>39</v>
      </c>
      <c r="J657" s="5">
        <v>89</v>
      </c>
      <c r="K657" s="5">
        <v>245</v>
      </c>
      <c r="L657" s="5" t="s">
        <v>28</v>
      </c>
      <c r="M657" s="5">
        <v>90</v>
      </c>
      <c r="N657" s="5">
        <v>90</v>
      </c>
      <c r="O657" s="5">
        <v>220</v>
      </c>
      <c r="P657" s="5">
        <v>54</v>
      </c>
      <c r="Q657">
        <f>SUM([1]!Table1[[#This Row],[Sales]])</f>
        <v>245</v>
      </c>
      <c r="R657">
        <f>SUM([1]!Table1[[#This Row],[Profit]])</f>
        <v>89</v>
      </c>
      <c r="S657" s="7">
        <f t="shared" si="80"/>
        <v>0.36326530612244901</v>
      </c>
      <c r="T657">
        <f t="shared" si="81"/>
        <v>31</v>
      </c>
      <c r="U657">
        <f t="shared" si="82"/>
        <v>25</v>
      </c>
      <c r="V657">
        <f t="shared" si="83"/>
        <v>12</v>
      </c>
      <c r="W657">
        <f t="shared" si="84"/>
        <v>2.870967741935484</v>
      </c>
      <c r="X657" t="str">
        <f t="shared" si="85"/>
        <v>Low Profit</v>
      </c>
      <c r="Y657">
        <f t="shared" si="86"/>
        <v>102</v>
      </c>
      <c r="Z657">
        <f t="shared" si="87"/>
        <v>245</v>
      </c>
    </row>
    <row r="658" spans="1:26">
      <c r="A658" s="3">
        <v>561</v>
      </c>
      <c r="B658" s="3">
        <v>77</v>
      </c>
      <c r="C658" s="4">
        <v>41214</v>
      </c>
      <c r="D658" s="3" t="s">
        <v>16</v>
      </c>
      <c r="E658" s="3" t="s">
        <v>25</v>
      </c>
      <c r="F658" s="3">
        <v>25</v>
      </c>
      <c r="G658" s="3" t="s">
        <v>33</v>
      </c>
      <c r="H658" s="3" t="s">
        <v>34</v>
      </c>
      <c r="I658" s="3" t="s">
        <v>35</v>
      </c>
      <c r="J658" s="3">
        <v>51</v>
      </c>
      <c r="K658" s="3">
        <v>180</v>
      </c>
      <c r="L658" s="3" t="s">
        <v>28</v>
      </c>
      <c r="M658" s="3">
        <v>70</v>
      </c>
      <c r="N658" s="3">
        <v>60</v>
      </c>
      <c r="O658" s="3">
        <v>170</v>
      </c>
      <c r="P658" s="3">
        <v>52</v>
      </c>
      <c r="Q658">
        <f>SUM([1]!Table1[[#This Row],[Sales]])</f>
        <v>180</v>
      </c>
      <c r="R658">
        <f>SUM([1]!Table1[[#This Row],[Profit]])</f>
        <v>51</v>
      </c>
      <c r="S658" s="7">
        <f t="shared" si="80"/>
        <v>0.28333333333333333</v>
      </c>
      <c r="T658">
        <f t="shared" si="81"/>
        <v>25</v>
      </c>
      <c r="U658">
        <f t="shared" si="82"/>
        <v>10</v>
      </c>
      <c r="V658">
        <f t="shared" si="83"/>
        <v>7</v>
      </c>
      <c r="W658">
        <f t="shared" si="84"/>
        <v>2.04</v>
      </c>
      <c r="X658" t="str">
        <f t="shared" si="85"/>
        <v>Low Profit</v>
      </c>
      <c r="Y658">
        <f t="shared" si="86"/>
        <v>77</v>
      </c>
      <c r="Z658">
        <f t="shared" si="87"/>
        <v>180</v>
      </c>
    </row>
    <row r="659" spans="1:26">
      <c r="A659" s="5">
        <v>754</v>
      </c>
      <c r="B659" s="5">
        <v>78</v>
      </c>
      <c r="C659" s="6">
        <v>41214</v>
      </c>
      <c r="D659" s="5" t="s">
        <v>16</v>
      </c>
      <c r="E659" s="5" t="s">
        <v>25</v>
      </c>
      <c r="F659" s="5">
        <v>25</v>
      </c>
      <c r="G659" s="5" t="s">
        <v>33</v>
      </c>
      <c r="H659" s="5" t="s">
        <v>38</v>
      </c>
      <c r="I659" s="5" t="s">
        <v>45</v>
      </c>
      <c r="J659" s="5">
        <v>63</v>
      </c>
      <c r="K659" s="5">
        <v>197</v>
      </c>
      <c r="L659" s="5" t="s">
        <v>28</v>
      </c>
      <c r="M659" s="5">
        <v>70</v>
      </c>
      <c r="N659" s="5">
        <v>60</v>
      </c>
      <c r="O659" s="5">
        <v>170</v>
      </c>
      <c r="P659" s="5">
        <v>56</v>
      </c>
      <c r="Q659">
        <f>SUM([1]!Table1[[#This Row],[Sales]])</f>
        <v>197</v>
      </c>
      <c r="R659">
        <f>SUM([1]!Table1[[#This Row],[Profit]])</f>
        <v>63</v>
      </c>
      <c r="S659" s="7">
        <f t="shared" si="80"/>
        <v>0.31979695431472083</v>
      </c>
      <c r="T659">
        <f t="shared" si="81"/>
        <v>25</v>
      </c>
      <c r="U659">
        <f t="shared" si="82"/>
        <v>27</v>
      </c>
      <c r="V659">
        <f t="shared" si="83"/>
        <v>8</v>
      </c>
      <c r="W659">
        <f t="shared" si="84"/>
        <v>2.52</v>
      </c>
      <c r="X659" t="str">
        <f t="shared" si="85"/>
        <v>Low Profit</v>
      </c>
      <c r="Y659">
        <f t="shared" si="86"/>
        <v>78</v>
      </c>
      <c r="Z659">
        <f t="shared" si="87"/>
        <v>197</v>
      </c>
    </row>
    <row r="660" spans="1:26">
      <c r="A660" s="3">
        <v>978</v>
      </c>
      <c r="B660" s="3">
        <v>75</v>
      </c>
      <c r="C660" s="4">
        <v>41214</v>
      </c>
      <c r="D660" s="3" t="s">
        <v>16</v>
      </c>
      <c r="E660" s="3" t="s">
        <v>25</v>
      </c>
      <c r="F660" s="3">
        <v>24</v>
      </c>
      <c r="G660" s="3" t="s">
        <v>33</v>
      </c>
      <c r="H660" s="3" t="s">
        <v>38</v>
      </c>
      <c r="I660" s="3" t="s">
        <v>45</v>
      </c>
      <c r="J660" s="3">
        <v>324</v>
      </c>
      <c r="K660" s="3">
        <v>454</v>
      </c>
      <c r="L660" s="3" t="s">
        <v>55</v>
      </c>
      <c r="M660" s="3">
        <v>60</v>
      </c>
      <c r="N660" s="3">
        <v>300</v>
      </c>
      <c r="O660" s="3">
        <v>400</v>
      </c>
      <c r="P660" s="3">
        <v>55</v>
      </c>
      <c r="Q660">
        <f>SUM([1]!Table1[[#This Row],[Sales]])</f>
        <v>454</v>
      </c>
      <c r="R660">
        <f>SUM([1]!Table1[[#This Row],[Profit]])</f>
        <v>324</v>
      </c>
      <c r="S660" s="7">
        <f t="shared" si="80"/>
        <v>0.71365638766519823</v>
      </c>
      <c r="T660">
        <f t="shared" si="81"/>
        <v>24</v>
      </c>
      <c r="U660">
        <f t="shared" si="82"/>
        <v>54</v>
      </c>
      <c r="V660">
        <f t="shared" si="83"/>
        <v>15</v>
      </c>
      <c r="W660">
        <f t="shared" si="84"/>
        <v>13.5</v>
      </c>
      <c r="X660" t="str">
        <f t="shared" si="85"/>
        <v>High Profit</v>
      </c>
      <c r="Y660">
        <f t="shared" si="86"/>
        <v>75</v>
      </c>
      <c r="Z660">
        <f t="shared" si="87"/>
        <v>454</v>
      </c>
    </row>
    <row r="661" spans="1:26">
      <c r="A661" s="5">
        <v>347</v>
      </c>
      <c r="B661" s="5">
        <v>249</v>
      </c>
      <c r="C661" s="6">
        <v>41214</v>
      </c>
      <c r="D661" s="5" t="s">
        <v>16</v>
      </c>
      <c r="E661" s="5" t="s">
        <v>25</v>
      </c>
      <c r="F661" s="5">
        <v>87</v>
      </c>
      <c r="G661" s="5" t="s">
        <v>33</v>
      </c>
      <c r="H661" s="5" t="s">
        <v>38</v>
      </c>
      <c r="I661" s="5" t="s">
        <v>45</v>
      </c>
      <c r="J661" s="5">
        <v>236</v>
      </c>
      <c r="K661" s="5">
        <v>623</v>
      </c>
      <c r="L661" s="5" t="s">
        <v>60</v>
      </c>
      <c r="M661" s="5">
        <v>220</v>
      </c>
      <c r="N661" s="5">
        <v>230</v>
      </c>
      <c r="O661" s="5">
        <v>560</v>
      </c>
      <c r="P661" s="5">
        <v>138</v>
      </c>
      <c r="Q661">
        <f>SUM([1]!Table1[[#This Row],[Sales]])</f>
        <v>623</v>
      </c>
      <c r="R661">
        <f>SUM([1]!Table1[[#This Row],[Profit]])</f>
        <v>236</v>
      </c>
      <c r="S661" s="7">
        <f t="shared" si="80"/>
        <v>0.37881219903691815</v>
      </c>
      <c r="T661">
        <f t="shared" si="81"/>
        <v>87</v>
      </c>
      <c r="U661">
        <f t="shared" si="82"/>
        <v>63</v>
      </c>
      <c r="V661">
        <f t="shared" si="83"/>
        <v>29</v>
      </c>
      <c r="W661">
        <f t="shared" si="84"/>
        <v>2.7126436781609193</v>
      </c>
      <c r="X661" t="str">
        <f t="shared" si="85"/>
        <v>High Profit</v>
      </c>
      <c r="Y661">
        <f t="shared" si="86"/>
        <v>249</v>
      </c>
      <c r="Z661">
        <f t="shared" si="87"/>
        <v>623</v>
      </c>
    </row>
    <row r="662" spans="1:26">
      <c r="A662" s="3">
        <v>754</v>
      </c>
      <c r="B662" s="3">
        <v>94</v>
      </c>
      <c r="C662" s="4">
        <v>41214</v>
      </c>
      <c r="D662" s="3" t="s">
        <v>16</v>
      </c>
      <c r="E662" s="3" t="s">
        <v>25</v>
      </c>
      <c r="F662" s="3">
        <v>85</v>
      </c>
      <c r="G662" s="3" t="s">
        <v>33</v>
      </c>
      <c r="H662" s="3" t="s">
        <v>34</v>
      </c>
      <c r="I662" s="3" t="s">
        <v>46</v>
      </c>
      <c r="J662" s="3">
        <v>15</v>
      </c>
      <c r="K662" s="3">
        <v>224</v>
      </c>
      <c r="L662" s="3" t="s">
        <v>28</v>
      </c>
      <c r="M662" s="3">
        <v>90</v>
      </c>
      <c r="N662" s="3">
        <v>20</v>
      </c>
      <c r="O662" s="3">
        <v>210</v>
      </c>
      <c r="P662" s="3">
        <v>115</v>
      </c>
      <c r="Q662">
        <f>SUM([1]!Table1[[#This Row],[Sales]])</f>
        <v>224</v>
      </c>
      <c r="R662">
        <f>SUM([1]!Table1[[#This Row],[Profit]])</f>
        <v>15</v>
      </c>
      <c r="S662" s="7">
        <f t="shared" si="80"/>
        <v>6.6964285714285712E-2</v>
      </c>
      <c r="T662">
        <f t="shared" si="81"/>
        <v>85</v>
      </c>
      <c r="U662">
        <f t="shared" si="82"/>
        <v>14</v>
      </c>
      <c r="V662">
        <f t="shared" si="83"/>
        <v>4</v>
      </c>
      <c r="W662">
        <f t="shared" si="84"/>
        <v>0.17647058823529413</v>
      </c>
      <c r="X662" t="str">
        <f t="shared" si="85"/>
        <v>Low Profit</v>
      </c>
      <c r="Y662">
        <f t="shared" si="86"/>
        <v>94</v>
      </c>
      <c r="Z662">
        <f t="shared" si="87"/>
        <v>224</v>
      </c>
    </row>
    <row r="663" spans="1:26">
      <c r="A663" s="5">
        <v>347</v>
      </c>
      <c r="B663" s="5">
        <v>121</v>
      </c>
      <c r="C663" s="6">
        <v>41214</v>
      </c>
      <c r="D663" s="5" t="s">
        <v>16</v>
      </c>
      <c r="E663" s="5" t="s">
        <v>25</v>
      </c>
      <c r="F663" s="5">
        <v>109</v>
      </c>
      <c r="G663" s="5" t="s">
        <v>33</v>
      </c>
      <c r="H663" s="5" t="s">
        <v>34</v>
      </c>
      <c r="I663" s="5" t="s">
        <v>46</v>
      </c>
      <c r="J663" s="5">
        <v>-202</v>
      </c>
      <c r="K663" s="5">
        <v>61</v>
      </c>
      <c r="L663" s="5" t="s">
        <v>60</v>
      </c>
      <c r="M663" s="5">
        <v>110</v>
      </c>
      <c r="N663" s="5">
        <v>-190</v>
      </c>
      <c r="O663" s="5">
        <v>50</v>
      </c>
      <c r="P663" s="5">
        <v>142</v>
      </c>
      <c r="Q663">
        <f>SUM([1]!Table1[[#This Row],[Sales]])</f>
        <v>61</v>
      </c>
      <c r="R663">
        <f>SUM([1]!Table1[[#This Row],[Profit]])</f>
        <v>-202</v>
      </c>
      <c r="S663" s="7">
        <f t="shared" si="80"/>
        <v>-3.3114754098360657</v>
      </c>
      <c r="T663">
        <f t="shared" si="81"/>
        <v>109</v>
      </c>
      <c r="U663">
        <f t="shared" si="82"/>
        <v>11</v>
      </c>
      <c r="V663">
        <f t="shared" si="83"/>
        <v>11</v>
      </c>
      <c r="W663">
        <f t="shared" si="84"/>
        <v>-1.8532110091743119</v>
      </c>
      <c r="X663" t="str">
        <f t="shared" si="85"/>
        <v>Low Profit</v>
      </c>
      <c r="Y663">
        <f t="shared" si="86"/>
        <v>121</v>
      </c>
      <c r="Z663">
        <f t="shared" si="87"/>
        <v>61</v>
      </c>
    </row>
    <row r="664" spans="1:26">
      <c r="A664" s="3">
        <v>508</v>
      </c>
      <c r="B664" s="3">
        <v>181</v>
      </c>
      <c r="C664" s="4">
        <v>41214</v>
      </c>
      <c r="D664" s="3" t="s">
        <v>16</v>
      </c>
      <c r="E664" s="3" t="s">
        <v>25</v>
      </c>
      <c r="F664" s="3">
        <v>50</v>
      </c>
      <c r="G664" s="3" t="s">
        <v>33</v>
      </c>
      <c r="H664" s="3" t="s">
        <v>34</v>
      </c>
      <c r="I664" s="3" t="s">
        <v>59</v>
      </c>
      <c r="J664" s="3">
        <v>108</v>
      </c>
      <c r="K664" s="3">
        <v>363</v>
      </c>
      <c r="L664" s="3" t="s">
        <v>55</v>
      </c>
      <c r="M664" s="3">
        <v>170</v>
      </c>
      <c r="N664" s="3">
        <v>120</v>
      </c>
      <c r="O664" s="3">
        <v>350</v>
      </c>
      <c r="P664" s="3">
        <v>74</v>
      </c>
      <c r="Q664">
        <f>SUM([1]!Table1[[#This Row],[Sales]])</f>
        <v>363</v>
      </c>
      <c r="R664">
        <f>SUM([1]!Table1[[#This Row],[Profit]])</f>
        <v>108</v>
      </c>
      <c r="S664" s="7">
        <f t="shared" si="80"/>
        <v>0.2975206611570248</v>
      </c>
      <c r="T664">
        <f t="shared" si="81"/>
        <v>50</v>
      </c>
      <c r="U664">
        <f t="shared" si="82"/>
        <v>13</v>
      </c>
      <c r="V664">
        <f t="shared" si="83"/>
        <v>11</v>
      </c>
      <c r="W664">
        <f t="shared" si="84"/>
        <v>2.16</v>
      </c>
      <c r="X664" t="str">
        <f t="shared" si="85"/>
        <v>High Profit</v>
      </c>
      <c r="Y664">
        <f t="shared" si="86"/>
        <v>181</v>
      </c>
      <c r="Z664">
        <f t="shared" si="87"/>
        <v>363</v>
      </c>
    </row>
    <row r="665" spans="1:26">
      <c r="A665" s="5">
        <v>646</v>
      </c>
      <c r="B665" s="5">
        <v>211</v>
      </c>
      <c r="C665" s="6">
        <v>41214</v>
      </c>
      <c r="D665" s="5" t="s">
        <v>16</v>
      </c>
      <c r="E665" s="5" t="s">
        <v>25</v>
      </c>
      <c r="F665" s="5">
        <v>59</v>
      </c>
      <c r="G665" s="5" t="s">
        <v>33</v>
      </c>
      <c r="H665" s="5" t="s">
        <v>34</v>
      </c>
      <c r="I665" s="5" t="s">
        <v>59</v>
      </c>
      <c r="J665" s="5">
        <v>381</v>
      </c>
      <c r="K665" s="5">
        <v>675</v>
      </c>
      <c r="L665" s="5" t="s">
        <v>60</v>
      </c>
      <c r="M665" s="5">
        <v>200</v>
      </c>
      <c r="N665" s="5">
        <v>390</v>
      </c>
      <c r="O665" s="5">
        <v>660</v>
      </c>
      <c r="P665" s="5">
        <v>83</v>
      </c>
      <c r="Q665">
        <f>SUM([1]!Table1[[#This Row],[Sales]])</f>
        <v>675</v>
      </c>
      <c r="R665">
        <f>SUM([1]!Table1[[#This Row],[Profit]])</f>
        <v>381</v>
      </c>
      <c r="S665" s="7">
        <f t="shared" si="80"/>
        <v>0.56444444444444442</v>
      </c>
      <c r="T665">
        <f t="shared" si="81"/>
        <v>59</v>
      </c>
      <c r="U665">
        <f t="shared" si="82"/>
        <v>15</v>
      </c>
      <c r="V665">
        <f t="shared" si="83"/>
        <v>11</v>
      </c>
      <c r="W665">
        <f t="shared" si="84"/>
        <v>6.4576271186440675</v>
      </c>
      <c r="X665" t="str">
        <f t="shared" si="85"/>
        <v>High Profit</v>
      </c>
      <c r="Y665">
        <f t="shared" si="86"/>
        <v>211</v>
      </c>
      <c r="Z665">
        <f t="shared" si="87"/>
        <v>675</v>
      </c>
    </row>
    <row r="666" spans="1:26">
      <c r="A666" s="3">
        <v>561</v>
      </c>
      <c r="B666" s="3">
        <v>22</v>
      </c>
      <c r="C666" s="4">
        <v>41214</v>
      </c>
      <c r="D666" s="3" t="s">
        <v>16</v>
      </c>
      <c r="E666" s="3" t="s">
        <v>25</v>
      </c>
      <c r="F666" s="3">
        <v>7</v>
      </c>
      <c r="G666" s="3" t="s">
        <v>18</v>
      </c>
      <c r="H666" s="3" t="s">
        <v>19</v>
      </c>
      <c r="I666" s="3" t="s">
        <v>50</v>
      </c>
      <c r="J666" s="3">
        <v>11</v>
      </c>
      <c r="K666" s="3">
        <v>52</v>
      </c>
      <c r="L666" s="3" t="s">
        <v>28</v>
      </c>
      <c r="M666" s="3">
        <v>10</v>
      </c>
      <c r="N666" s="3">
        <v>10</v>
      </c>
      <c r="O666" s="3">
        <v>30</v>
      </c>
      <c r="P666" s="3">
        <v>19</v>
      </c>
      <c r="Q666">
        <f>SUM([1]!Table1[[#This Row],[Sales]])</f>
        <v>52</v>
      </c>
      <c r="R666">
        <f>SUM([1]!Table1[[#This Row],[Profit]])</f>
        <v>11</v>
      </c>
      <c r="S666" s="7">
        <f t="shared" si="80"/>
        <v>0.21153846153846154</v>
      </c>
      <c r="T666">
        <f t="shared" si="81"/>
        <v>7</v>
      </c>
      <c r="U666">
        <f t="shared" si="82"/>
        <v>22</v>
      </c>
      <c r="V666">
        <f t="shared" si="83"/>
        <v>12</v>
      </c>
      <c r="W666">
        <f t="shared" si="84"/>
        <v>1.5714285714285714</v>
      </c>
      <c r="X666" t="str">
        <f t="shared" si="85"/>
        <v>Low Profit</v>
      </c>
      <c r="Y666">
        <f t="shared" si="86"/>
        <v>22</v>
      </c>
      <c r="Z666">
        <f t="shared" si="87"/>
        <v>52</v>
      </c>
    </row>
    <row r="667" spans="1:26">
      <c r="A667" s="5">
        <v>631</v>
      </c>
      <c r="B667" s="5">
        <v>245</v>
      </c>
      <c r="C667" s="6">
        <v>41214</v>
      </c>
      <c r="D667" s="5" t="s">
        <v>16</v>
      </c>
      <c r="E667" s="5" t="s">
        <v>25</v>
      </c>
      <c r="F667" s="5">
        <v>93</v>
      </c>
      <c r="G667" s="5" t="s">
        <v>18</v>
      </c>
      <c r="H667" s="5" t="s">
        <v>19</v>
      </c>
      <c r="I667" s="5" t="s">
        <v>20</v>
      </c>
      <c r="J667" s="5">
        <v>204</v>
      </c>
      <c r="K667" s="5">
        <v>576</v>
      </c>
      <c r="L667" s="5" t="s">
        <v>60</v>
      </c>
      <c r="M667" s="5">
        <v>180</v>
      </c>
      <c r="N667" s="5">
        <v>140</v>
      </c>
      <c r="O667" s="5">
        <v>420</v>
      </c>
      <c r="P667" s="5">
        <v>127</v>
      </c>
      <c r="Q667">
        <f>SUM([1]!Table1[[#This Row],[Sales]])</f>
        <v>576</v>
      </c>
      <c r="R667">
        <f>SUM([1]!Table1[[#This Row],[Profit]])</f>
        <v>204</v>
      </c>
      <c r="S667" s="7">
        <f t="shared" si="80"/>
        <v>0.35416666666666669</v>
      </c>
      <c r="T667">
        <f t="shared" si="81"/>
        <v>93</v>
      </c>
      <c r="U667">
        <f t="shared" si="82"/>
        <v>156</v>
      </c>
      <c r="V667">
        <f t="shared" si="83"/>
        <v>65</v>
      </c>
      <c r="W667">
        <f t="shared" si="84"/>
        <v>2.193548387096774</v>
      </c>
      <c r="X667" t="str">
        <f t="shared" si="85"/>
        <v>High Profit</v>
      </c>
      <c r="Y667">
        <f t="shared" si="86"/>
        <v>245</v>
      </c>
      <c r="Z667">
        <f t="shared" si="87"/>
        <v>576</v>
      </c>
    </row>
    <row r="668" spans="1:26">
      <c r="A668" s="3">
        <v>914</v>
      </c>
      <c r="B668" s="3">
        <v>225</v>
      </c>
      <c r="C668" s="4">
        <v>41214</v>
      </c>
      <c r="D668" s="3" t="s">
        <v>16</v>
      </c>
      <c r="E668" s="3" t="s">
        <v>25</v>
      </c>
      <c r="F668" s="3">
        <v>69</v>
      </c>
      <c r="G668" s="3" t="s">
        <v>18</v>
      </c>
      <c r="H668" s="3" t="s">
        <v>19</v>
      </c>
      <c r="I668" s="3" t="s">
        <v>22</v>
      </c>
      <c r="J668" s="3">
        <v>-156</v>
      </c>
      <c r="K668" s="3">
        <v>160</v>
      </c>
      <c r="L668" s="3" t="s">
        <v>60</v>
      </c>
      <c r="M668" s="3">
        <v>160</v>
      </c>
      <c r="N668" s="3">
        <v>-120</v>
      </c>
      <c r="O668" s="3">
        <v>110</v>
      </c>
      <c r="P668" s="3">
        <v>91</v>
      </c>
      <c r="Q668">
        <f>SUM([1]!Table1[[#This Row],[Sales]])</f>
        <v>160</v>
      </c>
      <c r="R668">
        <f>SUM([1]!Table1[[#This Row],[Profit]])</f>
        <v>-156</v>
      </c>
      <c r="S668" s="7">
        <f t="shared" si="80"/>
        <v>-0.97499999999999998</v>
      </c>
      <c r="T668">
        <f t="shared" si="81"/>
        <v>69</v>
      </c>
      <c r="U668">
        <f t="shared" si="82"/>
        <v>50</v>
      </c>
      <c r="V668">
        <f t="shared" si="83"/>
        <v>65</v>
      </c>
      <c r="W668">
        <f t="shared" si="84"/>
        <v>-2.2608695652173911</v>
      </c>
      <c r="X668" t="str">
        <f t="shared" si="85"/>
        <v>Low Profit</v>
      </c>
      <c r="Y668">
        <f t="shared" si="86"/>
        <v>225</v>
      </c>
      <c r="Z668">
        <f t="shared" si="87"/>
        <v>160</v>
      </c>
    </row>
    <row r="669" spans="1:26">
      <c r="A669" s="5">
        <v>518</v>
      </c>
      <c r="B669" s="5">
        <v>81</v>
      </c>
      <c r="C669" s="6">
        <v>41214</v>
      </c>
      <c r="D669" s="5" t="s">
        <v>16</v>
      </c>
      <c r="E669" s="5" t="s">
        <v>25</v>
      </c>
      <c r="F669" s="5">
        <v>22</v>
      </c>
      <c r="G669" s="5" t="s">
        <v>18</v>
      </c>
      <c r="H669" s="5" t="s">
        <v>26</v>
      </c>
      <c r="I669" s="5" t="s">
        <v>27</v>
      </c>
      <c r="J669" s="5">
        <v>84</v>
      </c>
      <c r="K669" s="5">
        <v>198</v>
      </c>
      <c r="L669" s="5" t="s">
        <v>60</v>
      </c>
      <c r="M669" s="5">
        <v>80</v>
      </c>
      <c r="N669" s="5">
        <v>90</v>
      </c>
      <c r="O669" s="5">
        <v>200</v>
      </c>
      <c r="P669" s="5">
        <v>33</v>
      </c>
      <c r="Q669">
        <f>SUM([1]!Table1[[#This Row],[Sales]])</f>
        <v>198</v>
      </c>
      <c r="R669">
        <f>SUM([1]!Table1[[#This Row],[Profit]])</f>
        <v>84</v>
      </c>
      <c r="S669" s="7">
        <f t="shared" si="80"/>
        <v>0.42424242424242425</v>
      </c>
      <c r="T669">
        <f t="shared" si="81"/>
        <v>22</v>
      </c>
      <c r="U669">
        <f t="shared" si="82"/>
        <v>-2</v>
      </c>
      <c r="V669">
        <f t="shared" si="83"/>
        <v>1</v>
      </c>
      <c r="W669">
        <f t="shared" si="84"/>
        <v>3.8181818181818183</v>
      </c>
      <c r="X669" t="str">
        <f t="shared" si="85"/>
        <v>Low Profit</v>
      </c>
      <c r="Y669">
        <f t="shared" si="86"/>
        <v>81</v>
      </c>
      <c r="Z669">
        <f t="shared" si="87"/>
        <v>198</v>
      </c>
    </row>
    <row r="670" spans="1:26">
      <c r="A670" s="3">
        <v>315</v>
      </c>
      <c r="B670" s="3">
        <v>118</v>
      </c>
      <c r="C670" s="4">
        <v>41214</v>
      </c>
      <c r="D670" s="3" t="s">
        <v>16</v>
      </c>
      <c r="E670" s="3" t="s">
        <v>25</v>
      </c>
      <c r="F670" s="3">
        <v>33</v>
      </c>
      <c r="G670" s="3" t="s">
        <v>18</v>
      </c>
      <c r="H670" s="3" t="s">
        <v>26</v>
      </c>
      <c r="I670" s="3" t="s">
        <v>54</v>
      </c>
      <c r="J670" s="3">
        <v>127</v>
      </c>
      <c r="K670" s="3">
        <v>290</v>
      </c>
      <c r="L670" s="3" t="s">
        <v>60</v>
      </c>
      <c r="M670" s="3">
        <v>120</v>
      </c>
      <c r="N670" s="3">
        <v>130</v>
      </c>
      <c r="O670" s="3">
        <v>290</v>
      </c>
      <c r="P670" s="3">
        <v>45</v>
      </c>
      <c r="Q670">
        <f>SUM([1]!Table1[[#This Row],[Sales]])</f>
        <v>290</v>
      </c>
      <c r="R670">
        <f>SUM([1]!Table1[[#This Row],[Profit]])</f>
        <v>127</v>
      </c>
      <c r="S670" s="7">
        <f t="shared" si="80"/>
        <v>0.43793103448275861</v>
      </c>
      <c r="T670">
        <f t="shared" si="81"/>
        <v>33</v>
      </c>
      <c r="U670">
        <f t="shared" si="82"/>
        <v>0</v>
      </c>
      <c r="V670">
        <f t="shared" si="83"/>
        <v>-2</v>
      </c>
      <c r="W670">
        <f t="shared" si="84"/>
        <v>3.8484848484848486</v>
      </c>
      <c r="X670" t="str">
        <f t="shared" si="85"/>
        <v>High Profit</v>
      </c>
      <c r="Y670">
        <f t="shared" si="86"/>
        <v>118</v>
      </c>
      <c r="Z670">
        <f t="shared" si="87"/>
        <v>290</v>
      </c>
    </row>
    <row r="671" spans="1:26">
      <c r="A671" s="5">
        <v>813</v>
      </c>
      <c r="B671" s="5">
        <v>134</v>
      </c>
      <c r="C671" s="6">
        <v>41244</v>
      </c>
      <c r="D671" s="5" t="s">
        <v>16</v>
      </c>
      <c r="E671" s="5" t="s">
        <v>25</v>
      </c>
      <c r="F671" s="5">
        <v>41</v>
      </c>
      <c r="G671" s="5" t="s">
        <v>33</v>
      </c>
      <c r="H671" s="5" t="s">
        <v>38</v>
      </c>
      <c r="I671" s="5" t="s">
        <v>39</v>
      </c>
      <c r="J671" s="5">
        <v>122</v>
      </c>
      <c r="K671" s="5">
        <v>320</v>
      </c>
      <c r="L671" s="5" t="s">
        <v>28</v>
      </c>
      <c r="M671" s="5">
        <v>120</v>
      </c>
      <c r="N671" s="5">
        <v>110</v>
      </c>
      <c r="O671" s="5">
        <v>280</v>
      </c>
      <c r="P671" s="5">
        <v>64</v>
      </c>
      <c r="Q671">
        <f>SUM([1]!Table1[[#This Row],[Sales]])</f>
        <v>320</v>
      </c>
      <c r="R671">
        <f>SUM([1]!Table1[[#This Row],[Profit]])</f>
        <v>122</v>
      </c>
      <c r="S671" s="7">
        <f t="shared" si="80"/>
        <v>0.38124999999999998</v>
      </c>
      <c r="T671">
        <f t="shared" si="81"/>
        <v>41</v>
      </c>
      <c r="U671">
        <f t="shared" si="82"/>
        <v>40</v>
      </c>
      <c r="V671">
        <f t="shared" si="83"/>
        <v>14</v>
      </c>
      <c r="W671">
        <f t="shared" si="84"/>
        <v>2.975609756097561</v>
      </c>
      <c r="X671" t="str">
        <f t="shared" si="85"/>
        <v>High Profit</v>
      </c>
      <c r="Y671">
        <f t="shared" si="86"/>
        <v>134</v>
      </c>
      <c r="Z671">
        <f t="shared" si="87"/>
        <v>320</v>
      </c>
    </row>
    <row r="672" spans="1:26">
      <c r="A672" s="3">
        <v>407</v>
      </c>
      <c r="B672" s="3">
        <v>83</v>
      </c>
      <c r="C672" s="4">
        <v>41244</v>
      </c>
      <c r="D672" s="3" t="s">
        <v>16</v>
      </c>
      <c r="E672" s="3" t="s">
        <v>25</v>
      </c>
      <c r="F672" s="3">
        <v>27</v>
      </c>
      <c r="G672" s="3" t="s">
        <v>33</v>
      </c>
      <c r="H672" s="3" t="s">
        <v>34</v>
      </c>
      <c r="I672" s="3" t="s">
        <v>35</v>
      </c>
      <c r="J672" s="3">
        <v>58</v>
      </c>
      <c r="K672" s="3">
        <v>195</v>
      </c>
      <c r="L672" s="3" t="s">
        <v>28</v>
      </c>
      <c r="M672" s="3">
        <v>80</v>
      </c>
      <c r="N672" s="3">
        <v>70</v>
      </c>
      <c r="O672" s="3">
        <v>190</v>
      </c>
      <c r="P672" s="3">
        <v>54</v>
      </c>
      <c r="Q672">
        <f>SUM([1]!Table1[[#This Row],[Sales]])</f>
        <v>195</v>
      </c>
      <c r="R672">
        <f>SUM([1]!Table1[[#This Row],[Profit]])</f>
        <v>58</v>
      </c>
      <c r="S672" s="7">
        <f t="shared" si="80"/>
        <v>0.29743589743589743</v>
      </c>
      <c r="T672">
        <f t="shared" si="81"/>
        <v>27</v>
      </c>
      <c r="U672">
        <f t="shared" si="82"/>
        <v>5</v>
      </c>
      <c r="V672">
        <f t="shared" si="83"/>
        <v>3</v>
      </c>
      <c r="W672">
        <f t="shared" si="84"/>
        <v>2.1481481481481484</v>
      </c>
      <c r="X672" t="str">
        <f t="shared" si="85"/>
        <v>Low Profit</v>
      </c>
      <c r="Y672">
        <f t="shared" si="86"/>
        <v>83</v>
      </c>
      <c r="Z672">
        <f t="shared" si="87"/>
        <v>195</v>
      </c>
    </row>
    <row r="673" spans="1:26">
      <c r="A673" s="5">
        <v>754</v>
      </c>
      <c r="B673" s="5">
        <v>88</v>
      </c>
      <c r="C673" s="6">
        <v>41244</v>
      </c>
      <c r="D673" s="5" t="s">
        <v>16</v>
      </c>
      <c r="E673" s="5" t="s">
        <v>25</v>
      </c>
      <c r="F673" s="5">
        <v>29</v>
      </c>
      <c r="G673" s="5" t="s">
        <v>33</v>
      </c>
      <c r="H673" s="5" t="s">
        <v>38</v>
      </c>
      <c r="I673" s="5" t="s">
        <v>45</v>
      </c>
      <c r="J673" s="5">
        <v>73</v>
      </c>
      <c r="K673" s="5">
        <v>221</v>
      </c>
      <c r="L673" s="5" t="s">
        <v>28</v>
      </c>
      <c r="M673" s="5">
        <v>70</v>
      </c>
      <c r="N673" s="5">
        <v>80</v>
      </c>
      <c r="O673" s="5">
        <v>190</v>
      </c>
      <c r="P673" s="5">
        <v>60</v>
      </c>
      <c r="Q673">
        <f>SUM([1]!Table1[[#This Row],[Sales]])</f>
        <v>221</v>
      </c>
      <c r="R673">
        <f>SUM([1]!Table1[[#This Row],[Profit]])</f>
        <v>73</v>
      </c>
      <c r="S673" s="7">
        <f t="shared" si="80"/>
        <v>0.33031674208144796</v>
      </c>
      <c r="T673">
        <f t="shared" si="81"/>
        <v>29</v>
      </c>
      <c r="U673">
        <f t="shared" si="82"/>
        <v>31</v>
      </c>
      <c r="V673">
        <f t="shared" si="83"/>
        <v>18</v>
      </c>
      <c r="W673">
        <f t="shared" si="84"/>
        <v>2.5172413793103448</v>
      </c>
      <c r="X673" t="str">
        <f t="shared" si="85"/>
        <v>Low Profit</v>
      </c>
      <c r="Y673">
        <f t="shared" si="86"/>
        <v>88</v>
      </c>
      <c r="Z673">
        <f t="shared" si="87"/>
        <v>221</v>
      </c>
    </row>
    <row r="674" spans="1:26">
      <c r="A674" s="3">
        <v>351</v>
      </c>
      <c r="B674" s="3">
        <v>67</v>
      </c>
      <c r="C674" s="4">
        <v>41244</v>
      </c>
      <c r="D674" s="3" t="s">
        <v>16</v>
      </c>
      <c r="E674" s="3" t="s">
        <v>25</v>
      </c>
      <c r="F674" s="3">
        <v>22</v>
      </c>
      <c r="G674" s="3" t="s">
        <v>33</v>
      </c>
      <c r="H674" s="3" t="s">
        <v>38</v>
      </c>
      <c r="I674" s="3" t="s">
        <v>45</v>
      </c>
      <c r="J674" s="3">
        <v>390</v>
      </c>
      <c r="K674" s="3">
        <v>510</v>
      </c>
      <c r="L674" s="3" t="s">
        <v>55</v>
      </c>
      <c r="M674" s="3">
        <v>60</v>
      </c>
      <c r="N674" s="3">
        <v>360</v>
      </c>
      <c r="O674" s="3">
        <v>450</v>
      </c>
      <c r="P674" s="3">
        <v>53</v>
      </c>
      <c r="Q674">
        <f>SUM([1]!Table1[[#This Row],[Sales]])</f>
        <v>510</v>
      </c>
      <c r="R674">
        <f>SUM([1]!Table1[[#This Row],[Profit]])</f>
        <v>390</v>
      </c>
      <c r="S674" s="7">
        <f t="shared" si="80"/>
        <v>0.76470588235294112</v>
      </c>
      <c r="T674">
        <f t="shared" si="81"/>
        <v>22</v>
      </c>
      <c r="U674">
        <f t="shared" si="82"/>
        <v>60</v>
      </c>
      <c r="V674">
        <f t="shared" si="83"/>
        <v>7</v>
      </c>
      <c r="W674">
        <f t="shared" si="84"/>
        <v>17.727272727272727</v>
      </c>
      <c r="X674" t="str">
        <f t="shared" si="85"/>
        <v>High Profit</v>
      </c>
      <c r="Y674">
        <f t="shared" si="86"/>
        <v>67</v>
      </c>
      <c r="Z674">
        <f t="shared" si="87"/>
        <v>510</v>
      </c>
    </row>
    <row r="675" spans="1:26">
      <c r="A675" s="5">
        <v>845</v>
      </c>
      <c r="B675" s="5">
        <v>279</v>
      </c>
      <c r="C675" s="6">
        <v>41244</v>
      </c>
      <c r="D675" s="5" t="s">
        <v>16</v>
      </c>
      <c r="E675" s="5" t="s">
        <v>25</v>
      </c>
      <c r="F675" s="5">
        <v>97</v>
      </c>
      <c r="G675" s="5" t="s">
        <v>33</v>
      </c>
      <c r="H675" s="5" t="s">
        <v>38</v>
      </c>
      <c r="I675" s="5" t="s">
        <v>45</v>
      </c>
      <c r="J675" s="5">
        <v>271</v>
      </c>
      <c r="K675" s="5">
        <v>699</v>
      </c>
      <c r="L675" s="5" t="s">
        <v>60</v>
      </c>
      <c r="M675" s="5">
        <v>250</v>
      </c>
      <c r="N675" s="5">
        <v>250</v>
      </c>
      <c r="O675" s="5">
        <v>620</v>
      </c>
      <c r="P675" s="5">
        <v>149</v>
      </c>
      <c r="Q675">
        <f>SUM([1]!Table1[[#This Row],[Sales]])</f>
        <v>699</v>
      </c>
      <c r="R675">
        <f>SUM([1]!Table1[[#This Row],[Profit]])</f>
        <v>271</v>
      </c>
      <c r="S675" s="7">
        <f t="shared" si="80"/>
        <v>0.38769670958512159</v>
      </c>
      <c r="T675">
        <f t="shared" si="81"/>
        <v>97</v>
      </c>
      <c r="U675">
        <f t="shared" si="82"/>
        <v>79</v>
      </c>
      <c r="V675">
        <f t="shared" si="83"/>
        <v>29</v>
      </c>
      <c r="W675">
        <f t="shared" si="84"/>
        <v>2.7938144329896906</v>
      </c>
      <c r="X675" t="str">
        <f t="shared" si="85"/>
        <v>High Profit</v>
      </c>
      <c r="Y675">
        <f t="shared" si="86"/>
        <v>279</v>
      </c>
      <c r="Z675">
        <f t="shared" si="87"/>
        <v>699</v>
      </c>
    </row>
    <row r="676" spans="1:26">
      <c r="A676" s="3">
        <v>305</v>
      </c>
      <c r="B676" s="3">
        <v>105</v>
      </c>
      <c r="C676" s="4">
        <v>41244</v>
      </c>
      <c r="D676" s="3" t="s">
        <v>16</v>
      </c>
      <c r="E676" s="3" t="s">
        <v>25</v>
      </c>
      <c r="F676" s="3">
        <v>95</v>
      </c>
      <c r="G676" s="3" t="s">
        <v>33</v>
      </c>
      <c r="H676" s="3" t="s">
        <v>34</v>
      </c>
      <c r="I676" s="3" t="s">
        <v>46</v>
      </c>
      <c r="J676" s="3">
        <v>21</v>
      </c>
      <c r="K676" s="3">
        <v>250</v>
      </c>
      <c r="L676" s="3" t="s">
        <v>28</v>
      </c>
      <c r="M676" s="3">
        <v>100</v>
      </c>
      <c r="N676" s="3">
        <v>30</v>
      </c>
      <c r="O676" s="3">
        <v>240</v>
      </c>
      <c r="P676" s="3">
        <v>124</v>
      </c>
      <c r="Q676">
        <f>SUM([1]!Table1[[#This Row],[Sales]])</f>
        <v>250</v>
      </c>
      <c r="R676">
        <f>SUM([1]!Table1[[#This Row],[Profit]])</f>
        <v>21</v>
      </c>
      <c r="S676" s="7">
        <f t="shared" si="80"/>
        <v>8.4000000000000005E-2</v>
      </c>
      <c r="T676">
        <f t="shared" si="81"/>
        <v>95</v>
      </c>
      <c r="U676">
        <f t="shared" si="82"/>
        <v>10</v>
      </c>
      <c r="V676">
        <f t="shared" si="83"/>
        <v>5</v>
      </c>
      <c r="W676">
        <f t="shared" si="84"/>
        <v>0.22105263157894736</v>
      </c>
      <c r="X676" t="str">
        <f t="shared" si="85"/>
        <v>Low Profit</v>
      </c>
      <c r="Y676">
        <f t="shared" si="86"/>
        <v>105</v>
      </c>
      <c r="Z676">
        <f t="shared" si="87"/>
        <v>250</v>
      </c>
    </row>
    <row r="677" spans="1:26">
      <c r="A677" s="5">
        <v>212</v>
      </c>
      <c r="B677" s="5">
        <v>135</v>
      </c>
      <c r="C677" s="6">
        <v>41244</v>
      </c>
      <c r="D677" s="5" t="s">
        <v>16</v>
      </c>
      <c r="E677" s="5" t="s">
        <v>25</v>
      </c>
      <c r="F677" s="5">
        <v>122</v>
      </c>
      <c r="G677" s="5" t="s">
        <v>33</v>
      </c>
      <c r="H677" s="5" t="s">
        <v>34</v>
      </c>
      <c r="I677" s="5" t="s">
        <v>46</v>
      </c>
      <c r="J677" s="5">
        <v>-224</v>
      </c>
      <c r="K677" s="5">
        <v>66</v>
      </c>
      <c r="L677" s="5" t="s">
        <v>60</v>
      </c>
      <c r="M677" s="5">
        <v>130</v>
      </c>
      <c r="N677" s="5">
        <v>-210</v>
      </c>
      <c r="O677" s="5">
        <v>60</v>
      </c>
      <c r="P677" s="5">
        <v>155</v>
      </c>
      <c r="Q677">
        <f>SUM([1]!Table1[[#This Row],[Sales]])</f>
        <v>66</v>
      </c>
      <c r="R677">
        <f>SUM([1]!Table1[[#This Row],[Profit]])</f>
        <v>-224</v>
      </c>
      <c r="S677" s="7">
        <f t="shared" si="80"/>
        <v>-3.393939393939394</v>
      </c>
      <c r="T677">
        <f t="shared" si="81"/>
        <v>122</v>
      </c>
      <c r="U677">
        <f t="shared" si="82"/>
        <v>6</v>
      </c>
      <c r="V677">
        <f t="shared" si="83"/>
        <v>5</v>
      </c>
      <c r="W677">
        <f t="shared" si="84"/>
        <v>-1.8360655737704918</v>
      </c>
      <c r="X677" t="str">
        <f t="shared" si="85"/>
        <v>Low Profit</v>
      </c>
      <c r="Y677">
        <f t="shared" si="86"/>
        <v>135</v>
      </c>
      <c r="Z677">
        <f t="shared" si="87"/>
        <v>66</v>
      </c>
    </row>
    <row r="678" spans="1:26">
      <c r="A678" s="3">
        <v>351</v>
      </c>
      <c r="B678" s="3">
        <v>153</v>
      </c>
      <c r="C678" s="4">
        <v>41244</v>
      </c>
      <c r="D678" s="3" t="s">
        <v>16</v>
      </c>
      <c r="E678" s="3" t="s">
        <v>25</v>
      </c>
      <c r="F678" s="3">
        <v>42</v>
      </c>
      <c r="G678" s="3" t="s">
        <v>33</v>
      </c>
      <c r="H678" s="3" t="s">
        <v>34</v>
      </c>
      <c r="I678" s="3" t="s">
        <v>59</v>
      </c>
      <c r="J678" s="3">
        <v>87</v>
      </c>
      <c r="K678" s="3">
        <v>306</v>
      </c>
      <c r="L678" s="3" t="s">
        <v>55</v>
      </c>
      <c r="M678" s="3">
        <v>150</v>
      </c>
      <c r="N678" s="3">
        <v>80</v>
      </c>
      <c r="O678" s="3">
        <v>290</v>
      </c>
      <c r="P678" s="3">
        <v>66</v>
      </c>
      <c r="Q678">
        <f>SUM([1]!Table1[[#This Row],[Sales]])</f>
        <v>306</v>
      </c>
      <c r="R678">
        <f>SUM([1]!Table1[[#This Row],[Profit]])</f>
        <v>87</v>
      </c>
      <c r="S678" s="7">
        <f t="shared" si="80"/>
        <v>0.28431372549019607</v>
      </c>
      <c r="T678">
        <f t="shared" si="81"/>
        <v>42</v>
      </c>
      <c r="U678">
        <f t="shared" si="82"/>
        <v>16</v>
      </c>
      <c r="V678">
        <f t="shared" si="83"/>
        <v>3</v>
      </c>
      <c r="W678">
        <f t="shared" si="84"/>
        <v>2.0714285714285716</v>
      </c>
      <c r="X678" t="str">
        <f t="shared" si="85"/>
        <v>Low Profit</v>
      </c>
      <c r="Y678">
        <f t="shared" si="86"/>
        <v>153</v>
      </c>
      <c r="Z678">
        <f t="shared" si="87"/>
        <v>306</v>
      </c>
    </row>
    <row r="679" spans="1:26">
      <c r="A679" s="5">
        <v>718</v>
      </c>
      <c r="B679" s="5">
        <v>250</v>
      </c>
      <c r="C679" s="6">
        <v>41244</v>
      </c>
      <c r="D679" s="5" t="s">
        <v>16</v>
      </c>
      <c r="E679" s="5" t="s">
        <v>25</v>
      </c>
      <c r="F679" s="5">
        <v>70</v>
      </c>
      <c r="G679" s="5" t="s">
        <v>33</v>
      </c>
      <c r="H679" s="5" t="s">
        <v>34</v>
      </c>
      <c r="I679" s="5" t="s">
        <v>59</v>
      </c>
      <c r="J679" s="5">
        <v>312</v>
      </c>
      <c r="K679" s="5">
        <v>657</v>
      </c>
      <c r="L679" s="5" t="s">
        <v>60</v>
      </c>
      <c r="M679" s="5">
        <v>240</v>
      </c>
      <c r="N679" s="5">
        <v>320</v>
      </c>
      <c r="O679" s="5">
        <v>640</v>
      </c>
      <c r="P679" s="5">
        <v>95</v>
      </c>
      <c r="Q679">
        <f>SUM([1]!Table1[[#This Row],[Sales]])</f>
        <v>657</v>
      </c>
      <c r="R679">
        <f>SUM([1]!Table1[[#This Row],[Profit]])</f>
        <v>312</v>
      </c>
      <c r="S679" s="7">
        <f t="shared" si="80"/>
        <v>0.47488584474885842</v>
      </c>
      <c r="T679">
        <f t="shared" si="81"/>
        <v>70</v>
      </c>
      <c r="U679">
        <f t="shared" si="82"/>
        <v>17</v>
      </c>
      <c r="V679">
        <f t="shared" si="83"/>
        <v>10</v>
      </c>
      <c r="W679">
        <f t="shared" si="84"/>
        <v>4.4571428571428573</v>
      </c>
      <c r="X679" t="str">
        <f t="shared" si="85"/>
        <v>High Profit</v>
      </c>
      <c r="Y679">
        <f t="shared" si="86"/>
        <v>250</v>
      </c>
      <c r="Z679">
        <f t="shared" si="87"/>
        <v>657</v>
      </c>
    </row>
    <row r="680" spans="1:26">
      <c r="A680" s="3">
        <v>607</v>
      </c>
      <c r="B680" s="3">
        <v>294</v>
      </c>
      <c r="C680" s="4">
        <v>41244</v>
      </c>
      <c r="D680" s="3" t="s">
        <v>16</v>
      </c>
      <c r="E680" s="3" t="s">
        <v>25</v>
      </c>
      <c r="F680" s="3">
        <v>111</v>
      </c>
      <c r="G680" s="3" t="s">
        <v>18</v>
      </c>
      <c r="H680" s="3" t="s">
        <v>19</v>
      </c>
      <c r="I680" s="3" t="s">
        <v>20</v>
      </c>
      <c r="J680" s="3">
        <v>309</v>
      </c>
      <c r="K680" s="3">
        <v>747</v>
      </c>
      <c r="L680" s="3" t="s">
        <v>60</v>
      </c>
      <c r="M680" s="3">
        <v>220</v>
      </c>
      <c r="N680" s="3">
        <v>210</v>
      </c>
      <c r="O680" s="3">
        <v>540</v>
      </c>
      <c r="P680" s="3">
        <v>144</v>
      </c>
      <c r="Q680">
        <f>SUM([1]!Table1[[#This Row],[Sales]])</f>
        <v>747</v>
      </c>
      <c r="R680">
        <f>SUM([1]!Table1[[#This Row],[Profit]])</f>
        <v>309</v>
      </c>
      <c r="S680" s="7">
        <f t="shared" si="80"/>
        <v>0.41365461847389556</v>
      </c>
      <c r="T680">
        <f t="shared" si="81"/>
        <v>111</v>
      </c>
      <c r="U680">
        <f t="shared" si="82"/>
        <v>207</v>
      </c>
      <c r="V680">
        <f t="shared" si="83"/>
        <v>74</v>
      </c>
      <c r="W680">
        <f t="shared" si="84"/>
        <v>2.7837837837837838</v>
      </c>
      <c r="X680" t="str">
        <f t="shared" si="85"/>
        <v>High Profit</v>
      </c>
      <c r="Y680">
        <f t="shared" si="86"/>
        <v>294</v>
      </c>
      <c r="Z680">
        <f t="shared" si="87"/>
        <v>747</v>
      </c>
    </row>
    <row r="681" spans="1:26">
      <c r="A681" s="5">
        <v>716</v>
      </c>
      <c r="B681" s="5">
        <v>241</v>
      </c>
      <c r="C681" s="6">
        <v>41244</v>
      </c>
      <c r="D681" s="5" t="s">
        <v>16</v>
      </c>
      <c r="E681" s="5" t="s">
        <v>25</v>
      </c>
      <c r="F681" s="5">
        <v>74</v>
      </c>
      <c r="G681" s="5" t="s">
        <v>18</v>
      </c>
      <c r="H681" s="5" t="s">
        <v>19</v>
      </c>
      <c r="I681" s="5" t="s">
        <v>22</v>
      </c>
      <c r="J681" s="5">
        <v>-189</v>
      </c>
      <c r="K681" s="5">
        <v>148</v>
      </c>
      <c r="L681" s="5" t="s">
        <v>60</v>
      </c>
      <c r="M681" s="5">
        <v>180</v>
      </c>
      <c r="N681" s="5">
        <v>-150</v>
      </c>
      <c r="O681" s="5">
        <v>100</v>
      </c>
      <c r="P681" s="5">
        <v>96</v>
      </c>
      <c r="Q681">
        <f>SUM([1]!Table1[[#This Row],[Sales]])</f>
        <v>148</v>
      </c>
      <c r="R681">
        <f>SUM([1]!Table1[[#This Row],[Profit]])</f>
        <v>-189</v>
      </c>
      <c r="S681" s="7">
        <f t="shared" si="80"/>
        <v>-1.277027027027027</v>
      </c>
      <c r="T681">
        <f t="shared" si="81"/>
        <v>74</v>
      </c>
      <c r="U681">
        <f t="shared" si="82"/>
        <v>48</v>
      </c>
      <c r="V681">
        <f t="shared" si="83"/>
        <v>61</v>
      </c>
      <c r="W681">
        <f t="shared" si="84"/>
        <v>-2.5540540540540539</v>
      </c>
      <c r="X681" t="str">
        <f t="shared" si="85"/>
        <v>Low Profit</v>
      </c>
      <c r="Y681">
        <f t="shared" si="86"/>
        <v>241</v>
      </c>
      <c r="Z681">
        <f t="shared" si="87"/>
        <v>148</v>
      </c>
    </row>
    <row r="682" spans="1:26">
      <c r="A682" s="3">
        <v>716</v>
      </c>
      <c r="B682" s="3">
        <v>86</v>
      </c>
      <c r="C682" s="4">
        <v>41244</v>
      </c>
      <c r="D682" s="3" t="s">
        <v>16</v>
      </c>
      <c r="E682" s="3" t="s">
        <v>25</v>
      </c>
      <c r="F682" s="3">
        <v>24</v>
      </c>
      <c r="G682" s="3" t="s">
        <v>18</v>
      </c>
      <c r="H682" s="3" t="s">
        <v>26</v>
      </c>
      <c r="I682" s="3" t="s">
        <v>27</v>
      </c>
      <c r="J682" s="3">
        <v>89</v>
      </c>
      <c r="K682" s="3">
        <v>210</v>
      </c>
      <c r="L682" s="3" t="s">
        <v>60</v>
      </c>
      <c r="M682" s="3">
        <v>90</v>
      </c>
      <c r="N682" s="3">
        <v>90</v>
      </c>
      <c r="O682" s="3">
        <v>210</v>
      </c>
      <c r="P682" s="3">
        <v>35</v>
      </c>
      <c r="Q682">
        <f>SUM([1]!Table1[[#This Row],[Sales]])</f>
        <v>210</v>
      </c>
      <c r="R682">
        <f>SUM([1]!Table1[[#This Row],[Profit]])</f>
        <v>89</v>
      </c>
      <c r="S682" s="7">
        <f t="shared" si="80"/>
        <v>0.4238095238095238</v>
      </c>
      <c r="T682">
        <f t="shared" si="81"/>
        <v>24</v>
      </c>
      <c r="U682">
        <f t="shared" si="82"/>
        <v>0</v>
      </c>
      <c r="V682">
        <f t="shared" si="83"/>
        <v>-4</v>
      </c>
      <c r="W682">
        <f t="shared" si="84"/>
        <v>3.7083333333333335</v>
      </c>
      <c r="X682" t="str">
        <f t="shared" si="85"/>
        <v>Low Profit</v>
      </c>
      <c r="Y682">
        <f t="shared" si="86"/>
        <v>86</v>
      </c>
      <c r="Z682">
        <f t="shared" si="87"/>
        <v>210</v>
      </c>
    </row>
    <row r="683" spans="1:26">
      <c r="A683" s="5">
        <v>718</v>
      </c>
      <c r="B683" s="5">
        <v>123</v>
      </c>
      <c r="C683" s="6">
        <v>41244</v>
      </c>
      <c r="D683" s="5" t="s">
        <v>16</v>
      </c>
      <c r="E683" s="5" t="s">
        <v>25</v>
      </c>
      <c r="F683" s="5">
        <v>34</v>
      </c>
      <c r="G683" s="5" t="s">
        <v>18</v>
      </c>
      <c r="H683" s="5" t="s">
        <v>26</v>
      </c>
      <c r="I683" s="5" t="s">
        <v>54</v>
      </c>
      <c r="J683" s="5">
        <v>133</v>
      </c>
      <c r="K683" s="5">
        <v>302</v>
      </c>
      <c r="L683" s="5" t="s">
        <v>60</v>
      </c>
      <c r="M683" s="5">
        <v>120</v>
      </c>
      <c r="N683" s="5">
        <v>150</v>
      </c>
      <c r="O683" s="5">
        <v>310</v>
      </c>
      <c r="P683" s="5">
        <v>46</v>
      </c>
      <c r="Q683">
        <f>SUM([1]!Table1[[#This Row],[Sales]])</f>
        <v>302</v>
      </c>
      <c r="R683">
        <f>SUM([1]!Table1[[#This Row],[Profit]])</f>
        <v>133</v>
      </c>
      <c r="S683" s="7">
        <f t="shared" si="80"/>
        <v>0.44039735099337746</v>
      </c>
      <c r="T683">
        <f t="shared" si="81"/>
        <v>34</v>
      </c>
      <c r="U683">
        <f t="shared" si="82"/>
        <v>-8</v>
      </c>
      <c r="V683">
        <f t="shared" si="83"/>
        <v>3</v>
      </c>
      <c r="W683">
        <f t="shared" si="84"/>
        <v>3.9117647058823528</v>
      </c>
      <c r="X683" t="str">
        <f t="shared" si="85"/>
        <v>High Profit</v>
      </c>
      <c r="Y683">
        <f t="shared" si="86"/>
        <v>123</v>
      </c>
      <c r="Z683">
        <f t="shared" si="87"/>
        <v>302</v>
      </c>
    </row>
    <row r="684" spans="1:26">
      <c r="A684" s="3">
        <v>772</v>
      </c>
      <c r="B684" s="3">
        <v>91</v>
      </c>
      <c r="C684" s="4">
        <v>41548</v>
      </c>
      <c r="D684" s="3" t="s">
        <v>16</v>
      </c>
      <c r="E684" s="3" t="s">
        <v>25</v>
      </c>
      <c r="F684" s="3">
        <v>28</v>
      </c>
      <c r="G684" s="3" t="s">
        <v>33</v>
      </c>
      <c r="H684" s="3" t="s">
        <v>38</v>
      </c>
      <c r="I684" s="3" t="s">
        <v>39</v>
      </c>
      <c r="J684" s="3">
        <v>113</v>
      </c>
      <c r="K684" s="3">
        <v>232</v>
      </c>
      <c r="L684" s="3" t="s">
        <v>28</v>
      </c>
      <c r="M684" s="3">
        <v>70</v>
      </c>
      <c r="N684" s="3">
        <v>90</v>
      </c>
      <c r="O684" s="3">
        <v>180</v>
      </c>
      <c r="P684" s="3">
        <v>51</v>
      </c>
      <c r="Q684">
        <f>SUM([1]!Table1[[#This Row],[Sales]])</f>
        <v>232</v>
      </c>
      <c r="R684">
        <f>SUM([1]!Table1[[#This Row],[Profit]])</f>
        <v>113</v>
      </c>
      <c r="S684" s="7">
        <f t="shared" si="80"/>
        <v>0.48706896551724138</v>
      </c>
      <c r="T684">
        <f t="shared" si="81"/>
        <v>28</v>
      </c>
      <c r="U684">
        <f t="shared" si="82"/>
        <v>52</v>
      </c>
      <c r="V684">
        <f t="shared" si="83"/>
        <v>21</v>
      </c>
      <c r="W684">
        <f t="shared" si="84"/>
        <v>4.0357142857142856</v>
      </c>
      <c r="X684" t="str">
        <f t="shared" si="85"/>
        <v>High Profit</v>
      </c>
      <c r="Y684">
        <f t="shared" si="86"/>
        <v>91</v>
      </c>
      <c r="Z684">
        <f t="shared" si="87"/>
        <v>232</v>
      </c>
    </row>
    <row r="685" spans="1:26">
      <c r="A685" s="5">
        <v>321</v>
      </c>
      <c r="B685" s="5">
        <v>86</v>
      </c>
      <c r="C685" s="6">
        <v>41548</v>
      </c>
      <c r="D685" s="5" t="s">
        <v>16</v>
      </c>
      <c r="E685" s="5" t="s">
        <v>25</v>
      </c>
      <c r="F685" s="5">
        <v>28</v>
      </c>
      <c r="G685" s="5" t="s">
        <v>33</v>
      </c>
      <c r="H685" s="5" t="s">
        <v>34</v>
      </c>
      <c r="I685" s="5" t="s">
        <v>35</v>
      </c>
      <c r="J685" s="5">
        <v>89</v>
      </c>
      <c r="K685" s="5">
        <v>215</v>
      </c>
      <c r="L685" s="5" t="s">
        <v>28</v>
      </c>
      <c r="M685" s="5">
        <v>70</v>
      </c>
      <c r="N685" s="5">
        <v>90</v>
      </c>
      <c r="O685" s="5">
        <v>180</v>
      </c>
      <c r="P685" s="5">
        <v>56</v>
      </c>
      <c r="Q685">
        <f>SUM([1]!Table1[[#This Row],[Sales]])</f>
        <v>215</v>
      </c>
      <c r="R685">
        <f>SUM([1]!Table1[[#This Row],[Profit]])</f>
        <v>89</v>
      </c>
      <c r="S685" s="7">
        <f t="shared" si="80"/>
        <v>0.413953488372093</v>
      </c>
      <c r="T685">
        <f t="shared" si="81"/>
        <v>28</v>
      </c>
      <c r="U685">
        <f t="shared" si="82"/>
        <v>35</v>
      </c>
      <c r="V685">
        <f t="shared" si="83"/>
        <v>16</v>
      </c>
      <c r="W685">
        <f t="shared" si="84"/>
        <v>3.1785714285714284</v>
      </c>
      <c r="X685" t="str">
        <f t="shared" si="85"/>
        <v>Low Profit</v>
      </c>
      <c r="Y685">
        <f t="shared" si="86"/>
        <v>86</v>
      </c>
      <c r="Z685">
        <f t="shared" si="87"/>
        <v>215</v>
      </c>
    </row>
    <row r="686" spans="1:26">
      <c r="A686" s="3">
        <v>954</v>
      </c>
      <c r="B686" s="3">
        <v>82</v>
      </c>
      <c r="C686" s="4">
        <v>41548</v>
      </c>
      <c r="D686" s="3" t="s">
        <v>16</v>
      </c>
      <c r="E686" s="3" t="s">
        <v>25</v>
      </c>
      <c r="F686" s="3">
        <v>27</v>
      </c>
      <c r="G686" s="3" t="s">
        <v>33</v>
      </c>
      <c r="H686" s="3" t="s">
        <v>38</v>
      </c>
      <c r="I686" s="3" t="s">
        <v>45</v>
      </c>
      <c r="J686" s="3">
        <v>95</v>
      </c>
      <c r="K686" s="3">
        <v>218</v>
      </c>
      <c r="L686" s="3" t="s">
        <v>28</v>
      </c>
      <c r="M686" s="3">
        <v>60</v>
      </c>
      <c r="N686" s="3">
        <v>90</v>
      </c>
      <c r="O686" s="3">
        <v>170</v>
      </c>
      <c r="P686" s="3">
        <v>59</v>
      </c>
      <c r="Q686">
        <f>SUM([1]!Table1[[#This Row],[Sales]])</f>
        <v>218</v>
      </c>
      <c r="R686">
        <f>SUM([1]!Table1[[#This Row],[Profit]])</f>
        <v>95</v>
      </c>
      <c r="S686" s="7">
        <f t="shared" si="80"/>
        <v>0.43577981651376146</v>
      </c>
      <c r="T686">
        <f t="shared" si="81"/>
        <v>27</v>
      </c>
      <c r="U686">
        <f t="shared" si="82"/>
        <v>48</v>
      </c>
      <c r="V686">
        <f t="shared" si="83"/>
        <v>22</v>
      </c>
      <c r="W686">
        <f t="shared" si="84"/>
        <v>3.5185185185185186</v>
      </c>
      <c r="X686" t="str">
        <f t="shared" si="85"/>
        <v>Low Profit</v>
      </c>
      <c r="Y686">
        <f t="shared" si="86"/>
        <v>82</v>
      </c>
      <c r="Z686">
        <f t="shared" si="87"/>
        <v>218</v>
      </c>
    </row>
    <row r="687" spans="1:26">
      <c r="A687" s="5">
        <v>857</v>
      </c>
      <c r="B687" s="5">
        <v>72</v>
      </c>
      <c r="C687" s="6">
        <v>41548</v>
      </c>
      <c r="D687" s="5" t="s">
        <v>16</v>
      </c>
      <c r="E687" s="5" t="s">
        <v>25</v>
      </c>
      <c r="F687" s="5">
        <v>23</v>
      </c>
      <c r="G687" s="5" t="s">
        <v>33</v>
      </c>
      <c r="H687" s="5" t="s">
        <v>38</v>
      </c>
      <c r="I687" s="5" t="s">
        <v>45</v>
      </c>
      <c r="J687" s="5">
        <v>516</v>
      </c>
      <c r="K687" s="5">
        <v>505</v>
      </c>
      <c r="L687" s="5" t="s">
        <v>55</v>
      </c>
      <c r="M687" s="5">
        <v>50</v>
      </c>
      <c r="N687" s="5">
        <v>330</v>
      </c>
      <c r="O687" s="5">
        <v>400</v>
      </c>
      <c r="P687" s="5">
        <v>54</v>
      </c>
      <c r="Q687">
        <f>SUM([1]!Table1[[#This Row],[Sales]])</f>
        <v>505</v>
      </c>
      <c r="R687">
        <f>SUM([1]!Table1[[#This Row],[Profit]])</f>
        <v>516</v>
      </c>
      <c r="S687" s="7">
        <f t="shared" si="80"/>
        <v>1.0217821782178218</v>
      </c>
      <c r="T687">
        <f t="shared" si="81"/>
        <v>23</v>
      </c>
      <c r="U687">
        <f t="shared" si="82"/>
        <v>105</v>
      </c>
      <c r="V687">
        <f t="shared" si="83"/>
        <v>22</v>
      </c>
      <c r="W687">
        <f t="shared" si="84"/>
        <v>22.434782608695652</v>
      </c>
      <c r="X687" t="str">
        <f t="shared" si="85"/>
        <v>High Profit</v>
      </c>
      <c r="Y687">
        <f t="shared" si="86"/>
        <v>72</v>
      </c>
      <c r="Z687">
        <f t="shared" si="87"/>
        <v>505</v>
      </c>
    </row>
    <row r="688" spans="1:26">
      <c r="A688" s="3">
        <v>716</v>
      </c>
      <c r="B688" s="3">
        <v>260</v>
      </c>
      <c r="C688" s="4">
        <v>41548</v>
      </c>
      <c r="D688" s="3" t="s">
        <v>16</v>
      </c>
      <c r="E688" s="3" t="s">
        <v>25</v>
      </c>
      <c r="F688" s="3">
        <v>91</v>
      </c>
      <c r="G688" s="3" t="s">
        <v>33</v>
      </c>
      <c r="H688" s="3" t="s">
        <v>38</v>
      </c>
      <c r="I688" s="3" t="s">
        <v>45</v>
      </c>
      <c r="J688" s="3">
        <v>367</v>
      </c>
      <c r="K688" s="3">
        <v>693</v>
      </c>
      <c r="L688" s="3" t="s">
        <v>60</v>
      </c>
      <c r="M688" s="3">
        <v>210</v>
      </c>
      <c r="N688" s="3">
        <v>230</v>
      </c>
      <c r="O688" s="3">
        <v>540</v>
      </c>
      <c r="P688" s="3">
        <v>143</v>
      </c>
      <c r="Q688">
        <f>SUM([1]!Table1[[#This Row],[Sales]])</f>
        <v>693</v>
      </c>
      <c r="R688">
        <f>SUM([1]!Table1[[#This Row],[Profit]])</f>
        <v>367</v>
      </c>
      <c r="S688" s="7">
        <f t="shared" si="80"/>
        <v>0.5295815295815296</v>
      </c>
      <c r="T688">
        <f t="shared" si="81"/>
        <v>91</v>
      </c>
      <c r="U688">
        <f t="shared" si="82"/>
        <v>153</v>
      </c>
      <c r="V688">
        <f t="shared" si="83"/>
        <v>50</v>
      </c>
      <c r="W688">
        <f t="shared" si="84"/>
        <v>4.0329670329670328</v>
      </c>
      <c r="X688" t="str">
        <f t="shared" si="85"/>
        <v>High Profit</v>
      </c>
      <c r="Y688">
        <f t="shared" si="86"/>
        <v>260</v>
      </c>
      <c r="Z688">
        <f t="shared" si="87"/>
        <v>693</v>
      </c>
    </row>
    <row r="689" spans="1:26">
      <c r="A689" s="5">
        <v>727</v>
      </c>
      <c r="B689" s="5">
        <v>96</v>
      </c>
      <c r="C689" s="6">
        <v>41548</v>
      </c>
      <c r="D689" s="5" t="s">
        <v>16</v>
      </c>
      <c r="E689" s="5" t="s">
        <v>25</v>
      </c>
      <c r="F689" s="5">
        <v>87</v>
      </c>
      <c r="G689" s="5" t="s">
        <v>33</v>
      </c>
      <c r="H689" s="5" t="s">
        <v>34</v>
      </c>
      <c r="I689" s="5" t="s">
        <v>46</v>
      </c>
      <c r="J689" s="5">
        <v>27</v>
      </c>
      <c r="K689" s="5">
        <v>245</v>
      </c>
      <c r="L689" s="5" t="s">
        <v>28</v>
      </c>
      <c r="M689" s="5">
        <v>80</v>
      </c>
      <c r="N689" s="5">
        <v>50</v>
      </c>
      <c r="O689" s="5">
        <v>210</v>
      </c>
      <c r="P689" s="5">
        <v>116</v>
      </c>
      <c r="Q689">
        <f>SUM([1]!Table1[[#This Row],[Sales]])</f>
        <v>245</v>
      </c>
      <c r="R689">
        <f>SUM([1]!Table1[[#This Row],[Profit]])</f>
        <v>27</v>
      </c>
      <c r="S689" s="7">
        <f t="shared" si="80"/>
        <v>0.11020408163265306</v>
      </c>
      <c r="T689">
        <f t="shared" si="81"/>
        <v>87</v>
      </c>
      <c r="U689">
        <f t="shared" si="82"/>
        <v>35</v>
      </c>
      <c r="V689">
        <f t="shared" si="83"/>
        <v>16</v>
      </c>
      <c r="W689">
        <f t="shared" si="84"/>
        <v>0.31034482758620691</v>
      </c>
      <c r="X689" t="str">
        <f t="shared" si="85"/>
        <v>Low Profit</v>
      </c>
      <c r="Y689">
        <f t="shared" si="86"/>
        <v>96</v>
      </c>
      <c r="Z689">
        <f t="shared" si="87"/>
        <v>245</v>
      </c>
    </row>
    <row r="690" spans="1:26">
      <c r="A690" s="3">
        <v>914</v>
      </c>
      <c r="B690" s="3">
        <v>125</v>
      </c>
      <c r="C690" s="4">
        <v>41548</v>
      </c>
      <c r="D690" s="3" t="s">
        <v>16</v>
      </c>
      <c r="E690" s="3" t="s">
        <v>25</v>
      </c>
      <c r="F690" s="3">
        <v>113</v>
      </c>
      <c r="G690" s="3" t="s">
        <v>33</v>
      </c>
      <c r="H690" s="3" t="s">
        <v>34</v>
      </c>
      <c r="I690" s="3" t="s">
        <v>46</v>
      </c>
      <c r="J690" s="3">
        <v>-300</v>
      </c>
      <c r="K690" s="3">
        <v>74</v>
      </c>
      <c r="L690" s="3" t="s">
        <v>60</v>
      </c>
      <c r="M690" s="3">
        <v>110</v>
      </c>
      <c r="N690" s="3">
        <v>-170</v>
      </c>
      <c r="O690" s="3">
        <v>50</v>
      </c>
      <c r="P690" s="3">
        <v>146</v>
      </c>
      <c r="Q690">
        <f>SUM([1]!Table1[[#This Row],[Sales]])</f>
        <v>74</v>
      </c>
      <c r="R690">
        <f>SUM([1]!Table1[[#This Row],[Profit]])</f>
        <v>-300</v>
      </c>
      <c r="S690" s="7">
        <f t="shared" si="80"/>
        <v>-4.0540540540540544</v>
      </c>
      <c r="T690">
        <f t="shared" si="81"/>
        <v>113</v>
      </c>
      <c r="U690">
        <f t="shared" si="82"/>
        <v>24</v>
      </c>
      <c r="V690">
        <f t="shared" si="83"/>
        <v>15</v>
      </c>
      <c r="W690">
        <f t="shared" si="84"/>
        <v>-2.6548672566371683</v>
      </c>
      <c r="X690" t="str">
        <f t="shared" si="85"/>
        <v>Low Profit</v>
      </c>
      <c r="Y690">
        <f t="shared" si="86"/>
        <v>125</v>
      </c>
      <c r="Z690">
        <f t="shared" si="87"/>
        <v>74</v>
      </c>
    </row>
    <row r="691" spans="1:26">
      <c r="A691" s="5">
        <v>508</v>
      </c>
      <c r="B691" s="5">
        <v>161</v>
      </c>
      <c r="C691" s="6">
        <v>41548</v>
      </c>
      <c r="D691" s="5" t="s">
        <v>16</v>
      </c>
      <c r="E691" s="5" t="s">
        <v>25</v>
      </c>
      <c r="F691" s="5">
        <v>45</v>
      </c>
      <c r="G691" s="5" t="s">
        <v>33</v>
      </c>
      <c r="H691" s="5" t="s">
        <v>34</v>
      </c>
      <c r="I691" s="5" t="s">
        <v>59</v>
      </c>
      <c r="J691" s="5">
        <v>137</v>
      </c>
      <c r="K691" s="5">
        <v>343</v>
      </c>
      <c r="L691" s="5" t="s">
        <v>55</v>
      </c>
      <c r="M691" s="5">
        <v>140</v>
      </c>
      <c r="N691" s="5">
        <v>120</v>
      </c>
      <c r="O691" s="5">
        <v>300</v>
      </c>
      <c r="P691" s="5">
        <v>69</v>
      </c>
      <c r="Q691">
        <f>SUM([1]!Table1[[#This Row],[Sales]])</f>
        <v>343</v>
      </c>
      <c r="R691">
        <f>SUM([1]!Table1[[#This Row],[Profit]])</f>
        <v>137</v>
      </c>
      <c r="S691" s="7">
        <f t="shared" si="80"/>
        <v>0.39941690962099125</v>
      </c>
      <c r="T691">
        <f t="shared" si="81"/>
        <v>45</v>
      </c>
      <c r="U691">
        <f t="shared" si="82"/>
        <v>43</v>
      </c>
      <c r="V691">
        <f t="shared" si="83"/>
        <v>21</v>
      </c>
      <c r="W691">
        <f t="shared" si="84"/>
        <v>3.0444444444444443</v>
      </c>
      <c r="X691" t="str">
        <f t="shared" si="85"/>
        <v>High Profit</v>
      </c>
      <c r="Y691">
        <f t="shared" si="86"/>
        <v>161</v>
      </c>
      <c r="Z691">
        <f t="shared" si="87"/>
        <v>343</v>
      </c>
    </row>
    <row r="692" spans="1:26">
      <c r="A692" s="3">
        <v>212</v>
      </c>
      <c r="B692" s="3">
        <v>239</v>
      </c>
      <c r="C692" s="4">
        <v>41548</v>
      </c>
      <c r="D692" s="3" t="s">
        <v>16</v>
      </c>
      <c r="E692" s="3" t="s">
        <v>25</v>
      </c>
      <c r="F692" s="3">
        <v>66</v>
      </c>
      <c r="G692" s="3" t="s">
        <v>33</v>
      </c>
      <c r="H692" s="3" t="s">
        <v>34</v>
      </c>
      <c r="I692" s="3" t="s">
        <v>59</v>
      </c>
      <c r="J692" s="3">
        <v>646</v>
      </c>
      <c r="K692" s="3">
        <v>815</v>
      </c>
      <c r="L692" s="3" t="s">
        <v>60</v>
      </c>
      <c r="M692" s="3">
        <v>210</v>
      </c>
      <c r="N692" s="3">
        <v>450</v>
      </c>
      <c r="O692" s="3">
        <v>720</v>
      </c>
      <c r="P692" s="3">
        <v>91</v>
      </c>
      <c r="Q692">
        <f>SUM([1]!Table1[[#This Row],[Sales]])</f>
        <v>815</v>
      </c>
      <c r="R692">
        <f>SUM([1]!Table1[[#This Row],[Profit]])</f>
        <v>646</v>
      </c>
      <c r="S692" s="7">
        <f t="shared" si="80"/>
        <v>0.79263803680981593</v>
      </c>
      <c r="T692">
        <f t="shared" si="81"/>
        <v>66</v>
      </c>
      <c r="U692">
        <f t="shared" si="82"/>
        <v>95</v>
      </c>
      <c r="V692">
        <f t="shared" si="83"/>
        <v>29</v>
      </c>
      <c r="W692">
        <f t="shared" si="84"/>
        <v>9.7878787878787872</v>
      </c>
      <c r="X692" t="str">
        <f t="shared" si="85"/>
        <v>High Profit</v>
      </c>
      <c r="Y692">
        <f t="shared" si="86"/>
        <v>239</v>
      </c>
      <c r="Z692">
        <f t="shared" si="87"/>
        <v>815</v>
      </c>
    </row>
    <row r="693" spans="1:26">
      <c r="A693" s="5">
        <v>904</v>
      </c>
      <c r="B693" s="5">
        <v>22</v>
      </c>
      <c r="C693" s="6">
        <v>41548</v>
      </c>
      <c r="D693" s="5" t="s">
        <v>16</v>
      </c>
      <c r="E693" s="5" t="s">
        <v>25</v>
      </c>
      <c r="F693" s="5">
        <v>7</v>
      </c>
      <c r="G693" s="5" t="s">
        <v>18</v>
      </c>
      <c r="H693" s="5" t="s">
        <v>19</v>
      </c>
      <c r="I693" s="5" t="s">
        <v>50</v>
      </c>
      <c r="J693" s="5">
        <v>15</v>
      </c>
      <c r="K693" s="5">
        <v>54</v>
      </c>
      <c r="L693" s="5" t="s">
        <v>28</v>
      </c>
      <c r="M693" s="5">
        <v>0</v>
      </c>
      <c r="N693" s="5">
        <v>20</v>
      </c>
      <c r="O693" s="5">
        <v>20</v>
      </c>
      <c r="P693" s="5">
        <v>19</v>
      </c>
      <c r="Q693">
        <f>SUM([1]!Table1[[#This Row],[Sales]])</f>
        <v>54</v>
      </c>
      <c r="R693">
        <f>SUM([1]!Table1[[#This Row],[Profit]])</f>
        <v>15</v>
      </c>
      <c r="S693" s="7">
        <f t="shared" si="80"/>
        <v>0.27777777777777779</v>
      </c>
      <c r="T693">
        <f t="shared" si="81"/>
        <v>7</v>
      </c>
      <c r="U693">
        <f t="shared" si="82"/>
        <v>34</v>
      </c>
      <c r="V693">
        <f t="shared" si="83"/>
        <v>22</v>
      </c>
      <c r="W693">
        <f t="shared" si="84"/>
        <v>2.1428571428571428</v>
      </c>
      <c r="X693" t="str">
        <f t="shared" si="85"/>
        <v>Low Profit</v>
      </c>
      <c r="Y693">
        <f t="shared" si="86"/>
        <v>22</v>
      </c>
      <c r="Z693">
        <f t="shared" si="87"/>
        <v>54</v>
      </c>
    </row>
    <row r="694" spans="1:26">
      <c r="A694" s="3">
        <v>585</v>
      </c>
      <c r="B694" s="3">
        <v>255</v>
      </c>
      <c r="C694" s="4">
        <v>41548</v>
      </c>
      <c r="D694" s="3" t="s">
        <v>16</v>
      </c>
      <c r="E694" s="3" t="s">
        <v>25</v>
      </c>
      <c r="F694" s="3">
        <v>96</v>
      </c>
      <c r="G694" s="3" t="s">
        <v>18</v>
      </c>
      <c r="H694" s="3" t="s">
        <v>19</v>
      </c>
      <c r="I694" s="3" t="s">
        <v>20</v>
      </c>
      <c r="J694" s="3">
        <v>191</v>
      </c>
      <c r="K694" s="3">
        <v>547</v>
      </c>
      <c r="L694" s="3" t="s">
        <v>60</v>
      </c>
      <c r="M694" s="3">
        <v>140</v>
      </c>
      <c r="N694" s="3">
        <v>70</v>
      </c>
      <c r="O694" s="3">
        <v>290</v>
      </c>
      <c r="P694" s="3">
        <v>129</v>
      </c>
      <c r="Q694">
        <f>SUM([1]!Table1[[#This Row],[Sales]])</f>
        <v>547</v>
      </c>
      <c r="R694">
        <f>SUM([1]!Table1[[#This Row],[Profit]])</f>
        <v>191</v>
      </c>
      <c r="S694" s="7">
        <f t="shared" si="80"/>
        <v>0.34917733089579522</v>
      </c>
      <c r="T694">
        <f t="shared" si="81"/>
        <v>96</v>
      </c>
      <c r="U694">
        <f t="shared" si="82"/>
        <v>257</v>
      </c>
      <c r="V694">
        <f t="shared" si="83"/>
        <v>115</v>
      </c>
      <c r="W694">
        <f t="shared" si="84"/>
        <v>1.9895833333333333</v>
      </c>
      <c r="X694" t="str">
        <f t="shared" si="85"/>
        <v>High Profit</v>
      </c>
      <c r="Y694">
        <f t="shared" si="86"/>
        <v>255</v>
      </c>
      <c r="Z694">
        <f t="shared" si="87"/>
        <v>547</v>
      </c>
    </row>
    <row r="695" spans="1:26">
      <c r="A695" s="5">
        <v>631</v>
      </c>
      <c r="B695" s="5">
        <v>239</v>
      </c>
      <c r="C695" s="6">
        <v>41548</v>
      </c>
      <c r="D695" s="5" t="s">
        <v>16</v>
      </c>
      <c r="E695" s="5" t="s">
        <v>25</v>
      </c>
      <c r="F695" s="5">
        <v>74</v>
      </c>
      <c r="G695" s="5" t="s">
        <v>18</v>
      </c>
      <c r="H695" s="5" t="s">
        <v>19</v>
      </c>
      <c r="I695" s="5" t="s">
        <v>22</v>
      </c>
      <c r="J695" s="5">
        <v>-252</v>
      </c>
      <c r="K695" s="5">
        <v>175</v>
      </c>
      <c r="L695" s="5" t="s">
        <v>60</v>
      </c>
      <c r="M695" s="5">
        <v>130</v>
      </c>
      <c r="N695" s="5">
        <v>-100</v>
      </c>
      <c r="O695" s="5">
        <v>80</v>
      </c>
      <c r="P695" s="5">
        <v>95</v>
      </c>
      <c r="Q695">
        <f>SUM([1]!Table1[[#This Row],[Sales]])</f>
        <v>175</v>
      </c>
      <c r="R695">
        <f>SUM([1]!Table1[[#This Row],[Profit]])</f>
        <v>-252</v>
      </c>
      <c r="S695" s="7">
        <f t="shared" si="80"/>
        <v>-1.44</v>
      </c>
      <c r="T695">
        <f t="shared" si="81"/>
        <v>74</v>
      </c>
      <c r="U695">
        <f t="shared" si="82"/>
        <v>95</v>
      </c>
      <c r="V695">
        <f t="shared" si="83"/>
        <v>109</v>
      </c>
      <c r="W695">
        <f t="shared" si="84"/>
        <v>-3.4054054054054053</v>
      </c>
      <c r="X695" t="str">
        <f t="shared" si="85"/>
        <v>Low Profit</v>
      </c>
      <c r="Y695">
        <f t="shared" si="86"/>
        <v>239</v>
      </c>
      <c r="Z695">
        <f t="shared" si="87"/>
        <v>175</v>
      </c>
    </row>
    <row r="696" spans="1:26">
      <c r="A696" s="3">
        <v>585</v>
      </c>
      <c r="B696" s="3">
        <v>108</v>
      </c>
      <c r="C696" s="4">
        <v>41548</v>
      </c>
      <c r="D696" s="3" t="s">
        <v>16</v>
      </c>
      <c r="E696" s="3" t="s">
        <v>25</v>
      </c>
      <c r="F696" s="3">
        <v>30</v>
      </c>
      <c r="G696" s="3" t="s">
        <v>18</v>
      </c>
      <c r="H696" s="3" t="s">
        <v>26</v>
      </c>
      <c r="I696" s="3" t="s">
        <v>27</v>
      </c>
      <c r="J696" s="3">
        <v>171</v>
      </c>
      <c r="K696" s="3">
        <v>282</v>
      </c>
      <c r="L696" s="3" t="s">
        <v>60</v>
      </c>
      <c r="M696" s="3">
        <v>110</v>
      </c>
      <c r="N696" s="3">
        <v>140</v>
      </c>
      <c r="O696" s="3">
        <v>280</v>
      </c>
      <c r="P696" s="3">
        <v>42</v>
      </c>
      <c r="Q696">
        <f>SUM([1]!Table1[[#This Row],[Sales]])</f>
        <v>282</v>
      </c>
      <c r="R696">
        <f>SUM([1]!Table1[[#This Row],[Profit]])</f>
        <v>171</v>
      </c>
      <c r="S696" s="7">
        <f t="shared" si="80"/>
        <v>0.6063829787234043</v>
      </c>
      <c r="T696">
        <f t="shared" si="81"/>
        <v>30</v>
      </c>
      <c r="U696">
        <f t="shared" si="82"/>
        <v>2</v>
      </c>
      <c r="V696">
        <f t="shared" si="83"/>
        <v>-2</v>
      </c>
      <c r="W696">
        <f t="shared" si="84"/>
        <v>5.7</v>
      </c>
      <c r="X696" t="str">
        <f t="shared" si="85"/>
        <v>High Profit</v>
      </c>
      <c r="Y696">
        <f t="shared" si="86"/>
        <v>108</v>
      </c>
      <c r="Z696">
        <f t="shared" si="87"/>
        <v>282</v>
      </c>
    </row>
    <row r="697" spans="1:26">
      <c r="A697" s="5">
        <v>718</v>
      </c>
      <c r="B697" s="5">
        <v>123</v>
      </c>
      <c r="C697" s="6">
        <v>41548</v>
      </c>
      <c r="D697" s="5" t="s">
        <v>16</v>
      </c>
      <c r="E697" s="5" t="s">
        <v>25</v>
      </c>
      <c r="F697" s="5">
        <v>34</v>
      </c>
      <c r="G697" s="5" t="s">
        <v>18</v>
      </c>
      <c r="H697" s="5" t="s">
        <v>26</v>
      </c>
      <c r="I697" s="5" t="s">
        <v>54</v>
      </c>
      <c r="J697" s="5">
        <v>199</v>
      </c>
      <c r="K697" s="5">
        <v>322</v>
      </c>
      <c r="L697" s="5" t="s">
        <v>60</v>
      </c>
      <c r="M697" s="5">
        <v>130</v>
      </c>
      <c r="N697" s="5">
        <v>160</v>
      </c>
      <c r="O697" s="5">
        <v>320</v>
      </c>
      <c r="P697" s="5">
        <v>45</v>
      </c>
      <c r="Q697">
        <f>SUM([1]!Table1[[#This Row],[Sales]])</f>
        <v>322</v>
      </c>
      <c r="R697">
        <f>SUM([1]!Table1[[#This Row],[Profit]])</f>
        <v>199</v>
      </c>
      <c r="S697" s="7">
        <f t="shared" si="80"/>
        <v>0.61801242236024845</v>
      </c>
      <c r="T697">
        <f t="shared" si="81"/>
        <v>34</v>
      </c>
      <c r="U697">
        <f t="shared" si="82"/>
        <v>2</v>
      </c>
      <c r="V697">
        <f t="shared" si="83"/>
        <v>-7</v>
      </c>
      <c r="W697">
        <f t="shared" si="84"/>
        <v>5.8529411764705879</v>
      </c>
      <c r="X697" t="str">
        <f t="shared" si="85"/>
        <v>High Profit</v>
      </c>
      <c r="Y697">
        <f t="shared" si="86"/>
        <v>123</v>
      </c>
      <c r="Z697">
        <f t="shared" si="87"/>
        <v>322</v>
      </c>
    </row>
    <row r="698" spans="1:26">
      <c r="A698" s="3">
        <v>607</v>
      </c>
      <c r="B698" s="3">
        <v>76</v>
      </c>
      <c r="C698" s="4">
        <v>41548</v>
      </c>
      <c r="D698" s="3" t="s">
        <v>16</v>
      </c>
      <c r="E698" s="3" t="s">
        <v>25</v>
      </c>
      <c r="F698" s="3">
        <v>21</v>
      </c>
      <c r="G698" s="3" t="s">
        <v>18</v>
      </c>
      <c r="H698" s="3" t="s">
        <v>26</v>
      </c>
      <c r="I698" s="3" t="s">
        <v>30</v>
      </c>
      <c r="J698" s="3">
        <v>116</v>
      </c>
      <c r="K698" s="3">
        <v>199</v>
      </c>
      <c r="L698" s="3" t="s">
        <v>60</v>
      </c>
      <c r="M698" s="3">
        <v>80</v>
      </c>
      <c r="N698" s="3">
        <v>100</v>
      </c>
      <c r="O698" s="3">
        <v>200</v>
      </c>
      <c r="P698" s="3">
        <v>33</v>
      </c>
      <c r="Q698">
        <f>SUM([1]!Table1[[#This Row],[Sales]])</f>
        <v>199</v>
      </c>
      <c r="R698">
        <f>SUM([1]!Table1[[#This Row],[Profit]])</f>
        <v>116</v>
      </c>
      <c r="S698" s="7">
        <f t="shared" si="80"/>
        <v>0.58291457286432158</v>
      </c>
      <c r="T698">
        <f t="shared" si="81"/>
        <v>21</v>
      </c>
      <c r="U698">
        <f t="shared" si="82"/>
        <v>-1</v>
      </c>
      <c r="V698">
        <f t="shared" si="83"/>
        <v>-4</v>
      </c>
      <c r="W698">
        <f t="shared" si="84"/>
        <v>5.5238095238095237</v>
      </c>
      <c r="X698" t="str">
        <f t="shared" si="85"/>
        <v>High Profit</v>
      </c>
      <c r="Y698">
        <f t="shared" si="86"/>
        <v>76</v>
      </c>
      <c r="Z698">
        <f t="shared" si="87"/>
        <v>199</v>
      </c>
    </row>
    <row r="699" spans="1:26">
      <c r="A699" s="5">
        <v>904</v>
      </c>
      <c r="B699" s="5">
        <v>102</v>
      </c>
      <c r="C699" s="6">
        <v>41579</v>
      </c>
      <c r="D699" s="5" t="s">
        <v>16</v>
      </c>
      <c r="E699" s="5" t="s">
        <v>25</v>
      </c>
      <c r="F699" s="5">
        <v>31</v>
      </c>
      <c r="G699" s="5" t="s">
        <v>33</v>
      </c>
      <c r="H699" s="5" t="s">
        <v>38</v>
      </c>
      <c r="I699" s="5" t="s">
        <v>39</v>
      </c>
      <c r="J699" s="5">
        <v>132</v>
      </c>
      <c r="K699" s="5">
        <v>261</v>
      </c>
      <c r="L699" s="5" t="s">
        <v>28</v>
      </c>
      <c r="M699" s="5">
        <v>90</v>
      </c>
      <c r="N699" s="5">
        <v>90</v>
      </c>
      <c r="O699" s="5">
        <v>220</v>
      </c>
      <c r="P699" s="5">
        <v>54</v>
      </c>
      <c r="Q699">
        <f>SUM([1]!Table1[[#This Row],[Sales]])</f>
        <v>261</v>
      </c>
      <c r="R699">
        <f>SUM([1]!Table1[[#This Row],[Profit]])</f>
        <v>132</v>
      </c>
      <c r="S699" s="7">
        <f t="shared" si="80"/>
        <v>0.50574712643678166</v>
      </c>
      <c r="T699">
        <f t="shared" si="81"/>
        <v>31</v>
      </c>
      <c r="U699">
        <f t="shared" si="82"/>
        <v>41</v>
      </c>
      <c r="V699">
        <f t="shared" si="83"/>
        <v>12</v>
      </c>
      <c r="W699">
        <f t="shared" si="84"/>
        <v>4.258064516129032</v>
      </c>
      <c r="X699" t="str">
        <f t="shared" si="85"/>
        <v>High Profit</v>
      </c>
      <c r="Y699">
        <f t="shared" si="86"/>
        <v>102</v>
      </c>
      <c r="Z699">
        <f t="shared" si="87"/>
        <v>261</v>
      </c>
    </row>
    <row r="700" spans="1:26">
      <c r="A700" s="3">
        <v>772</v>
      </c>
      <c r="B700" s="3">
        <v>77</v>
      </c>
      <c r="C700" s="4">
        <v>41579</v>
      </c>
      <c r="D700" s="3" t="s">
        <v>16</v>
      </c>
      <c r="E700" s="3" t="s">
        <v>25</v>
      </c>
      <c r="F700" s="3">
        <v>25</v>
      </c>
      <c r="G700" s="3" t="s">
        <v>33</v>
      </c>
      <c r="H700" s="3" t="s">
        <v>34</v>
      </c>
      <c r="I700" s="3" t="s">
        <v>35</v>
      </c>
      <c r="J700" s="3">
        <v>76</v>
      </c>
      <c r="K700" s="3">
        <v>192</v>
      </c>
      <c r="L700" s="3" t="s">
        <v>28</v>
      </c>
      <c r="M700" s="3">
        <v>70</v>
      </c>
      <c r="N700" s="3">
        <v>60</v>
      </c>
      <c r="O700" s="3">
        <v>170</v>
      </c>
      <c r="P700" s="3">
        <v>52</v>
      </c>
      <c r="Q700">
        <f>SUM([1]!Table1[[#This Row],[Sales]])</f>
        <v>192</v>
      </c>
      <c r="R700">
        <f>SUM([1]!Table1[[#This Row],[Profit]])</f>
        <v>76</v>
      </c>
      <c r="S700" s="7">
        <f t="shared" si="80"/>
        <v>0.39583333333333331</v>
      </c>
      <c r="T700">
        <f t="shared" si="81"/>
        <v>25</v>
      </c>
      <c r="U700">
        <f t="shared" si="82"/>
        <v>22</v>
      </c>
      <c r="V700">
        <f t="shared" si="83"/>
        <v>7</v>
      </c>
      <c r="W700">
        <f t="shared" si="84"/>
        <v>3.04</v>
      </c>
      <c r="X700" t="str">
        <f t="shared" si="85"/>
        <v>Low Profit</v>
      </c>
      <c r="Y700">
        <f t="shared" si="86"/>
        <v>77</v>
      </c>
      <c r="Z700">
        <f t="shared" si="87"/>
        <v>192</v>
      </c>
    </row>
    <row r="701" spans="1:26">
      <c r="A701" s="5">
        <v>786</v>
      </c>
      <c r="B701" s="5">
        <v>78</v>
      </c>
      <c r="C701" s="6">
        <v>41579</v>
      </c>
      <c r="D701" s="5" t="s">
        <v>16</v>
      </c>
      <c r="E701" s="5" t="s">
        <v>25</v>
      </c>
      <c r="F701" s="5">
        <v>25</v>
      </c>
      <c r="G701" s="5" t="s">
        <v>33</v>
      </c>
      <c r="H701" s="5" t="s">
        <v>38</v>
      </c>
      <c r="I701" s="5" t="s">
        <v>45</v>
      </c>
      <c r="J701" s="5">
        <v>93</v>
      </c>
      <c r="K701" s="5">
        <v>210</v>
      </c>
      <c r="L701" s="5" t="s">
        <v>28</v>
      </c>
      <c r="M701" s="5">
        <v>70</v>
      </c>
      <c r="N701" s="5">
        <v>60</v>
      </c>
      <c r="O701" s="5">
        <v>170</v>
      </c>
      <c r="P701" s="5">
        <v>56</v>
      </c>
      <c r="Q701">
        <f>SUM([1]!Table1[[#This Row],[Sales]])</f>
        <v>210</v>
      </c>
      <c r="R701">
        <f>SUM([1]!Table1[[#This Row],[Profit]])</f>
        <v>93</v>
      </c>
      <c r="S701" s="7">
        <f t="shared" si="80"/>
        <v>0.44285714285714284</v>
      </c>
      <c r="T701">
        <f t="shared" si="81"/>
        <v>25</v>
      </c>
      <c r="U701">
        <f t="shared" si="82"/>
        <v>40</v>
      </c>
      <c r="V701">
        <f t="shared" si="83"/>
        <v>8</v>
      </c>
      <c r="W701">
        <f t="shared" si="84"/>
        <v>3.72</v>
      </c>
      <c r="X701" t="str">
        <f t="shared" si="85"/>
        <v>Low Profit</v>
      </c>
      <c r="Y701">
        <f t="shared" si="86"/>
        <v>78</v>
      </c>
      <c r="Z701">
        <f t="shared" si="87"/>
        <v>210</v>
      </c>
    </row>
    <row r="702" spans="1:26">
      <c r="A702" s="3">
        <v>857</v>
      </c>
      <c r="B702" s="3">
        <v>75</v>
      </c>
      <c r="C702" s="4">
        <v>41579</v>
      </c>
      <c r="D702" s="3" t="s">
        <v>16</v>
      </c>
      <c r="E702" s="3" t="s">
        <v>25</v>
      </c>
      <c r="F702" s="3">
        <v>24</v>
      </c>
      <c r="G702" s="3" t="s">
        <v>33</v>
      </c>
      <c r="H702" s="3" t="s">
        <v>38</v>
      </c>
      <c r="I702" s="3" t="s">
        <v>45</v>
      </c>
      <c r="J702" s="3">
        <v>481</v>
      </c>
      <c r="K702" s="3">
        <v>484</v>
      </c>
      <c r="L702" s="3" t="s">
        <v>55</v>
      </c>
      <c r="M702" s="3">
        <v>60</v>
      </c>
      <c r="N702" s="3">
        <v>300</v>
      </c>
      <c r="O702" s="3">
        <v>400</v>
      </c>
      <c r="P702" s="3">
        <v>55</v>
      </c>
      <c r="Q702">
        <f>SUM([1]!Table1[[#This Row],[Sales]])</f>
        <v>484</v>
      </c>
      <c r="R702">
        <f>SUM([1]!Table1[[#This Row],[Profit]])</f>
        <v>481</v>
      </c>
      <c r="S702" s="7">
        <f t="shared" si="80"/>
        <v>0.99380165289256195</v>
      </c>
      <c r="T702">
        <f t="shared" si="81"/>
        <v>24</v>
      </c>
      <c r="U702">
        <f t="shared" si="82"/>
        <v>84</v>
      </c>
      <c r="V702">
        <f t="shared" si="83"/>
        <v>15</v>
      </c>
      <c r="W702">
        <f t="shared" si="84"/>
        <v>20.041666666666668</v>
      </c>
      <c r="X702" t="str">
        <f t="shared" si="85"/>
        <v>High Profit</v>
      </c>
      <c r="Y702">
        <f t="shared" si="86"/>
        <v>75</v>
      </c>
      <c r="Z702">
        <f t="shared" si="87"/>
        <v>484</v>
      </c>
    </row>
    <row r="703" spans="1:26">
      <c r="A703" s="5">
        <v>607</v>
      </c>
      <c r="B703" s="5">
        <v>249</v>
      </c>
      <c r="C703" s="6">
        <v>41579</v>
      </c>
      <c r="D703" s="5" t="s">
        <v>16</v>
      </c>
      <c r="E703" s="5" t="s">
        <v>25</v>
      </c>
      <c r="F703" s="5">
        <v>87</v>
      </c>
      <c r="G703" s="5" t="s">
        <v>33</v>
      </c>
      <c r="H703" s="5" t="s">
        <v>38</v>
      </c>
      <c r="I703" s="5" t="s">
        <v>45</v>
      </c>
      <c r="J703" s="5">
        <v>350</v>
      </c>
      <c r="K703" s="5">
        <v>664</v>
      </c>
      <c r="L703" s="5" t="s">
        <v>60</v>
      </c>
      <c r="M703" s="5">
        <v>220</v>
      </c>
      <c r="N703" s="5">
        <v>230</v>
      </c>
      <c r="O703" s="5">
        <v>560</v>
      </c>
      <c r="P703" s="5">
        <v>138</v>
      </c>
      <c r="Q703">
        <f>SUM([1]!Table1[[#This Row],[Sales]])</f>
        <v>664</v>
      </c>
      <c r="R703">
        <f>SUM([1]!Table1[[#This Row],[Profit]])</f>
        <v>350</v>
      </c>
      <c r="S703" s="7">
        <f t="shared" si="80"/>
        <v>0.52710843373493976</v>
      </c>
      <c r="T703">
        <f t="shared" si="81"/>
        <v>87</v>
      </c>
      <c r="U703">
        <f t="shared" si="82"/>
        <v>104</v>
      </c>
      <c r="V703">
        <f t="shared" si="83"/>
        <v>29</v>
      </c>
      <c r="W703">
        <f t="shared" si="84"/>
        <v>4.0229885057471266</v>
      </c>
      <c r="X703" t="str">
        <f t="shared" si="85"/>
        <v>High Profit</v>
      </c>
      <c r="Y703">
        <f t="shared" si="86"/>
        <v>249</v>
      </c>
      <c r="Z703">
        <f t="shared" si="87"/>
        <v>664</v>
      </c>
    </row>
    <row r="704" spans="1:26">
      <c r="A704" s="3">
        <v>813</v>
      </c>
      <c r="B704" s="3">
        <v>94</v>
      </c>
      <c r="C704" s="4">
        <v>41579</v>
      </c>
      <c r="D704" s="3" t="s">
        <v>16</v>
      </c>
      <c r="E704" s="3" t="s">
        <v>25</v>
      </c>
      <c r="F704" s="3">
        <v>85</v>
      </c>
      <c r="G704" s="3" t="s">
        <v>33</v>
      </c>
      <c r="H704" s="3" t="s">
        <v>34</v>
      </c>
      <c r="I704" s="3" t="s">
        <v>46</v>
      </c>
      <c r="J704" s="3">
        <v>22</v>
      </c>
      <c r="K704" s="3">
        <v>239</v>
      </c>
      <c r="L704" s="3" t="s">
        <v>28</v>
      </c>
      <c r="M704" s="3">
        <v>90</v>
      </c>
      <c r="N704" s="3">
        <v>20</v>
      </c>
      <c r="O704" s="3">
        <v>210</v>
      </c>
      <c r="P704" s="3">
        <v>115</v>
      </c>
      <c r="Q704">
        <f>SUM([1]!Table1[[#This Row],[Sales]])</f>
        <v>239</v>
      </c>
      <c r="R704">
        <f>SUM([1]!Table1[[#This Row],[Profit]])</f>
        <v>22</v>
      </c>
      <c r="S704" s="7">
        <f t="shared" si="80"/>
        <v>9.2050209205020925E-2</v>
      </c>
      <c r="T704">
        <f t="shared" si="81"/>
        <v>85</v>
      </c>
      <c r="U704">
        <f t="shared" si="82"/>
        <v>29</v>
      </c>
      <c r="V704">
        <f t="shared" si="83"/>
        <v>4</v>
      </c>
      <c r="W704">
        <f t="shared" si="84"/>
        <v>0.25882352941176473</v>
      </c>
      <c r="X704" t="str">
        <f t="shared" si="85"/>
        <v>Low Profit</v>
      </c>
      <c r="Y704">
        <f t="shared" si="86"/>
        <v>94</v>
      </c>
      <c r="Z704">
        <f t="shared" si="87"/>
        <v>239</v>
      </c>
    </row>
    <row r="705" spans="1:26">
      <c r="A705" s="5">
        <v>914</v>
      </c>
      <c r="B705" s="5">
        <v>121</v>
      </c>
      <c r="C705" s="6">
        <v>41579</v>
      </c>
      <c r="D705" s="5" t="s">
        <v>16</v>
      </c>
      <c r="E705" s="5" t="s">
        <v>25</v>
      </c>
      <c r="F705" s="5">
        <v>109</v>
      </c>
      <c r="G705" s="5" t="s">
        <v>33</v>
      </c>
      <c r="H705" s="5" t="s">
        <v>34</v>
      </c>
      <c r="I705" s="5" t="s">
        <v>46</v>
      </c>
      <c r="J705" s="5">
        <v>-300</v>
      </c>
      <c r="K705" s="5">
        <v>65</v>
      </c>
      <c r="L705" s="5" t="s">
        <v>60</v>
      </c>
      <c r="M705" s="5">
        <v>110</v>
      </c>
      <c r="N705" s="5">
        <v>-190</v>
      </c>
      <c r="O705" s="5">
        <v>50</v>
      </c>
      <c r="P705" s="5">
        <v>142</v>
      </c>
      <c r="Q705">
        <f>SUM([1]!Table1[[#This Row],[Sales]])</f>
        <v>65</v>
      </c>
      <c r="R705">
        <f>SUM([1]!Table1[[#This Row],[Profit]])</f>
        <v>-300</v>
      </c>
      <c r="S705" s="7">
        <f t="shared" si="80"/>
        <v>-4.615384615384615</v>
      </c>
      <c r="T705">
        <f t="shared" si="81"/>
        <v>109</v>
      </c>
      <c r="U705">
        <f t="shared" si="82"/>
        <v>15</v>
      </c>
      <c r="V705">
        <f t="shared" si="83"/>
        <v>11</v>
      </c>
      <c r="W705">
        <f t="shared" si="84"/>
        <v>-2.7522935779816513</v>
      </c>
      <c r="X705" t="str">
        <f t="shared" si="85"/>
        <v>Low Profit</v>
      </c>
      <c r="Y705">
        <f t="shared" si="86"/>
        <v>121</v>
      </c>
      <c r="Z705">
        <f t="shared" si="87"/>
        <v>65</v>
      </c>
    </row>
    <row r="706" spans="1:26">
      <c r="A706" s="3">
        <v>617</v>
      </c>
      <c r="B706" s="3">
        <v>181</v>
      </c>
      <c r="C706" s="4">
        <v>41579</v>
      </c>
      <c r="D706" s="3" t="s">
        <v>16</v>
      </c>
      <c r="E706" s="3" t="s">
        <v>25</v>
      </c>
      <c r="F706" s="3">
        <v>50</v>
      </c>
      <c r="G706" s="3" t="s">
        <v>33</v>
      </c>
      <c r="H706" s="3" t="s">
        <v>34</v>
      </c>
      <c r="I706" s="3" t="s">
        <v>59</v>
      </c>
      <c r="J706" s="3">
        <v>160</v>
      </c>
      <c r="K706" s="3">
        <v>387</v>
      </c>
      <c r="L706" s="3" t="s">
        <v>55</v>
      </c>
      <c r="M706" s="3">
        <v>170</v>
      </c>
      <c r="N706" s="3">
        <v>120</v>
      </c>
      <c r="O706" s="3">
        <v>350</v>
      </c>
      <c r="P706" s="3">
        <v>74</v>
      </c>
      <c r="Q706">
        <f>SUM([1]!Table1[[#This Row],[Sales]])</f>
        <v>387</v>
      </c>
      <c r="R706">
        <f>SUM([1]!Table1[[#This Row],[Profit]])</f>
        <v>160</v>
      </c>
      <c r="S706" s="7">
        <f t="shared" si="80"/>
        <v>0.41343669250645992</v>
      </c>
      <c r="T706">
        <f t="shared" si="81"/>
        <v>50</v>
      </c>
      <c r="U706">
        <f t="shared" si="82"/>
        <v>37</v>
      </c>
      <c r="V706">
        <f t="shared" si="83"/>
        <v>11</v>
      </c>
      <c r="W706">
        <f t="shared" si="84"/>
        <v>3.2</v>
      </c>
      <c r="X706" t="str">
        <f t="shared" si="85"/>
        <v>High Profit</v>
      </c>
      <c r="Y706">
        <f t="shared" si="86"/>
        <v>181</v>
      </c>
      <c r="Z706">
        <f t="shared" si="87"/>
        <v>387</v>
      </c>
    </row>
    <row r="707" spans="1:26">
      <c r="A707" s="5">
        <v>917</v>
      </c>
      <c r="B707" s="5">
        <v>211</v>
      </c>
      <c r="C707" s="6">
        <v>41579</v>
      </c>
      <c r="D707" s="5" t="s">
        <v>16</v>
      </c>
      <c r="E707" s="5" t="s">
        <v>25</v>
      </c>
      <c r="F707" s="5">
        <v>59</v>
      </c>
      <c r="G707" s="5" t="s">
        <v>33</v>
      </c>
      <c r="H707" s="5" t="s">
        <v>34</v>
      </c>
      <c r="I707" s="5" t="s">
        <v>59</v>
      </c>
      <c r="J707" s="5">
        <v>565</v>
      </c>
      <c r="K707" s="5">
        <v>719</v>
      </c>
      <c r="L707" s="5" t="s">
        <v>60</v>
      </c>
      <c r="M707" s="5">
        <v>200</v>
      </c>
      <c r="N707" s="5">
        <v>390</v>
      </c>
      <c r="O707" s="5">
        <v>660</v>
      </c>
      <c r="P707" s="5">
        <v>83</v>
      </c>
      <c r="Q707">
        <f>SUM([1]!Table1[[#This Row],[Sales]])</f>
        <v>719</v>
      </c>
      <c r="R707">
        <f>SUM([1]!Table1[[#This Row],[Profit]])</f>
        <v>565</v>
      </c>
      <c r="S707" s="7">
        <f t="shared" ref="S707:S770" si="88">J707/K707</f>
        <v>0.78581363004172466</v>
      </c>
      <c r="T707">
        <f t="shared" ref="T707:T770" si="89">SUM(F707)</f>
        <v>59</v>
      </c>
      <c r="U707">
        <f t="shared" ref="U707:U770" si="90">K707-O707</f>
        <v>59</v>
      </c>
      <c r="V707">
        <f t="shared" ref="V707:V770" si="91">B707-M707</f>
        <v>11</v>
      </c>
      <c r="W707">
        <f t="shared" ref="W707:W770" si="92">J707/F707</f>
        <v>9.5762711864406782</v>
      </c>
      <c r="X707" t="str">
        <f t="shared" ref="X707:X770" si="93">IF(J707&gt;100,"High Profit","Low Profit")</f>
        <v>High Profit</v>
      </c>
      <c r="Y707">
        <f t="shared" ref="Y707:Y770" si="94">SUM(B707)</f>
        <v>211</v>
      </c>
      <c r="Z707">
        <f t="shared" ref="Z707:Z770" si="95">SUM(K707)</f>
        <v>719</v>
      </c>
    </row>
    <row r="708" spans="1:26">
      <c r="A708" s="3">
        <v>727</v>
      </c>
      <c r="B708" s="3">
        <v>22</v>
      </c>
      <c r="C708" s="4">
        <v>41579</v>
      </c>
      <c r="D708" s="3" t="s">
        <v>16</v>
      </c>
      <c r="E708" s="3" t="s">
        <v>25</v>
      </c>
      <c r="F708" s="3">
        <v>7</v>
      </c>
      <c r="G708" s="3" t="s">
        <v>18</v>
      </c>
      <c r="H708" s="3" t="s">
        <v>19</v>
      </c>
      <c r="I708" s="3" t="s">
        <v>50</v>
      </c>
      <c r="J708" s="3">
        <v>16</v>
      </c>
      <c r="K708" s="3">
        <v>55</v>
      </c>
      <c r="L708" s="3" t="s">
        <v>28</v>
      </c>
      <c r="M708" s="3">
        <v>10</v>
      </c>
      <c r="N708" s="3">
        <v>10</v>
      </c>
      <c r="O708" s="3">
        <v>30</v>
      </c>
      <c r="P708" s="3">
        <v>19</v>
      </c>
      <c r="Q708">
        <f>SUM([1]!Table1[[#This Row],[Sales]])</f>
        <v>55</v>
      </c>
      <c r="R708">
        <f>SUM([1]!Table1[[#This Row],[Profit]])</f>
        <v>16</v>
      </c>
      <c r="S708" s="7">
        <f t="shared" si="88"/>
        <v>0.29090909090909089</v>
      </c>
      <c r="T708">
        <f t="shared" si="89"/>
        <v>7</v>
      </c>
      <c r="U708">
        <f t="shared" si="90"/>
        <v>25</v>
      </c>
      <c r="V708">
        <f t="shared" si="91"/>
        <v>12</v>
      </c>
      <c r="W708">
        <f t="shared" si="92"/>
        <v>2.2857142857142856</v>
      </c>
      <c r="X708" t="str">
        <f t="shared" si="93"/>
        <v>Low Profit</v>
      </c>
      <c r="Y708">
        <f t="shared" si="94"/>
        <v>22</v>
      </c>
      <c r="Z708">
        <f t="shared" si="95"/>
        <v>55</v>
      </c>
    </row>
    <row r="709" spans="1:26">
      <c r="A709" s="5">
        <v>585</v>
      </c>
      <c r="B709" s="5">
        <v>245</v>
      </c>
      <c r="C709" s="6">
        <v>41579</v>
      </c>
      <c r="D709" s="5" t="s">
        <v>16</v>
      </c>
      <c r="E709" s="5" t="s">
        <v>25</v>
      </c>
      <c r="F709" s="5">
        <v>93</v>
      </c>
      <c r="G709" s="5" t="s">
        <v>18</v>
      </c>
      <c r="H709" s="5" t="s">
        <v>19</v>
      </c>
      <c r="I709" s="5" t="s">
        <v>20</v>
      </c>
      <c r="J709" s="5">
        <v>303</v>
      </c>
      <c r="K709" s="5">
        <v>614</v>
      </c>
      <c r="L709" s="5" t="s">
        <v>60</v>
      </c>
      <c r="M709" s="5">
        <v>180</v>
      </c>
      <c r="N709" s="5">
        <v>140</v>
      </c>
      <c r="O709" s="5">
        <v>420</v>
      </c>
      <c r="P709" s="5">
        <v>127</v>
      </c>
      <c r="Q709">
        <f>SUM([1]!Table1[[#This Row],[Sales]])</f>
        <v>614</v>
      </c>
      <c r="R709">
        <f>SUM([1]!Table1[[#This Row],[Profit]])</f>
        <v>303</v>
      </c>
      <c r="S709" s="7">
        <f t="shared" si="88"/>
        <v>0.49348534201954397</v>
      </c>
      <c r="T709">
        <f t="shared" si="89"/>
        <v>93</v>
      </c>
      <c r="U709">
        <f t="shared" si="90"/>
        <v>194</v>
      </c>
      <c r="V709">
        <f t="shared" si="91"/>
        <v>65</v>
      </c>
      <c r="W709">
        <f t="shared" si="92"/>
        <v>3.2580645161290325</v>
      </c>
      <c r="X709" t="str">
        <f t="shared" si="93"/>
        <v>High Profit</v>
      </c>
      <c r="Y709">
        <f t="shared" si="94"/>
        <v>245</v>
      </c>
      <c r="Z709">
        <f t="shared" si="95"/>
        <v>614</v>
      </c>
    </row>
    <row r="710" spans="1:26">
      <c r="A710" s="3">
        <v>518</v>
      </c>
      <c r="B710" s="3">
        <v>225</v>
      </c>
      <c r="C710" s="4">
        <v>41579</v>
      </c>
      <c r="D710" s="3" t="s">
        <v>16</v>
      </c>
      <c r="E710" s="3" t="s">
        <v>25</v>
      </c>
      <c r="F710" s="3">
        <v>69</v>
      </c>
      <c r="G710" s="3" t="s">
        <v>18</v>
      </c>
      <c r="H710" s="3" t="s">
        <v>19</v>
      </c>
      <c r="I710" s="3" t="s">
        <v>22</v>
      </c>
      <c r="J710" s="3">
        <v>-232</v>
      </c>
      <c r="K710" s="3">
        <v>171</v>
      </c>
      <c r="L710" s="3" t="s">
        <v>60</v>
      </c>
      <c r="M710" s="3">
        <v>160</v>
      </c>
      <c r="N710" s="3">
        <v>-120</v>
      </c>
      <c r="O710" s="3">
        <v>110</v>
      </c>
      <c r="P710" s="3">
        <v>91</v>
      </c>
      <c r="Q710">
        <f>SUM([1]!Table1[[#This Row],[Sales]])</f>
        <v>171</v>
      </c>
      <c r="R710">
        <f>SUM([1]!Table1[[#This Row],[Profit]])</f>
        <v>-232</v>
      </c>
      <c r="S710" s="7">
        <f t="shared" si="88"/>
        <v>-1.3567251461988303</v>
      </c>
      <c r="T710">
        <f t="shared" si="89"/>
        <v>69</v>
      </c>
      <c r="U710">
        <f t="shared" si="90"/>
        <v>61</v>
      </c>
      <c r="V710">
        <f t="shared" si="91"/>
        <v>65</v>
      </c>
      <c r="W710">
        <f t="shared" si="92"/>
        <v>-3.36231884057971</v>
      </c>
      <c r="X710" t="str">
        <f t="shared" si="93"/>
        <v>Low Profit</v>
      </c>
      <c r="Y710">
        <f t="shared" si="94"/>
        <v>225</v>
      </c>
      <c r="Z710">
        <f t="shared" si="95"/>
        <v>171</v>
      </c>
    </row>
    <row r="711" spans="1:26">
      <c r="A711" s="5">
        <v>516</v>
      </c>
      <c r="B711" s="5">
        <v>81</v>
      </c>
      <c r="C711" s="6">
        <v>41579</v>
      </c>
      <c r="D711" s="5" t="s">
        <v>16</v>
      </c>
      <c r="E711" s="5" t="s">
        <v>25</v>
      </c>
      <c r="F711" s="5">
        <v>22</v>
      </c>
      <c r="G711" s="5" t="s">
        <v>18</v>
      </c>
      <c r="H711" s="5" t="s">
        <v>26</v>
      </c>
      <c r="I711" s="5" t="s">
        <v>27</v>
      </c>
      <c r="J711" s="5">
        <v>125</v>
      </c>
      <c r="K711" s="5">
        <v>211</v>
      </c>
      <c r="L711" s="5" t="s">
        <v>60</v>
      </c>
      <c r="M711" s="5">
        <v>80</v>
      </c>
      <c r="N711" s="5">
        <v>90</v>
      </c>
      <c r="O711" s="5">
        <v>200</v>
      </c>
      <c r="P711" s="5">
        <v>33</v>
      </c>
      <c r="Q711">
        <f>SUM([1]!Table1[[#This Row],[Sales]])</f>
        <v>211</v>
      </c>
      <c r="R711">
        <f>SUM([1]!Table1[[#This Row],[Profit]])</f>
        <v>125</v>
      </c>
      <c r="S711" s="7">
        <f t="shared" si="88"/>
        <v>0.59241706161137442</v>
      </c>
      <c r="T711">
        <f t="shared" si="89"/>
        <v>22</v>
      </c>
      <c r="U711">
        <f t="shared" si="90"/>
        <v>11</v>
      </c>
      <c r="V711">
        <f t="shared" si="91"/>
        <v>1</v>
      </c>
      <c r="W711">
        <f t="shared" si="92"/>
        <v>5.6818181818181817</v>
      </c>
      <c r="X711" t="str">
        <f t="shared" si="93"/>
        <v>High Profit</v>
      </c>
      <c r="Y711">
        <f t="shared" si="94"/>
        <v>81</v>
      </c>
      <c r="Z711">
        <f t="shared" si="95"/>
        <v>211</v>
      </c>
    </row>
    <row r="712" spans="1:26">
      <c r="A712" s="3">
        <v>914</v>
      </c>
      <c r="B712" s="3">
        <v>118</v>
      </c>
      <c r="C712" s="4">
        <v>41579</v>
      </c>
      <c r="D712" s="3" t="s">
        <v>16</v>
      </c>
      <c r="E712" s="3" t="s">
        <v>25</v>
      </c>
      <c r="F712" s="3">
        <v>33</v>
      </c>
      <c r="G712" s="3" t="s">
        <v>18</v>
      </c>
      <c r="H712" s="3" t="s">
        <v>26</v>
      </c>
      <c r="I712" s="3" t="s">
        <v>54</v>
      </c>
      <c r="J712" s="3">
        <v>188</v>
      </c>
      <c r="K712" s="3">
        <v>309</v>
      </c>
      <c r="L712" s="3" t="s">
        <v>60</v>
      </c>
      <c r="M712" s="3">
        <v>120</v>
      </c>
      <c r="N712" s="3">
        <v>130</v>
      </c>
      <c r="O712" s="3">
        <v>290</v>
      </c>
      <c r="P712" s="3">
        <v>45</v>
      </c>
      <c r="Q712">
        <f>SUM([1]!Table1[[#This Row],[Sales]])</f>
        <v>309</v>
      </c>
      <c r="R712">
        <f>SUM([1]!Table1[[#This Row],[Profit]])</f>
        <v>188</v>
      </c>
      <c r="S712" s="7">
        <f t="shared" si="88"/>
        <v>0.60841423948220064</v>
      </c>
      <c r="T712">
        <f t="shared" si="89"/>
        <v>33</v>
      </c>
      <c r="U712">
        <f t="shared" si="90"/>
        <v>19</v>
      </c>
      <c r="V712">
        <f t="shared" si="91"/>
        <v>-2</v>
      </c>
      <c r="W712">
        <f t="shared" si="92"/>
        <v>5.6969696969696972</v>
      </c>
      <c r="X712" t="str">
        <f t="shared" si="93"/>
        <v>High Profit</v>
      </c>
      <c r="Y712">
        <f t="shared" si="94"/>
        <v>118</v>
      </c>
      <c r="Z712">
        <f t="shared" si="95"/>
        <v>309</v>
      </c>
    </row>
    <row r="713" spans="1:26">
      <c r="A713" s="5">
        <v>727</v>
      </c>
      <c r="B713" s="5">
        <v>134</v>
      </c>
      <c r="C713" s="6">
        <v>41609</v>
      </c>
      <c r="D713" s="5" t="s">
        <v>16</v>
      </c>
      <c r="E713" s="5" t="s">
        <v>25</v>
      </c>
      <c r="F713" s="5">
        <v>41</v>
      </c>
      <c r="G713" s="5" t="s">
        <v>33</v>
      </c>
      <c r="H713" s="5" t="s">
        <v>38</v>
      </c>
      <c r="I713" s="5" t="s">
        <v>39</v>
      </c>
      <c r="J713" s="5">
        <v>181</v>
      </c>
      <c r="K713" s="5">
        <v>341</v>
      </c>
      <c r="L713" s="5" t="s">
        <v>28</v>
      </c>
      <c r="M713" s="5">
        <v>120</v>
      </c>
      <c r="N713" s="5">
        <v>110</v>
      </c>
      <c r="O713" s="5">
        <v>280</v>
      </c>
      <c r="P713" s="5">
        <v>64</v>
      </c>
      <c r="Q713">
        <f>SUM([1]!Table1[[#This Row],[Sales]])</f>
        <v>341</v>
      </c>
      <c r="R713">
        <f>SUM([1]!Table1[[#This Row],[Profit]])</f>
        <v>181</v>
      </c>
      <c r="S713" s="7">
        <f t="shared" si="88"/>
        <v>0.53079178885630496</v>
      </c>
      <c r="T713">
        <f t="shared" si="89"/>
        <v>41</v>
      </c>
      <c r="U713">
        <f t="shared" si="90"/>
        <v>61</v>
      </c>
      <c r="V713">
        <f t="shared" si="91"/>
        <v>14</v>
      </c>
      <c r="W713">
        <f t="shared" si="92"/>
        <v>4.4146341463414638</v>
      </c>
      <c r="X713" t="str">
        <f t="shared" si="93"/>
        <v>High Profit</v>
      </c>
      <c r="Y713">
        <f t="shared" si="94"/>
        <v>134</v>
      </c>
      <c r="Z713">
        <f t="shared" si="95"/>
        <v>341</v>
      </c>
    </row>
    <row r="714" spans="1:26">
      <c r="A714" s="3">
        <v>386</v>
      </c>
      <c r="B714" s="3">
        <v>83</v>
      </c>
      <c r="C714" s="4">
        <v>41609</v>
      </c>
      <c r="D714" s="3" t="s">
        <v>16</v>
      </c>
      <c r="E714" s="3" t="s">
        <v>25</v>
      </c>
      <c r="F714" s="3">
        <v>27</v>
      </c>
      <c r="G714" s="3" t="s">
        <v>33</v>
      </c>
      <c r="H714" s="3" t="s">
        <v>34</v>
      </c>
      <c r="I714" s="3" t="s">
        <v>35</v>
      </c>
      <c r="J714" s="3">
        <v>86</v>
      </c>
      <c r="K714" s="3">
        <v>208</v>
      </c>
      <c r="L714" s="3" t="s">
        <v>28</v>
      </c>
      <c r="M714" s="3">
        <v>80</v>
      </c>
      <c r="N714" s="3">
        <v>70</v>
      </c>
      <c r="O714" s="3">
        <v>190</v>
      </c>
      <c r="P714" s="3">
        <v>54</v>
      </c>
      <c r="Q714">
        <f>SUM([1]!Table1[[#This Row],[Sales]])</f>
        <v>208</v>
      </c>
      <c r="R714">
        <f>SUM([1]!Table1[[#This Row],[Profit]])</f>
        <v>86</v>
      </c>
      <c r="S714" s="7">
        <f t="shared" si="88"/>
        <v>0.41346153846153844</v>
      </c>
      <c r="T714">
        <f t="shared" si="89"/>
        <v>27</v>
      </c>
      <c r="U714">
        <f t="shared" si="90"/>
        <v>18</v>
      </c>
      <c r="V714">
        <f t="shared" si="91"/>
        <v>3</v>
      </c>
      <c r="W714">
        <f t="shared" si="92"/>
        <v>3.1851851851851851</v>
      </c>
      <c r="X714" t="str">
        <f t="shared" si="93"/>
        <v>Low Profit</v>
      </c>
      <c r="Y714">
        <f t="shared" si="94"/>
        <v>83</v>
      </c>
      <c r="Z714">
        <f t="shared" si="95"/>
        <v>208</v>
      </c>
    </row>
    <row r="715" spans="1:26">
      <c r="A715" s="5">
        <v>407</v>
      </c>
      <c r="B715" s="5">
        <v>88</v>
      </c>
      <c r="C715" s="6">
        <v>41609</v>
      </c>
      <c r="D715" s="5" t="s">
        <v>16</v>
      </c>
      <c r="E715" s="5" t="s">
        <v>25</v>
      </c>
      <c r="F715" s="5">
        <v>29</v>
      </c>
      <c r="G715" s="5" t="s">
        <v>33</v>
      </c>
      <c r="H715" s="5" t="s">
        <v>38</v>
      </c>
      <c r="I715" s="5" t="s">
        <v>45</v>
      </c>
      <c r="J715" s="5">
        <v>108</v>
      </c>
      <c r="K715" s="5">
        <v>236</v>
      </c>
      <c r="L715" s="5" t="s">
        <v>28</v>
      </c>
      <c r="M715" s="5">
        <v>70</v>
      </c>
      <c r="N715" s="5">
        <v>80</v>
      </c>
      <c r="O715" s="5">
        <v>190</v>
      </c>
      <c r="P715" s="5">
        <v>60</v>
      </c>
      <c r="Q715">
        <f>SUM([1]!Table1[[#This Row],[Sales]])</f>
        <v>236</v>
      </c>
      <c r="R715">
        <f>SUM([1]!Table1[[#This Row],[Profit]])</f>
        <v>108</v>
      </c>
      <c r="S715" s="7">
        <f t="shared" si="88"/>
        <v>0.4576271186440678</v>
      </c>
      <c r="T715">
        <f t="shared" si="89"/>
        <v>29</v>
      </c>
      <c r="U715">
        <f t="shared" si="90"/>
        <v>46</v>
      </c>
      <c r="V715">
        <f t="shared" si="91"/>
        <v>18</v>
      </c>
      <c r="W715">
        <f t="shared" si="92"/>
        <v>3.7241379310344827</v>
      </c>
      <c r="X715" t="str">
        <f t="shared" si="93"/>
        <v>High Profit</v>
      </c>
      <c r="Y715">
        <f t="shared" si="94"/>
        <v>88</v>
      </c>
      <c r="Z715">
        <f t="shared" si="95"/>
        <v>236</v>
      </c>
    </row>
    <row r="716" spans="1:26">
      <c r="A716" s="3">
        <v>351</v>
      </c>
      <c r="B716" s="3">
        <v>67</v>
      </c>
      <c r="C716" s="4">
        <v>41609</v>
      </c>
      <c r="D716" s="3" t="s">
        <v>16</v>
      </c>
      <c r="E716" s="3" t="s">
        <v>25</v>
      </c>
      <c r="F716" s="3">
        <v>22</v>
      </c>
      <c r="G716" s="3" t="s">
        <v>33</v>
      </c>
      <c r="H716" s="3" t="s">
        <v>38</v>
      </c>
      <c r="I716" s="3" t="s">
        <v>45</v>
      </c>
      <c r="J716" s="3">
        <v>579</v>
      </c>
      <c r="K716" s="3">
        <v>543</v>
      </c>
      <c r="L716" s="3" t="s">
        <v>55</v>
      </c>
      <c r="M716" s="3">
        <v>60</v>
      </c>
      <c r="N716" s="3">
        <v>360</v>
      </c>
      <c r="O716" s="3">
        <v>450</v>
      </c>
      <c r="P716" s="3">
        <v>53</v>
      </c>
      <c r="Q716">
        <f>SUM([1]!Table1[[#This Row],[Sales]])</f>
        <v>543</v>
      </c>
      <c r="R716">
        <f>SUM([1]!Table1[[#This Row],[Profit]])</f>
        <v>579</v>
      </c>
      <c r="S716" s="7">
        <f t="shared" si="88"/>
        <v>1.0662983425414365</v>
      </c>
      <c r="T716">
        <f t="shared" si="89"/>
        <v>22</v>
      </c>
      <c r="U716">
        <f t="shared" si="90"/>
        <v>93</v>
      </c>
      <c r="V716">
        <f t="shared" si="91"/>
        <v>7</v>
      </c>
      <c r="W716">
        <f t="shared" si="92"/>
        <v>26.318181818181817</v>
      </c>
      <c r="X716" t="str">
        <f t="shared" si="93"/>
        <v>High Profit</v>
      </c>
      <c r="Y716">
        <f t="shared" si="94"/>
        <v>67</v>
      </c>
      <c r="Z716">
        <f t="shared" si="95"/>
        <v>543</v>
      </c>
    </row>
    <row r="717" spans="1:26">
      <c r="A717" s="5">
        <v>315</v>
      </c>
      <c r="B717" s="5">
        <v>279</v>
      </c>
      <c r="C717" s="6">
        <v>41609</v>
      </c>
      <c r="D717" s="5" t="s">
        <v>16</v>
      </c>
      <c r="E717" s="5" t="s">
        <v>25</v>
      </c>
      <c r="F717" s="5">
        <v>97</v>
      </c>
      <c r="G717" s="5" t="s">
        <v>33</v>
      </c>
      <c r="H717" s="5" t="s">
        <v>38</v>
      </c>
      <c r="I717" s="5" t="s">
        <v>45</v>
      </c>
      <c r="J717" s="5">
        <v>402</v>
      </c>
      <c r="K717" s="5">
        <v>745</v>
      </c>
      <c r="L717" s="5" t="s">
        <v>60</v>
      </c>
      <c r="M717" s="5">
        <v>250</v>
      </c>
      <c r="N717" s="5">
        <v>250</v>
      </c>
      <c r="O717" s="5">
        <v>620</v>
      </c>
      <c r="P717" s="5">
        <v>149</v>
      </c>
      <c r="Q717">
        <f>SUM([1]!Table1[[#This Row],[Sales]])</f>
        <v>745</v>
      </c>
      <c r="R717">
        <f>SUM([1]!Table1[[#This Row],[Profit]])</f>
        <v>402</v>
      </c>
      <c r="S717" s="7">
        <f t="shared" si="88"/>
        <v>0.53959731543624156</v>
      </c>
      <c r="T717">
        <f t="shared" si="89"/>
        <v>97</v>
      </c>
      <c r="U717">
        <f t="shared" si="90"/>
        <v>125</v>
      </c>
      <c r="V717">
        <f t="shared" si="91"/>
        <v>29</v>
      </c>
      <c r="W717">
        <f t="shared" si="92"/>
        <v>4.1443298969072169</v>
      </c>
      <c r="X717" t="str">
        <f t="shared" si="93"/>
        <v>High Profit</v>
      </c>
      <c r="Y717">
        <f t="shared" si="94"/>
        <v>279</v>
      </c>
      <c r="Z717">
        <f t="shared" si="95"/>
        <v>745</v>
      </c>
    </row>
    <row r="718" spans="1:26">
      <c r="A718" s="3">
        <v>305</v>
      </c>
      <c r="B718" s="3">
        <v>105</v>
      </c>
      <c r="C718" s="4">
        <v>41609</v>
      </c>
      <c r="D718" s="3" t="s">
        <v>16</v>
      </c>
      <c r="E718" s="3" t="s">
        <v>25</v>
      </c>
      <c r="F718" s="3">
        <v>95</v>
      </c>
      <c r="G718" s="3" t="s">
        <v>33</v>
      </c>
      <c r="H718" s="3" t="s">
        <v>34</v>
      </c>
      <c r="I718" s="3" t="s">
        <v>46</v>
      </c>
      <c r="J718" s="3">
        <v>31</v>
      </c>
      <c r="K718" s="3">
        <v>266</v>
      </c>
      <c r="L718" s="3" t="s">
        <v>28</v>
      </c>
      <c r="M718" s="3">
        <v>100</v>
      </c>
      <c r="N718" s="3">
        <v>30</v>
      </c>
      <c r="O718" s="3">
        <v>240</v>
      </c>
      <c r="P718" s="3">
        <v>124</v>
      </c>
      <c r="Q718">
        <f>SUM([1]!Table1[[#This Row],[Sales]])</f>
        <v>266</v>
      </c>
      <c r="R718">
        <f>SUM([1]!Table1[[#This Row],[Profit]])</f>
        <v>31</v>
      </c>
      <c r="S718" s="7">
        <f t="shared" si="88"/>
        <v>0.11654135338345864</v>
      </c>
      <c r="T718">
        <f t="shared" si="89"/>
        <v>95</v>
      </c>
      <c r="U718">
        <f t="shared" si="90"/>
        <v>26</v>
      </c>
      <c r="V718">
        <f t="shared" si="91"/>
        <v>5</v>
      </c>
      <c r="W718">
        <f t="shared" si="92"/>
        <v>0.32631578947368423</v>
      </c>
      <c r="X718" t="str">
        <f t="shared" si="93"/>
        <v>Low Profit</v>
      </c>
      <c r="Y718">
        <f t="shared" si="94"/>
        <v>105</v>
      </c>
      <c r="Z718">
        <f t="shared" si="95"/>
        <v>266</v>
      </c>
    </row>
    <row r="719" spans="1:26">
      <c r="A719" s="5">
        <v>845</v>
      </c>
      <c r="B719" s="5">
        <v>135</v>
      </c>
      <c r="C719" s="6">
        <v>41609</v>
      </c>
      <c r="D719" s="5" t="s">
        <v>16</v>
      </c>
      <c r="E719" s="5" t="s">
        <v>25</v>
      </c>
      <c r="F719" s="5">
        <v>122</v>
      </c>
      <c r="G719" s="5" t="s">
        <v>33</v>
      </c>
      <c r="H719" s="5" t="s">
        <v>34</v>
      </c>
      <c r="I719" s="5" t="s">
        <v>46</v>
      </c>
      <c r="J719" s="5">
        <v>-332</v>
      </c>
      <c r="K719" s="5">
        <v>70</v>
      </c>
      <c r="L719" s="5" t="s">
        <v>60</v>
      </c>
      <c r="M719" s="5">
        <v>130</v>
      </c>
      <c r="N719" s="5">
        <v>-210</v>
      </c>
      <c r="O719" s="5">
        <v>60</v>
      </c>
      <c r="P719" s="5">
        <v>155</v>
      </c>
      <c r="Q719">
        <f>SUM([1]!Table1[[#This Row],[Sales]])</f>
        <v>70</v>
      </c>
      <c r="R719">
        <f>SUM([1]!Table1[[#This Row],[Profit]])</f>
        <v>-332</v>
      </c>
      <c r="S719" s="7">
        <f t="shared" si="88"/>
        <v>-4.7428571428571429</v>
      </c>
      <c r="T719">
        <f t="shared" si="89"/>
        <v>122</v>
      </c>
      <c r="U719">
        <f t="shared" si="90"/>
        <v>10</v>
      </c>
      <c r="V719">
        <f t="shared" si="91"/>
        <v>5</v>
      </c>
      <c r="W719">
        <f t="shared" si="92"/>
        <v>-2.721311475409836</v>
      </c>
      <c r="X719" t="str">
        <f t="shared" si="93"/>
        <v>Low Profit</v>
      </c>
      <c r="Y719">
        <f t="shared" si="94"/>
        <v>135</v>
      </c>
      <c r="Z719">
        <f t="shared" si="95"/>
        <v>70</v>
      </c>
    </row>
    <row r="720" spans="1:26">
      <c r="A720" s="3">
        <v>857</v>
      </c>
      <c r="B720" s="3">
        <v>153</v>
      </c>
      <c r="C720" s="4">
        <v>41609</v>
      </c>
      <c r="D720" s="3" t="s">
        <v>16</v>
      </c>
      <c r="E720" s="3" t="s">
        <v>25</v>
      </c>
      <c r="F720" s="3">
        <v>42</v>
      </c>
      <c r="G720" s="3" t="s">
        <v>33</v>
      </c>
      <c r="H720" s="3" t="s">
        <v>34</v>
      </c>
      <c r="I720" s="3" t="s">
        <v>59</v>
      </c>
      <c r="J720" s="3">
        <v>129</v>
      </c>
      <c r="K720" s="3">
        <v>326</v>
      </c>
      <c r="L720" s="3" t="s">
        <v>55</v>
      </c>
      <c r="M720" s="3">
        <v>150</v>
      </c>
      <c r="N720" s="3">
        <v>80</v>
      </c>
      <c r="O720" s="3">
        <v>290</v>
      </c>
      <c r="P720" s="3">
        <v>66</v>
      </c>
      <c r="Q720">
        <f>SUM([1]!Table1[[#This Row],[Sales]])</f>
        <v>326</v>
      </c>
      <c r="R720">
        <f>SUM([1]!Table1[[#This Row],[Profit]])</f>
        <v>129</v>
      </c>
      <c r="S720" s="7">
        <f t="shared" si="88"/>
        <v>0.39570552147239263</v>
      </c>
      <c r="T720">
        <f t="shared" si="89"/>
        <v>42</v>
      </c>
      <c r="U720">
        <f t="shared" si="90"/>
        <v>36</v>
      </c>
      <c r="V720">
        <f t="shared" si="91"/>
        <v>3</v>
      </c>
      <c r="W720">
        <f t="shared" si="92"/>
        <v>3.0714285714285716</v>
      </c>
      <c r="X720" t="str">
        <f t="shared" si="93"/>
        <v>High Profit</v>
      </c>
      <c r="Y720">
        <f t="shared" si="94"/>
        <v>153</v>
      </c>
      <c r="Z720">
        <f t="shared" si="95"/>
        <v>326</v>
      </c>
    </row>
    <row r="721" spans="1:26">
      <c r="A721" s="5">
        <v>518</v>
      </c>
      <c r="B721" s="5">
        <v>250</v>
      </c>
      <c r="C721" s="6">
        <v>41609</v>
      </c>
      <c r="D721" s="5" t="s">
        <v>16</v>
      </c>
      <c r="E721" s="5" t="s">
        <v>25</v>
      </c>
      <c r="F721" s="5">
        <v>70</v>
      </c>
      <c r="G721" s="5" t="s">
        <v>33</v>
      </c>
      <c r="H721" s="5" t="s">
        <v>34</v>
      </c>
      <c r="I721" s="5" t="s">
        <v>59</v>
      </c>
      <c r="J721" s="5">
        <v>463</v>
      </c>
      <c r="K721" s="5">
        <v>700</v>
      </c>
      <c r="L721" s="5" t="s">
        <v>60</v>
      </c>
      <c r="M721" s="5">
        <v>240</v>
      </c>
      <c r="N721" s="5">
        <v>320</v>
      </c>
      <c r="O721" s="5">
        <v>640</v>
      </c>
      <c r="P721" s="5">
        <v>95</v>
      </c>
      <c r="Q721">
        <f>SUM([1]!Table1[[#This Row],[Sales]])</f>
        <v>700</v>
      </c>
      <c r="R721">
        <f>SUM([1]!Table1[[#This Row],[Profit]])</f>
        <v>463</v>
      </c>
      <c r="S721" s="7">
        <f t="shared" si="88"/>
        <v>0.66142857142857148</v>
      </c>
      <c r="T721">
        <f t="shared" si="89"/>
        <v>70</v>
      </c>
      <c r="U721">
        <f t="shared" si="90"/>
        <v>60</v>
      </c>
      <c r="V721">
        <f t="shared" si="91"/>
        <v>10</v>
      </c>
      <c r="W721">
        <f t="shared" si="92"/>
        <v>6.6142857142857139</v>
      </c>
      <c r="X721" t="str">
        <f t="shared" si="93"/>
        <v>High Profit</v>
      </c>
      <c r="Y721">
        <f t="shared" si="94"/>
        <v>250</v>
      </c>
      <c r="Z721">
        <f t="shared" si="95"/>
        <v>700</v>
      </c>
    </row>
    <row r="722" spans="1:26">
      <c r="A722" s="3">
        <v>631</v>
      </c>
      <c r="B722" s="3">
        <v>294</v>
      </c>
      <c r="C722" s="4">
        <v>41609</v>
      </c>
      <c r="D722" s="3" t="s">
        <v>16</v>
      </c>
      <c r="E722" s="3" t="s">
        <v>25</v>
      </c>
      <c r="F722" s="3">
        <v>111</v>
      </c>
      <c r="G722" s="3" t="s">
        <v>18</v>
      </c>
      <c r="H722" s="3" t="s">
        <v>19</v>
      </c>
      <c r="I722" s="3" t="s">
        <v>20</v>
      </c>
      <c r="J722" s="3">
        <v>459</v>
      </c>
      <c r="K722" s="3">
        <v>796</v>
      </c>
      <c r="L722" s="3" t="s">
        <v>60</v>
      </c>
      <c r="M722" s="3">
        <v>220</v>
      </c>
      <c r="N722" s="3">
        <v>210</v>
      </c>
      <c r="O722" s="3">
        <v>540</v>
      </c>
      <c r="P722" s="3">
        <v>144</v>
      </c>
      <c r="Q722">
        <f>SUM([1]!Table1[[#This Row],[Sales]])</f>
        <v>796</v>
      </c>
      <c r="R722">
        <f>SUM([1]!Table1[[#This Row],[Profit]])</f>
        <v>459</v>
      </c>
      <c r="S722" s="7">
        <f t="shared" si="88"/>
        <v>0.5766331658291457</v>
      </c>
      <c r="T722">
        <f t="shared" si="89"/>
        <v>111</v>
      </c>
      <c r="U722">
        <f t="shared" si="90"/>
        <v>256</v>
      </c>
      <c r="V722">
        <f t="shared" si="91"/>
        <v>74</v>
      </c>
      <c r="W722">
        <f t="shared" si="92"/>
        <v>4.1351351351351351</v>
      </c>
      <c r="X722" t="str">
        <f t="shared" si="93"/>
        <v>High Profit</v>
      </c>
      <c r="Y722">
        <f t="shared" si="94"/>
        <v>294</v>
      </c>
      <c r="Z722">
        <f t="shared" si="95"/>
        <v>796</v>
      </c>
    </row>
    <row r="723" spans="1:26">
      <c r="A723" s="5">
        <v>716</v>
      </c>
      <c r="B723" s="5">
        <v>241</v>
      </c>
      <c r="C723" s="6">
        <v>41609</v>
      </c>
      <c r="D723" s="5" t="s">
        <v>16</v>
      </c>
      <c r="E723" s="5" t="s">
        <v>25</v>
      </c>
      <c r="F723" s="5">
        <v>74</v>
      </c>
      <c r="G723" s="5" t="s">
        <v>18</v>
      </c>
      <c r="H723" s="5" t="s">
        <v>19</v>
      </c>
      <c r="I723" s="5" t="s">
        <v>22</v>
      </c>
      <c r="J723" s="5">
        <v>-280</v>
      </c>
      <c r="K723" s="5">
        <v>158</v>
      </c>
      <c r="L723" s="5" t="s">
        <v>60</v>
      </c>
      <c r="M723" s="5">
        <v>180</v>
      </c>
      <c r="N723" s="5">
        <v>-150</v>
      </c>
      <c r="O723" s="5">
        <v>100</v>
      </c>
      <c r="P723" s="5">
        <v>96</v>
      </c>
      <c r="Q723">
        <f>SUM([1]!Table1[[#This Row],[Sales]])</f>
        <v>158</v>
      </c>
      <c r="R723">
        <f>SUM([1]!Table1[[#This Row],[Profit]])</f>
        <v>-280</v>
      </c>
      <c r="S723" s="7">
        <f t="shared" si="88"/>
        <v>-1.7721518987341771</v>
      </c>
      <c r="T723">
        <f t="shared" si="89"/>
        <v>74</v>
      </c>
      <c r="U723">
        <f t="shared" si="90"/>
        <v>58</v>
      </c>
      <c r="V723">
        <f t="shared" si="91"/>
        <v>61</v>
      </c>
      <c r="W723">
        <f t="shared" si="92"/>
        <v>-3.7837837837837838</v>
      </c>
      <c r="X723" t="str">
        <f t="shared" si="93"/>
        <v>Low Profit</v>
      </c>
      <c r="Y723">
        <f t="shared" si="94"/>
        <v>241</v>
      </c>
      <c r="Z723">
        <f t="shared" si="95"/>
        <v>158</v>
      </c>
    </row>
    <row r="724" spans="1:26">
      <c r="A724" s="3">
        <v>718</v>
      </c>
      <c r="B724" s="3">
        <v>86</v>
      </c>
      <c r="C724" s="4">
        <v>41609</v>
      </c>
      <c r="D724" s="3" t="s">
        <v>16</v>
      </c>
      <c r="E724" s="3" t="s">
        <v>25</v>
      </c>
      <c r="F724" s="3">
        <v>24</v>
      </c>
      <c r="G724" s="3" t="s">
        <v>18</v>
      </c>
      <c r="H724" s="3" t="s">
        <v>26</v>
      </c>
      <c r="I724" s="3" t="s">
        <v>27</v>
      </c>
      <c r="J724" s="3">
        <v>132</v>
      </c>
      <c r="K724" s="3">
        <v>224</v>
      </c>
      <c r="L724" s="3" t="s">
        <v>60</v>
      </c>
      <c r="M724" s="3">
        <v>90</v>
      </c>
      <c r="N724" s="3">
        <v>90</v>
      </c>
      <c r="O724" s="3">
        <v>210</v>
      </c>
      <c r="P724" s="3">
        <v>35</v>
      </c>
      <c r="Q724">
        <f>SUM([1]!Table1[[#This Row],[Sales]])</f>
        <v>224</v>
      </c>
      <c r="R724">
        <f>SUM([1]!Table1[[#This Row],[Profit]])</f>
        <v>132</v>
      </c>
      <c r="S724" s="7">
        <f t="shared" si="88"/>
        <v>0.5892857142857143</v>
      </c>
      <c r="T724">
        <f t="shared" si="89"/>
        <v>24</v>
      </c>
      <c r="U724">
        <f t="shared" si="90"/>
        <v>14</v>
      </c>
      <c r="V724">
        <f t="shared" si="91"/>
        <v>-4</v>
      </c>
      <c r="W724">
        <f t="shared" si="92"/>
        <v>5.5</v>
      </c>
      <c r="X724" t="str">
        <f t="shared" si="93"/>
        <v>High Profit</v>
      </c>
      <c r="Y724">
        <f t="shared" si="94"/>
        <v>86</v>
      </c>
      <c r="Z724">
        <f t="shared" si="95"/>
        <v>224</v>
      </c>
    </row>
    <row r="725" spans="1:26">
      <c r="A725" s="5">
        <v>518</v>
      </c>
      <c r="B725" s="5">
        <v>123</v>
      </c>
      <c r="C725" s="6">
        <v>41609</v>
      </c>
      <c r="D725" s="5" t="s">
        <v>16</v>
      </c>
      <c r="E725" s="5" t="s">
        <v>25</v>
      </c>
      <c r="F725" s="5">
        <v>34</v>
      </c>
      <c r="G725" s="5" t="s">
        <v>18</v>
      </c>
      <c r="H725" s="5" t="s">
        <v>26</v>
      </c>
      <c r="I725" s="5" t="s">
        <v>54</v>
      </c>
      <c r="J725" s="5">
        <v>197</v>
      </c>
      <c r="K725" s="5">
        <v>322</v>
      </c>
      <c r="L725" s="5" t="s">
        <v>60</v>
      </c>
      <c r="M725" s="5">
        <v>120</v>
      </c>
      <c r="N725" s="5">
        <v>150</v>
      </c>
      <c r="O725" s="5">
        <v>310</v>
      </c>
      <c r="P725" s="5">
        <v>46</v>
      </c>
      <c r="Q725">
        <f>SUM([1]!Table1[[#This Row],[Sales]])</f>
        <v>322</v>
      </c>
      <c r="R725">
        <f>SUM([1]!Table1[[#This Row],[Profit]])</f>
        <v>197</v>
      </c>
      <c r="S725" s="7">
        <f t="shared" si="88"/>
        <v>0.61180124223602483</v>
      </c>
      <c r="T725">
        <f t="shared" si="89"/>
        <v>34</v>
      </c>
      <c r="U725">
        <f t="shared" si="90"/>
        <v>12</v>
      </c>
      <c r="V725">
        <f t="shared" si="91"/>
        <v>3</v>
      </c>
      <c r="W725">
        <f t="shared" si="92"/>
        <v>5.7941176470588234</v>
      </c>
      <c r="X725" t="str">
        <f t="shared" si="93"/>
        <v>High Profit</v>
      </c>
      <c r="Y725">
        <f t="shared" si="94"/>
        <v>123</v>
      </c>
      <c r="Z725">
        <f t="shared" si="95"/>
        <v>322</v>
      </c>
    </row>
    <row r="726" spans="1:26">
      <c r="A726" s="3">
        <v>719</v>
      </c>
      <c r="B726" s="3">
        <v>108</v>
      </c>
      <c r="C726" s="4">
        <v>41183</v>
      </c>
      <c r="D726" s="3" t="s">
        <v>16</v>
      </c>
      <c r="E726" s="3" t="s">
        <v>17</v>
      </c>
      <c r="F726" s="3">
        <v>30</v>
      </c>
      <c r="G726" s="3" t="s">
        <v>33</v>
      </c>
      <c r="H726" s="3" t="s">
        <v>38</v>
      </c>
      <c r="I726" s="3" t="s">
        <v>39</v>
      </c>
      <c r="J726" s="3">
        <v>116</v>
      </c>
      <c r="K726" s="3">
        <v>265</v>
      </c>
      <c r="L726" s="3" t="s">
        <v>21</v>
      </c>
      <c r="M726" s="3">
        <v>100</v>
      </c>
      <c r="N726" s="3">
        <v>150</v>
      </c>
      <c r="O726" s="3">
        <v>260</v>
      </c>
      <c r="P726" s="3">
        <v>41</v>
      </c>
      <c r="Q726">
        <f>SUM([1]!Table1[[#This Row],[Sales]])</f>
        <v>265</v>
      </c>
      <c r="R726">
        <f>SUM([1]!Table1[[#This Row],[Profit]])</f>
        <v>116</v>
      </c>
      <c r="S726" s="7">
        <f t="shared" si="88"/>
        <v>0.43773584905660379</v>
      </c>
      <c r="T726">
        <f t="shared" si="89"/>
        <v>30</v>
      </c>
      <c r="U726">
        <f t="shared" si="90"/>
        <v>5</v>
      </c>
      <c r="V726">
        <f t="shared" si="91"/>
        <v>8</v>
      </c>
      <c r="W726">
        <f t="shared" si="92"/>
        <v>3.8666666666666667</v>
      </c>
      <c r="X726" t="str">
        <f t="shared" si="93"/>
        <v>High Profit</v>
      </c>
      <c r="Y726">
        <f t="shared" si="94"/>
        <v>108</v>
      </c>
      <c r="Z726">
        <f t="shared" si="95"/>
        <v>265</v>
      </c>
    </row>
    <row r="727" spans="1:26">
      <c r="A727" s="5">
        <v>815</v>
      </c>
      <c r="B727" s="5">
        <v>122</v>
      </c>
      <c r="C727" s="6">
        <v>41183</v>
      </c>
      <c r="D727" s="5" t="s">
        <v>16</v>
      </c>
      <c r="E727" s="5" t="s">
        <v>17</v>
      </c>
      <c r="F727" s="5">
        <v>39</v>
      </c>
      <c r="G727" s="5" t="s">
        <v>33</v>
      </c>
      <c r="H727" s="5" t="s">
        <v>38</v>
      </c>
      <c r="I727" s="5" t="s">
        <v>39</v>
      </c>
      <c r="J727" s="5">
        <v>115</v>
      </c>
      <c r="K727" s="5">
        <v>298</v>
      </c>
      <c r="L727" s="5" t="s">
        <v>56</v>
      </c>
      <c r="M727" s="5">
        <v>110</v>
      </c>
      <c r="N727" s="5">
        <v>160</v>
      </c>
      <c r="O727" s="5">
        <v>300</v>
      </c>
      <c r="P727" s="5">
        <v>61</v>
      </c>
      <c r="Q727">
        <f>SUM([1]!Table1[[#This Row],[Sales]])</f>
        <v>298</v>
      </c>
      <c r="R727">
        <f>SUM([1]!Table1[[#This Row],[Profit]])</f>
        <v>115</v>
      </c>
      <c r="S727" s="7">
        <f t="shared" si="88"/>
        <v>0.38590604026845637</v>
      </c>
      <c r="T727">
        <f t="shared" si="89"/>
        <v>39</v>
      </c>
      <c r="U727">
        <f t="shared" si="90"/>
        <v>-2</v>
      </c>
      <c r="V727">
        <f t="shared" si="91"/>
        <v>12</v>
      </c>
      <c r="W727">
        <f t="shared" si="92"/>
        <v>2.9487179487179489</v>
      </c>
      <c r="X727" t="str">
        <f t="shared" si="93"/>
        <v>High Profit</v>
      </c>
      <c r="Y727">
        <f t="shared" si="94"/>
        <v>122</v>
      </c>
      <c r="Z727">
        <f t="shared" si="95"/>
        <v>298</v>
      </c>
    </row>
    <row r="728" spans="1:26">
      <c r="A728" s="3">
        <v>303</v>
      </c>
      <c r="B728" s="3">
        <v>72</v>
      </c>
      <c r="C728" s="4">
        <v>41183</v>
      </c>
      <c r="D728" s="3" t="s">
        <v>16</v>
      </c>
      <c r="E728" s="3" t="s">
        <v>17</v>
      </c>
      <c r="F728" s="3">
        <v>23</v>
      </c>
      <c r="G728" s="3" t="s">
        <v>33</v>
      </c>
      <c r="H728" s="3" t="s">
        <v>34</v>
      </c>
      <c r="I728" s="3" t="s">
        <v>35</v>
      </c>
      <c r="J728" s="3">
        <v>56</v>
      </c>
      <c r="K728" s="3">
        <v>182</v>
      </c>
      <c r="L728" s="3" t="s">
        <v>21</v>
      </c>
      <c r="M728" s="3">
        <v>100</v>
      </c>
      <c r="N728" s="3">
        <v>130</v>
      </c>
      <c r="O728" s="3">
        <v>260</v>
      </c>
      <c r="P728" s="3">
        <v>54</v>
      </c>
      <c r="Q728">
        <f>SUM([1]!Table1[[#This Row],[Sales]])</f>
        <v>182</v>
      </c>
      <c r="R728">
        <f>SUM([1]!Table1[[#This Row],[Profit]])</f>
        <v>56</v>
      </c>
      <c r="S728" s="7">
        <f t="shared" si="88"/>
        <v>0.30769230769230771</v>
      </c>
      <c r="T728">
        <f t="shared" si="89"/>
        <v>23</v>
      </c>
      <c r="U728">
        <f t="shared" si="90"/>
        <v>-78</v>
      </c>
      <c r="V728">
        <f t="shared" si="91"/>
        <v>-28</v>
      </c>
      <c r="W728">
        <f t="shared" si="92"/>
        <v>2.4347826086956523</v>
      </c>
      <c r="X728" t="str">
        <f t="shared" si="93"/>
        <v>Low Profit</v>
      </c>
      <c r="Y728">
        <f t="shared" si="94"/>
        <v>72</v>
      </c>
      <c r="Z728">
        <f t="shared" si="95"/>
        <v>182</v>
      </c>
    </row>
    <row r="729" spans="1:26">
      <c r="A729" s="5">
        <v>312</v>
      </c>
      <c r="B729" s="5">
        <v>239</v>
      </c>
      <c r="C729" s="6">
        <v>41183</v>
      </c>
      <c r="D729" s="5" t="s">
        <v>16</v>
      </c>
      <c r="E729" s="5" t="s">
        <v>17</v>
      </c>
      <c r="F729" s="5">
        <v>66</v>
      </c>
      <c r="G729" s="5" t="s">
        <v>33</v>
      </c>
      <c r="H729" s="5" t="s">
        <v>34</v>
      </c>
      <c r="I729" s="5" t="s">
        <v>35</v>
      </c>
      <c r="J729" s="5">
        <v>149</v>
      </c>
      <c r="K729" s="5">
        <v>478</v>
      </c>
      <c r="L729" s="5" t="s">
        <v>56</v>
      </c>
      <c r="M729" s="5">
        <v>340</v>
      </c>
      <c r="N729" s="5">
        <v>300</v>
      </c>
      <c r="O729" s="5">
        <v>710</v>
      </c>
      <c r="P729" s="5">
        <v>90</v>
      </c>
      <c r="Q729">
        <f>SUM([1]!Table1[[#This Row],[Sales]])</f>
        <v>478</v>
      </c>
      <c r="R729">
        <f>SUM([1]!Table1[[#This Row],[Profit]])</f>
        <v>149</v>
      </c>
      <c r="S729" s="7">
        <f t="shared" si="88"/>
        <v>0.31171548117154813</v>
      </c>
      <c r="T729">
        <f t="shared" si="89"/>
        <v>66</v>
      </c>
      <c r="U729">
        <f t="shared" si="90"/>
        <v>-232</v>
      </c>
      <c r="V729">
        <f t="shared" si="91"/>
        <v>-101</v>
      </c>
      <c r="W729">
        <f t="shared" si="92"/>
        <v>2.2575757575757578</v>
      </c>
      <c r="X729" t="str">
        <f t="shared" si="93"/>
        <v>High Profit</v>
      </c>
      <c r="Y729">
        <f t="shared" si="94"/>
        <v>239</v>
      </c>
      <c r="Z729">
        <f t="shared" si="95"/>
        <v>478</v>
      </c>
    </row>
    <row r="730" spans="1:26">
      <c r="A730" s="3">
        <v>614</v>
      </c>
      <c r="B730" s="3">
        <v>54</v>
      </c>
      <c r="C730" s="4">
        <v>41183</v>
      </c>
      <c r="D730" s="3" t="s">
        <v>16</v>
      </c>
      <c r="E730" s="3" t="s">
        <v>17</v>
      </c>
      <c r="F730" s="3">
        <v>20</v>
      </c>
      <c r="G730" s="3" t="s">
        <v>33</v>
      </c>
      <c r="H730" s="3" t="s">
        <v>34</v>
      </c>
      <c r="I730" s="3" t="s">
        <v>35</v>
      </c>
      <c r="J730" s="3">
        <v>12</v>
      </c>
      <c r="K730" s="3">
        <v>120</v>
      </c>
      <c r="L730" s="3" t="s">
        <v>58</v>
      </c>
      <c r="M730" s="3">
        <v>70</v>
      </c>
      <c r="N730" s="3">
        <v>70</v>
      </c>
      <c r="O730" s="3">
        <v>170</v>
      </c>
      <c r="P730" s="3">
        <v>54</v>
      </c>
      <c r="Q730">
        <f>SUM([1]!Table1[[#This Row],[Sales]])</f>
        <v>120</v>
      </c>
      <c r="R730">
        <f>SUM([1]!Table1[[#This Row],[Profit]])</f>
        <v>12</v>
      </c>
      <c r="S730" s="7">
        <f t="shared" si="88"/>
        <v>0.1</v>
      </c>
      <c r="T730">
        <f t="shared" si="89"/>
        <v>20</v>
      </c>
      <c r="U730">
        <f t="shared" si="90"/>
        <v>-50</v>
      </c>
      <c r="V730">
        <f t="shared" si="91"/>
        <v>-16</v>
      </c>
      <c r="W730">
        <f t="shared" si="92"/>
        <v>0.6</v>
      </c>
      <c r="X730" t="str">
        <f t="shared" si="93"/>
        <v>Low Profit</v>
      </c>
      <c r="Y730">
        <f t="shared" si="94"/>
        <v>54</v>
      </c>
      <c r="Z730">
        <f t="shared" si="95"/>
        <v>120</v>
      </c>
    </row>
    <row r="731" spans="1:26">
      <c r="A731" s="5">
        <v>970</v>
      </c>
      <c r="B731" s="5">
        <v>123</v>
      </c>
      <c r="C731" s="6">
        <v>41183</v>
      </c>
      <c r="D731" s="5" t="s">
        <v>16</v>
      </c>
      <c r="E731" s="5" t="s">
        <v>17</v>
      </c>
      <c r="F731" s="5">
        <v>34</v>
      </c>
      <c r="G731" s="5" t="s">
        <v>33</v>
      </c>
      <c r="H731" s="5" t="s">
        <v>38</v>
      </c>
      <c r="I731" s="5" t="s">
        <v>43</v>
      </c>
      <c r="J731" s="5">
        <v>133</v>
      </c>
      <c r="K731" s="5">
        <v>302</v>
      </c>
      <c r="L731" s="5" t="s">
        <v>21</v>
      </c>
      <c r="M731" s="5">
        <v>120</v>
      </c>
      <c r="N731" s="5">
        <v>160</v>
      </c>
      <c r="O731" s="5">
        <v>300</v>
      </c>
      <c r="P731" s="5">
        <v>46</v>
      </c>
      <c r="Q731">
        <f>SUM([1]!Table1[[#This Row],[Sales]])</f>
        <v>302</v>
      </c>
      <c r="R731">
        <f>SUM([1]!Table1[[#This Row],[Profit]])</f>
        <v>133</v>
      </c>
      <c r="S731" s="7">
        <f t="shared" si="88"/>
        <v>0.44039735099337746</v>
      </c>
      <c r="T731">
        <f t="shared" si="89"/>
        <v>34</v>
      </c>
      <c r="U731">
        <f t="shared" si="90"/>
        <v>2</v>
      </c>
      <c r="V731">
        <f t="shared" si="91"/>
        <v>3</v>
      </c>
      <c r="W731">
        <f t="shared" si="92"/>
        <v>3.9117647058823528</v>
      </c>
      <c r="X731" t="str">
        <f t="shared" si="93"/>
        <v>High Profit</v>
      </c>
      <c r="Y731">
        <f t="shared" si="94"/>
        <v>123</v>
      </c>
      <c r="Z731">
        <f t="shared" si="95"/>
        <v>302</v>
      </c>
    </row>
    <row r="732" spans="1:26">
      <c r="A732" s="3">
        <v>815</v>
      </c>
      <c r="B732" s="3">
        <v>154</v>
      </c>
      <c r="C732" s="4">
        <v>41183</v>
      </c>
      <c r="D732" s="3" t="s">
        <v>16</v>
      </c>
      <c r="E732" s="3" t="s">
        <v>17</v>
      </c>
      <c r="F732" s="3">
        <v>50</v>
      </c>
      <c r="G732" s="3" t="s">
        <v>33</v>
      </c>
      <c r="H732" s="3" t="s">
        <v>38</v>
      </c>
      <c r="I732" s="3" t="s">
        <v>45</v>
      </c>
      <c r="J732" s="3">
        <v>120</v>
      </c>
      <c r="K732" s="3">
        <v>367</v>
      </c>
      <c r="L732" s="3" t="s">
        <v>56</v>
      </c>
      <c r="M732" s="3">
        <v>150</v>
      </c>
      <c r="N732" s="3">
        <v>160</v>
      </c>
      <c r="O732" s="3">
        <v>370</v>
      </c>
      <c r="P732" s="3">
        <v>93</v>
      </c>
      <c r="Q732">
        <f>SUM([1]!Table1[[#This Row],[Sales]])</f>
        <v>367</v>
      </c>
      <c r="R732">
        <f>SUM([1]!Table1[[#This Row],[Profit]])</f>
        <v>120</v>
      </c>
      <c r="S732" s="7">
        <f t="shared" si="88"/>
        <v>0.32697547683923706</v>
      </c>
      <c r="T732">
        <f t="shared" si="89"/>
        <v>50</v>
      </c>
      <c r="U732">
        <f t="shared" si="90"/>
        <v>-3</v>
      </c>
      <c r="V732">
        <f t="shared" si="91"/>
        <v>4</v>
      </c>
      <c r="W732">
        <f t="shared" si="92"/>
        <v>2.4</v>
      </c>
      <c r="X732" t="str">
        <f t="shared" si="93"/>
        <v>High Profit</v>
      </c>
      <c r="Y732">
        <f t="shared" si="94"/>
        <v>154</v>
      </c>
      <c r="Z732">
        <f t="shared" si="95"/>
        <v>367</v>
      </c>
    </row>
    <row r="733" spans="1:26">
      <c r="A733" s="5">
        <v>303</v>
      </c>
      <c r="B733" s="5">
        <v>76</v>
      </c>
      <c r="C733" s="6">
        <v>41183</v>
      </c>
      <c r="D733" s="5" t="s">
        <v>16</v>
      </c>
      <c r="E733" s="5" t="s">
        <v>17</v>
      </c>
      <c r="F733" s="5">
        <v>21</v>
      </c>
      <c r="G733" s="5" t="s">
        <v>33</v>
      </c>
      <c r="H733" s="5" t="s">
        <v>34</v>
      </c>
      <c r="I733" s="5" t="s">
        <v>46</v>
      </c>
      <c r="J733" s="5">
        <v>79</v>
      </c>
      <c r="K733" s="5">
        <v>187</v>
      </c>
      <c r="L733" s="5" t="s">
        <v>21</v>
      </c>
      <c r="M733" s="5">
        <v>100</v>
      </c>
      <c r="N733" s="5">
        <v>170</v>
      </c>
      <c r="O733" s="5">
        <v>280</v>
      </c>
      <c r="P733" s="5">
        <v>32</v>
      </c>
      <c r="Q733">
        <f>SUM([1]!Table1[[#This Row],[Sales]])</f>
        <v>187</v>
      </c>
      <c r="R733">
        <f>SUM([1]!Table1[[#This Row],[Profit]])</f>
        <v>79</v>
      </c>
      <c r="S733" s="7">
        <f t="shared" si="88"/>
        <v>0.42245989304812837</v>
      </c>
      <c r="T733">
        <f t="shared" si="89"/>
        <v>21</v>
      </c>
      <c r="U733">
        <f t="shared" si="90"/>
        <v>-93</v>
      </c>
      <c r="V733">
        <f t="shared" si="91"/>
        <v>-24</v>
      </c>
      <c r="W733">
        <f t="shared" si="92"/>
        <v>3.7619047619047619</v>
      </c>
      <c r="X733" t="str">
        <f t="shared" si="93"/>
        <v>Low Profit</v>
      </c>
      <c r="Y733">
        <f t="shared" si="94"/>
        <v>76</v>
      </c>
      <c r="Z733">
        <f t="shared" si="95"/>
        <v>187</v>
      </c>
    </row>
    <row r="734" spans="1:26">
      <c r="A734" s="3">
        <v>815</v>
      </c>
      <c r="B734" s="3">
        <v>257</v>
      </c>
      <c r="C734" s="4">
        <v>41183</v>
      </c>
      <c r="D734" s="3" t="s">
        <v>16</v>
      </c>
      <c r="E734" s="3" t="s">
        <v>17</v>
      </c>
      <c r="F734" s="3">
        <v>84</v>
      </c>
      <c r="G734" s="3" t="s">
        <v>33</v>
      </c>
      <c r="H734" s="3" t="s">
        <v>34</v>
      </c>
      <c r="I734" s="3" t="s">
        <v>46</v>
      </c>
      <c r="J734" s="3">
        <v>224</v>
      </c>
      <c r="K734" s="3">
        <v>598</v>
      </c>
      <c r="L734" s="3" t="s">
        <v>56</v>
      </c>
      <c r="M734" s="3">
        <v>370</v>
      </c>
      <c r="N734" s="3">
        <v>420</v>
      </c>
      <c r="O734" s="3">
        <v>890</v>
      </c>
      <c r="P734" s="3">
        <v>117</v>
      </c>
      <c r="Q734">
        <f>SUM([1]!Table1[[#This Row],[Sales]])</f>
        <v>598</v>
      </c>
      <c r="R734">
        <f>SUM([1]!Table1[[#This Row],[Profit]])</f>
        <v>224</v>
      </c>
      <c r="S734" s="7">
        <f t="shared" si="88"/>
        <v>0.37458193979933108</v>
      </c>
      <c r="T734">
        <f t="shared" si="89"/>
        <v>84</v>
      </c>
      <c r="U734">
        <f t="shared" si="90"/>
        <v>-292</v>
      </c>
      <c r="V734">
        <f t="shared" si="91"/>
        <v>-113</v>
      </c>
      <c r="W734">
        <f t="shared" si="92"/>
        <v>2.6666666666666665</v>
      </c>
      <c r="X734" t="str">
        <f t="shared" si="93"/>
        <v>High Profit</v>
      </c>
      <c r="Y734">
        <f t="shared" si="94"/>
        <v>257</v>
      </c>
      <c r="Z734">
        <f t="shared" si="95"/>
        <v>598</v>
      </c>
    </row>
    <row r="735" spans="1:26">
      <c r="A735" s="5">
        <v>567</v>
      </c>
      <c r="B735" s="5">
        <v>161</v>
      </c>
      <c r="C735" s="6">
        <v>41183</v>
      </c>
      <c r="D735" s="5" t="s">
        <v>16</v>
      </c>
      <c r="E735" s="5" t="s">
        <v>17</v>
      </c>
      <c r="F735" s="5">
        <v>45</v>
      </c>
      <c r="G735" s="5" t="s">
        <v>33</v>
      </c>
      <c r="H735" s="5" t="s">
        <v>34</v>
      </c>
      <c r="I735" s="5" t="s">
        <v>46</v>
      </c>
      <c r="J735" s="5">
        <v>92</v>
      </c>
      <c r="K735" s="5">
        <v>322</v>
      </c>
      <c r="L735" s="5" t="s">
        <v>58</v>
      </c>
      <c r="M735" s="5">
        <v>230</v>
      </c>
      <c r="N735" s="5">
        <v>190</v>
      </c>
      <c r="O735" s="5">
        <v>470</v>
      </c>
      <c r="P735" s="5">
        <v>69</v>
      </c>
      <c r="Q735">
        <f>SUM([1]!Table1[[#This Row],[Sales]])</f>
        <v>322</v>
      </c>
      <c r="R735">
        <f>SUM([1]!Table1[[#This Row],[Profit]])</f>
        <v>92</v>
      </c>
      <c r="S735" s="7">
        <f t="shared" si="88"/>
        <v>0.2857142857142857</v>
      </c>
      <c r="T735">
        <f t="shared" si="89"/>
        <v>45</v>
      </c>
      <c r="U735">
        <f t="shared" si="90"/>
        <v>-148</v>
      </c>
      <c r="V735">
        <f t="shared" si="91"/>
        <v>-69</v>
      </c>
      <c r="W735">
        <f t="shared" si="92"/>
        <v>2.0444444444444443</v>
      </c>
      <c r="X735" t="str">
        <f t="shared" si="93"/>
        <v>Low Profit</v>
      </c>
      <c r="Y735">
        <f t="shared" si="94"/>
        <v>161</v>
      </c>
      <c r="Z735">
        <f t="shared" si="95"/>
        <v>322</v>
      </c>
    </row>
    <row r="736" spans="1:26">
      <c r="A736" s="3">
        <v>719</v>
      </c>
      <c r="B736" s="3">
        <v>161</v>
      </c>
      <c r="C736" s="4">
        <v>41183</v>
      </c>
      <c r="D736" s="3" t="s">
        <v>16</v>
      </c>
      <c r="E736" s="3" t="s">
        <v>17</v>
      </c>
      <c r="F736" s="3">
        <v>45</v>
      </c>
      <c r="G736" s="3" t="s">
        <v>18</v>
      </c>
      <c r="H736" s="3" t="s">
        <v>19</v>
      </c>
      <c r="I736" s="3" t="s">
        <v>50</v>
      </c>
      <c r="J736" s="3">
        <v>92</v>
      </c>
      <c r="K736" s="3">
        <v>322</v>
      </c>
      <c r="L736" s="3" t="s">
        <v>21</v>
      </c>
      <c r="M736" s="3">
        <v>120</v>
      </c>
      <c r="N736" s="3">
        <v>110</v>
      </c>
      <c r="O736" s="3">
        <v>260</v>
      </c>
      <c r="P736" s="3">
        <v>69</v>
      </c>
      <c r="Q736">
        <f>SUM([1]!Table1[[#This Row],[Sales]])</f>
        <v>322</v>
      </c>
      <c r="R736">
        <f>SUM([1]!Table1[[#This Row],[Profit]])</f>
        <v>92</v>
      </c>
      <c r="S736" s="7">
        <f t="shared" si="88"/>
        <v>0.2857142857142857</v>
      </c>
      <c r="T736">
        <f t="shared" si="89"/>
        <v>45</v>
      </c>
      <c r="U736">
        <f t="shared" si="90"/>
        <v>62</v>
      </c>
      <c r="V736">
        <f t="shared" si="91"/>
        <v>41</v>
      </c>
      <c r="W736">
        <f t="shared" si="92"/>
        <v>2.0444444444444443</v>
      </c>
      <c r="X736" t="str">
        <f t="shared" si="93"/>
        <v>Low Profit</v>
      </c>
      <c r="Y736">
        <f t="shared" si="94"/>
        <v>161</v>
      </c>
      <c r="Z736">
        <f t="shared" si="95"/>
        <v>322</v>
      </c>
    </row>
    <row r="737" spans="1:26">
      <c r="A737" s="5">
        <v>708</v>
      </c>
      <c r="B737" s="5">
        <v>123</v>
      </c>
      <c r="C737" s="6">
        <v>41183</v>
      </c>
      <c r="D737" s="5" t="s">
        <v>16</v>
      </c>
      <c r="E737" s="5" t="s">
        <v>17</v>
      </c>
      <c r="F737" s="5">
        <v>34</v>
      </c>
      <c r="G737" s="5" t="s">
        <v>18</v>
      </c>
      <c r="H737" s="5" t="s">
        <v>19</v>
      </c>
      <c r="I737" s="5" t="s">
        <v>50</v>
      </c>
      <c r="J737" s="5">
        <v>133</v>
      </c>
      <c r="K737" s="5">
        <v>302</v>
      </c>
      <c r="L737" s="5" t="s">
        <v>56</v>
      </c>
      <c r="M737" s="5">
        <v>90</v>
      </c>
      <c r="N737" s="5">
        <v>140</v>
      </c>
      <c r="O737" s="5">
        <v>240</v>
      </c>
      <c r="P737" s="5">
        <v>46</v>
      </c>
      <c r="Q737">
        <f>SUM([1]!Table1[[#This Row],[Sales]])</f>
        <v>302</v>
      </c>
      <c r="R737">
        <f>SUM([1]!Table1[[#This Row],[Profit]])</f>
        <v>133</v>
      </c>
      <c r="S737" s="7">
        <f t="shared" si="88"/>
        <v>0.44039735099337746</v>
      </c>
      <c r="T737">
        <f t="shared" si="89"/>
        <v>34</v>
      </c>
      <c r="U737">
        <f t="shared" si="90"/>
        <v>62</v>
      </c>
      <c r="V737">
        <f t="shared" si="91"/>
        <v>33</v>
      </c>
      <c r="W737">
        <f t="shared" si="92"/>
        <v>3.9117647058823528</v>
      </c>
      <c r="X737" t="str">
        <f t="shared" si="93"/>
        <v>High Profit</v>
      </c>
      <c r="Y737">
        <f t="shared" si="94"/>
        <v>123</v>
      </c>
      <c r="Z737">
        <f t="shared" si="95"/>
        <v>302</v>
      </c>
    </row>
    <row r="738" spans="1:26">
      <c r="A738" s="3">
        <v>815</v>
      </c>
      <c r="B738" s="3">
        <v>108</v>
      </c>
      <c r="C738" s="4">
        <v>41183</v>
      </c>
      <c r="D738" s="3" t="s">
        <v>16</v>
      </c>
      <c r="E738" s="3" t="s">
        <v>17</v>
      </c>
      <c r="F738" s="3">
        <v>30</v>
      </c>
      <c r="G738" s="3" t="s">
        <v>18</v>
      </c>
      <c r="H738" s="3" t="s">
        <v>19</v>
      </c>
      <c r="I738" s="3" t="s">
        <v>22</v>
      </c>
      <c r="J738" s="3">
        <v>116</v>
      </c>
      <c r="K738" s="3">
        <v>265</v>
      </c>
      <c r="L738" s="3" t="s">
        <v>56</v>
      </c>
      <c r="M738" s="3">
        <v>80</v>
      </c>
      <c r="N738" s="3">
        <v>120</v>
      </c>
      <c r="O738" s="3">
        <v>210</v>
      </c>
      <c r="P738" s="3">
        <v>41</v>
      </c>
      <c r="Q738">
        <f>SUM([1]!Table1[[#This Row],[Sales]])</f>
        <v>265</v>
      </c>
      <c r="R738">
        <f>SUM([1]!Table1[[#This Row],[Profit]])</f>
        <v>116</v>
      </c>
      <c r="S738" s="7">
        <f t="shared" si="88"/>
        <v>0.43773584905660379</v>
      </c>
      <c r="T738">
        <f t="shared" si="89"/>
        <v>30</v>
      </c>
      <c r="U738">
        <f t="shared" si="90"/>
        <v>55</v>
      </c>
      <c r="V738">
        <f t="shared" si="91"/>
        <v>28</v>
      </c>
      <c r="W738">
        <f t="shared" si="92"/>
        <v>3.8666666666666667</v>
      </c>
      <c r="X738" t="str">
        <f t="shared" si="93"/>
        <v>High Profit</v>
      </c>
      <c r="Y738">
        <f t="shared" si="94"/>
        <v>108</v>
      </c>
      <c r="Z738">
        <f t="shared" si="95"/>
        <v>265</v>
      </c>
    </row>
    <row r="739" spans="1:26">
      <c r="A739" s="5">
        <v>234</v>
      </c>
      <c r="B739" s="5">
        <v>82</v>
      </c>
      <c r="C739" s="6">
        <v>41183</v>
      </c>
      <c r="D739" s="5" t="s">
        <v>16</v>
      </c>
      <c r="E739" s="5" t="s">
        <v>17</v>
      </c>
      <c r="F739" s="5">
        <v>27</v>
      </c>
      <c r="G739" s="5" t="s">
        <v>18</v>
      </c>
      <c r="H739" s="5" t="s">
        <v>26</v>
      </c>
      <c r="I739" s="5" t="s">
        <v>27</v>
      </c>
      <c r="J739" s="5">
        <v>65</v>
      </c>
      <c r="K739" s="5">
        <v>205</v>
      </c>
      <c r="L739" s="5" t="s">
        <v>58</v>
      </c>
      <c r="M739" s="5">
        <v>50</v>
      </c>
      <c r="N739" s="5">
        <v>60</v>
      </c>
      <c r="O739" s="5">
        <v>140</v>
      </c>
      <c r="P739" s="5">
        <v>58</v>
      </c>
      <c r="Q739">
        <f>SUM([1]!Table1[[#This Row],[Sales]])</f>
        <v>205</v>
      </c>
      <c r="R739">
        <f>SUM([1]!Table1[[#This Row],[Profit]])</f>
        <v>65</v>
      </c>
      <c r="S739" s="7">
        <f t="shared" si="88"/>
        <v>0.31707317073170732</v>
      </c>
      <c r="T739">
        <f t="shared" si="89"/>
        <v>27</v>
      </c>
      <c r="U739">
        <f t="shared" si="90"/>
        <v>65</v>
      </c>
      <c r="V739">
        <f t="shared" si="91"/>
        <v>32</v>
      </c>
      <c r="W739">
        <f t="shared" si="92"/>
        <v>2.4074074074074074</v>
      </c>
      <c r="X739" t="str">
        <f t="shared" si="93"/>
        <v>Low Profit</v>
      </c>
      <c r="Y739">
        <f t="shared" si="94"/>
        <v>82</v>
      </c>
      <c r="Z739">
        <f t="shared" si="95"/>
        <v>205</v>
      </c>
    </row>
    <row r="740" spans="1:26">
      <c r="A740" s="3">
        <v>614</v>
      </c>
      <c r="B740" s="3">
        <v>91</v>
      </c>
      <c r="C740" s="4">
        <v>41183</v>
      </c>
      <c r="D740" s="3" t="s">
        <v>16</v>
      </c>
      <c r="E740" s="3" t="s">
        <v>17</v>
      </c>
      <c r="F740" s="3">
        <v>28</v>
      </c>
      <c r="G740" s="3" t="s">
        <v>18</v>
      </c>
      <c r="H740" s="3" t="s">
        <v>26</v>
      </c>
      <c r="I740" s="3" t="s">
        <v>54</v>
      </c>
      <c r="J740" s="3">
        <v>76</v>
      </c>
      <c r="K740" s="3">
        <v>218</v>
      </c>
      <c r="L740" s="3" t="s">
        <v>58</v>
      </c>
      <c r="M740" s="3">
        <v>50</v>
      </c>
      <c r="N740" s="3">
        <v>80</v>
      </c>
      <c r="O740" s="3">
        <v>150</v>
      </c>
      <c r="P740" s="3">
        <v>51</v>
      </c>
      <c r="Q740">
        <f>SUM([1]!Table1[[#This Row],[Sales]])</f>
        <v>218</v>
      </c>
      <c r="R740">
        <f>SUM([1]!Table1[[#This Row],[Profit]])</f>
        <v>76</v>
      </c>
      <c r="S740" s="7">
        <f t="shared" si="88"/>
        <v>0.34862385321100919</v>
      </c>
      <c r="T740">
        <f t="shared" si="89"/>
        <v>28</v>
      </c>
      <c r="U740">
        <f t="shared" si="90"/>
        <v>68</v>
      </c>
      <c r="V740">
        <f t="shared" si="91"/>
        <v>41</v>
      </c>
      <c r="W740">
        <f t="shared" si="92"/>
        <v>2.7142857142857144</v>
      </c>
      <c r="X740" t="str">
        <f t="shared" si="93"/>
        <v>Low Profit</v>
      </c>
      <c r="Y740">
        <f t="shared" si="94"/>
        <v>91</v>
      </c>
      <c r="Z740">
        <f t="shared" si="95"/>
        <v>218</v>
      </c>
    </row>
    <row r="741" spans="1:26">
      <c r="A741" s="5">
        <v>720</v>
      </c>
      <c r="B741" s="5">
        <v>90</v>
      </c>
      <c r="C741" s="6">
        <v>41183</v>
      </c>
      <c r="D741" s="5" t="s">
        <v>16</v>
      </c>
      <c r="E741" s="5" t="s">
        <v>17</v>
      </c>
      <c r="F741" s="5">
        <v>29</v>
      </c>
      <c r="G741" s="5" t="s">
        <v>18</v>
      </c>
      <c r="H741" s="5" t="s">
        <v>26</v>
      </c>
      <c r="I741" s="5" t="s">
        <v>30</v>
      </c>
      <c r="J741" s="5">
        <v>74</v>
      </c>
      <c r="K741" s="5">
        <v>205</v>
      </c>
      <c r="L741" s="5" t="s">
        <v>21</v>
      </c>
      <c r="M741" s="5">
        <v>50</v>
      </c>
      <c r="N741" s="5">
        <v>80</v>
      </c>
      <c r="O741" s="5">
        <v>140</v>
      </c>
      <c r="P741" s="5">
        <v>41</v>
      </c>
      <c r="Q741">
        <f>SUM([1]!Table1[[#This Row],[Sales]])</f>
        <v>205</v>
      </c>
      <c r="R741">
        <f>SUM([1]!Table1[[#This Row],[Profit]])</f>
        <v>74</v>
      </c>
      <c r="S741" s="7">
        <f t="shared" si="88"/>
        <v>0.36097560975609755</v>
      </c>
      <c r="T741">
        <f t="shared" si="89"/>
        <v>29</v>
      </c>
      <c r="U741">
        <f t="shared" si="90"/>
        <v>65</v>
      </c>
      <c r="V741">
        <f t="shared" si="91"/>
        <v>40</v>
      </c>
      <c r="W741">
        <f t="shared" si="92"/>
        <v>2.5517241379310347</v>
      </c>
      <c r="X741" t="str">
        <f t="shared" si="93"/>
        <v>Low Profit</v>
      </c>
      <c r="Y741">
        <f t="shared" si="94"/>
        <v>90</v>
      </c>
      <c r="Z741">
        <f t="shared" si="95"/>
        <v>205</v>
      </c>
    </row>
    <row r="742" spans="1:26">
      <c r="A742" s="3">
        <v>641</v>
      </c>
      <c r="B742" s="3">
        <v>10</v>
      </c>
      <c r="C742" s="4">
        <v>41183</v>
      </c>
      <c r="D742" s="3" t="s">
        <v>32</v>
      </c>
      <c r="E742" s="3" t="s">
        <v>17</v>
      </c>
      <c r="F742" s="3">
        <v>3</v>
      </c>
      <c r="G742" s="3" t="s">
        <v>33</v>
      </c>
      <c r="H742" s="3" t="s">
        <v>38</v>
      </c>
      <c r="I742" s="3" t="s">
        <v>39</v>
      </c>
      <c r="J742" s="3">
        <v>-2</v>
      </c>
      <c r="K742" s="3">
        <v>23</v>
      </c>
      <c r="L742" s="3" t="s">
        <v>36</v>
      </c>
      <c r="M742" s="3">
        <v>0</v>
      </c>
      <c r="N742" s="3">
        <v>10</v>
      </c>
      <c r="O742" s="3">
        <v>10</v>
      </c>
      <c r="P742" s="3">
        <v>15</v>
      </c>
      <c r="Q742">
        <f>SUM([1]!Table1[[#This Row],[Sales]])</f>
        <v>23</v>
      </c>
      <c r="R742">
        <f>SUM([1]!Table1[[#This Row],[Profit]])</f>
        <v>-2</v>
      </c>
      <c r="S742" s="7">
        <f t="shared" si="88"/>
        <v>-8.6956521739130432E-2</v>
      </c>
      <c r="T742">
        <f t="shared" si="89"/>
        <v>3</v>
      </c>
      <c r="U742">
        <f t="shared" si="90"/>
        <v>13</v>
      </c>
      <c r="V742">
        <f t="shared" si="91"/>
        <v>10</v>
      </c>
      <c r="W742">
        <f t="shared" si="92"/>
        <v>-0.66666666666666663</v>
      </c>
      <c r="X742" t="str">
        <f t="shared" si="93"/>
        <v>Low Profit</v>
      </c>
      <c r="Y742">
        <f t="shared" si="94"/>
        <v>10</v>
      </c>
      <c r="Z742">
        <f t="shared" si="95"/>
        <v>23</v>
      </c>
    </row>
    <row r="743" spans="1:26">
      <c r="A743" s="5">
        <v>715</v>
      </c>
      <c r="B743" s="5">
        <v>86</v>
      </c>
      <c r="C743" s="6">
        <v>41183</v>
      </c>
      <c r="D743" s="5" t="s">
        <v>32</v>
      </c>
      <c r="E743" s="5" t="s">
        <v>17</v>
      </c>
      <c r="F743" s="5">
        <v>28</v>
      </c>
      <c r="G743" s="5" t="s">
        <v>33</v>
      </c>
      <c r="H743" s="5" t="s">
        <v>38</v>
      </c>
      <c r="I743" s="5" t="s">
        <v>39</v>
      </c>
      <c r="J743" s="5">
        <v>61</v>
      </c>
      <c r="K743" s="5">
        <v>202</v>
      </c>
      <c r="L743" s="5" t="s">
        <v>52</v>
      </c>
      <c r="M743" s="5">
        <v>80</v>
      </c>
      <c r="N743" s="5">
        <v>100</v>
      </c>
      <c r="O743" s="5">
        <v>200</v>
      </c>
      <c r="P743" s="5">
        <v>55</v>
      </c>
      <c r="Q743">
        <f>SUM([1]!Table1[[#This Row],[Sales]])</f>
        <v>202</v>
      </c>
      <c r="R743">
        <f>SUM([1]!Table1[[#This Row],[Profit]])</f>
        <v>61</v>
      </c>
      <c r="S743" s="7">
        <f t="shared" si="88"/>
        <v>0.30198019801980197</v>
      </c>
      <c r="T743">
        <f t="shared" si="89"/>
        <v>28</v>
      </c>
      <c r="U743">
        <f t="shared" si="90"/>
        <v>2</v>
      </c>
      <c r="V743">
        <f t="shared" si="91"/>
        <v>6</v>
      </c>
      <c r="W743">
        <f t="shared" si="92"/>
        <v>2.1785714285714284</v>
      </c>
      <c r="X743" t="str">
        <f t="shared" si="93"/>
        <v>Low Profit</v>
      </c>
      <c r="Y743">
        <f t="shared" si="94"/>
        <v>86</v>
      </c>
      <c r="Z743">
        <f t="shared" si="95"/>
        <v>202</v>
      </c>
    </row>
    <row r="744" spans="1:26">
      <c r="A744" s="3">
        <v>816</v>
      </c>
      <c r="B744" s="3">
        <v>79</v>
      </c>
      <c r="C744" s="4">
        <v>41183</v>
      </c>
      <c r="D744" s="3" t="s">
        <v>32</v>
      </c>
      <c r="E744" s="3" t="s">
        <v>17</v>
      </c>
      <c r="F744" s="3">
        <v>30</v>
      </c>
      <c r="G744" s="3" t="s">
        <v>33</v>
      </c>
      <c r="H744" s="3" t="s">
        <v>38</v>
      </c>
      <c r="I744" s="3" t="s">
        <v>45</v>
      </c>
      <c r="J744" s="3">
        <v>35</v>
      </c>
      <c r="K744" s="3">
        <v>177</v>
      </c>
      <c r="L744" s="3" t="s">
        <v>51</v>
      </c>
      <c r="M744" s="3">
        <v>70</v>
      </c>
      <c r="N744" s="3">
        <v>70</v>
      </c>
      <c r="O744" s="3">
        <v>170</v>
      </c>
      <c r="P744" s="3">
        <v>63</v>
      </c>
      <c r="Q744">
        <f>SUM([1]!Table1[[#This Row],[Sales]])</f>
        <v>177</v>
      </c>
      <c r="R744">
        <f>SUM([1]!Table1[[#This Row],[Profit]])</f>
        <v>35</v>
      </c>
      <c r="S744" s="7">
        <f t="shared" si="88"/>
        <v>0.19774011299435029</v>
      </c>
      <c r="T744">
        <f t="shared" si="89"/>
        <v>30</v>
      </c>
      <c r="U744">
        <f t="shared" si="90"/>
        <v>7</v>
      </c>
      <c r="V744">
        <f t="shared" si="91"/>
        <v>9</v>
      </c>
      <c r="W744">
        <f t="shared" si="92"/>
        <v>1.1666666666666667</v>
      </c>
      <c r="X744" t="str">
        <f t="shared" si="93"/>
        <v>Low Profit</v>
      </c>
      <c r="Y744">
        <f t="shared" si="94"/>
        <v>79</v>
      </c>
      <c r="Z744">
        <f t="shared" si="95"/>
        <v>177</v>
      </c>
    </row>
    <row r="745" spans="1:26">
      <c r="A745" s="5">
        <v>715</v>
      </c>
      <c r="B745" s="5">
        <v>96</v>
      </c>
      <c r="C745" s="6">
        <v>41183</v>
      </c>
      <c r="D745" s="5" t="s">
        <v>32</v>
      </c>
      <c r="E745" s="5" t="s">
        <v>17</v>
      </c>
      <c r="F745" s="5">
        <v>87</v>
      </c>
      <c r="G745" s="5" t="s">
        <v>33</v>
      </c>
      <c r="H745" s="5" t="s">
        <v>38</v>
      </c>
      <c r="I745" s="5" t="s">
        <v>45</v>
      </c>
      <c r="J745" s="5">
        <v>18</v>
      </c>
      <c r="K745" s="5">
        <v>230</v>
      </c>
      <c r="L745" s="5" t="s">
        <v>52</v>
      </c>
      <c r="M745" s="5">
        <v>90</v>
      </c>
      <c r="N745" s="5">
        <v>60</v>
      </c>
      <c r="O745" s="5">
        <v>230</v>
      </c>
      <c r="P745" s="5">
        <v>116</v>
      </c>
      <c r="Q745">
        <f>SUM([1]!Table1[[#This Row],[Sales]])</f>
        <v>230</v>
      </c>
      <c r="R745">
        <f>SUM([1]!Table1[[#This Row],[Profit]])</f>
        <v>18</v>
      </c>
      <c r="S745" s="7">
        <f t="shared" si="88"/>
        <v>7.8260869565217397E-2</v>
      </c>
      <c r="T745">
        <f t="shared" si="89"/>
        <v>87</v>
      </c>
      <c r="U745">
        <f t="shared" si="90"/>
        <v>0</v>
      </c>
      <c r="V745">
        <f t="shared" si="91"/>
        <v>6</v>
      </c>
      <c r="W745">
        <f t="shared" si="92"/>
        <v>0.20689655172413793</v>
      </c>
      <c r="X745" t="str">
        <f t="shared" si="93"/>
        <v>Low Profit</v>
      </c>
      <c r="Y745">
        <f t="shared" si="94"/>
        <v>96</v>
      </c>
      <c r="Z745">
        <f t="shared" si="95"/>
        <v>230</v>
      </c>
    </row>
    <row r="746" spans="1:26">
      <c r="A746" s="3">
        <v>314</v>
      </c>
      <c r="B746" s="3">
        <v>40</v>
      </c>
      <c r="C746" s="4">
        <v>41183</v>
      </c>
      <c r="D746" s="3" t="s">
        <v>32</v>
      </c>
      <c r="E746" s="3" t="s">
        <v>17</v>
      </c>
      <c r="F746" s="3">
        <v>11</v>
      </c>
      <c r="G746" s="3" t="s">
        <v>33</v>
      </c>
      <c r="H746" s="3" t="s">
        <v>34</v>
      </c>
      <c r="I746" s="3" t="s">
        <v>46</v>
      </c>
      <c r="J746" s="3">
        <v>36</v>
      </c>
      <c r="K746" s="3">
        <v>99</v>
      </c>
      <c r="L746" s="3" t="s">
        <v>51</v>
      </c>
      <c r="M746" s="3">
        <v>50</v>
      </c>
      <c r="N746" s="3">
        <v>90</v>
      </c>
      <c r="O746" s="3">
        <v>140</v>
      </c>
      <c r="P746" s="3">
        <v>23</v>
      </c>
      <c r="Q746">
        <f>SUM([1]!Table1[[#This Row],[Sales]])</f>
        <v>99</v>
      </c>
      <c r="R746">
        <f>SUM([1]!Table1[[#This Row],[Profit]])</f>
        <v>36</v>
      </c>
      <c r="S746" s="7">
        <f t="shared" si="88"/>
        <v>0.36363636363636365</v>
      </c>
      <c r="T746">
        <f t="shared" si="89"/>
        <v>11</v>
      </c>
      <c r="U746">
        <f t="shared" si="90"/>
        <v>-41</v>
      </c>
      <c r="V746">
        <f t="shared" si="91"/>
        <v>-10</v>
      </c>
      <c r="W746">
        <f t="shared" si="92"/>
        <v>3.2727272727272729</v>
      </c>
      <c r="X746" t="str">
        <f t="shared" si="93"/>
        <v>Low Profit</v>
      </c>
      <c r="Y746">
        <f t="shared" si="94"/>
        <v>40</v>
      </c>
      <c r="Z746">
        <f t="shared" si="95"/>
        <v>99</v>
      </c>
    </row>
    <row r="747" spans="1:26">
      <c r="A747" s="5">
        <v>608</v>
      </c>
      <c r="B747" s="5">
        <v>80</v>
      </c>
      <c r="C747" s="6">
        <v>41183</v>
      </c>
      <c r="D747" s="5" t="s">
        <v>32</v>
      </c>
      <c r="E747" s="5" t="s">
        <v>17</v>
      </c>
      <c r="F747" s="5">
        <v>24</v>
      </c>
      <c r="G747" s="5" t="s">
        <v>33</v>
      </c>
      <c r="H747" s="5" t="s">
        <v>34</v>
      </c>
      <c r="I747" s="5" t="s">
        <v>46</v>
      </c>
      <c r="J747" s="5">
        <v>48</v>
      </c>
      <c r="K747" s="5">
        <v>174</v>
      </c>
      <c r="L747" s="5" t="s">
        <v>52</v>
      </c>
      <c r="M747" s="5">
        <v>110</v>
      </c>
      <c r="N747" s="5">
        <v>120</v>
      </c>
      <c r="O747" s="5">
        <v>250</v>
      </c>
      <c r="P747" s="5">
        <v>46</v>
      </c>
      <c r="Q747">
        <f>SUM([1]!Table1[[#This Row],[Sales]])</f>
        <v>174</v>
      </c>
      <c r="R747">
        <f>SUM([1]!Table1[[#This Row],[Profit]])</f>
        <v>48</v>
      </c>
      <c r="S747" s="7">
        <f t="shared" si="88"/>
        <v>0.27586206896551724</v>
      </c>
      <c r="T747">
        <f t="shared" si="89"/>
        <v>24</v>
      </c>
      <c r="U747">
        <f t="shared" si="90"/>
        <v>-76</v>
      </c>
      <c r="V747">
        <f t="shared" si="91"/>
        <v>-30</v>
      </c>
      <c r="W747">
        <f t="shared" si="92"/>
        <v>2</v>
      </c>
      <c r="X747" t="str">
        <f t="shared" si="93"/>
        <v>Low Profit</v>
      </c>
      <c r="Y747">
        <f t="shared" si="94"/>
        <v>80</v>
      </c>
      <c r="Z747">
        <f t="shared" si="95"/>
        <v>174</v>
      </c>
    </row>
    <row r="748" spans="1:26">
      <c r="A748" s="3">
        <v>712</v>
      </c>
      <c r="B748" s="3">
        <v>257</v>
      </c>
      <c r="C748" s="4">
        <v>41183</v>
      </c>
      <c r="D748" s="3" t="s">
        <v>32</v>
      </c>
      <c r="E748" s="3" t="s">
        <v>17</v>
      </c>
      <c r="F748" s="3">
        <v>84</v>
      </c>
      <c r="G748" s="3" t="s">
        <v>18</v>
      </c>
      <c r="H748" s="3" t="s">
        <v>19</v>
      </c>
      <c r="I748" s="3" t="s">
        <v>50</v>
      </c>
      <c r="J748" s="3">
        <v>224</v>
      </c>
      <c r="K748" s="3">
        <v>598</v>
      </c>
      <c r="L748" s="3" t="s">
        <v>36</v>
      </c>
      <c r="M748" s="3">
        <v>200</v>
      </c>
      <c r="N748" s="3">
        <v>210</v>
      </c>
      <c r="O748" s="3">
        <v>480</v>
      </c>
      <c r="P748" s="3">
        <v>117</v>
      </c>
      <c r="Q748">
        <f>SUM([1]!Table1[[#This Row],[Sales]])</f>
        <v>598</v>
      </c>
      <c r="R748">
        <f>SUM([1]!Table1[[#This Row],[Profit]])</f>
        <v>224</v>
      </c>
      <c r="S748" s="7">
        <f t="shared" si="88"/>
        <v>0.37458193979933108</v>
      </c>
      <c r="T748">
        <f t="shared" si="89"/>
        <v>84</v>
      </c>
      <c r="U748">
        <f t="shared" si="90"/>
        <v>118</v>
      </c>
      <c r="V748">
        <f t="shared" si="91"/>
        <v>57</v>
      </c>
      <c r="W748">
        <f t="shared" si="92"/>
        <v>2.6666666666666665</v>
      </c>
      <c r="X748" t="str">
        <f t="shared" si="93"/>
        <v>High Profit</v>
      </c>
      <c r="Y748">
        <f t="shared" si="94"/>
        <v>257</v>
      </c>
      <c r="Z748">
        <f t="shared" si="95"/>
        <v>598</v>
      </c>
    </row>
    <row r="749" spans="1:26">
      <c r="A749" s="5">
        <v>641</v>
      </c>
      <c r="B749" s="5">
        <v>122</v>
      </c>
      <c r="C749" s="6">
        <v>41183</v>
      </c>
      <c r="D749" s="5" t="s">
        <v>32</v>
      </c>
      <c r="E749" s="5" t="s">
        <v>17</v>
      </c>
      <c r="F749" s="5">
        <v>39</v>
      </c>
      <c r="G749" s="5" t="s">
        <v>18</v>
      </c>
      <c r="H749" s="5" t="s">
        <v>19</v>
      </c>
      <c r="I749" s="5" t="s">
        <v>20</v>
      </c>
      <c r="J749" s="5">
        <v>114</v>
      </c>
      <c r="K749" s="5">
        <v>298</v>
      </c>
      <c r="L749" s="5" t="s">
        <v>36</v>
      </c>
      <c r="M749" s="5">
        <v>90</v>
      </c>
      <c r="N749" s="5">
        <v>130</v>
      </c>
      <c r="O749" s="5">
        <v>240</v>
      </c>
      <c r="P749" s="5">
        <v>62</v>
      </c>
      <c r="Q749">
        <f>SUM([1]!Table1[[#This Row],[Sales]])</f>
        <v>298</v>
      </c>
      <c r="R749">
        <f>SUM([1]!Table1[[#This Row],[Profit]])</f>
        <v>114</v>
      </c>
      <c r="S749" s="7">
        <f t="shared" si="88"/>
        <v>0.3825503355704698</v>
      </c>
      <c r="T749">
        <f t="shared" si="89"/>
        <v>39</v>
      </c>
      <c r="U749">
        <f t="shared" si="90"/>
        <v>58</v>
      </c>
      <c r="V749">
        <f t="shared" si="91"/>
        <v>32</v>
      </c>
      <c r="W749">
        <f t="shared" si="92"/>
        <v>2.9230769230769229</v>
      </c>
      <c r="X749" t="str">
        <f t="shared" si="93"/>
        <v>High Profit</v>
      </c>
      <c r="Y749">
        <f t="shared" si="94"/>
        <v>122</v>
      </c>
      <c r="Z749">
        <f t="shared" si="95"/>
        <v>298</v>
      </c>
    </row>
    <row r="750" spans="1:26">
      <c r="A750" s="3">
        <v>573</v>
      </c>
      <c r="B750" s="3">
        <v>86</v>
      </c>
      <c r="C750" s="4">
        <v>41183</v>
      </c>
      <c r="D750" s="3" t="s">
        <v>32</v>
      </c>
      <c r="E750" s="3" t="s">
        <v>17</v>
      </c>
      <c r="F750" s="3">
        <v>26</v>
      </c>
      <c r="G750" s="3" t="s">
        <v>18</v>
      </c>
      <c r="H750" s="3" t="s">
        <v>19</v>
      </c>
      <c r="I750" s="3" t="s">
        <v>20</v>
      </c>
      <c r="J750" s="3">
        <v>-26</v>
      </c>
      <c r="K750" s="3">
        <v>109</v>
      </c>
      <c r="L750" s="3" t="s">
        <v>51</v>
      </c>
      <c r="M750" s="3">
        <v>60</v>
      </c>
      <c r="N750" s="3">
        <v>10</v>
      </c>
      <c r="O750" s="3">
        <v>80</v>
      </c>
      <c r="P750" s="3">
        <v>49</v>
      </c>
      <c r="Q750">
        <f>SUM([1]!Table1[[#This Row],[Sales]])</f>
        <v>109</v>
      </c>
      <c r="R750">
        <f>SUM([1]!Table1[[#This Row],[Profit]])</f>
        <v>-26</v>
      </c>
      <c r="S750" s="7">
        <f t="shared" si="88"/>
        <v>-0.23853211009174313</v>
      </c>
      <c r="T750">
        <f t="shared" si="89"/>
        <v>26</v>
      </c>
      <c r="U750">
        <f t="shared" si="90"/>
        <v>29</v>
      </c>
      <c r="V750">
        <f t="shared" si="91"/>
        <v>26</v>
      </c>
      <c r="W750">
        <f t="shared" si="92"/>
        <v>-1</v>
      </c>
      <c r="X750" t="str">
        <f t="shared" si="93"/>
        <v>Low Profit</v>
      </c>
      <c r="Y750">
        <f t="shared" si="94"/>
        <v>86</v>
      </c>
      <c r="Z750">
        <f t="shared" si="95"/>
        <v>109</v>
      </c>
    </row>
    <row r="751" spans="1:26">
      <c r="A751" s="5">
        <v>563</v>
      </c>
      <c r="B751" s="5">
        <v>239</v>
      </c>
      <c r="C751" s="6">
        <v>41183</v>
      </c>
      <c r="D751" s="5" t="s">
        <v>32</v>
      </c>
      <c r="E751" s="5" t="s">
        <v>17</v>
      </c>
      <c r="F751" s="5">
        <v>66</v>
      </c>
      <c r="G751" s="5" t="s">
        <v>18</v>
      </c>
      <c r="H751" s="5" t="s">
        <v>26</v>
      </c>
      <c r="I751" s="5" t="s">
        <v>27</v>
      </c>
      <c r="J751" s="5">
        <v>149</v>
      </c>
      <c r="K751" s="5">
        <v>478</v>
      </c>
      <c r="L751" s="5" t="s">
        <v>36</v>
      </c>
      <c r="M751" s="5">
        <v>170</v>
      </c>
      <c r="N751" s="5">
        <v>110</v>
      </c>
      <c r="O751" s="5">
        <v>340</v>
      </c>
      <c r="P751" s="5">
        <v>90</v>
      </c>
      <c r="Q751">
        <f>SUM([1]!Table1[[#This Row],[Sales]])</f>
        <v>478</v>
      </c>
      <c r="R751">
        <f>SUM([1]!Table1[[#This Row],[Profit]])</f>
        <v>149</v>
      </c>
      <c r="S751" s="7">
        <f t="shared" si="88"/>
        <v>0.31171548117154813</v>
      </c>
      <c r="T751">
        <f t="shared" si="89"/>
        <v>66</v>
      </c>
      <c r="U751">
        <f t="shared" si="90"/>
        <v>138</v>
      </c>
      <c r="V751">
        <f t="shared" si="91"/>
        <v>69</v>
      </c>
      <c r="W751">
        <f t="shared" si="92"/>
        <v>2.2575757575757578</v>
      </c>
      <c r="X751" t="str">
        <f t="shared" si="93"/>
        <v>High Profit</v>
      </c>
      <c r="Y751">
        <f t="shared" si="94"/>
        <v>239</v>
      </c>
      <c r="Z751">
        <f t="shared" si="95"/>
        <v>478</v>
      </c>
    </row>
    <row r="752" spans="1:26">
      <c r="A752" s="3">
        <v>563</v>
      </c>
      <c r="B752" s="3">
        <v>255</v>
      </c>
      <c r="C752" s="4">
        <v>41183</v>
      </c>
      <c r="D752" s="3" t="s">
        <v>32</v>
      </c>
      <c r="E752" s="3" t="s">
        <v>17</v>
      </c>
      <c r="F752" s="3">
        <v>96</v>
      </c>
      <c r="G752" s="3" t="s">
        <v>18</v>
      </c>
      <c r="H752" s="3" t="s">
        <v>26</v>
      </c>
      <c r="I752" s="3" t="s">
        <v>54</v>
      </c>
      <c r="J752" s="3">
        <v>183</v>
      </c>
      <c r="K752" s="3">
        <v>567</v>
      </c>
      <c r="L752" s="3" t="s">
        <v>36</v>
      </c>
      <c r="M752" s="3">
        <v>170</v>
      </c>
      <c r="N752" s="3">
        <v>130</v>
      </c>
      <c r="O752" s="3">
        <v>400</v>
      </c>
      <c r="P752" s="3">
        <v>129</v>
      </c>
      <c r="Q752">
        <f>SUM([1]!Table1[[#This Row],[Sales]])</f>
        <v>567</v>
      </c>
      <c r="R752">
        <f>SUM([1]!Table1[[#This Row],[Profit]])</f>
        <v>183</v>
      </c>
      <c r="S752" s="7">
        <f t="shared" si="88"/>
        <v>0.32275132275132273</v>
      </c>
      <c r="T752">
        <f t="shared" si="89"/>
        <v>96</v>
      </c>
      <c r="U752">
        <f t="shared" si="90"/>
        <v>167</v>
      </c>
      <c r="V752">
        <f t="shared" si="91"/>
        <v>85</v>
      </c>
      <c r="W752">
        <f t="shared" si="92"/>
        <v>1.90625</v>
      </c>
      <c r="X752" t="str">
        <f t="shared" si="93"/>
        <v>High Profit</v>
      </c>
      <c r="Y752">
        <f t="shared" si="94"/>
        <v>255</v>
      </c>
      <c r="Z752">
        <f t="shared" si="95"/>
        <v>567</v>
      </c>
    </row>
    <row r="753" spans="1:26">
      <c r="A753" s="5">
        <v>417</v>
      </c>
      <c r="B753" s="5">
        <v>25</v>
      </c>
      <c r="C753" s="6">
        <v>41183</v>
      </c>
      <c r="D753" s="5" t="s">
        <v>32</v>
      </c>
      <c r="E753" s="5" t="s">
        <v>17</v>
      </c>
      <c r="F753" s="5">
        <v>9</v>
      </c>
      <c r="G753" s="5" t="s">
        <v>18</v>
      </c>
      <c r="H753" s="5" t="s">
        <v>26</v>
      </c>
      <c r="I753" s="5" t="s">
        <v>54</v>
      </c>
      <c r="J753" s="5">
        <v>-11</v>
      </c>
      <c r="K753" s="5">
        <v>56</v>
      </c>
      <c r="L753" s="5" t="s">
        <v>51</v>
      </c>
      <c r="M753" s="5">
        <v>10</v>
      </c>
      <c r="N753" s="5">
        <v>0</v>
      </c>
      <c r="O753" s="5">
        <v>30</v>
      </c>
      <c r="P753" s="5">
        <v>42</v>
      </c>
      <c r="Q753">
        <f>SUM([1]!Table1[[#This Row],[Sales]])</f>
        <v>56</v>
      </c>
      <c r="R753">
        <f>SUM([1]!Table1[[#This Row],[Profit]])</f>
        <v>-11</v>
      </c>
      <c r="S753" s="7">
        <f t="shared" si="88"/>
        <v>-0.19642857142857142</v>
      </c>
      <c r="T753">
        <f t="shared" si="89"/>
        <v>9</v>
      </c>
      <c r="U753">
        <f t="shared" si="90"/>
        <v>26</v>
      </c>
      <c r="V753">
        <f t="shared" si="91"/>
        <v>15</v>
      </c>
      <c r="W753">
        <f t="shared" si="92"/>
        <v>-1.2222222222222223</v>
      </c>
      <c r="X753" t="str">
        <f t="shared" si="93"/>
        <v>Low Profit</v>
      </c>
      <c r="Y753">
        <f t="shared" si="94"/>
        <v>25</v>
      </c>
      <c r="Z753">
        <f t="shared" si="95"/>
        <v>56</v>
      </c>
    </row>
    <row r="754" spans="1:26">
      <c r="A754" s="3">
        <v>970</v>
      </c>
      <c r="B754" s="3">
        <v>81</v>
      </c>
      <c r="C754" s="4">
        <v>41214</v>
      </c>
      <c r="D754" s="3" t="s">
        <v>16</v>
      </c>
      <c r="E754" s="3" t="s">
        <v>17</v>
      </c>
      <c r="F754" s="3">
        <v>22</v>
      </c>
      <c r="G754" s="3" t="s">
        <v>33</v>
      </c>
      <c r="H754" s="3" t="s">
        <v>38</v>
      </c>
      <c r="I754" s="3" t="s">
        <v>39</v>
      </c>
      <c r="J754" s="3">
        <v>84</v>
      </c>
      <c r="K754" s="3">
        <v>198</v>
      </c>
      <c r="L754" s="3" t="s">
        <v>21</v>
      </c>
      <c r="M754" s="3">
        <v>80</v>
      </c>
      <c r="N754" s="3">
        <v>80</v>
      </c>
      <c r="O754" s="3">
        <v>190</v>
      </c>
      <c r="P754" s="3">
        <v>33</v>
      </c>
      <c r="Q754">
        <f>SUM([1]!Table1[[#This Row],[Sales]])</f>
        <v>198</v>
      </c>
      <c r="R754">
        <f>SUM([1]!Table1[[#This Row],[Profit]])</f>
        <v>84</v>
      </c>
      <c r="S754" s="7">
        <f t="shared" si="88"/>
        <v>0.42424242424242425</v>
      </c>
      <c r="T754">
        <f t="shared" si="89"/>
        <v>22</v>
      </c>
      <c r="U754">
        <f t="shared" si="90"/>
        <v>8</v>
      </c>
      <c r="V754">
        <f t="shared" si="91"/>
        <v>1</v>
      </c>
      <c r="W754">
        <f t="shared" si="92"/>
        <v>3.8181818181818183</v>
      </c>
      <c r="X754" t="str">
        <f t="shared" si="93"/>
        <v>Low Profit</v>
      </c>
      <c r="Y754">
        <f t="shared" si="94"/>
        <v>81</v>
      </c>
      <c r="Z754">
        <f t="shared" si="95"/>
        <v>198</v>
      </c>
    </row>
    <row r="755" spans="1:26">
      <c r="A755" s="5">
        <v>815</v>
      </c>
      <c r="B755" s="5">
        <v>113</v>
      </c>
      <c r="C755" s="6">
        <v>41214</v>
      </c>
      <c r="D755" s="5" t="s">
        <v>16</v>
      </c>
      <c r="E755" s="5" t="s">
        <v>17</v>
      </c>
      <c r="F755" s="5">
        <v>36</v>
      </c>
      <c r="G755" s="5" t="s">
        <v>33</v>
      </c>
      <c r="H755" s="5" t="s">
        <v>38</v>
      </c>
      <c r="I755" s="5" t="s">
        <v>39</v>
      </c>
      <c r="J755" s="5">
        <v>106</v>
      </c>
      <c r="K755" s="5">
        <v>278</v>
      </c>
      <c r="L755" s="5" t="s">
        <v>56</v>
      </c>
      <c r="M755" s="5">
        <v>110</v>
      </c>
      <c r="N755" s="5">
        <v>110</v>
      </c>
      <c r="O755" s="5">
        <v>270</v>
      </c>
      <c r="P755" s="5">
        <v>59</v>
      </c>
      <c r="Q755">
        <f>SUM([1]!Table1[[#This Row],[Sales]])</f>
        <v>278</v>
      </c>
      <c r="R755">
        <f>SUM([1]!Table1[[#This Row],[Profit]])</f>
        <v>106</v>
      </c>
      <c r="S755" s="7">
        <f t="shared" si="88"/>
        <v>0.38129496402877699</v>
      </c>
      <c r="T755">
        <f t="shared" si="89"/>
        <v>36</v>
      </c>
      <c r="U755">
        <f t="shared" si="90"/>
        <v>8</v>
      </c>
      <c r="V755">
        <f t="shared" si="91"/>
        <v>3</v>
      </c>
      <c r="W755">
        <f t="shared" si="92"/>
        <v>2.9444444444444446</v>
      </c>
      <c r="X755" t="str">
        <f t="shared" si="93"/>
        <v>High Profit</v>
      </c>
      <c r="Y755">
        <f t="shared" si="94"/>
        <v>113</v>
      </c>
      <c r="Z755">
        <f t="shared" si="95"/>
        <v>278</v>
      </c>
    </row>
    <row r="756" spans="1:26">
      <c r="A756" s="3">
        <v>303</v>
      </c>
      <c r="B756" s="3">
        <v>75</v>
      </c>
      <c r="C756" s="4">
        <v>41214</v>
      </c>
      <c r="D756" s="3" t="s">
        <v>16</v>
      </c>
      <c r="E756" s="3" t="s">
        <v>17</v>
      </c>
      <c r="F756" s="3">
        <v>24</v>
      </c>
      <c r="G756" s="3" t="s">
        <v>33</v>
      </c>
      <c r="H756" s="3" t="s">
        <v>34</v>
      </c>
      <c r="I756" s="3" t="s">
        <v>35</v>
      </c>
      <c r="J756" s="3">
        <v>58</v>
      </c>
      <c r="K756" s="3">
        <v>189</v>
      </c>
      <c r="L756" s="3" t="s">
        <v>21</v>
      </c>
      <c r="M756" s="3">
        <v>90</v>
      </c>
      <c r="N756" s="3">
        <v>100</v>
      </c>
      <c r="O756" s="3">
        <v>240</v>
      </c>
      <c r="P756" s="3">
        <v>56</v>
      </c>
      <c r="Q756">
        <f>SUM([1]!Table1[[#This Row],[Sales]])</f>
        <v>189</v>
      </c>
      <c r="R756">
        <f>SUM([1]!Table1[[#This Row],[Profit]])</f>
        <v>58</v>
      </c>
      <c r="S756" s="7">
        <f t="shared" si="88"/>
        <v>0.30687830687830686</v>
      </c>
      <c r="T756">
        <f t="shared" si="89"/>
        <v>24</v>
      </c>
      <c r="U756">
        <f t="shared" si="90"/>
        <v>-51</v>
      </c>
      <c r="V756">
        <f t="shared" si="91"/>
        <v>-15</v>
      </c>
      <c r="W756">
        <f t="shared" si="92"/>
        <v>2.4166666666666665</v>
      </c>
      <c r="X756" t="str">
        <f t="shared" si="93"/>
        <v>Low Profit</v>
      </c>
      <c r="Y756">
        <f t="shared" si="94"/>
        <v>75</v>
      </c>
      <c r="Z756">
        <f t="shared" si="95"/>
        <v>189</v>
      </c>
    </row>
    <row r="757" spans="1:26">
      <c r="A757" s="5">
        <v>847</v>
      </c>
      <c r="B757" s="5">
        <v>211</v>
      </c>
      <c r="C757" s="6">
        <v>41214</v>
      </c>
      <c r="D757" s="5" t="s">
        <v>16</v>
      </c>
      <c r="E757" s="5" t="s">
        <v>17</v>
      </c>
      <c r="F757" s="5">
        <v>59</v>
      </c>
      <c r="G757" s="5" t="s">
        <v>33</v>
      </c>
      <c r="H757" s="5" t="s">
        <v>34</v>
      </c>
      <c r="I757" s="5" t="s">
        <v>35</v>
      </c>
      <c r="J757" s="5">
        <v>129</v>
      </c>
      <c r="K757" s="5">
        <v>423</v>
      </c>
      <c r="L757" s="5" t="s">
        <v>56</v>
      </c>
      <c r="M757" s="5">
        <v>270</v>
      </c>
      <c r="N757" s="5">
        <v>200</v>
      </c>
      <c r="O757" s="5">
        <v>540</v>
      </c>
      <c r="P757" s="5">
        <v>83</v>
      </c>
      <c r="Q757">
        <f>SUM([1]!Table1[[#This Row],[Sales]])</f>
        <v>423</v>
      </c>
      <c r="R757">
        <f>SUM([1]!Table1[[#This Row],[Profit]])</f>
        <v>129</v>
      </c>
      <c r="S757" s="7">
        <f t="shared" si="88"/>
        <v>0.30496453900709219</v>
      </c>
      <c r="T757">
        <f t="shared" si="89"/>
        <v>59</v>
      </c>
      <c r="U757">
        <f t="shared" si="90"/>
        <v>-117</v>
      </c>
      <c r="V757">
        <f t="shared" si="91"/>
        <v>-59</v>
      </c>
      <c r="W757">
        <f t="shared" si="92"/>
        <v>2.1864406779661016</v>
      </c>
      <c r="X757" t="str">
        <f t="shared" si="93"/>
        <v>High Profit</v>
      </c>
      <c r="Y757">
        <f t="shared" si="94"/>
        <v>211</v>
      </c>
      <c r="Z757">
        <f t="shared" si="95"/>
        <v>423</v>
      </c>
    </row>
    <row r="758" spans="1:26">
      <c r="A758" s="3">
        <v>970</v>
      </c>
      <c r="B758" s="3">
        <v>118</v>
      </c>
      <c r="C758" s="4">
        <v>41214</v>
      </c>
      <c r="D758" s="3" t="s">
        <v>16</v>
      </c>
      <c r="E758" s="3" t="s">
        <v>17</v>
      </c>
      <c r="F758" s="3">
        <v>33</v>
      </c>
      <c r="G758" s="3" t="s">
        <v>33</v>
      </c>
      <c r="H758" s="3" t="s">
        <v>38</v>
      </c>
      <c r="I758" s="3" t="s">
        <v>43</v>
      </c>
      <c r="J758" s="3">
        <v>128</v>
      </c>
      <c r="K758" s="3">
        <v>290</v>
      </c>
      <c r="L758" s="3" t="s">
        <v>21</v>
      </c>
      <c r="M758" s="3">
        <v>110</v>
      </c>
      <c r="N758" s="3">
        <v>130</v>
      </c>
      <c r="O758" s="3">
        <v>280</v>
      </c>
      <c r="P758" s="3">
        <v>44</v>
      </c>
      <c r="Q758">
        <f>SUM([1]!Table1[[#This Row],[Sales]])</f>
        <v>290</v>
      </c>
      <c r="R758">
        <f>SUM([1]!Table1[[#This Row],[Profit]])</f>
        <v>128</v>
      </c>
      <c r="S758" s="7">
        <f t="shared" si="88"/>
        <v>0.44137931034482758</v>
      </c>
      <c r="T758">
        <f t="shared" si="89"/>
        <v>33</v>
      </c>
      <c r="U758">
        <f t="shared" si="90"/>
        <v>10</v>
      </c>
      <c r="V758">
        <f t="shared" si="91"/>
        <v>8</v>
      </c>
      <c r="W758">
        <f t="shared" si="92"/>
        <v>3.8787878787878789</v>
      </c>
      <c r="X758" t="str">
        <f t="shared" si="93"/>
        <v>High Profit</v>
      </c>
      <c r="Y758">
        <f t="shared" si="94"/>
        <v>118</v>
      </c>
      <c r="Z758">
        <f t="shared" si="95"/>
        <v>290</v>
      </c>
    </row>
    <row r="759" spans="1:26">
      <c r="A759" s="5">
        <v>815</v>
      </c>
      <c r="B759" s="5">
        <v>173</v>
      </c>
      <c r="C759" s="6">
        <v>41214</v>
      </c>
      <c r="D759" s="5" t="s">
        <v>16</v>
      </c>
      <c r="E759" s="5" t="s">
        <v>17</v>
      </c>
      <c r="F759" s="5">
        <v>57</v>
      </c>
      <c r="G759" s="5" t="s">
        <v>33</v>
      </c>
      <c r="H759" s="5" t="s">
        <v>38</v>
      </c>
      <c r="I759" s="5" t="s">
        <v>45</v>
      </c>
      <c r="J759" s="5">
        <v>139</v>
      </c>
      <c r="K759" s="5">
        <v>412</v>
      </c>
      <c r="L759" s="5" t="s">
        <v>56</v>
      </c>
      <c r="M759" s="5">
        <v>170</v>
      </c>
      <c r="N759" s="5">
        <v>140</v>
      </c>
      <c r="O759" s="5">
        <v>400</v>
      </c>
      <c r="P759" s="5">
        <v>100</v>
      </c>
      <c r="Q759">
        <f>SUM([1]!Table1[[#This Row],[Sales]])</f>
        <v>412</v>
      </c>
      <c r="R759">
        <f>SUM([1]!Table1[[#This Row],[Profit]])</f>
        <v>139</v>
      </c>
      <c r="S759" s="7">
        <f t="shared" si="88"/>
        <v>0.33737864077669905</v>
      </c>
      <c r="T759">
        <f t="shared" si="89"/>
        <v>57</v>
      </c>
      <c r="U759">
        <f t="shared" si="90"/>
        <v>12</v>
      </c>
      <c r="V759">
        <f t="shared" si="91"/>
        <v>3</v>
      </c>
      <c r="W759">
        <f t="shared" si="92"/>
        <v>2.4385964912280702</v>
      </c>
      <c r="X759" t="str">
        <f t="shared" si="93"/>
        <v>High Profit</v>
      </c>
      <c r="Y759">
        <f t="shared" si="94"/>
        <v>173</v>
      </c>
      <c r="Z759">
        <f t="shared" si="95"/>
        <v>412</v>
      </c>
    </row>
    <row r="760" spans="1:26">
      <c r="A760" s="3">
        <v>303</v>
      </c>
      <c r="B760" s="3">
        <v>50</v>
      </c>
      <c r="C760" s="4">
        <v>41214</v>
      </c>
      <c r="D760" s="3" t="s">
        <v>16</v>
      </c>
      <c r="E760" s="3" t="s">
        <v>17</v>
      </c>
      <c r="F760" s="3">
        <v>14</v>
      </c>
      <c r="G760" s="3" t="s">
        <v>33</v>
      </c>
      <c r="H760" s="3" t="s">
        <v>34</v>
      </c>
      <c r="I760" s="3" t="s">
        <v>46</v>
      </c>
      <c r="J760" s="3">
        <v>48</v>
      </c>
      <c r="K760" s="3">
        <v>123</v>
      </c>
      <c r="L760" s="3" t="s">
        <v>21</v>
      </c>
      <c r="M760" s="3">
        <v>60</v>
      </c>
      <c r="N760" s="3">
        <v>70</v>
      </c>
      <c r="O760" s="3">
        <v>150</v>
      </c>
      <c r="P760" s="3">
        <v>25</v>
      </c>
      <c r="Q760">
        <f>SUM([1]!Table1[[#This Row],[Sales]])</f>
        <v>123</v>
      </c>
      <c r="R760">
        <f>SUM([1]!Table1[[#This Row],[Profit]])</f>
        <v>48</v>
      </c>
      <c r="S760" s="7">
        <f t="shared" si="88"/>
        <v>0.3902439024390244</v>
      </c>
      <c r="T760">
        <f t="shared" si="89"/>
        <v>14</v>
      </c>
      <c r="U760">
        <f t="shared" si="90"/>
        <v>-27</v>
      </c>
      <c r="V760">
        <f t="shared" si="91"/>
        <v>-10</v>
      </c>
      <c r="W760">
        <f t="shared" si="92"/>
        <v>3.4285714285714284</v>
      </c>
      <c r="X760" t="str">
        <f t="shared" si="93"/>
        <v>Low Profit</v>
      </c>
      <c r="Y760">
        <f t="shared" si="94"/>
        <v>50</v>
      </c>
      <c r="Z760">
        <f t="shared" si="95"/>
        <v>123</v>
      </c>
    </row>
    <row r="761" spans="1:26">
      <c r="A761" s="5">
        <v>224</v>
      </c>
      <c r="B761" s="5">
        <v>228</v>
      </c>
      <c r="C761" s="6">
        <v>41214</v>
      </c>
      <c r="D761" s="5" t="s">
        <v>16</v>
      </c>
      <c r="E761" s="5" t="s">
        <v>17</v>
      </c>
      <c r="F761" s="5">
        <v>75</v>
      </c>
      <c r="G761" s="5" t="s">
        <v>33</v>
      </c>
      <c r="H761" s="5" t="s">
        <v>34</v>
      </c>
      <c r="I761" s="5" t="s">
        <v>46</v>
      </c>
      <c r="J761" s="5">
        <v>196</v>
      </c>
      <c r="K761" s="5">
        <v>532</v>
      </c>
      <c r="L761" s="5" t="s">
        <v>56</v>
      </c>
      <c r="M761" s="5">
        <v>290</v>
      </c>
      <c r="N761" s="5">
        <v>290</v>
      </c>
      <c r="O761" s="5">
        <v>680</v>
      </c>
      <c r="P761" s="5">
        <v>108</v>
      </c>
      <c r="Q761">
        <f>SUM([1]!Table1[[#This Row],[Sales]])</f>
        <v>532</v>
      </c>
      <c r="R761">
        <f>SUM([1]!Table1[[#This Row],[Profit]])</f>
        <v>196</v>
      </c>
      <c r="S761" s="7">
        <f t="shared" si="88"/>
        <v>0.36842105263157893</v>
      </c>
      <c r="T761">
        <f t="shared" si="89"/>
        <v>75</v>
      </c>
      <c r="U761">
        <f t="shared" si="90"/>
        <v>-148</v>
      </c>
      <c r="V761">
        <f t="shared" si="91"/>
        <v>-62</v>
      </c>
      <c r="W761">
        <f t="shared" si="92"/>
        <v>2.6133333333333333</v>
      </c>
      <c r="X761" t="str">
        <f t="shared" si="93"/>
        <v>High Profit</v>
      </c>
      <c r="Y761">
        <f t="shared" si="94"/>
        <v>228</v>
      </c>
      <c r="Z761">
        <f t="shared" si="95"/>
        <v>532</v>
      </c>
    </row>
    <row r="762" spans="1:26">
      <c r="A762" s="3">
        <v>440</v>
      </c>
      <c r="B762" s="3">
        <v>181</v>
      </c>
      <c r="C762" s="4">
        <v>41214</v>
      </c>
      <c r="D762" s="3" t="s">
        <v>16</v>
      </c>
      <c r="E762" s="3" t="s">
        <v>17</v>
      </c>
      <c r="F762" s="3">
        <v>50</v>
      </c>
      <c r="G762" s="3" t="s">
        <v>33</v>
      </c>
      <c r="H762" s="3" t="s">
        <v>34</v>
      </c>
      <c r="I762" s="3" t="s">
        <v>46</v>
      </c>
      <c r="J762" s="3">
        <v>107</v>
      </c>
      <c r="K762" s="3">
        <v>363</v>
      </c>
      <c r="L762" s="3" t="s">
        <v>58</v>
      </c>
      <c r="M762" s="3">
        <v>230</v>
      </c>
      <c r="N762" s="3">
        <v>170</v>
      </c>
      <c r="O762" s="3">
        <v>460</v>
      </c>
      <c r="P762" s="3">
        <v>75</v>
      </c>
      <c r="Q762">
        <f>SUM([1]!Table1[[#This Row],[Sales]])</f>
        <v>363</v>
      </c>
      <c r="R762">
        <f>SUM([1]!Table1[[#This Row],[Profit]])</f>
        <v>107</v>
      </c>
      <c r="S762" s="7">
        <f t="shared" si="88"/>
        <v>0.29476584022038566</v>
      </c>
      <c r="T762">
        <f t="shared" si="89"/>
        <v>50</v>
      </c>
      <c r="U762">
        <f t="shared" si="90"/>
        <v>-97</v>
      </c>
      <c r="V762">
        <f t="shared" si="91"/>
        <v>-49</v>
      </c>
      <c r="W762">
        <f t="shared" si="92"/>
        <v>2.14</v>
      </c>
      <c r="X762" t="str">
        <f t="shared" si="93"/>
        <v>High Profit</v>
      </c>
      <c r="Y762">
        <f t="shared" si="94"/>
        <v>181</v>
      </c>
      <c r="Z762">
        <f t="shared" si="95"/>
        <v>363</v>
      </c>
    </row>
    <row r="763" spans="1:26">
      <c r="A763" s="5">
        <v>970</v>
      </c>
      <c r="B763" s="5">
        <v>181</v>
      </c>
      <c r="C763" s="6">
        <v>41214</v>
      </c>
      <c r="D763" s="5" t="s">
        <v>16</v>
      </c>
      <c r="E763" s="5" t="s">
        <v>17</v>
      </c>
      <c r="F763" s="5">
        <v>50</v>
      </c>
      <c r="G763" s="5" t="s">
        <v>18</v>
      </c>
      <c r="H763" s="5" t="s">
        <v>19</v>
      </c>
      <c r="I763" s="5" t="s">
        <v>50</v>
      </c>
      <c r="J763" s="5">
        <v>107</v>
      </c>
      <c r="K763" s="5">
        <v>363</v>
      </c>
      <c r="L763" s="5" t="s">
        <v>21</v>
      </c>
      <c r="M763" s="5">
        <v>170</v>
      </c>
      <c r="N763" s="5">
        <v>100</v>
      </c>
      <c r="O763" s="5">
        <v>330</v>
      </c>
      <c r="P763" s="5">
        <v>75</v>
      </c>
      <c r="Q763">
        <f>SUM([1]!Table1[[#This Row],[Sales]])</f>
        <v>363</v>
      </c>
      <c r="R763">
        <f>SUM([1]!Table1[[#This Row],[Profit]])</f>
        <v>107</v>
      </c>
      <c r="S763" s="7">
        <f t="shared" si="88"/>
        <v>0.29476584022038566</v>
      </c>
      <c r="T763">
        <f t="shared" si="89"/>
        <v>50</v>
      </c>
      <c r="U763">
        <f t="shared" si="90"/>
        <v>33</v>
      </c>
      <c r="V763">
        <f t="shared" si="91"/>
        <v>11</v>
      </c>
      <c r="W763">
        <f t="shared" si="92"/>
        <v>2.14</v>
      </c>
      <c r="X763" t="str">
        <f t="shared" si="93"/>
        <v>High Profit</v>
      </c>
      <c r="Y763">
        <f t="shared" si="94"/>
        <v>181</v>
      </c>
      <c r="Z763">
        <f t="shared" si="95"/>
        <v>363</v>
      </c>
    </row>
    <row r="764" spans="1:26">
      <c r="A764" s="3">
        <v>312</v>
      </c>
      <c r="B764" s="3">
        <v>118</v>
      </c>
      <c r="C764" s="4">
        <v>41214</v>
      </c>
      <c r="D764" s="3" t="s">
        <v>16</v>
      </c>
      <c r="E764" s="3" t="s">
        <v>17</v>
      </c>
      <c r="F764" s="3">
        <v>33</v>
      </c>
      <c r="G764" s="3" t="s">
        <v>18</v>
      </c>
      <c r="H764" s="3" t="s">
        <v>19</v>
      </c>
      <c r="I764" s="3" t="s">
        <v>50</v>
      </c>
      <c r="J764" s="3">
        <v>127</v>
      </c>
      <c r="K764" s="3">
        <v>290</v>
      </c>
      <c r="L764" s="3" t="s">
        <v>56</v>
      </c>
      <c r="M764" s="3">
        <v>110</v>
      </c>
      <c r="N764" s="3">
        <v>110</v>
      </c>
      <c r="O764" s="3">
        <v>260</v>
      </c>
      <c r="P764" s="3">
        <v>45</v>
      </c>
      <c r="Q764">
        <f>SUM([1]!Table1[[#This Row],[Sales]])</f>
        <v>290</v>
      </c>
      <c r="R764">
        <f>SUM([1]!Table1[[#This Row],[Profit]])</f>
        <v>127</v>
      </c>
      <c r="S764" s="7">
        <f t="shared" si="88"/>
        <v>0.43793103448275861</v>
      </c>
      <c r="T764">
        <f t="shared" si="89"/>
        <v>33</v>
      </c>
      <c r="U764">
        <f t="shared" si="90"/>
        <v>30</v>
      </c>
      <c r="V764">
        <f t="shared" si="91"/>
        <v>8</v>
      </c>
      <c r="W764">
        <f t="shared" si="92"/>
        <v>3.8484848484848486</v>
      </c>
      <c r="X764" t="str">
        <f t="shared" si="93"/>
        <v>High Profit</v>
      </c>
      <c r="Y764">
        <f t="shared" si="94"/>
        <v>118</v>
      </c>
      <c r="Z764">
        <f t="shared" si="95"/>
        <v>290</v>
      </c>
    </row>
    <row r="765" spans="1:26">
      <c r="A765" s="5">
        <v>630</v>
      </c>
      <c r="B765" s="5">
        <v>81</v>
      </c>
      <c r="C765" s="6">
        <v>41214</v>
      </c>
      <c r="D765" s="5" t="s">
        <v>16</v>
      </c>
      <c r="E765" s="5" t="s">
        <v>17</v>
      </c>
      <c r="F765" s="5">
        <v>22</v>
      </c>
      <c r="G765" s="5" t="s">
        <v>18</v>
      </c>
      <c r="H765" s="5" t="s">
        <v>19</v>
      </c>
      <c r="I765" s="5" t="s">
        <v>22</v>
      </c>
      <c r="J765" s="5">
        <v>84</v>
      </c>
      <c r="K765" s="5">
        <v>198</v>
      </c>
      <c r="L765" s="5" t="s">
        <v>56</v>
      </c>
      <c r="M765" s="5">
        <v>70</v>
      </c>
      <c r="N765" s="5">
        <v>80</v>
      </c>
      <c r="O765" s="5">
        <v>180</v>
      </c>
      <c r="P765" s="5">
        <v>33</v>
      </c>
      <c r="Q765">
        <f>SUM([1]!Table1[[#This Row],[Sales]])</f>
        <v>198</v>
      </c>
      <c r="R765">
        <f>SUM([1]!Table1[[#This Row],[Profit]])</f>
        <v>84</v>
      </c>
      <c r="S765" s="7">
        <f t="shared" si="88"/>
        <v>0.42424242424242425</v>
      </c>
      <c r="T765">
        <f t="shared" si="89"/>
        <v>22</v>
      </c>
      <c r="U765">
        <f t="shared" si="90"/>
        <v>18</v>
      </c>
      <c r="V765">
        <f t="shared" si="91"/>
        <v>11</v>
      </c>
      <c r="W765">
        <f t="shared" si="92"/>
        <v>3.8181818181818183</v>
      </c>
      <c r="X765" t="str">
        <f t="shared" si="93"/>
        <v>Low Profit</v>
      </c>
      <c r="Y765">
        <f t="shared" si="94"/>
        <v>81</v>
      </c>
      <c r="Z765">
        <f t="shared" si="95"/>
        <v>198</v>
      </c>
    </row>
    <row r="766" spans="1:26">
      <c r="A766" s="3">
        <v>330</v>
      </c>
      <c r="B766" s="3">
        <v>78</v>
      </c>
      <c r="C766" s="4">
        <v>41214</v>
      </c>
      <c r="D766" s="3" t="s">
        <v>16</v>
      </c>
      <c r="E766" s="3" t="s">
        <v>17</v>
      </c>
      <c r="F766" s="3">
        <v>25</v>
      </c>
      <c r="G766" s="3" t="s">
        <v>18</v>
      </c>
      <c r="H766" s="3" t="s">
        <v>26</v>
      </c>
      <c r="I766" s="3" t="s">
        <v>27</v>
      </c>
      <c r="J766" s="3">
        <v>62</v>
      </c>
      <c r="K766" s="3">
        <v>197</v>
      </c>
      <c r="L766" s="3" t="s">
        <v>58</v>
      </c>
      <c r="M766" s="3">
        <v>60</v>
      </c>
      <c r="N766" s="3">
        <v>60</v>
      </c>
      <c r="O766" s="3">
        <v>160</v>
      </c>
      <c r="P766" s="3">
        <v>57</v>
      </c>
      <c r="Q766">
        <f>SUM([1]!Table1[[#This Row],[Sales]])</f>
        <v>197</v>
      </c>
      <c r="R766">
        <f>SUM([1]!Table1[[#This Row],[Profit]])</f>
        <v>62</v>
      </c>
      <c r="S766" s="7">
        <f t="shared" si="88"/>
        <v>0.31472081218274112</v>
      </c>
      <c r="T766">
        <f t="shared" si="89"/>
        <v>25</v>
      </c>
      <c r="U766">
        <f t="shared" si="90"/>
        <v>37</v>
      </c>
      <c r="V766">
        <f t="shared" si="91"/>
        <v>18</v>
      </c>
      <c r="W766">
        <f t="shared" si="92"/>
        <v>2.48</v>
      </c>
      <c r="X766" t="str">
        <f t="shared" si="93"/>
        <v>Low Profit</v>
      </c>
      <c r="Y766">
        <f t="shared" si="94"/>
        <v>78</v>
      </c>
      <c r="Z766">
        <f t="shared" si="95"/>
        <v>197</v>
      </c>
    </row>
    <row r="767" spans="1:26">
      <c r="A767" s="5">
        <v>630</v>
      </c>
      <c r="B767" s="5">
        <v>75</v>
      </c>
      <c r="C767" s="6">
        <v>41214</v>
      </c>
      <c r="D767" s="5" t="s">
        <v>16</v>
      </c>
      <c r="E767" s="5" t="s">
        <v>17</v>
      </c>
      <c r="F767" s="5">
        <v>24</v>
      </c>
      <c r="G767" s="5" t="s">
        <v>18</v>
      </c>
      <c r="H767" s="5" t="s">
        <v>26</v>
      </c>
      <c r="I767" s="5" t="s">
        <v>54</v>
      </c>
      <c r="J767" s="5">
        <v>59</v>
      </c>
      <c r="K767" s="5">
        <v>189</v>
      </c>
      <c r="L767" s="5" t="s">
        <v>56</v>
      </c>
      <c r="M767" s="5">
        <v>60</v>
      </c>
      <c r="N767" s="5">
        <v>50</v>
      </c>
      <c r="O767" s="5">
        <v>150</v>
      </c>
      <c r="P767" s="5">
        <v>55</v>
      </c>
      <c r="Q767">
        <f>SUM([1]!Table1[[#This Row],[Sales]])</f>
        <v>189</v>
      </c>
      <c r="R767">
        <f>SUM([1]!Table1[[#This Row],[Profit]])</f>
        <v>59</v>
      </c>
      <c r="S767" s="7">
        <f t="shared" si="88"/>
        <v>0.31216931216931215</v>
      </c>
      <c r="T767">
        <f t="shared" si="89"/>
        <v>24</v>
      </c>
      <c r="U767">
        <f t="shared" si="90"/>
        <v>39</v>
      </c>
      <c r="V767">
        <f t="shared" si="91"/>
        <v>15</v>
      </c>
      <c r="W767">
        <f t="shared" si="92"/>
        <v>2.4583333333333335</v>
      </c>
      <c r="X767" t="str">
        <f t="shared" si="93"/>
        <v>Low Profit</v>
      </c>
      <c r="Y767">
        <f t="shared" si="94"/>
        <v>75</v>
      </c>
      <c r="Z767">
        <f t="shared" si="95"/>
        <v>189</v>
      </c>
    </row>
    <row r="768" spans="1:26">
      <c r="A768" s="3">
        <v>419</v>
      </c>
      <c r="B768" s="3">
        <v>102</v>
      </c>
      <c r="C768" s="4">
        <v>41214</v>
      </c>
      <c r="D768" s="3" t="s">
        <v>16</v>
      </c>
      <c r="E768" s="3" t="s">
        <v>17</v>
      </c>
      <c r="F768" s="3">
        <v>31</v>
      </c>
      <c r="G768" s="3" t="s">
        <v>18</v>
      </c>
      <c r="H768" s="3" t="s">
        <v>26</v>
      </c>
      <c r="I768" s="3" t="s">
        <v>54</v>
      </c>
      <c r="J768" s="3">
        <v>89</v>
      </c>
      <c r="K768" s="3">
        <v>245</v>
      </c>
      <c r="L768" s="3" t="s">
        <v>58</v>
      </c>
      <c r="M768" s="3">
        <v>80</v>
      </c>
      <c r="N768" s="3">
        <v>70</v>
      </c>
      <c r="O768" s="3">
        <v>200</v>
      </c>
      <c r="P768" s="3">
        <v>54</v>
      </c>
      <c r="Q768">
        <f>SUM([1]!Table1[[#This Row],[Sales]])</f>
        <v>245</v>
      </c>
      <c r="R768">
        <f>SUM([1]!Table1[[#This Row],[Profit]])</f>
        <v>89</v>
      </c>
      <c r="S768" s="7">
        <f t="shared" si="88"/>
        <v>0.36326530612244901</v>
      </c>
      <c r="T768">
        <f t="shared" si="89"/>
        <v>31</v>
      </c>
      <c r="U768">
        <f t="shared" si="90"/>
        <v>45</v>
      </c>
      <c r="V768">
        <f t="shared" si="91"/>
        <v>22</v>
      </c>
      <c r="W768">
        <f t="shared" si="92"/>
        <v>2.870967741935484</v>
      </c>
      <c r="X768" t="str">
        <f t="shared" si="93"/>
        <v>Low Profit</v>
      </c>
      <c r="Y768">
        <f t="shared" si="94"/>
        <v>102</v>
      </c>
      <c r="Z768">
        <f t="shared" si="95"/>
        <v>245</v>
      </c>
    </row>
    <row r="769" spans="1:26">
      <c r="A769" s="5">
        <v>719</v>
      </c>
      <c r="B769" s="5">
        <v>88</v>
      </c>
      <c r="C769" s="6">
        <v>41214</v>
      </c>
      <c r="D769" s="5" t="s">
        <v>16</v>
      </c>
      <c r="E769" s="5" t="s">
        <v>17</v>
      </c>
      <c r="F769" s="5">
        <v>29</v>
      </c>
      <c r="G769" s="5" t="s">
        <v>18</v>
      </c>
      <c r="H769" s="5" t="s">
        <v>26</v>
      </c>
      <c r="I769" s="5" t="s">
        <v>30</v>
      </c>
      <c r="J769" s="5">
        <v>70</v>
      </c>
      <c r="K769" s="5">
        <v>200</v>
      </c>
      <c r="L769" s="5" t="s">
        <v>21</v>
      </c>
      <c r="M769" s="5">
        <v>70</v>
      </c>
      <c r="N769" s="5">
        <v>60</v>
      </c>
      <c r="O769" s="5">
        <v>160</v>
      </c>
      <c r="P769" s="5">
        <v>42</v>
      </c>
      <c r="Q769">
        <f>SUM([1]!Table1[[#This Row],[Sales]])</f>
        <v>200</v>
      </c>
      <c r="R769">
        <f>SUM([1]!Table1[[#This Row],[Profit]])</f>
        <v>70</v>
      </c>
      <c r="S769" s="7">
        <f t="shared" si="88"/>
        <v>0.35</v>
      </c>
      <c r="T769">
        <f t="shared" si="89"/>
        <v>29</v>
      </c>
      <c r="U769">
        <f t="shared" si="90"/>
        <v>40</v>
      </c>
      <c r="V769">
        <f t="shared" si="91"/>
        <v>18</v>
      </c>
      <c r="W769">
        <f t="shared" si="92"/>
        <v>2.4137931034482758</v>
      </c>
      <c r="X769" t="str">
        <f t="shared" si="93"/>
        <v>Low Profit</v>
      </c>
      <c r="Y769">
        <f t="shared" si="94"/>
        <v>88</v>
      </c>
      <c r="Z769">
        <f t="shared" si="95"/>
        <v>200</v>
      </c>
    </row>
    <row r="770" spans="1:26">
      <c r="A770" s="3">
        <v>641</v>
      </c>
      <c r="B770" s="3">
        <v>10</v>
      </c>
      <c r="C770" s="4">
        <v>41214</v>
      </c>
      <c r="D770" s="3" t="s">
        <v>32</v>
      </c>
      <c r="E770" s="3" t="s">
        <v>17</v>
      </c>
      <c r="F770" s="3">
        <v>3</v>
      </c>
      <c r="G770" s="3" t="s">
        <v>33</v>
      </c>
      <c r="H770" s="3" t="s">
        <v>38</v>
      </c>
      <c r="I770" s="3" t="s">
        <v>39</v>
      </c>
      <c r="J770" s="3">
        <v>-3</v>
      </c>
      <c r="K770" s="3">
        <v>23</v>
      </c>
      <c r="L770" s="3" t="s">
        <v>36</v>
      </c>
      <c r="M770" s="3">
        <v>0</v>
      </c>
      <c r="N770" s="3">
        <v>10</v>
      </c>
      <c r="O770" s="3">
        <v>20</v>
      </c>
      <c r="P770" s="3">
        <v>16</v>
      </c>
      <c r="Q770">
        <f>SUM([1]!Table1[[#This Row],[Sales]])</f>
        <v>23</v>
      </c>
      <c r="R770">
        <f>SUM([1]!Table1[[#This Row],[Profit]])</f>
        <v>-3</v>
      </c>
      <c r="S770" s="7">
        <f t="shared" si="88"/>
        <v>-0.13043478260869565</v>
      </c>
      <c r="T770">
        <f t="shared" si="89"/>
        <v>3</v>
      </c>
      <c r="U770">
        <f t="shared" si="90"/>
        <v>3</v>
      </c>
      <c r="V770">
        <f t="shared" si="91"/>
        <v>10</v>
      </c>
      <c r="W770">
        <f t="shared" si="92"/>
        <v>-1</v>
      </c>
      <c r="X770" t="str">
        <f t="shared" si="93"/>
        <v>Low Profit</v>
      </c>
      <c r="Y770">
        <f t="shared" si="94"/>
        <v>10</v>
      </c>
      <c r="Z770">
        <f t="shared" si="95"/>
        <v>23</v>
      </c>
    </row>
    <row r="771" spans="1:26">
      <c r="A771" s="5">
        <v>262</v>
      </c>
      <c r="B771" s="5">
        <v>77</v>
      </c>
      <c r="C771" s="6">
        <v>41214</v>
      </c>
      <c r="D771" s="5" t="s">
        <v>32</v>
      </c>
      <c r="E771" s="5" t="s">
        <v>17</v>
      </c>
      <c r="F771" s="5">
        <v>25</v>
      </c>
      <c r="G771" s="5" t="s">
        <v>33</v>
      </c>
      <c r="H771" s="5" t="s">
        <v>38</v>
      </c>
      <c r="I771" s="5" t="s">
        <v>39</v>
      </c>
      <c r="J771" s="5">
        <v>51</v>
      </c>
      <c r="K771" s="5">
        <v>180</v>
      </c>
      <c r="L771" s="5" t="s">
        <v>52</v>
      </c>
      <c r="M771" s="5">
        <v>70</v>
      </c>
      <c r="N771" s="5">
        <v>60</v>
      </c>
      <c r="O771" s="5">
        <v>170</v>
      </c>
      <c r="P771" s="5">
        <v>52</v>
      </c>
      <c r="Q771">
        <f>SUM([1]!Table1[[#This Row],[Sales]])</f>
        <v>180</v>
      </c>
      <c r="R771">
        <f>SUM([1]!Table1[[#This Row],[Profit]])</f>
        <v>51</v>
      </c>
      <c r="S771" s="7">
        <f t="shared" ref="S771:S834" si="96">J771/K771</f>
        <v>0.28333333333333333</v>
      </c>
      <c r="T771">
        <f t="shared" ref="T771:T834" si="97">SUM(F771)</f>
        <v>25</v>
      </c>
      <c r="U771">
        <f t="shared" ref="U771:U834" si="98">K771-O771</f>
        <v>10</v>
      </c>
      <c r="V771">
        <f t="shared" ref="V771:V834" si="99">B771-M771</f>
        <v>7</v>
      </c>
      <c r="W771">
        <f t="shared" ref="W771:W834" si="100">J771/F771</f>
        <v>2.04</v>
      </c>
      <c r="X771" t="str">
        <f t="shared" ref="X771:X834" si="101">IF(J771&gt;100,"High Profit","Low Profit")</f>
        <v>Low Profit</v>
      </c>
      <c r="Y771">
        <f t="shared" ref="Y771:Y834" si="102">SUM(B771)</f>
        <v>77</v>
      </c>
      <c r="Z771">
        <f t="shared" ref="Z771:Z834" si="103">SUM(K771)</f>
        <v>180</v>
      </c>
    </row>
    <row r="772" spans="1:26">
      <c r="A772" s="3">
        <v>563</v>
      </c>
      <c r="B772" s="3">
        <v>15</v>
      </c>
      <c r="C772" s="4">
        <v>41214</v>
      </c>
      <c r="D772" s="3" t="s">
        <v>32</v>
      </c>
      <c r="E772" s="3" t="s">
        <v>17</v>
      </c>
      <c r="F772" s="3">
        <v>4</v>
      </c>
      <c r="G772" s="3" t="s">
        <v>33</v>
      </c>
      <c r="H772" s="3" t="s">
        <v>38</v>
      </c>
      <c r="I772" s="3" t="s">
        <v>43</v>
      </c>
      <c r="J772" s="3">
        <v>8</v>
      </c>
      <c r="K772" s="3">
        <v>39</v>
      </c>
      <c r="L772" s="3" t="s">
        <v>36</v>
      </c>
      <c r="M772" s="3">
        <v>10</v>
      </c>
      <c r="N772" s="3">
        <v>10</v>
      </c>
      <c r="O772" s="3">
        <v>30</v>
      </c>
      <c r="P772" s="3">
        <v>16</v>
      </c>
      <c r="Q772">
        <f>SUM([1]!Table1[[#This Row],[Sales]])</f>
        <v>39</v>
      </c>
      <c r="R772">
        <f>SUM([1]!Table1[[#This Row],[Profit]])</f>
        <v>8</v>
      </c>
      <c r="S772" s="7">
        <f t="shared" si="96"/>
        <v>0.20512820512820512</v>
      </c>
      <c r="T772">
        <f t="shared" si="97"/>
        <v>4</v>
      </c>
      <c r="U772">
        <f t="shared" si="98"/>
        <v>9</v>
      </c>
      <c r="V772">
        <f t="shared" si="99"/>
        <v>5</v>
      </c>
      <c r="W772">
        <f t="shared" si="100"/>
        <v>2</v>
      </c>
      <c r="X772" t="str">
        <f t="shared" si="101"/>
        <v>Low Profit</v>
      </c>
      <c r="Y772">
        <f t="shared" si="102"/>
        <v>15</v>
      </c>
      <c r="Z772">
        <f t="shared" si="103"/>
        <v>39</v>
      </c>
    </row>
    <row r="773" spans="1:26">
      <c r="A773" s="5">
        <v>573</v>
      </c>
      <c r="B773" s="5">
        <v>82</v>
      </c>
      <c r="C773" s="6">
        <v>41214</v>
      </c>
      <c r="D773" s="5" t="s">
        <v>32</v>
      </c>
      <c r="E773" s="5" t="s">
        <v>17</v>
      </c>
      <c r="F773" s="5">
        <v>31</v>
      </c>
      <c r="G773" s="5" t="s">
        <v>33</v>
      </c>
      <c r="H773" s="5" t="s">
        <v>38</v>
      </c>
      <c r="I773" s="5" t="s">
        <v>45</v>
      </c>
      <c r="J773" s="5">
        <v>38</v>
      </c>
      <c r="K773" s="5">
        <v>184</v>
      </c>
      <c r="L773" s="5" t="s">
        <v>51</v>
      </c>
      <c r="M773" s="5">
        <v>80</v>
      </c>
      <c r="N773" s="5">
        <v>40</v>
      </c>
      <c r="O773" s="5">
        <v>180</v>
      </c>
      <c r="P773" s="5">
        <v>64</v>
      </c>
      <c r="Q773">
        <f>SUM([1]!Table1[[#This Row],[Sales]])</f>
        <v>184</v>
      </c>
      <c r="R773">
        <f>SUM([1]!Table1[[#This Row],[Profit]])</f>
        <v>38</v>
      </c>
      <c r="S773" s="7">
        <f t="shared" si="96"/>
        <v>0.20652173913043478</v>
      </c>
      <c r="T773">
        <f t="shared" si="97"/>
        <v>31</v>
      </c>
      <c r="U773">
        <f t="shared" si="98"/>
        <v>4</v>
      </c>
      <c r="V773">
        <f t="shared" si="99"/>
        <v>2</v>
      </c>
      <c r="W773">
        <f t="shared" si="100"/>
        <v>1.2258064516129032</v>
      </c>
      <c r="X773" t="str">
        <f t="shared" si="101"/>
        <v>Low Profit</v>
      </c>
      <c r="Y773">
        <f t="shared" si="102"/>
        <v>82</v>
      </c>
      <c r="Z773">
        <f t="shared" si="103"/>
        <v>184</v>
      </c>
    </row>
    <row r="774" spans="1:26">
      <c r="A774" s="3">
        <v>262</v>
      </c>
      <c r="B774" s="3">
        <v>94</v>
      </c>
      <c r="C774" s="4">
        <v>41214</v>
      </c>
      <c r="D774" s="3" t="s">
        <v>32</v>
      </c>
      <c r="E774" s="3" t="s">
        <v>17</v>
      </c>
      <c r="F774" s="3">
        <v>85</v>
      </c>
      <c r="G774" s="3" t="s">
        <v>33</v>
      </c>
      <c r="H774" s="3" t="s">
        <v>38</v>
      </c>
      <c r="I774" s="3" t="s">
        <v>45</v>
      </c>
      <c r="J774" s="3">
        <v>16</v>
      </c>
      <c r="K774" s="3">
        <v>224</v>
      </c>
      <c r="L774" s="3" t="s">
        <v>52</v>
      </c>
      <c r="M774" s="3">
        <v>90</v>
      </c>
      <c r="N774" s="3">
        <v>30</v>
      </c>
      <c r="O774" s="3">
        <v>220</v>
      </c>
      <c r="P774" s="3">
        <v>114</v>
      </c>
      <c r="Q774">
        <f>SUM([1]!Table1[[#This Row],[Sales]])</f>
        <v>224</v>
      </c>
      <c r="R774">
        <f>SUM([1]!Table1[[#This Row],[Profit]])</f>
        <v>16</v>
      </c>
      <c r="S774" s="7">
        <f t="shared" si="96"/>
        <v>7.1428571428571425E-2</v>
      </c>
      <c r="T774">
        <f t="shared" si="97"/>
        <v>85</v>
      </c>
      <c r="U774">
        <f t="shared" si="98"/>
        <v>4</v>
      </c>
      <c r="V774">
        <f t="shared" si="99"/>
        <v>4</v>
      </c>
      <c r="W774">
        <f t="shared" si="100"/>
        <v>0.18823529411764706</v>
      </c>
      <c r="X774" t="str">
        <f t="shared" si="101"/>
        <v>Low Profit</v>
      </c>
      <c r="Y774">
        <f t="shared" si="102"/>
        <v>94</v>
      </c>
      <c r="Z774">
        <f t="shared" si="103"/>
        <v>224</v>
      </c>
    </row>
    <row r="775" spans="1:26">
      <c r="A775" s="5">
        <v>314</v>
      </c>
      <c r="B775" s="5">
        <v>54</v>
      </c>
      <c r="C775" s="6">
        <v>41214</v>
      </c>
      <c r="D775" s="5" t="s">
        <v>32</v>
      </c>
      <c r="E775" s="5" t="s">
        <v>17</v>
      </c>
      <c r="F775" s="5">
        <v>15</v>
      </c>
      <c r="G775" s="5" t="s">
        <v>33</v>
      </c>
      <c r="H775" s="5" t="s">
        <v>34</v>
      </c>
      <c r="I775" s="5" t="s">
        <v>46</v>
      </c>
      <c r="J775" s="5">
        <v>51</v>
      </c>
      <c r="K775" s="5">
        <v>132</v>
      </c>
      <c r="L775" s="5" t="s">
        <v>51</v>
      </c>
      <c r="M775" s="5">
        <v>60</v>
      </c>
      <c r="N775" s="5">
        <v>80</v>
      </c>
      <c r="O775" s="5">
        <v>160</v>
      </c>
      <c r="P775" s="5">
        <v>27</v>
      </c>
      <c r="Q775">
        <f>SUM([1]!Table1[[#This Row],[Sales]])</f>
        <v>132</v>
      </c>
      <c r="R775">
        <f>SUM([1]!Table1[[#This Row],[Profit]])</f>
        <v>51</v>
      </c>
      <c r="S775" s="7">
        <f t="shared" si="96"/>
        <v>0.38636363636363635</v>
      </c>
      <c r="T775">
        <f t="shared" si="97"/>
        <v>15</v>
      </c>
      <c r="U775">
        <f t="shared" si="98"/>
        <v>-28</v>
      </c>
      <c r="V775">
        <f t="shared" si="99"/>
        <v>-6</v>
      </c>
      <c r="W775">
        <f t="shared" si="100"/>
        <v>3.4</v>
      </c>
      <c r="X775" t="str">
        <f t="shared" si="101"/>
        <v>Low Profit</v>
      </c>
      <c r="Y775">
        <f t="shared" si="102"/>
        <v>54</v>
      </c>
      <c r="Z775">
        <f t="shared" si="103"/>
        <v>132</v>
      </c>
    </row>
    <row r="776" spans="1:26">
      <c r="A776" s="3">
        <v>920</v>
      </c>
      <c r="B776" s="3">
        <v>75</v>
      </c>
      <c r="C776" s="4">
        <v>41214</v>
      </c>
      <c r="D776" s="3" t="s">
        <v>32</v>
      </c>
      <c r="E776" s="3" t="s">
        <v>17</v>
      </c>
      <c r="F776" s="3">
        <v>23</v>
      </c>
      <c r="G776" s="3" t="s">
        <v>33</v>
      </c>
      <c r="H776" s="3" t="s">
        <v>34</v>
      </c>
      <c r="I776" s="3" t="s">
        <v>46</v>
      </c>
      <c r="J776" s="3">
        <v>45</v>
      </c>
      <c r="K776" s="3">
        <v>164</v>
      </c>
      <c r="L776" s="3" t="s">
        <v>52</v>
      </c>
      <c r="M776" s="3">
        <v>90</v>
      </c>
      <c r="N776" s="3">
        <v>70</v>
      </c>
      <c r="O776" s="3">
        <v>200</v>
      </c>
      <c r="P776" s="3">
        <v>44</v>
      </c>
      <c r="Q776">
        <f>SUM([1]!Table1[[#This Row],[Sales]])</f>
        <v>164</v>
      </c>
      <c r="R776">
        <f>SUM([1]!Table1[[#This Row],[Profit]])</f>
        <v>45</v>
      </c>
      <c r="S776" s="7">
        <f t="shared" si="96"/>
        <v>0.27439024390243905</v>
      </c>
      <c r="T776">
        <f t="shared" si="97"/>
        <v>23</v>
      </c>
      <c r="U776">
        <f t="shared" si="98"/>
        <v>-36</v>
      </c>
      <c r="V776">
        <f t="shared" si="99"/>
        <v>-15</v>
      </c>
      <c r="W776">
        <f t="shared" si="100"/>
        <v>1.9565217391304348</v>
      </c>
      <c r="X776" t="str">
        <f t="shared" si="101"/>
        <v>Low Profit</v>
      </c>
      <c r="Y776">
        <f t="shared" si="102"/>
        <v>75</v>
      </c>
      <c r="Z776">
        <f t="shared" si="103"/>
        <v>164</v>
      </c>
    </row>
    <row r="777" spans="1:26">
      <c r="A777" s="5">
        <v>712</v>
      </c>
      <c r="B777" s="5">
        <v>228</v>
      </c>
      <c r="C777" s="6">
        <v>41214</v>
      </c>
      <c r="D777" s="5" t="s">
        <v>32</v>
      </c>
      <c r="E777" s="5" t="s">
        <v>17</v>
      </c>
      <c r="F777" s="5">
        <v>75</v>
      </c>
      <c r="G777" s="5" t="s">
        <v>18</v>
      </c>
      <c r="H777" s="5" t="s">
        <v>19</v>
      </c>
      <c r="I777" s="5" t="s">
        <v>50</v>
      </c>
      <c r="J777" s="5">
        <v>196</v>
      </c>
      <c r="K777" s="5">
        <v>532</v>
      </c>
      <c r="L777" s="5" t="s">
        <v>36</v>
      </c>
      <c r="M777" s="5">
        <v>210</v>
      </c>
      <c r="N777" s="5">
        <v>180</v>
      </c>
      <c r="O777" s="5">
        <v>490</v>
      </c>
      <c r="P777" s="5">
        <v>108</v>
      </c>
      <c r="Q777">
        <f>SUM([1]!Table1[[#This Row],[Sales]])</f>
        <v>532</v>
      </c>
      <c r="R777">
        <f>SUM([1]!Table1[[#This Row],[Profit]])</f>
        <v>196</v>
      </c>
      <c r="S777" s="7">
        <f t="shared" si="96"/>
        <v>0.36842105263157893</v>
      </c>
      <c r="T777">
        <f t="shared" si="97"/>
        <v>75</v>
      </c>
      <c r="U777">
        <f t="shared" si="98"/>
        <v>42</v>
      </c>
      <c r="V777">
        <f t="shared" si="99"/>
        <v>18</v>
      </c>
      <c r="W777">
        <f t="shared" si="100"/>
        <v>2.6133333333333333</v>
      </c>
      <c r="X777" t="str">
        <f t="shared" si="101"/>
        <v>High Profit</v>
      </c>
      <c r="Y777">
        <f t="shared" si="102"/>
        <v>228</v>
      </c>
      <c r="Z777">
        <f t="shared" si="103"/>
        <v>532</v>
      </c>
    </row>
    <row r="778" spans="1:26">
      <c r="A778" s="3">
        <v>712</v>
      </c>
      <c r="B778" s="3">
        <v>113</v>
      </c>
      <c r="C778" s="4">
        <v>41214</v>
      </c>
      <c r="D778" s="3" t="s">
        <v>32</v>
      </c>
      <c r="E778" s="3" t="s">
        <v>17</v>
      </c>
      <c r="F778" s="3">
        <v>36</v>
      </c>
      <c r="G778" s="3" t="s">
        <v>18</v>
      </c>
      <c r="H778" s="3" t="s">
        <v>19</v>
      </c>
      <c r="I778" s="3" t="s">
        <v>20</v>
      </c>
      <c r="J778" s="3">
        <v>107</v>
      </c>
      <c r="K778" s="3">
        <v>278</v>
      </c>
      <c r="L778" s="3" t="s">
        <v>36</v>
      </c>
      <c r="M778" s="3">
        <v>100</v>
      </c>
      <c r="N778" s="3">
        <v>100</v>
      </c>
      <c r="O778" s="3">
        <v>250</v>
      </c>
      <c r="P778" s="3">
        <v>58</v>
      </c>
      <c r="Q778">
        <f>SUM([1]!Table1[[#This Row],[Sales]])</f>
        <v>278</v>
      </c>
      <c r="R778">
        <f>SUM([1]!Table1[[#This Row],[Profit]])</f>
        <v>107</v>
      </c>
      <c r="S778" s="7">
        <f t="shared" si="96"/>
        <v>0.38489208633093525</v>
      </c>
      <c r="T778">
        <f t="shared" si="97"/>
        <v>36</v>
      </c>
      <c r="U778">
        <f t="shared" si="98"/>
        <v>28</v>
      </c>
      <c r="V778">
        <f t="shared" si="99"/>
        <v>13</v>
      </c>
      <c r="W778">
        <f t="shared" si="100"/>
        <v>2.9722222222222223</v>
      </c>
      <c r="X778" t="str">
        <f t="shared" si="101"/>
        <v>High Profit</v>
      </c>
      <c r="Y778">
        <f t="shared" si="102"/>
        <v>113</v>
      </c>
      <c r="Z778">
        <f t="shared" si="103"/>
        <v>278</v>
      </c>
    </row>
    <row r="779" spans="1:26">
      <c r="A779" s="5">
        <v>712</v>
      </c>
      <c r="B779" s="5">
        <v>211</v>
      </c>
      <c r="C779" s="6">
        <v>41214</v>
      </c>
      <c r="D779" s="5" t="s">
        <v>32</v>
      </c>
      <c r="E779" s="5" t="s">
        <v>17</v>
      </c>
      <c r="F779" s="5">
        <v>59</v>
      </c>
      <c r="G779" s="5" t="s">
        <v>18</v>
      </c>
      <c r="H779" s="5" t="s">
        <v>26</v>
      </c>
      <c r="I779" s="5" t="s">
        <v>27</v>
      </c>
      <c r="J779" s="5">
        <v>129</v>
      </c>
      <c r="K779" s="5">
        <v>423</v>
      </c>
      <c r="L779" s="5" t="s">
        <v>36</v>
      </c>
      <c r="M779" s="5">
        <v>170</v>
      </c>
      <c r="N779" s="5">
        <v>110</v>
      </c>
      <c r="O779" s="5">
        <v>350</v>
      </c>
      <c r="P779" s="5">
        <v>83</v>
      </c>
      <c r="Q779">
        <f>SUM([1]!Table1[[#This Row],[Sales]])</f>
        <v>423</v>
      </c>
      <c r="R779">
        <f>SUM([1]!Table1[[#This Row],[Profit]])</f>
        <v>129</v>
      </c>
      <c r="S779" s="7">
        <f t="shared" si="96"/>
        <v>0.30496453900709219</v>
      </c>
      <c r="T779">
        <f t="shared" si="97"/>
        <v>59</v>
      </c>
      <c r="U779">
        <f t="shared" si="98"/>
        <v>73</v>
      </c>
      <c r="V779">
        <f t="shared" si="99"/>
        <v>41</v>
      </c>
      <c r="W779">
        <f t="shared" si="100"/>
        <v>2.1864406779661016</v>
      </c>
      <c r="X779" t="str">
        <f t="shared" si="101"/>
        <v>High Profit</v>
      </c>
      <c r="Y779">
        <f t="shared" si="102"/>
        <v>211</v>
      </c>
      <c r="Z779">
        <f t="shared" si="103"/>
        <v>423</v>
      </c>
    </row>
    <row r="780" spans="1:26">
      <c r="A780" s="3">
        <v>319</v>
      </c>
      <c r="B780" s="3">
        <v>245</v>
      </c>
      <c r="C780" s="4">
        <v>41214</v>
      </c>
      <c r="D780" s="3" t="s">
        <v>32</v>
      </c>
      <c r="E780" s="3" t="s">
        <v>17</v>
      </c>
      <c r="F780" s="3">
        <v>93</v>
      </c>
      <c r="G780" s="3" t="s">
        <v>18</v>
      </c>
      <c r="H780" s="3" t="s">
        <v>26</v>
      </c>
      <c r="I780" s="3" t="s">
        <v>54</v>
      </c>
      <c r="J780" s="3">
        <v>173</v>
      </c>
      <c r="K780" s="3">
        <v>545</v>
      </c>
      <c r="L780" s="3" t="s">
        <v>36</v>
      </c>
      <c r="M780" s="3">
        <v>200</v>
      </c>
      <c r="N780" s="3">
        <v>130</v>
      </c>
      <c r="O780" s="3">
        <v>450</v>
      </c>
      <c r="P780" s="3">
        <v>127</v>
      </c>
      <c r="Q780">
        <f>SUM([1]!Table1[[#This Row],[Sales]])</f>
        <v>545</v>
      </c>
      <c r="R780">
        <f>SUM([1]!Table1[[#This Row],[Profit]])</f>
        <v>173</v>
      </c>
      <c r="S780" s="7">
        <f t="shared" si="96"/>
        <v>0.31743119266055048</v>
      </c>
      <c r="T780">
        <f t="shared" si="97"/>
        <v>93</v>
      </c>
      <c r="U780">
        <f t="shared" si="98"/>
        <v>95</v>
      </c>
      <c r="V780">
        <f t="shared" si="99"/>
        <v>45</v>
      </c>
      <c r="W780">
        <f t="shared" si="100"/>
        <v>1.8602150537634408</v>
      </c>
      <c r="X780" t="str">
        <f t="shared" si="101"/>
        <v>High Profit</v>
      </c>
      <c r="Y780">
        <f t="shared" si="102"/>
        <v>245</v>
      </c>
      <c r="Z780">
        <f t="shared" si="103"/>
        <v>545</v>
      </c>
    </row>
    <row r="781" spans="1:26">
      <c r="A781" s="5">
        <v>720</v>
      </c>
      <c r="B781" s="5">
        <v>86</v>
      </c>
      <c r="C781" s="6">
        <v>41244</v>
      </c>
      <c r="D781" s="5" t="s">
        <v>16</v>
      </c>
      <c r="E781" s="5" t="s">
        <v>17</v>
      </c>
      <c r="F781" s="5">
        <v>24</v>
      </c>
      <c r="G781" s="5" t="s">
        <v>33</v>
      </c>
      <c r="H781" s="5" t="s">
        <v>38</v>
      </c>
      <c r="I781" s="5" t="s">
        <v>39</v>
      </c>
      <c r="J781" s="5">
        <v>88</v>
      </c>
      <c r="K781" s="5">
        <v>210</v>
      </c>
      <c r="L781" s="5" t="s">
        <v>21</v>
      </c>
      <c r="M781" s="5">
        <v>80</v>
      </c>
      <c r="N781" s="5">
        <v>90</v>
      </c>
      <c r="O781" s="5">
        <v>200</v>
      </c>
      <c r="P781" s="5">
        <v>36</v>
      </c>
      <c r="Q781">
        <f>SUM([1]!Table1[[#This Row],[Sales]])</f>
        <v>210</v>
      </c>
      <c r="R781">
        <f>SUM([1]!Table1[[#This Row],[Profit]])</f>
        <v>88</v>
      </c>
      <c r="S781" s="7">
        <f t="shared" si="96"/>
        <v>0.41904761904761906</v>
      </c>
      <c r="T781">
        <f t="shared" si="97"/>
        <v>24</v>
      </c>
      <c r="U781">
        <f t="shared" si="98"/>
        <v>10</v>
      </c>
      <c r="V781">
        <f t="shared" si="99"/>
        <v>6</v>
      </c>
      <c r="W781">
        <f t="shared" si="100"/>
        <v>3.6666666666666665</v>
      </c>
      <c r="X781" t="str">
        <f t="shared" si="101"/>
        <v>Low Profit</v>
      </c>
      <c r="Y781">
        <f t="shared" si="102"/>
        <v>86</v>
      </c>
      <c r="Z781">
        <f t="shared" si="103"/>
        <v>210</v>
      </c>
    </row>
    <row r="782" spans="1:26">
      <c r="A782" s="3">
        <v>630</v>
      </c>
      <c r="B782" s="3">
        <v>127</v>
      </c>
      <c r="C782" s="4">
        <v>41244</v>
      </c>
      <c r="D782" s="3" t="s">
        <v>16</v>
      </c>
      <c r="E782" s="3" t="s">
        <v>17</v>
      </c>
      <c r="F782" s="3">
        <v>40</v>
      </c>
      <c r="G782" s="3" t="s">
        <v>33</v>
      </c>
      <c r="H782" s="3" t="s">
        <v>38</v>
      </c>
      <c r="I782" s="3" t="s">
        <v>39</v>
      </c>
      <c r="J782" s="3">
        <v>122</v>
      </c>
      <c r="K782" s="3">
        <v>312</v>
      </c>
      <c r="L782" s="3" t="s">
        <v>56</v>
      </c>
      <c r="M782" s="3">
        <v>120</v>
      </c>
      <c r="N782" s="3">
        <v>130</v>
      </c>
      <c r="O782" s="3">
        <v>300</v>
      </c>
      <c r="P782" s="3">
        <v>63</v>
      </c>
      <c r="Q782">
        <f>SUM([1]!Table1[[#This Row],[Sales]])</f>
        <v>312</v>
      </c>
      <c r="R782">
        <f>SUM([1]!Table1[[#This Row],[Profit]])</f>
        <v>122</v>
      </c>
      <c r="S782" s="7">
        <f t="shared" si="96"/>
        <v>0.39102564102564102</v>
      </c>
      <c r="T782">
        <f t="shared" si="97"/>
        <v>40</v>
      </c>
      <c r="U782">
        <f t="shared" si="98"/>
        <v>12</v>
      </c>
      <c r="V782">
        <f t="shared" si="99"/>
        <v>7</v>
      </c>
      <c r="W782">
        <f t="shared" si="100"/>
        <v>3.05</v>
      </c>
      <c r="X782" t="str">
        <f t="shared" si="101"/>
        <v>High Profit</v>
      </c>
      <c r="Y782">
        <f t="shared" si="102"/>
        <v>127</v>
      </c>
      <c r="Z782">
        <f t="shared" si="103"/>
        <v>312</v>
      </c>
    </row>
    <row r="783" spans="1:26">
      <c r="A783" s="5">
        <v>970</v>
      </c>
      <c r="B783" s="5">
        <v>67</v>
      </c>
      <c r="C783" s="6">
        <v>41244</v>
      </c>
      <c r="D783" s="5" t="s">
        <v>16</v>
      </c>
      <c r="E783" s="5" t="s">
        <v>17</v>
      </c>
      <c r="F783" s="5">
        <v>22</v>
      </c>
      <c r="G783" s="5" t="s">
        <v>33</v>
      </c>
      <c r="H783" s="5" t="s">
        <v>34</v>
      </c>
      <c r="I783" s="5" t="s">
        <v>35</v>
      </c>
      <c r="J783" s="5">
        <v>47</v>
      </c>
      <c r="K783" s="5">
        <v>168</v>
      </c>
      <c r="L783" s="5" t="s">
        <v>21</v>
      </c>
      <c r="M783" s="5">
        <v>80</v>
      </c>
      <c r="N783" s="5">
        <v>80</v>
      </c>
      <c r="O783" s="5">
        <v>210</v>
      </c>
      <c r="P783" s="5">
        <v>54</v>
      </c>
      <c r="Q783">
        <f>SUM([1]!Table1[[#This Row],[Sales]])</f>
        <v>168</v>
      </c>
      <c r="R783">
        <f>SUM([1]!Table1[[#This Row],[Profit]])</f>
        <v>47</v>
      </c>
      <c r="S783" s="7">
        <f t="shared" si="96"/>
        <v>0.27976190476190477</v>
      </c>
      <c r="T783">
        <f t="shared" si="97"/>
        <v>22</v>
      </c>
      <c r="U783">
        <f t="shared" si="98"/>
        <v>-42</v>
      </c>
      <c r="V783">
        <f t="shared" si="99"/>
        <v>-13</v>
      </c>
      <c r="W783">
        <f t="shared" si="100"/>
        <v>2.1363636363636362</v>
      </c>
      <c r="X783" t="str">
        <f t="shared" si="101"/>
        <v>Low Profit</v>
      </c>
      <c r="Y783">
        <f t="shared" si="102"/>
        <v>67</v>
      </c>
      <c r="Z783">
        <f t="shared" si="103"/>
        <v>168</v>
      </c>
    </row>
    <row r="784" spans="1:26">
      <c r="A784" s="3">
        <v>630</v>
      </c>
      <c r="B784" s="3">
        <v>250</v>
      </c>
      <c r="C784" s="4">
        <v>41244</v>
      </c>
      <c r="D784" s="3" t="s">
        <v>16</v>
      </c>
      <c r="E784" s="3" t="s">
        <v>17</v>
      </c>
      <c r="F784" s="3">
        <v>70</v>
      </c>
      <c r="G784" s="3" t="s">
        <v>33</v>
      </c>
      <c r="H784" s="3" t="s">
        <v>34</v>
      </c>
      <c r="I784" s="3" t="s">
        <v>35</v>
      </c>
      <c r="J784" s="3">
        <v>157</v>
      </c>
      <c r="K784" s="3">
        <v>501</v>
      </c>
      <c r="L784" s="3" t="s">
        <v>56</v>
      </c>
      <c r="M784" s="3">
        <v>320</v>
      </c>
      <c r="N784" s="3">
        <v>240</v>
      </c>
      <c r="O784" s="3">
        <v>640</v>
      </c>
      <c r="P784" s="3">
        <v>94</v>
      </c>
      <c r="Q784">
        <f>SUM([1]!Table1[[#This Row],[Sales]])</f>
        <v>501</v>
      </c>
      <c r="R784">
        <f>SUM([1]!Table1[[#This Row],[Profit]])</f>
        <v>157</v>
      </c>
      <c r="S784" s="7">
        <f t="shared" si="96"/>
        <v>0.31337325349301398</v>
      </c>
      <c r="T784">
        <f t="shared" si="97"/>
        <v>70</v>
      </c>
      <c r="U784">
        <f t="shared" si="98"/>
        <v>-139</v>
      </c>
      <c r="V784">
        <f t="shared" si="99"/>
        <v>-70</v>
      </c>
      <c r="W784">
        <f t="shared" si="100"/>
        <v>2.2428571428571429</v>
      </c>
      <c r="X784" t="str">
        <f t="shared" si="101"/>
        <v>High Profit</v>
      </c>
      <c r="Y784">
        <f t="shared" si="102"/>
        <v>250</v>
      </c>
      <c r="Z784">
        <f t="shared" si="103"/>
        <v>501</v>
      </c>
    </row>
    <row r="785" spans="1:26">
      <c r="A785" s="5">
        <v>719</v>
      </c>
      <c r="B785" s="5">
        <v>123</v>
      </c>
      <c r="C785" s="6">
        <v>41244</v>
      </c>
      <c r="D785" s="5" t="s">
        <v>16</v>
      </c>
      <c r="E785" s="5" t="s">
        <v>17</v>
      </c>
      <c r="F785" s="5">
        <v>34</v>
      </c>
      <c r="G785" s="5" t="s">
        <v>33</v>
      </c>
      <c r="H785" s="5" t="s">
        <v>38</v>
      </c>
      <c r="I785" s="5" t="s">
        <v>43</v>
      </c>
      <c r="J785" s="5">
        <v>134</v>
      </c>
      <c r="K785" s="5">
        <v>302</v>
      </c>
      <c r="L785" s="5" t="s">
        <v>21</v>
      </c>
      <c r="M785" s="5">
        <v>120</v>
      </c>
      <c r="N785" s="5">
        <v>130</v>
      </c>
      <c r="O785" s="5">
        <v>290</v>
      </c>
      <c r="P785" s="5">
        <v>45</v>
      </c>
      <c r="Q785">
        <f>SUM([1]!Table1[[#This Row],[Sales]])</f>
        <v>302</v>
      </c>
      <c r="R785">
        <f>SUM([1]!Table1[[#This Row],[Profit]])</f>
        <v>134</v>
      </c>
      <c r="S785" s="7">
        <f t="shared" si="96"/>
        <v>0.44370860927152317</v>
      </c>
      <c r="T785">
        <f t="shared" si="97"/>
        <v>34</v>
      </c>
      <c r="U785">
        <f t="shared" si="98"/>
        <v>12</v>
      </c>
      <c r="V785">
        <f t="shared" si="99"/>
        <v>3</v>
      </c>
      <c r="W785">
        <f t="shared" si="100"/>
        <v>3.9411764705882355</v>
      </c>
      <c r="X785" t="str">
        <f t="shared" si="101"/>
        <v>High Profit</v>
      </c>
      <c r="Y785">
        <f t="shared" si="102"/>
        <v>123</v>
      </c>
      <c r="Z785">
        <f t="shared" si="103"/>
        <v>302</v>
      </c>
    </row>
    <row r="786" spans="1:26">
      <c r="A786" s="3">
        <v>847</v>
      </c>
      <c r="B786" s="3">
        <v>224</v>
      </c>
      <c r="C786" s="4">
        <v>41244</v>
      </c>
      <c r="D786" s="3" t="s">
        <v>16</v>
      </c>
      <c r="E786" s="3" t="s">
        <v>17</v>
      </c>
      <c r="F786" s="3">
        <v>73</v>
      </c>
      <c r="G786" s="3" t="s">
        <v>33</v>
      </c>
      <c r="H786" s="3" t="s">
        <v>38</v>
      </c>
      <c r="I786" s="3" t="s">
        <v>45</v>
      </c>
      <c r="J786" s="3">
        <v>194</v>
      </c>
      <c r="K786" s="3">
        <v>534</v>
      </c>
      <c r="L786" s="3" t="s">
        <v>56</v>
      </c>
      <c r="M786" s="3">
        <v>220</v>
      </c>
      <c r="N786" s="3">
        <v>190</v>
      </c>
      <c r="O786" s="3">
        <v>520</v>
      </c>
      <c r="P786" s="3">
        <v>116</v>
      </c>
      <c r="Q786">
        <f>SUM([1]!Table1[[#This Row],[Sales]])</f>
        <v>534</v>
      </c>
      <c r="R786">
        <f>SUM([1]!Table1[[#This Row],[Profit]])</f>
        <v>194</v>
      </c>
      <c r="S786" s="7">
        <f t="shared" si="96"/>
        <v>0.36329588014981273</v>
      </c>
      <c r="T786">
        <f t="shared" si="97"/>
        <v>73</v>
      </c>
      <c r="U786">
        <f t="shared" si="98"/>
        <v>14</v>
      </c>
      <c r="V786">
        <f t="shared" si="99"/>
        <v>4</v>
      </c>
      <c r="W786">
        <f t="shared" si="100"/>
        <v>2.6575342465753424</v>
      </c>
      <c r="X786" t="str">
        <f t="shared" si="101"/>
        <v>High Profit</v>
      </c>
      <c r="Y786">
        <f t="shared" si="102"/>
        <v>224</v>
      </c>
      <c r="Z786">
        <f t="shared" si="103"/>
        <v>534</v>
      </c>
    </row>
    <row r="787" spans="1:26">
      <c r="A787" s="5">
        <v>970</v>
      </c>
      <c r="B787" s="5">
        <v>54</v>
      </c>
      <c r="C787" s="6">
        <v>41244</v>
      </c>
      <c r="D787" s="5" t="s">
        <v>16</v>
      </c>
      <c r="E787" s="5" t="s">
        <v>17</v>
      </c>
      <c r="F787" s="5">
        <v>15</v>
      </c>
      <c r="G787" s="5" t="s">
        <v>33</v>
      </c>
      <c r="H787" s="5" t="s">
        <v>34</v>
      </c>
      <c r="I787" s="5" t="s">
        <v>46</v>
      </c>
      <c r="J787" s="5">
        <v>53</v>
      </c>
      <c r="K787" s="5">
        <v>133</v>
      </c>
      <c r="L787" s="5" t="s">
        <v>21</v>
      </c>
      <c r="M787" s="5">
        <v>60</v>
      </c>
      <c r="N787" s="5">
        <v>90</v>
      </c>
      <c r="O787" s="5">
        <v>170</v>
      </c>
      <c r="P787" s="5">
        <v>26</v>
      </c>
      <c r="Q787">
        <f>SUM([1]!Table1[[#This Row],[Sales]])</f>
        <v>133</v>
      </c>
      <c r="R787">
        <f>SUM([1]!Table1[[#This Row],[Profit]])</f>
        <v>53</v>
      </c>
      <c r="S787" s="7">
        <f t="shared" si="96"/>
        <v>0.39849624060150374</v>
      </c>
      <c r="T787">
        <f t="shared" si="97"/>
        <v>15</v>
      </c>
      <c r="U787">
        <f t="shared" si="98"/>
        <v>-37</v>
      </c>
      <c r="V787">
        <f t="shared" si="99"/>
        <v>-6</v>
      </c>
      <c r="W787">
        <f t="shared" si="100"/>
        <v>3.5333333333333332</v>
      </c>
      <c r="X787" t="str">
        <f t="shared" si="101"/>
        <v>Low Profit</v>
      </c>
      <c r="Y787">
        <f t="shared" si="102"/>
        <v>54</v>
      </c>
      <c r="Z787">
        <f t="shared" si="103"/>
        <v>133</v>
      </c>
    </row>
    <row r="788" spans="1:26">
      <c r="A788" s="3">
        <v>815</v>
      </c>
      <c r="B788" s="3">
        <v>247</v>
      </c>
      <c r="C788" s="4">
        <v>41244</v>
      </c>
      <c r="D788" s="3" t="s">
        <v>16</v>
      </c>
      <c r="E788" s="3" t="s">
        <v>17</v>
      </c>
      <c r="F788" s="3">
        <v>81</v>
      </c>
      <c r="G788" s="3" t="s">
        <v>33</v>
      </c>
      <c r="H788" s="3" t="s">
        <v>34</v>
      </c>
      <c r="I788" s="3" t="s">
        <v>46</v>
      </c>
      <c r="J788" s="3">
        <v>216</v>
      </c>
      <c r="K788" s="3">
        <v>576</v>
      </c>
      <c r="L788" s="3" t="s">
        <v>56</v>
      </c>
      <c r="M788" s="3">
        <v>310</v>
      </c>
      <c r="N788" s="3">
        <v>320</v>
      </c>
      <c r="O788" s="3">
        <v>730</v>
      </c>
      <c r="P788" s="3">
        <v>113</v>
      </c>
      <c r="Q788">
        <f>SUM([1]!Table1[[#This Row],[Sales]])</f>
        <v>576</v>
      </c>
      <c r="R788">
        <f>SUM([1]!Table1[[#This Row],[Profit]])</f>
        <v>216</v>
      </c>
      <c r="S788" s="7">
        <f t="shared" si="96"/>
        <v>0.375</v>
      </c>
      <c r="T788">
        <f t="shared" si="97"/>
        <v>81</v>
      </c>
      <c r="U788">
        <f t="shared" si="98"/>
        <v>-154</v>
      </c>
      <c r="V788">
        <f t="shared" si="99"/>
        <v>-63</v>
      </c>
      <c r="W788">
        <f t="shared" si="100"/>
        <v>2.6666666666666665</v>
      </c>
      <c r="X788" t="str">
        <f t="shared" si="101"/>
        <v>High Profit</v>
      </c>
      <c r="Y788">
        <f t="shared" si="102"/>
        <v>247</v>
      </c>
      <c r="Z788">
        <f t="shared" si="103"/>
        <v>576</v>
      </c>
    </row>
    <row r="789" spans="1:26">
      <c r="A789" s="5">
        <v>740</v>
      </c>
      <c r="B789" s="5">
        <v>153</v>
      </c>
      <c r="C789" s="6">
        <v>41244</v>
      </c>
      <c r="D789" s="5" t="s">
        <v>16</v>
      </c>
      <c r="E789" s="5" t="s">
        <v>17</v>
      </c>
      <c r="F789" s="5">
        <v>42</v>
      </c>
      <c r="G789" s="5" t="s">
        <v>33</v>
      </c>
      <c r="H789" s="5" t="s">
        <v>34</v>
      </c>
      <c r="I789" s="5" t="s">
        <v>46</v>
      </c>
      <c r="J789" s="5">
        <v>87</v>
      </c>
      <c r="K789" s="5">
        <v>306</v>
      </c>
      <c r="L789" s="5" t="s">
        <v>58</v>
      </c>
      <c r="M789" s="5">
        <v>190</v>
      </c>
      <c r="N789" s="5">
        <v>140</v>
      </c>
      <c r="O789" s="5">
        <v>390</v>
      </c>
      <c r="P789" s="5">
        <v>66</v>
      </c>
      <c r="Q789">
        <f>SUM([1]!Table1[[#This Row],[Sales]])</f>
        <v>306</v>
      </c>
      <c r="R789">
        <f>SUM([1]!Table1[[#This Row],[Profit]])</f>
        <v>87</v>
      </c>
      <c r="S789" s="7">
        <f t="shared" si="96"/>
        <v>0.28431372549019607</v>
      </c>
      <c r="T789">
        <f t="shared" si="97"/>
        <v>42</v>
      </c>
      <c r="U789">
        <f t="shared" si="98"/>
        <v>-84</v>
      </c>
      <c r="V789">
        <f t="shared" si="99"/>
        <v>-37</v>
      </c>
      <c r="W789">
        <f t="shared" si="100"/>
        <v>2.0714285714285716</v>
      </c>
      <c r="X789" t="str">
        <f t="shared" si="101"/>
        <v>Low Profit</v>
      </c>
      <c r="Y789">
        <f t="shared" si="102"/>
        <v>153</v>
      </c>
      <c r="Z789">
        <f t="shared" si="103"/>
        <v>306</v>
      </c>
    </row>
    <row r="790" spans="1:26">
      <c r="A790" s="3">
        <v>303</v>
      </c>
      <c r="B790" s="3">
        <v>153</v>
      </c>
      <c r="C790" s="4">
        <v>41244</v>
      </c>
      <c r="D790" s="3" t="s">
        <v>16</v>
      </c>
      <c r="E790" s="3" t="s">
        <v>17</v>
      </c>
      <c r="F790" s="3">
        <v>42</v>
      </c>
      <c r="G790" s="3" t="s">
        <v>18</v>
      </c>
      <c r="H790" s="3" t="s">
        <v>19</v>
      </c>
      <c r="I790" s="3" t="s">
        <v>50</v>
      </c>
      <c r="J790" s="3">
        <v>87</v>
      </c>
      <c r="K790" s="3">
        <v>306</v>
      </c>
      <c r="L790" s="3" t="s">
        <v>21</v>
      </c>
      <c r="M790" s="3">
        <v>140</v>
      </c>
      <c r="N790" s="3">
        <v>80</v>
      </c>
      <c r="O790" s="3">
        <v>280</v>
      </c>
      <c r="P790" s="3">
        <v>66</v>
      </c>
      <c r="Q790">
        <f>SUM([1]!Table1[[#This Row],[Sales]])</f>
        <v>306</v>
      </c>
      <c r="R790">
        <f>SUM([1]!Table1[[#This Row],[Profit]])</f>
        <v>87</v>
      </c>
      <c r="S790" s="7">
        <f t="shared" si="96"/>
        <v>0.28431372549019607</v>
      </c>
      <c r="T790">
        <f t="shared" si="97"/>
        <v>42</v>
      </c>
      <c r="U790">
        <f t="shared" si="98"/>
        <v>26</v>
      </c>
      <c r="V790">
        <f t="shared" si="99"/>
        <v>13</v>
      </c>
      <c r="W790">
        <f t="shared" si="100"/>
        <v>2.0714285714285716</v>
      </c>
      <c r="X790" t="str">
        <f t="shared" si="101"/>
        <v>Low Profit</v>
      </c>
      <c r="Y790">
        <f t="shared" si="102"/>
        <v>153</v>
      </c>
      <c r="Z790">
        <f t="shared" si="103"/>
        <v>306</v>
      </c>
    </row>
    <row r="791" spans="1:26">
      <c r="A791" s="5">
        <v>309</v>
      </c>
      <c r="B791" s="5">
        <v>123</v>
      </c>
      <c r="C791" s="6">
        <v>41244</v>
      </c>
      <c r="D791" s="5" t="s">
        <v>16</v>
      </c>
      <c r="E791" s="5" t="s">
        <v>17</v>
      </c>
      <c r="F791" s="5">
        <v>34</v>
      </c>
      <c r="G791" s="5" t="s">
        <v>18</v>
      </c>
      <c r="H791" s="5" t="s">
        <v>19</v>
      </c>
      <c r="I791" s="5" t="s">
        <v>50</v>
      </c>
      <c r="J791" s="5">
        <v>133</v>
      </c>
      <c r="K791" s="5">
        <v>302</v>
      </c>
      <c r="L791" s="5" t="s">
        <v>56</v>
      </c>
      <c r="M791" s="5">
        <v>110</v>
      </c>
      <c r="N791" s="5">
        <v>130</v>
      </c>
      <c r="O791" s="5">
        <v>280</v>
      </c>
      <c r="P791" s="5">
        <v>46</v>
      </c>
      <c r="Q791">
        <f>SUM([1]!Table1[[#This Row],[Sales]])</f>
        <v>302</v>
      </c>
      <c r="R791">
        <f>SUM([1]!Table1[[#This Row],[Profit]])</f>
        <v>133</v>
      </c>
      <c r="S791" s="7">
        <f t="shared" si="96"/>
        <v>0.44039735099337746</v>
      </c>
      <c r="T791">
        <f t="shared" si="97"/>
        <v>34</v>
      </c>
      <c r="U791">
        <f t="shared" si="98"/>
        <v>22</v>
      </c>
      <c r="V791">
        <f t="shared" si="99"/>
        <v>13</v>
      </c>
      <c r="W791">
        <f t="shared" si="100"/>
        <v>3.9117647058823528</v>
      </c>
      <c r="X791" t="str">
        <f t="shared" si="101"/>
        <v>High Profit</v>
      </c>
      <c r="Y791">
        <f t="shared" si="102"/>
        <v>123</v>
      </c>
      <c r="Z791">
        <f t="shared" si="103"/>
        <v>302</v>
      </c>
    </row>
    <row r="792" spans="1:26">
      <c r="A792" s="3">
        <v>630</v>
      </c>
      <c r="B792" s="3">
        <v>86</v>
      </c>
      <c r="C792" s="4">
        <v>41244</v>
      </c>
      <c r="D792" s="3" t="s">
        <v>16</v>
      </c>
      <c r="E792" s="3" t="s">
        <v>17</v>
      </c>
      <c r="F792" s="3">
        <v>24</v>
      </c>
      <c r="G792" s="3" t="s">
        <v>18</v>
      </c>
      <c r="H792" s="3" t="s">
        <v>19</v>
      </c>
      <c r="I792" s="3" t="s">
        <v>22</v>
      </c>
      <c r="J792" s="3">
        <v>88</v>
      </c>
      <c r="K792" s="3">
        <v>210</v>
      </c>
      <c r="L792" s="3" t="s">
        <v>56</v>
      </c>
      <c r="M792" s="3">
        <v>80</v>
      </c>
      <c r="N792" s="3">
        <v>80</v>
      </c>
      <c r="O792" s="3">
        <v>190</v>
      </c>
      <c r="P792" s="3">
        <v>36</v>
      </c>
      <c r="Q792">
        <f>SUM([1]!Table1[[#This Row],[Sales]])</f>
        <v>210</v>
      </c>
      <c r="R792">
        <f>SUM([1]!Table1[[#This Row],[Profit]])</f>
        <v>88</v>
      </c>
      <c r="S792" s="7">
        <f t="shared" si="96"/>
        <v>0.41904761904761906</v>
      </c>
      <c r="T792">
        <f t="shared" si="97"/>
        <v>24</v>
      </c>
      <c r="U792">
        <f t="shared" si="98"/>
        <v>20</v>
      </c>
      <c r="V792">
        <f t="shared" si="99"/>
        <v>6</v>
      </c>
      <c r="W792">
        <f t="shared" si="100"/>
        <v>3.6666666666666665</v>
      </c>
      <c r="X792" t="str">
        <f t="shared" si="101"/>
        <v>Low Profit</v>
      </c>
      <c r="Y792">
        <f t="shared" si="102"/>
        <v>86</v>
      </c>
      <c r="Z792">
        <f t="shared" si="103"/>
        <v>210</v>
      </c>
    </row>
    <row r="793" spans="1:26">
      <c r="A793" s="5">
        <v>513</v>
      </c>
      <c r="B793" s="5">
        <v>88</v>
      </c>
      <c r="C793" s="6">
        <v>41244</v>
      </c>
      <c r="D793" s="5" t="s">
        <v>16</v>
      </c>
      <c r="E793" s="5" t="s">
        <v>17</v>
      </c>
      <c r="F793" s="5">
        <v>29</v>
      </c>
      <c r="G793" s="5" t="s">
        <v>18</v>
      </c>
      <c r="H793" s="5" t="s">
        <v>26</v>
      </c>
      <c r="I793" s="5" t="s">
        <v>27</v>
      </c>
      <c r="J793" s="5">
        <v>72</v>
      </c>
      <c r="K793" s="5">
        <v>221</v>
      </c>
      <c r="L793" s="5" t="s">
        <v>58</v>
      </c>
      <c r="M793" s="5">
        <v>70</v>
      </c>
      <c r="N793" s="5">
        <v>70</v>
      </c>
      <c r="O793" s="5">
        <v>180</v>
      </c>
      <c r="P793" s="5">
        <v>61</v>
      </c>
      <c r="Q793">
        <f>SUM([1]!Table1[[#This Row],[Sales]])</f>
        <v>221</v>
      </c>
      <c r="R793">
        <f>SUM([1]!Table1[[#This Row],[Profit]])</f>
        <v>72</v>
      </c>
      <c r="S793" s="7">
        <f t="shared" si="96"/>
        <v>0.32579185520361992</v>
      </c>
      <c r="T793">
        <f t="shared" si="97"/>
        <v>29</v>
      </c>
      <c r="U793">
        <f t="shared" si="98"/>
        <v>41</v>
      </c>
      <c r="V793">
        <f t="shared" si="99"/>
        <v>18</v>
      </c>
      <c r="W793">
        <f t="shared" si="100"/>
        <v>2.4827586206896552</v>
      </c>
      <c r="X793" t="str">
        <f t="shared" si="101"/>
        <v>Low Profit</v>
      </c>
      <c r="Y793">
        <f t="shared" si="102"/>
        <v>88</v>
      </c>
      <c r="Z793">
        <f t="shared" si="103"/>
        <v>221</v>
      </c>
    </row>
    <row r="794" spans="1:26">
      <c r="A794" s="3">
        <v>740</v>
      </c>
      <c r="B794" s="3">
        <v>134</v>
      </c>
      <c r="C794" s="4">
        <v>41244</v>
      </c>
      <c r="D794" s="3" t="s">
        <v>16</v>
      </c>
      <c r="E794" s="3" t="s">
        <v>17</v>
      </c>
      <c r="F794" s="3">
        <v>41</v>
      </c>
      <c r="G794" s="3" t="s">
        <v>18</v>
      </c>
      <c r="H794" s="3" t="s">
        <v>26</v>
      </c>
      <c r="I794" s="3" t="s">
        <v>54</v>
      </c>
      <c r="J794" s="3">
        <v>121</v>
      </c>
      <c r="K794" s="3">
        <v>320</v>
      </c>
      <c r="L794" s="3" t="s">
        <v>58</v>
      </c>
      <c r="M794" s="3">
        <v>110</v>
      </c>
      <c r="N794" s="3">
        <v>90</v>
      </c>
      <c r="O794" s="3">
        <v>260</v>
      </c>
      <c r="P794" s="3">
        <v>65</v>
      </c>
      <c r="Q794">
        <f>SUM([1]!Table1[[#This Row],[Sales]])</f>
        <v>320</v>
      </c>
      <c r="R794">
        <f>SUM([1]!Table1[[#This Row],[Profit]])</f>
        <v>121</v>
      </c>
      <c r="S794" s="7">
        <f t="shared" si="96"/>
        <v>0.37812499999999999</v>
      </c>
      <c r="T794">
        <f t="shared" si="97"/>
        <v>41</v>
      </c>
      <c r="U794">
        <f t="shared" si="98"/>
        <v>60</v>
      </c>
      <c r="V794">
        <f t="shared" si="99"/>
        <v>24</v>
      </c>
      <c r="W794">
        <f t="shared" si="100"/>
        <v>2.9512195121951219</v>
      </c>
      <c r="X794" t="str">
        <f t="shared" si="101"/>
        <v>High Profit</v>
      </c>
      <c r="Y794">
        <f t="shared" si="102"/>
        <v>134</v>
      </c>
      <c r="Z794">
        <f t="shared" si="103"/>
        <v>320</v>
      </c>
    </row>
    <row r="795" spans="1:26">
      <c r="A795" s="5">
        <v>719</v>
      </c>
      <c r="B795" s="5">
        <v>81</v>
      </c>
      <c r="C795" s="6">
        <v>41244</v>
      </c>
      <c r="D795" s="5" t="s">
        <v>16</v>
      </c>
      <c r="E795" s="5" t="s">
        <v>17</v>
      </c>
      <c r="F795" s="5">
        <v>26</v>
      </c>
      <c r="G795" s="5" t="s">
        <v>18</v>
      </c>
      <c r="H795" s="5" t="s">
        <v>26</v>
      </c>
      <c r="I795" s="5" t="s">
        <v>30</v>
      </c>
      <c r="J795" s="5">
        <v>66</v>
      </c>
      <c r="K795" s="5">
        <v>185</v>
      </c>
      <c r="L795" s="5" t="s">
        <v>21</v>
      </c>
      <c r="M795" s="5">
        <v>60</v>
      </c>
      <c r="N795" s="5">
        <v>60</v>
      </c>
      <c r="O795" s="5">
        <v>150</v>
      </c>
      <c r="P795" s="5">
        <v>38</v>
      </c>
      <c r="Q795">
        <f>SUM([1]!Table1[[#This Row],[Sales]])</f>
        <v>185</v>
      </c>
      <c r="R795">
        <f>SUM([1]!Table1[[#This Row],[Profit]])</f>
        <v>66</v>
      </c>
      <c r="S795" s="7">
        <f t="shared" si="96"/>
        <v>0.35675675675675678</v>
      </c>
      <c r="T795">
        <f t="shared" si="97"/>
        <v>26</v>
      </c>
      <c r="U795">
        <f t="shared" si="98"/>
        <v>35</v>
      </c>
      <c r="V795">
        <f t="shared" si="99"/>
        <v>21</v>
      </c>
      <c r="W795">
        <f t="shared" si="100"/>
        <v>2.5384615384615383</v>
      </c>
      <c r="X795" t="str">
        <f t="shared" si="101"/>
        <v>Low Profit</v>
      </c>
      <c r="Y795">
        <f t="shared" si="102"/>
        <v>81</v>
      </c>
      <c r="Z795">
        <f t="shared" si="103"/>
        <v>185</v>
      </c>
    </row>
    <row r="796" spans="1:26">
      <c r="A796" s="3">
        <v>319</v>
      </c>
      <c r="B796" s="3">
        <v>10</v>
      </c>
      <c r="C796" s="4">
        <v>41244</v>
      </c>
      <c r="D796" s="3" t="s">
        <v>32</v>
      </c>
      <c r="E796" s="3" t="s">
        <v>17</v>
      </c>
      <c r="F796" s="3">
        <v>3</v>
      </c>
      <c r="G796" s="3" t="s">
        <v>33</v>
      </c>
      <c r="H796" s="3" t="s">
        <v>38</v>
      </c>
      <c r="I796" s="3" t="s">
        <v>39</v>
      </c>
      <c r="J796" s="3">
        <v>-1</v>
      </c>
      <c r="K796" s="3">
        <v>24</v>
      </c>
      <c r="L796" s="3" t="s">
        <v>36</v>
      </c>
      <c r="M796" s="3">
        <v>0</v>
      </c>
      <c r="N796" s="3">
        <v>10</v>
      </c>
      <c r="O796" s="3">
        <v>20</v>
      </c>
      <c r="P796" s="3">
        <v>15</v>
      </c>
      <c r="Q796">
        <f>SUM([1]!Table1[[#This Row],[Sales]])</f>
        <v>24</v>
      </c>
      <c r="R796">
        <f>SUM([1]!Table1[[#This Row],[Profit]])</f>
        <v>-1</v>
      </c>
      <c r="S796" s="7">
        <f t="shared" si="96"/>
        <v>-4.1666666666666664E-2</v>
      </c>
      <c r="T796">
        <f t="shared" si="97"/>
        <v>3</v>
      </c>
      <c r="U796">
        <f t="shared" si="98"/>
        <v>4</v>
      </c>
      <c r="V796">
        <f t="shared" si="99"/>
        <v>10</v>
      </c>
      <c r="W796">
        <f t="shared" si="100"/>
        <v>-0.33333333333333331</v>
      </c>
      <c r="X796" t="str">
        <f t="shared" si="101"/>
        <v>Low Profit</v>
      </c>
      <c r="Y796">
        <f t="shared" si="102"/>
        <v>10</v>
      </c>
      <c r="Z796">
        <f t="shared" si="103"/>
        <v>24</v>
      </c>
    </row>
    <row r="797" spans="1:26">
      <c r="A797" s="5">
        <v>715</v>
      </c>
      <c r="B797" s="5">
        <v>83</v>
      </c>
      <c r="C797" s="6">
        <v>41244</v>
      </c>
      <c r="D797" s="5" t="s">
        <v>32</v>
      </c>
      <c r="E797" s="5" t="s">
        <v>17</v>
      </c>
      <c r="F797" s="5">
        <v>27</v>
      </c>
      <c r="G797" s="5" t="s">
        <v>33</v>
      </c>
      <c r="H797" s="5" t="s">
        <v>38</v>
      </c>
      <c r="I797" s="5" t="s">
        <v>39</v>
      </c>
      <c r="J797" s="5">
        <v>57</v>
      </c>
      <c r="K797" s="5">
        <v>195</v>
      </c>
      <c r="L797" s="5" t="s">
        <v>52</v>
      </c>
      <c r="M797" s="5">
        <v>80</v>
      </c>
      <c r="N797" s="5">
        <v>70</v>
      </c>
      <c r="O797" s="5">
        <v>190</v>
      </c>
      <c r="P797" s="5">
        <v>55</v>
      </c>
      <c r="Q797">
        <f>SUM([1]!Table1[[#This Row],[Sales]])</f>
        <v>195</v>
      </c>
      <c r="R797">
        <f>SUM([1]!Table1[[#This Row],[Profit]])</f>
        <v>57</v>
      </c>
      <c r="S797" s="7">
        <f t="shared" si="96"/>
        <v>0.29230769230769232</v>
      </c>
      <c r="T797">
        <f t="shared" si="97"/>
        <v>27</v>
      </c>
      <c r="U797">
        <f t="shared" si="98"/>
        <v>5</v>
      </c>
      <c r="V797">
        <f t="shared" si="99"/>
        <v>3</v>
      </c>
      <c r="W797">
        <f t="shared" si="100"/>
        <v>2.1111111111111112</v>
      </c>
      <c r="X797" t="str">
        <f t="shared" si="101"/>
        <v>Low Profit</v>
      </c>
      <c r="Y797">
        <f t="shared" si="102"/>
        <v>83</v>
      </c>
      <c r="Z797">
        <f t="shared" si="103"/>
        <v>195</v>
      </c>
    </row>
    <row r="798" spans="1:26">
      <c r="A798" s="3">
        <v>573</v>
      </c>
      <c r="B798" s="3">
        <v>68</v>
      </c>
      <c r="C798" s="4">
        <v>41244</v>
      </c>
      <c r="D798" s="3" t="s">
        <v>32</v>
      </c>
      <c r="E798" s="3" t="s">
        <v>17</v>
      </c>
      <c r="F798" s="3">
        <v>25</v>
      </c>
      <c r="G798" s="3" t="s">
        <v>33</v>
      </c>
      <c r="H798" s="3" t="s">
        <v>38</v>
      </c>
      <c r="I798" s="3" t="s">
        <v>45</v>
      </c>
      <c r="J798" s="3">
        <v>26</v>
      </c>
      <c r="K798" s="3">
        <v>153</v>
      </c>
      <c r="L798" s="3" t="s">
        <v>51</v>
      </c>
      <c r="M798" s="3">
        <v>60</v>
      </c>
      <c r="N798" s="3">
        <v>40</v>
      </c>
      <c r="O798" s="3">
        <v>150</v>
      </c>
      <c r="P798" s="3">
        <v>59</v>
      </c>
      <c r="Q798">
        <f>SUM([1]!Table1[[#This Row],[Sales]])</f>
        <v>153</v>
      </c>
      <c r="R798">
        <f>SUM([1]!Table1[[#This Row],[Profit]])</f>
        <v>26</v>
      </c>
      <c r="S798" s="7">
        <f t="shared" si="96"/>
        <v>0.16993464052287582</v>
      </c>
      <c r="T798">
        <f t="shared" si="97"/>
        <v>25</v>
      </c>
      <c r="U798">
        <f t="shared" si="98"/>
        <v>3</v>
      </c>
      <c r="V798">
        <f t="shared" si="99"/>
        <v>8</v>
      </c>
      <c r="W798">
        <f t="shared" si="100"/>
        <v>1.04</v>
      </c>
      <c r="X798" t="str">
        <f t="shared" si="101"/>
        <v>Low Profit</v>
      </c>
      <c r="Y798">
        <f t="shared" si="102"/>
        <v>68</v>
      </c>
      <c r="Z798">
        <f t="shared" si="103"/>
        <v>153</v>
      </c>
    </row>
    <row r="799" spans="1:26">
      <c r="A799" s="5">
        <v>715</v>
      </c>
      <c r="B799" s="5">
        <v>105</v>
      </c>
      <c r="C799" s="6">
        <v>41244</v>
      </c>
      <c r="D799" s="5" t="s">
        <v>32</v>
      </c>
      <c r="E799" s="5" t="s">
        <v>17</v>
      </c>
      <c r="F799" s="5">
        <v>95</v>
      </c>
      <c r="G799" s="5" t="s">
        <v>33</v>
      </c>
      <c r="H799" s="5" t="s">
        <v>38</v>
      </c>
      <c r="I799" s="5" t="s">
        <v>45</v>
      </c>
      <c r="J799" s="5">
        <v>20</v>
      </c>
      <c r="K799" s="5">
        <v>250</v>
      </c>
      <c r="L799" s="5" t="s">
        <v>52</v>
      </c>
      <c r="M799" s="5">
        <v>100</v>
      </c>
      <c r="N799" s="5">
        <v>30</v>
      </c>
      <c r="O799" s="5">
        <v>240</v>
      </c>
      <c r="P799" s="5">
        <v>125</v>
      </c>
      <c r="Q799">
        <f>SUM([1]!Table1[[#This Row],[Sales]])</f>
        <v>250</v>
      </c>
      <c r="R799">
        <f>SUM([1]!Table1[[#This Row],[Profit]])</f>
        <v>20</v>
      </c>
      <c r="S799" s="7">
        <f t="shared" si="96"/>
        <v>0.08</v>
      </c>
      <c r="T799">
        <f t="shared" si="97"/>
        <v>95</v>
      </c>
      <c r="U799">
        <f t="shared" si="98"/>
        <v>10</v>
      </c>
      <c r="V799">
        <f t="shared" si="99"/>
        <v>5</v>
      </c>
      <c r="W799">
        <f t="shared" si="100"/>
        <v>0.21052631578947367</v>
      </c>
      <c r="X799" t="str">
        <f t="shared" si="101"/>
        <v>Low Profit</v>
      </c>
      <c r="Y799">
        <f t="shared" si="102"/>
        <v>105</v>
      </c>
      <c r="Z799">
        <f t="shared" si="103"/>
        <v>250</v>
      </c>
    </row>
    <row r="800" spans="1:26">
      <c r="A800" s="3">
        <v>314</v>
      </c>
      <c r="B800" s="3">
        <v>50</v>
      </c>
      <c r="C800" s="4">
        <v>41244</v>
      </c>
      <c r="D800" s="3" t="s">
        <v>32</v>
      </c>
      <c r="E800" s="3" t="s">
        <v>17</v>
      </c>
      <c r="F800" s="3">
        <v>14</v>
      </c>
      <c r="G800" s="3" t="s">
        <v>33</v>
      </c>
      <c r="H800" s="3" t="s">
        <v>34</v>
      </c>
      <c r="I800" s="3" t="s">
        <v>46</v>
      </c>
      <c r="J800" s="3">
        <v>48</v>
      </c>
      <c r="K800" s="3">
        <v>123</v>
      </c>
      <c r="L800" s="3" t="s">
        <v>51</v>
      </c>
      <c r="M800" s="3">
        <v>60</v>
      </c>
      <c r="N800" s="3">
        <v>70</v>
      </c>
      <c r="O800" s="3">
        <v>150</v>
      </c>
      <c r="P800" s="3">
        <v>25</v>
      </c>
      <c r="Q800">
        <f>SUM([1]!Table1[[#This Row],[Sales]])</f>
        <v>123</v>
      </c>
      <c r="R800">
        <f>SUM([1]!Table1[[#This Row],[Profit]])</f>
        <v>48</v>
      </c>
      <c r="S800" s="7">
        <f t="shared" si="96"/>
        <v>0.3902439024390244</v>
      </c>
      <c r="T800">
        <f t="shared" si="97"/>
        <v>14</v>
      </c>
      <c r="U800">
        <f t="shared" si="98"/>
        <v>-27</v>
      </c>
      <c r="V800">
        <f t="shared" si="99"/>
        <v>-10</v>
      </c>
      <c r="W800">
        <f t="shared" si="100"/>
        <v>3.4285714285714284</v>
      </c>
      <c r="X800" t="str">
        <f t="shared" si="101"/>
        <v>Low Profit</v>
      </c>
      <c r="Y800">
        <f t="shared" si="102"/>
        <v>50</v>
      </c>
      <c r="Z800">
        <f t="shared" si="103"/>
        <v>123</v>
      </c>
    </row>
    <row r="801" spans="1:26">
      <c r="A801" s="5">
        <v>715</v>
      </c>
      <c r="B801" s="5">
        <v>80</v>
      </c>
      <c r="C801" s="6">
        <v>41244</v>
      </c>
      <c r="D801" s="5" t="s">
        <v>32</v>
      </c>
      <c r="E801" s="5" t="s">
        <v>17</v>
      </c>
      <c r="F801" s="5">
        <v>24</v>
      </c>
      <c r="G801" s="5" t="s">
        <v>33</v>
      </c>
      <c r="H801" s="5" t="s">
        <v>34</v>
      </c>
      <c r="I801" s="5" t="s">
        <v>46</v>
      </c>
      <c r="J801" s="5">
        <v>50</v>
      </c>
      <c r="K801" s="5">
        <v>176</v>
      </c>
      <c r="L801" s="5" t="s">
        <v>52</v>
      </c>
      <c r="M801" s="5">
        <v>100</v>
      </c>
      <c r="N801" s="5">
        <v>80</v>
      </c>
      <c r="O801" s="5">
        <v>220</v>
      </c>
      <c r="P801" s="5">
        <v>46</v>
      </c>
      <c r="Q801">
        <f>SUM([1]!Table1[[#This Row],[Sales]])</f>
        <v>176</v>
      </c>
      <c r="R801">
        <f>SUM([1]!Table1[[#This Row],[Profit]])</f>
        <v>50</v>
      </c>
      <c r="S801" s="7">
        <f t="shared" si="96"/>
        <v>0.28409090909090912</v>
      </c>
      <c r="T801">
        <f t="shared" si="97"/>
        <v>24</v>
      </c>
      <c r="U801">
        <f t="shared" si="98"/>
        <v>-44</v>
      </c>
      <c r="V801">
        <f t="shared" si="99"/>
        <v>-20</v>
      </c>
      <c r="W801">
        <f t="shared" si="100"/>
        <v>2.0833333333333335</v>
      </c>
      <c r="X801" t="str">
        <f t="shared" si="101"/>
        <v>Low Profit</v>
      </c>
      <c r="Y801">
        <f t="shared" si="102"/>
        <v>80</v>
      </c>
      <c r="Z801">
        <f t="shared" si="103"/>
        <v>176</v>
      </c>
    </row>
    <row r="802" spans="1:26">
      <c r="A802" s="3">
        <v>641</v>
      </c>
      <c r="B802" s="3">
        <v>247</v>
      </c>
      <c r="C802" s="4">
        <v>41244</v>
      </c>
      <c r="D802" s="3" t="s">
        <v>32</v>
      </c>
      <c r="E802" s="3" t="s">
        <v>17</v>
      </c>
      <c r="F802" s="3">
        <v>81</v>
      </c>
      <c r="G802" s="3" t="s">
        <v>18</v>
      </c>
      <c r="H802" s="3" t="s">
        <v>19</v>
      </c>
      <c r="I802" s="3" t="s">
        <v>50</v>
      </c>
      <c r="J802" s="3">
        <v>216</v>
      </c>
      <c r="K802" s="3">
        <v>576</v>
      </c>
      <c r="L802" s="3" t="s">
        <v>36</v>
      </c>
      <c r="M802" s="3">
        <v>230</v>
      </c>
      <c r="N802" s="3">
        <v>200</v>
      </c>
      <c r="O802" s="3">
        <v>530</v>
      </c>
      <c r="P802" s="3">
        <v>113</v>
      </c>
      <c r="Q802">
        <f>SUM([1]!Table1[[#This Row],[Sales]])</f>
        <v>576</v>
      </c>
      <c r="R802">
        <f>SUM([1]!Table1[[#This Row],[Profit]])</f>
        <v>216</v>
      </c>
      <c r="S802" s="7">
        <f t="shared" si="96"/>
        <v>0.375</v>
      </c>
      <c r="T802">
        <f t="shared" si="97"/>
        <v>81</v>
      </c>
      <c r="U802">
        <f t="shared" si="98"/>
        <v>46</v>
      </c>
      <c r="V802">
        <f t="shared" si="99"/>
        <v>17</v>
      </c>
      <c r="W802">
        <f t="shared" si="100"/>
        <v>2.6666666666666665</v>
      </c>
      <c r="X802" t="str">
        <f t="shared" si="101"/>
        <v>High Profit</v>
      </c>
      <c r="Y802">
        <f t="shared" si="102"/>
        <v>247</v>
      </c>
      <c r="Z802">
        <f t="shared" si="103"/>
        <v>576</v>
      </c>
    </row>
    <row r="803" spans="1:26">
      <c r="A803" s="5">
        <v>319</v>
      </c>
      <c r="B803" s="5">
        <v>127</v>
      </c>
      <c r="C803" s="6">
        <v>41244</v>
      </c>
      <c r="D803" s="5" t="s">
        <v>32</v>
      </c>
      <c r="E803" s="5" t="s">
        <v>17</v>
      </c>
      <c r="F803" s="5">
        <v>40</v>
      </c>
      <c r="G803" s="5" t="s">
        <v>18</v>
      </c>
      <c r="H803" s="5" t="s">
        <v>19</v>
      </c>
      <c r="I803" s="5" t="s">
        <v>20</v>
      </c>
      <c r="J803" s="5">
        <v>123</v>
      </c>
      <c r="K803" s="5">
        <v>312</v>
      </c>
      <c r="L803" s="5" t="s">
        <v>36</v>
      </c>
      <c r="M803" s="5">
        <v>120</v>
      </c>
      <c r="N803" s="5">
        <v>120</v>
      </c>
      <c r="O803" s="5">
        <v>290</v>
      </c>
      <c r="P803" s="5">
        <v>62</v>
      </c>
      <c r="Q803">
        <f>SUM([1]!Table1[[#This Row],[Sales]])</f>
        <v>312</v>
      </c>
      <c r="R803">
        <f>SUM([1]!Table1[[#This Row],[Profit]])</f>
        <v>123</v>
      </c>
      <c r="S803" s="7">
        <f t="shared" si="96"/>
        <v>0.39423076923076922</v>
      </c>
      <c r="T803">
        <f t="shared" si="97"/>
        <v>40</v>
      </c>
      <c r="U803">
        <f t="shared" si="98"/>
        <v>22</v>
      </c>
      <c r="V803">
        <f t="shared" si="99"/>
        <v>7</v>
      </c>
      <c r="W803">
        <f t="shared" si="100"/>
        <v>3.0750000000000002</v>
      </c>
      <c r="X803" t="str">
        <f t="shared" si="101"/>
        <v>High Profit</v>
      </c>
      <c r="Y803">
        <f t="shared" si="102"/>
        <v>127</v>
      </c>
      <c r="Z803">
        <f t="shared" si="103"/>
        <v>312</v>
      </c>
    </row>
    <row r="804" spans="1:26">
      <c r="A804" s="3">
        <v>641</v>
      </c>
      <c r="B804" s="3">
        <v>250</v>
      </c>
      <c r="C804" s="4">
        <v>41244</v>
      </c>
      <c r="D804" s="3" t="s">
        <v>32</v>
      </c>
      <c r="E804" s="3" t="s">
        <v>17</v>
      </c>
      <c r="F804" s="3">
        <v>70</v>
      </c>
      <c r="G804" s="3" t="s">
        <v>18</v>
      </c>
      <c r="H804" s="3" t="s">
        <v>26</v>
      </c>
      <c r="I804" s="3" t="s">
        <v>27</v>
      </c>
      <c r="J804" s="3">
        <v>156</v>
      </c>
      <c r="K804" s="3">
        <v>501</v>
      </c>
      <c r="L804" s="3" t="s">
        <v>36</v>
      </c>
      <c r="M804" s="3">
        <v>210</v>
      </c>
      <c r="N804" s="3">
        <v>120</v>
      </c>
      <c r="O804" s="3">
        <v>410</v>
      </c>
      <c r="P804" s="3">
        <v>95</v>
      </c>
      <c r="Q804">
        <f>SUM([1]!Table1[[#This Row],[Sales]])</f>
        <v>501</v>
      </c>
      <c r="R804">
        <f>SUM([1]!Table1[[#This Row],[Profit]])</f>
        <v>156</v>
      </c>
      <c r="S804" s="7">
        <f t="shared" si="96"/>
        <v>0.31137724550898205</v>
      </c>
      <c r="T804">
        <f t="shared" si="97"/>
        <v>70</v>
      </c>
      <c r="U804">
        <f t="shared" si="98"/>
        <v>91</v>
      </c>
      <c r="V804">
        <f t="shared" si="99"/>
        <v>40</v>
      </c>
      <c r="W804">
        <f t="shared" si="100"/>
        <v>2.2285714285714286</v>
      </c>
      <c r="X804" t="str">
        <f t="shared" si="101"/>
        <v>High Profit</v>
      </c>
      <c r="Y804">
        <f t="shared" si="102"/>
        <v>250</v>
      </c>
      <c r="Z804">
        <f t="shared" si="103"/>
        <v>501</v>
      </c>
    </row>
    <row r="805" spans="1:26">
      <c r="A805" s="5">
        <v>641</v>
      </c>
      <c r="B805" s="5">
        <v>294</v>
      </c>
      <c r="C805" s="6">
        <v>41244</v>
      </c>
      <c r="D805" s="5" t="s">
        <v>32</v>
      </c>
      <c r="E805" s="5" t="s">
        <v>17</v>
      </c>
      <c r="F805" s="5">
        <v>111</v>
      </c>
      <c r="G805" s="5" t="s">
        <v>18</v>
      </c>
      <c r="H805" s="5" t="s">
        <v>26</v>
      </c>
      <c r="I805" s="5" t="s">
        <v>54</v>
      </c>
      <c r="J805" s="5">
        <v>216</v>
      </c>
      <c r="K805" s="5">
        <v>654</v>
      </c>
      <c r="L805" s="5" t="s">
        <v>36</v>
      </c>
      <c r="M805" s="5">
        <v>240</v>
      </c>
      <c r="N805" s="5">
        <v>170</v>
      </c>
      <c r="O805" s="5">
        <v>540</v>
      </c>
      <c r="P805" s="5">
        <v>144</v>
      </c>
      <c r="Q805">
        <f>SUM([1]!Table1[[#This Row],[Sales]])</f>
        <v>654</v>
      </c>
      <c r="R805">
        <f>SUM([1]!Table1[[#This Row],[Profit]])</f>
        <v>216</v>
      </c>
      <c r="S805" s="7">
        <f t="shared" si="96"/>
        <v>0.33027522935779818</v>
      </c>
      <c r="T805">
        <f t="shared" si="97"/>
        <v>111</v>
      </c>
      <c r="U805">
        <f t="shared" si="98"/>
        <v>114</v>
      </c>
      <c r="V805">
        <f t="shared" si="99"/>
        <v>54</v>
      </c>
      <c r="W805">
        <f t="shared" si="100"/>
        <v>1.9459459459459461</v>
      </c>
      <c r="X805" t="str">
        <f t="shared" si="101"/>
        <v>High Profit</v>
      </c>
      <c r="Y805">
        <f t="shared" si="102"/>
        <v>294</v>
      </c>
      <c r="Z805">
        <f t="shared" si="103"/>
        <v>654</v>
      </c>
    </row>
    <row r="806" spans="1:26">
      <c r="A806" s="3">
        <v>573</v>
      </c>
      <c r="B806" s="3">
        <v>20</v>
      </c>
      <c r="C806" s="4">
        <v>41244</v>
      </c>
      <c r="D806" s="3" t="s">
        <v>32</v>
      </c>
      <c r="E806" s="3" t="s">
        <v>17</v>
      </c>
      <c r="F806" s="3">
        <v>7</v>
      </c>
      <c r="G806" s="3" t="s">
        <v>18</v>
      </c>
      <c r="H806" s="3" t="s">
        <v>26</v>
      </c>
      <c r="I806" s="3" t="s">
        <v>54</v>
      </c>
      <c r="J806" s="3">
        <v>-16</v>
      </c>
      <c r="K806" s="3">
        <v>45</v>
      </c>
      <c r="L806" s="3" t="s">
        <v>51</v>
      </c>
      <c r="M806" s="3">
        <v>10</v>
      </c>
      <c r="N806" s="3">
        <v>-10</v>
      </c>
      <c r="O806" s="3">
        <v>30</v>
      </c>
      <c r="P806" s="3">
        <v>41</v>
      </c>
      <c r="Q806">
        <f>SUM([1]!Table1[[#This Row],[Sales]])</f>
        <v>45</v>
      </c>
      <c r="R806">
        <f>SUM([1]!Table1[[#This Row],[Profit]])</f>
        <v>-16</v>
      </c>
      <c r="S806" s="7">
        <f t="shared" si="96"/>
        <v>-0.35555555555555557</v>
      </c>
      <c r="T806">
        <f t="shared" si="97"/>
        <v>7</v>
      </c>
      <c r="U806">
        <f t="shared" si="98"/>
        <v>15</v>
      </c>
      <c r="V806">
        <f t="shared" si="99"/>
        <v>10</v>
      </c>
      <c r="W806">
        <f t="shared" si="100"/>
        <v>-2.2857142857142856</v>
      </c>
      <c r="X806" t="str">
        <f t="shared" si="101"/>
        <v>Low Profit</v>
      </c>
      <c r="Y806">
        <f t="shared" si="102"/>
        <v>20</v>
      </c>
      <c r="Z806">
        <f t="shared" si="103"/>
        <v>45</v>
      </c>
    </row>
    <row r="807" spans="1:26">
      <c r="A807" s="5">
        <v>719</v>
      </c>
      <c r="B807" s="5">
        <v>108</v>
      </c>
      <c r="C807" s="6">
        <v>41548</v>
      </c>
      <c r="D807" s="5" t="s">
        <v>16</v>
      </c>
      <c r="E807" s="5" t="s">
        <v>17</v>
      </c>
      <c r="F807" s="5">
        <v>30</v>
      </c>
      <c r="G807" s="5" t="s">
        <v>33</v>
      </c>
      <c r="H807" s="5" t="s">
        <v>38</v>
      </c>
      <c r="I807" s="5" t="s">
        <v>39</v>
      </c>
      <c r="J807" s="5">
        <v>172</v>
      </c>
      <c r="K807" s="5">
        <v>282</v>
      </c>
      <c r="L807" s="5" t="s">
        <v>21</v>
      </c>
      <c r="M807" s="5">
        <v>100</v>
      </c>
      <c r="N807" s="5">
        <v>150</v>
      </c>
      <c r="O807" s="5">
        <v>260</v>
      </c>
      <c r="P807" s="5">
        <v>41</v>
      </c>
      <c r="Q807">
        <f>SUM([1]!Table1[[#This Row],[Sales]])</f>
        <v>282</v>
      </c>
      <c r="R807">
        <f>SUM([1]!Table1[[#This Row],[Profit]])</f>
        <v>172</v>
      </c>
      <c r="S807" s="7">
        <f t="shared" si="96"/>
        <v>0.60992907801418439</v>
      </c>
      <c r="T807">
        <f t="shared" si="97"/>
        <v>30</v>
      </c>
      <c r="U807">
        <f t="shared" si="98"/>
        <v>22</v>
      </c>
      <c r="V807">
        <f t="shared" si="99"/>
        <v>8</v>
      </c>
      <c r="W807">
        <f t="shared" si="100"/>
        <v>5.7333333333333334</v>
      </c>
      <c r="X807" t="str">
        <f t="shared" si="101"/>
        <v>High Profit</v>
      </c>
      <c r="Y807">
        <f t="shared" si="102"/>
        <v>108</v>
      </c>
      <c r="Z807">
        <f t="shared" si="103"/>
        <v>282</v>
      </c>
    </row>
    <row r="808" spans="1:26">
      <c r="A808" s="3">
        <v>815</v>
      </c>
      <c r="B808" s="3">
        <v>122</v>
      </c>
      <c r="C808" s="4">
        <v>41548</v>
      </c>
      <c r="D808" s="3" t="s">
        <v>16</v>
      </c>
      <c r="E808" s="3" t="s">
        <v>17</v>
      </c>
      <c r="F808" s="3">
        <v>39</v>
      </c>
      <c r="G808" s="3" t="s">
        <v>33</v>
      </c>
      <c r="H808" s="3" t="s">
        <v>38</v>
      </c>
      <c r="I808" s="3" t="s">
        <v>39</v>
      </c>
      <c r="J808" s="3">
        <v>171</v>
      </c>
      <c r="K808" s="3">
        <v>318</v>
      </c>
      <c r="L808" s="3" t="s">
        <v>56</v>
      </c>
      <c r="M808" s="3">
        <v>110</v>
      </c>
      <c r="N808" s="3">
        <v>160</v>
      </c>
      <c r="O808" s="3">
        <v>300</v>
      </c>
      <c r="P808" s="3">
        <v>61</v>
      </c>
      <c r="Q808">
        <f>SUM([1]!Table1[[#This Row],[Sales]])</f>
        <v>318</v>
      </c>
      <c r="R808">
        <f>SUM([1]!Table1[[#This Row],[Profit]])</f>
        <v>171</v>
      </c>
      <c r="S808" s="7">
        <f t="shared" si="96"/>
        <v>0.53773584905660377</v>
      </c>
      <c r="T808">
        <f t="shared" si="97"/>
        <v>39</v>
      </c>
      <c r="U808">
        <f t="shared" si="98"/>
        <v>18</v>
      </c>
      <c r="V808">
        <f t="shared" si="99"/>
        <v>12</v>
      </c>
      <c r="W808">
        <f t="shared" si="100"/>
        <v>4.384615384615385</v>
      </c>
      <c r="X808" t="str">
        <f t="shared" si="101"/>
        <v>High Profit</v>
      </c>
      <c r="Y808">
        <f t="shared" si="102"/>
        <v>122</v>
      </c>
      <c r="Z808">
        <f t="shared" si="103"/>
        <v>318</v>
      </c>
    </row>
    <row r="809" spans="1:26">
      <c r="A809" s="5">
        <v>970</v>
      </c>
      <c r="B809" s="5">
        <v>72</v>
      </c>
      <c r="C809" s="6">
        <v>41548</v>
      </c>
      <c r="D809" s="5" t="s">
        <v>16</v>
      </c>
      <c r="E809" s="5" t="s">
        <v>17</v>
      </c>
      <c r="F809" s="5">
        <v>23</v>
      </c>
      <c r="G809" s="5" t="s">
        <v>33</v>
      </c>
      <c r="H809" s="5" t="s">
        <v>34</v>
      </c>
      <c r="I809" s="5" t="s">
        <v>35</v>
      </c>
      <c r="J809" s="5">
        <v>83</v>
      </c>
      <c r="K809" s="5">
        <v>194</v>
      </c>
      <c r="L809" s="5" t="s">
        <v>21</v>
      </c>
      <c r="M809" s="5">
        <v>100</v>
      </c>
      <c r="N809" s="5">
        <v>130</v>
      </c>
      <c r="O809" s="5">
        <v>260</v>
      </c>
      <c r="P809" s="5">
        <v>54</v>
      </c>
      <c r="Q809">
        <f>SUM([1]!Table1[[#This Row],[Sales]])</f>
        <v>194</v>
      </c>
      <c r="R809">
        <f>SUM([1]!Table1[[#This Row],[Profit]])</f>
        <v>83</v>
      </c>
      <c r="S809" s="7">
        <f t="shared" si="96"/>
        <v>0.42783505154639173</v>
      </c>
      <c r="T809">
        <f t="shared" si="97"/>
        <v>23</v>
      </c>
      <c r="U809">
        <f t="shared" si="98"/>
        <v>-66</v>
      </c>
      <c r="V809">
        <f t="shared" si="99"/>
        <v>-28</v>
      </c>
      <c r="W809">
        <f t="shared" si="100"/>
        <v>3.6086956521739131</v>
      </c>
      <c r="X809" t="str">
        <f t="shared" si="101"/>
        <v>Low Profit</v>
      </c>
      <c r="Y809">
        <f t="shared" si="102"/>
        <v>72</v>
      </c>
      <c r="Z809">
        <f t="shared" si="103"/>
        <v>194</v>
      </c>
    </row>
    <row r="810" spans="1:26">
      <c r="A810" s="3">
        <v>773</v>
      </c>
      <c r="B810" s="3">
        <v>239</v>
      </c>
      <c r="C810" s="4">
        <v>41548</v>
      </c>
      <c r="D810" s="3" t="s">
        <v>16</v>
      </c>
      <c r="E810" s="3" t="s">
        <v>17</v>
      </c>
      <c r="F810" s="3">
        <v>66</v>
      </c>
      <c r="G810" s="3" t="s">
        <v>33</v>
      </c>
      <c r="H810" s="3" t="s">
        <v>34</v>
      </c>
      <c r="I810" s="3" t="s">
        <v>35</v>
      </c>
      <c r="J810" s="3">
        <v>221</v>
      </c>
      <c r="K810" s="3">
        <v>509</v>
      </c>
      <c r="L810" s="3" t="s">
        <v>56</v>
      </c>
      <c r="M810" s="3">
        <v>340</v>
      </c>
      <c r="N810" s="3">
        <v>300</v>
      </c>
      <c r="O810" s="3">
        <v>710</v>
      </c>
      <c r="P810" s="3">
        <v>90</v>
      </c>
      <c r="Q810">
        <f>SUM([1]!Table1[[#This Row],[Sales]])</f>
        <v>509</v>
      </c>
      <c r="R810">
        <f>SUM([1]!Table1[[#This Row],[Profit]])</f>
        <v>221</v>
      </c>
      <c r="S810" s="7">
        <f t="shared" si="96"/>
        <v>0.43418467583497056</v>
      </c>
      <c r="T810">
        <f t="shared" si="97"/>
        <v>66</v>
      </c>
      <c r="U810">
        <f t="shared" si="98"/>
        <v>-201</v>
      </c>
      <c r="V810">
        <f t="shared" si="99"/>
        <v>-101</v>
      </c>
      <c r="W810">
        <f t="shared" si="100"/>
        <v>3.3484848484848486</v>
      </c>
      <c r="X810" t="str">
        <f t="shared" si="101"/>
        <v>High Profit</v>
      </c>
      <c r="Y810">
        <f t="shared" si="102"/>
        <v>239</v>
      </c>
      <c r="Z810">
        <f t="shared" si="103"/>
        <v>509</v>
      </c>
    </row>
    <row r="811" spans="1:26">
      <c r="A811" s="5">
        <v>419</v>
      </c>
      <c r="B811" s="5">
        <v>54</v>
      </c>
      <c r="C811" s="6">
        <v>41548</v>
      </c>
      <c r="D811" s="5" t="s">
        <v>16</v>
      </c>
      <c r="E811" s="5" t="s">
        <v>17</v>
      </c>
      <c r="F811" s="5">
        <v>20</v>
      </c>
      <c r="G811" s="5" t="s">
        <v>33</v>
      </c>
      <c r="H811" s="5" t="s">
        <v>34</v>
      </c>
      <c r="I811" s="5" t="s">
        <v>35</v>
      </c>
      <c r="J811" s="5">
        <v>18</v>
      </c>
      <c r="K811" s="5">
        <v>128</v>
      </c>
      <c r="L811" s="5" t="s">
        <v>58</v>
      </c>
      <c r="M811" s="5">
        <v>70</v>
      </c>
      <c r="N811" s="5">
        <v>70</v>
      </c>
      <c r="O811" s="5">
        <v>170</v>
      </c>
      <c r="P811" s="5">
        <v>54</v>
      </c>
      <c r="Q811">
        <f>SUM([1]!Table1[[#This Row],[Sales]])</f>
        <v>128</v>
      </c>
      <c r="R811">
        <f>SUM([1]!Table1[[#This Row],[Profit]])</f>
        <v>18</v>
      </c>
      <c r="S811" s="7">
        <f t="shared" si="96"/>
        <v>0.140625</v>
      </c>
      <c r="T811">
        <f t="shared" si="97"/>
        <v>20</v>
      </c>
      <c r="U811">
        <f t="shared" si="98"/>
        <v>-42</v>
      </c>
      <c r="V811">
        <f t="shared" si="99"/>
        <v>-16</v>
      </c>
      <c r="W811">
        <f t="shared" si="100"/>
        <v>0.9</v>
      </c>
      <c r="X811" t="str">
        <f t="shared" si="101"/>
        <v>Low Profit</v>
      </c>
      <c r="Y811">
        <f t="shared" si="102"/>
        <v>54</v>
      </c>
      <c r="Z811">
        <f t="shared" si="103"/>
        <v>128</v>
      </c>
    </row>
    <row r="812" spans="1:26">
      <c r="A812" s="3">
        <v>719</v>
      </c>
      <c r="B812" s="3">
        <v>123</v>
      </c>
      <c r="C812" s="4">
        <v>41548</v>
      </c>
      <c r="D812" s="3" t="s">
        <v>16</v>
      </c>
      <c r="E812" s="3" t="s">
        <v>17</v>
      </c>
      <c r="F812" s="3">
        <v>34</v>
      </c>
      <c r="G812" s="3" t="s">
        <v>33</v>
      </c>
      <c r="H812" s="3" t="s">
        <v>38</v>
      </c>
      <c r="I812" s="3" t="s">
        <v>43</v>
      </c>
      <c r="J812" s="3">
        <v>197</v>
      </c>
      <c r="K812" s="3">
        <v>322</v>
      </c>
      <c r="L812" s="3" t="s">
        <v>21</v>
      </c>
      <c r="M812" s="3">
        <v>120</v>
      </c>
      <c r="N812" s="3">
        <v>160</v>
      </c>
      <c r="O812" s="3">
        <v>300</v>
      </c>
      <c r="P812" s="3">
        <v>46</v>
      </c>
      <c r="Q812">
        <f>SUM([1]!Table1[[#This Row],[Sales]])</f>
        <v>322</v>
      </c>
      <c r="R812">
        <f>SUM([1]!Table1[[#This Row],[Profit]])</f>
        <v>197</v>
      </c>
      <c r="S812" s="7">
        <f t="shared" si="96"/>
        <v>0.61180124223602483</v>
      </c>
      <c r="T812">
        <f t="shared" si="97"/>
        <v>34</v>
      </c>
      <c r="U812">
        <f t="shared" si="98"/>
        <v>22</v>
      </c>
      <c r="V812">
        <f t="shared" si="99"/>
        <v>3</v>
      </c>
      <c r="W812">
        <f t="shared" si="100"/>
        <v>5.7941176470588234</v>
      </c>
      <c r="X812" t="str">
        <f t="shared" si="101"/>
        <v>High Profit</v>
      </c>
      <c r="Y812">
        <f t="shared" si="102"/>
        <v>123</v>
      </c>
      <c r="Z812">
        <f t="shared" si="103"/>
        <v>322</v>
      </c>
    </row>
    <row r="813" spans="1:26">
      <c r="A813" s="5">
        <v>815</v>
      </c>
      <c r="B813" s="5">
        <v>154</v>
      </c>
      <c r="C813" s="6">
        <v>41548</v>
      </c>
      <c r="D813" s="5" t="s">
        <v>16</v>
      </c>
      <c r="E813" s="5" t="s">
        <v>17</v>
      </c>
      <c r="F813" s="5">
        <v>50</v>
      </c>
      <c r="G813" s="5" t="s">
        <v>33</v>
      </c>
      <c r="H813" s="5" t="s">
        <v>38</v>
      </c>
      <c r="I813" s="5" t="s">
        <v>45</v>
      </c>
      <c r="J813" s="5">
        <v>178</v>
      </c>
      <c r="K813" s="5">
        <v>391</v>
      </c>
      <c r="L813" s="5" t="s">
        <v>56</v>
      </c>
      <c r="M813" s="5">
        <v>150</v>
      </c>
      <c r="N813" s="5">
        <v>160</v>
      </c>
      <c r="O813" s="5">
        <v>370</v>
      </c>
      <c r="P813" s="5">
        <v>93</v>
      </c>
      <c r="Q813">
        <f>SUM([1]!Table1[[#This Row],[Sales]])</f>
        <v>391</v>
      </c>
      <c r="R813">
        <f>SUM([1]!Table1[[#This Row],[Profit]])</f>
        <v>178</v>
      </c>
      <c r="S813" s="7">
        <f t="shared" si="96"/>
        <v>0.45524296675191817</v>
      </c>
      <c r="T813">
        <f t="shared" si="97"/>
        <v>50</v>
      </c>
      <c r="U813">
        <f t="shared" si="98"/>
        <v>21</v>
      </c>
      <c r="V813">
        <f t="shared" si="99"/>
        <v>4</v>
      </c>
      <c r="W813">
        <f t="shared" si="100"/>
        <v>3.56</v>
      </c>
      <c r="X813" t="str">
        <f t="shared" si="101"/>
        <v>High Profit</v>
      </c>
      <c r="Y813">
        <f t="shared" si="102"/>
        <v>154</v>
      </c>
      <c r="Z813">
        <f t="shared" si="103"/>
        <v>391</v>
      </c>
    </row>
    <row r="814" spans="1:26">
      <c r="A814" s="3">
        <v>970</v>
      </c>
      <c r="B814" s="3">
        <v>76</v>
      </c>
      <c r="C814" s="4">
        <v>41548</v>
      </c>
      <c r="D814" s="3" t="s">
        <v>16</v>
      </c>
      <c r="E814" s="3" t="s">
        <v>17</v>
      </c>
      <c r="F814" s="3">
        <v>21</v>
      </c>
      <c r="G814" s="3" t="s">
        <v>33</v>
      </c>
      <c r="H814" s="3" t="s">
        <v>34</v>
      </c>
      <c r="I814" s="3" t="s">
        <v>46</v>
      </c>
      <c r="J814" s="3">
        <v>117</v>
      </c>
      <c r="K814" s="3">
        <v>199</v>
      </c>
      <c r="L814" s="3" t="s">
        <v>21</v>
      </c>
      <c r="M814" s="3">
        <v>100</v>
      </c>
      <c r="N814" s="3">
        <v>170</v>
      </c>
      <c r="O814" s="3">
        <v>280</v>
      </c>
      <c r="P814" s="3">
        <v>32</v>
      </c>
      <c r="Q814">
        <f>SUM([1]!Table1[[#This Row],[Sales]])</f>
        <v>199</v>
      </c>
      <c r="R814">
        <f>SUM([1]!Table1[[#This Row],[Profit]])</f>
        <v>117</v>
      </c>
      <c r="S814" s="7">
        <f t="shared" si="96"/>
        <v>0.5879396984924623</v>
      </c>
      <c r="T814">
        <f t="shared" si="97"/>
        <v>21</v>
      </c>
      <c r="U814">
        <f t="shared" si="98"/>
        <v>-81</v>
      </c>
      <c r="V814">
        <f t="shared" si="99"/>
        <v>-24</v>
      </c>
      <c r="W814">
        <f t="shared" si="100"/>
        <v>5.5714285714285712</v>
      </c>
      <c r="X814" t="str">
        <f t="shared" si="101"/>
        <v>High Profit</v>
      </c>
      <c r="Y814">
        <f t="shared" si="102"/>
        <v>76</v>
      </c>
      <c r="Z814">
        <f t="shared" si="103"/>
        <v>199</v>
      </c>
    </row>
    <row r="815" spans="1:26">
      <c r="A815" s="5">
        <v>312</v>
      </c>
      <c r="B815" s="5">
        <v>257</v>
      </c>
      <c r="C815" s="6">
        <v>41548</v>
      </c>
      <c r="D815" s="5" t="s">
        <v>16</v>
      </c>
      <c r="E815" s="5" t="s">
        <v>17</v>
      </c>
      <c r="F815" s="5">
        <v>84</v>
      </c>
      <c r="G815" s="5" t="s">
        <v>33</v>
      </c>
      <c r="H815" s="5" t="s">
        <v>34</v>
      </c>
      <c r="I815" s="5" t="s">
        <v>46</v>
      </c>
      <c r="J815" s="5">
        <v>332</v>
      </c>
      <c r="K815" s="5">
        <v>637</v>
      </c>
      <c r="L815" s="5" t="s">
        <v>56</v>
      </c>
      <c r="M815" s="5">
        <v>370</v>
      </c>
      <c r="N815" s="5">
        <v>420</v>
      </c>
      <c r="O815" s="5">
        <v>890</v>
      </c>
      <c r="P815" s="5">
        <v>117</v>
      </c>
      <c r="Q815">
        <f>SUM([1]!Table1[[#This Row],[Sales]])</f>
        <v>637</v>
      </c>
      <c r="R815">
        <f>SUM([1]!Table1[[#This Row],[Profit]])</f>
        <v>332</v>
      </c>
      <c r="S815" s="7">
        <f t="shared" si="96"/>
        <v>0.52119309262166402</v>
      </c>
      <c r="T815">
        <f t="shared" si="97"/>
        <v>84</v>
      </c>
      <c r="U815">
        <f t="shared" si="98"/>
        <v>-253</v>
      </c>
      <c r="V815">
        <f t="shared" si="99"/>
        <v>-113</v>
      </c>
      <c r="W815">
        <f t="shared" si="100"/>
        <v>3.9523809523809526</v>
      </c>
      <c r="X815" t="str">
        <f t="shared" si="101"/>
        <v>High Profit</v>
      </c>
      <c r="Y815">
        <f t="shared" si="102"/>
        <v>257</v>
      </c>
      <c r="Z815">
        <f t="shared" si="103"/>
        <v>637</v>
      </c>
    </row>
    <row r="816" spans="1:26">
      <c r="A816" s="3">
        <v>513</v>
      </c>
      <c r="B816" s="3">
        <v>161</v>
      </c>
      <c r="C816" s="4">
        <v>41548</v>
      </c>
      <c r="D816" s="3" t="s">
        <v>16</v>
      </c>
      <c r="E816" s="3" t="s">
        <v>17</v>
      </c>
      <c r="F816" s="3">
        <v>45</v>
      </c>
      <c r="G816" s="3" t="s">
        <v>33</v>
      </c>
      <c r="H816" s="3" t="s">
        <v>34</v>
      </c>
      <c r="I816" s="3" t="s">
        <v>46</v>
      </c>
      <c r="J816" s="3">
        <v>137</v>
      </c>
      <c r="K816" s="3">
        <v>343</v>
      </c>
      <c r="L816" s="3" t="s">
        <v>58</v>
      </c>
      <c r="M816" s="3">
        <v>230</v>
      </c>
      <c r="N816" s="3">
        <v>190</v>
      </c>
      <c r="O816" s="3">
        <v>470</v>
      </c>
      <c r="P816" s="3">
        <v>69</v>
      </c>
      <c r="Q816">
        <f>SUM([1]!Table1[[#This Row],[Sales]])</f>
        <v>343</v>
      </c>
      <c r="R816">
        <f>SUM([1]!Table1[[#This Row],[Profit]])</f>
        <v>137</v>
      </c>
      <c r="S816" s="7">
        <f t="shared" si="96"/>
        <v>0.39941690962099125</v>
      </c>
      <c r="T816">
        <f t="shared" si="97"/>
        <v>45</v>
      </c>
      <c r="U816">
        <f t="shared" si="98"/>
        <v>-127</v>
      </c>
      <c r="V816">
        <f t="shared" si="99"/>
        <v>-69</v>
      </c>
      <c r="W816">
        <f t="shared" si="100"/>
        <v>3.0444444444444443</v>
      </c>
      <c r="X816" t="str">
        <f t="shared" si="101"/>
        <v>High Profit</v>
      </c>
      <c r="Y816">
        <f t="shared" si="102"/>
        <v>161</v>
      </c>
      <c r="Z816">
        <f t="shared" si="103"/>
        <v>343</v>
      </c>
    </row>
    <row r="817" spans="1:26">
      <c r="A817" s="5">
        <v>720</v>
      </c>
      <c r="B817" s="5">
        <v>161</v>
      </c>
      <c r="C817" s="6">
        <v>41548</v>
      </c>
      <c r="D817" s="5" t="s">
        <v>16</v>
      </c>
      <c r="E817" s="5" t="s">
        <v>17</v>
      </c>
      <c r="F817" s="5">
        <v>45</v>
      </c>
      <c r="G817" s="5" t="s">
        <v>18</v>
      </c>
      <c r="H817" s="5" t="s">
        <v>19</v>
      </c>
      <c r="I817" s="5" t="s">
        <v>50</v>
      </c>
      <c r="J817" s="5">
        <v>137</v>
      </c>
      <c r="K817" s="5">
        <v>343</v>
      </c>
      <c r="L817" s="5" t="s">
        <v>21</v>
      </c>
      <c r="M817" s="5">
        <v>120</v>
      </c>
      <c r="N817" s="5">
        <v>110</v>
      </c>
      <c r="O817" s="5">
        <v>260</v>
      </c>
      <c r="P817" s="5">
        <v>69</v>
      </c>
      <c r="Q817">
        <f>SUM([1]!Table1[[#This Row],[Sales]])</f>
        <v>343</v>
      </c>
      <c r="R817">
        <f>SUM([1]!Table1[[#This Row],[Profit]])</f>
        <v>137</v>
      </c>
      <c r="S817" s="7">
        <f t="shared" si="96"/>
        <v>0.39941690962099125</v>
      </c>
      <c r="T817">
        <f t="shared" si="97"/>
        <v>45</v>
      </c>
      <c r="U817">
        <f t="shared" si="98"/>
        <v>83</v>
      </c>
      <c r="V817">
        <f t="shared" si="99"/>
        <v>41</v>
      </c>
      <c r="W817">
        <f t="shared" si="100"/>
        <v>3.0444444444444443</v>
      </c>
      <c r="X817" t="str">
        <f t="shared" si="101"/>
        <v>High Profit</v>
      </c>
      <c r="Y817">
        <f t="shared" si="102"/>
        <v>161</v>
      </c>
      <c r="Z817">
        <f t="shared" si="103"/>
        <v>343</v>
      </c>
    </row>
    <row r="818" spans="1:26">
      <c r="A818" s="3">
        <v>708</v>
      </c>
      <c r="B818" s="3">
        <v>123</v>
      </c>
      <c r="C818" s="4">
        <v>41548</v>
      </c>
      <c r="D818" s="3" t="s">
        <v>16</v>
      </c>
      <c r="E818" s="3" t="s">
        <v>17</v>
      </c>
      <c r="F818" s="3">
        <v>34</v>
      </c>
      <c r="G818" s="3" t="s">
        <v>18</v>
      </c>
      <c r="H818" s="3" t="s">
        <v>19</v>
      </c>
      <c r="I818" s="3" t="s">
        <v>50</v>
      </c>
      <c r="J818" s="3">
        <v>197</v>
      </c>
      <c r="K818" s="3">
        <v>322</v>
      </c>
      <c r="L818" s="3" t="s">
        <v>56</v>
      </c>
      <c r="M818" s="3">
        <v>90</v>
      </c>
      <c r="N818" s="3">
        <v>140</v>
      </c>
      <c r="O818" s="3">
        <v>240</v>
      </c>
      <c r="P818" s="3">
        <v>46</v>
      </c>
      <c r="Q818">
        <f>SUM([1]!Table1[[#This Row],[Sales]])</f>
        <v>322</v>
      </c>
      <c r="R818">
        <f>SUM([1]!Table1[[#This Row],[Profit]])</f>
        <v>197</v>
      </c>
      <c r="S818" s="7">
        <f t="shared" si="96"/>
        <v>0.61180124223602483</v>
      </c>
      <c r="T818">
        <f t="shared" si="97"/>
        <v>34</v>
      </c>
      <c r="U818">
        <f t="shared" si="98"/>
        <v>82</v>
      </c>
      <c r="V818">
        <f t="shared" si="99"/>
        <v>33</v>
      </c>
      <c r="W818">
        <f t="shared" si="100"/>
        <v>5.7941176470588234</v>
      </c>
      <c r="X818" t="str">
        <f t="shared" si="101"/>
        <v>High Profit</v>
      </c>
      <c r="Y818">
        <f t="shared" si="102"/>
        <v>123</v>
      </c>
      <c r="Z818">
        <f t="shared" si="103"/>
        <v>322</v>
      </c>
    </row>
    <row r="819" spans="1:26">
      <c r="A819" s="5">
        <v>815</v>
      </c>
      <c r="B819" s="5">
        <v>108</v>
      </c>
      <c r="C819" s="6">
        <v>41548</v>
      </c>
      <c r="D819" s="5" t="s">
        <v>16</v>
      </c>
      <c r="E819" s="5" t="s">
        <v>17</v>
      </c>
      <c r="F819" s="5">
        <v>30</v>
      </c>
      <c r="G819" s="5" t="s">
        <v>18</v>
      </c>
      <c r="H819" s="5" t="s">
        <v>19</v>
      </c>
      <c r="I819" s="5" t="s">
        <v>22</v>
      </c>
      <c r="J819" s="5">
        <v>172</v>
      </c>
      <c r="K819" s="5">
        <v>282</v>
      </c>
      <c r="L819" s="5" t="s">
        <v>56</v>
      </c>
      <c r="M819" s="5">
        <v>80</v>
      </c>
      <c r="N819" s="5">
        <v>120</v>
      </c>
      <c r="O819" s="5">
        <v>210</v>
      </c>
      <c r="P819" s="5">
        <v>41</v>
      </c>
      <c r="Q819">
        <f>SUM([1]!Table1[[#This Row],[Sales]])</f>
        <v>282</v>
      </c>
      <c r="R819">
        <f>SUM([1]!Table1[[#This Row],[Profit]])</f>
        <v>172</v>
      </c>
      <c r="S819" s="7">
        <f t="shared" si="96"/>
        <v>0.60992907801418439</v>
      </c>
      <c r="T819">
        <f t="shared" si="97"/>
        <v>30</v>
      </c>
      <c r="U819">
        <f t="shared" si="98"/>
        <v>72</v>
      </c>
      <c r="V819">
        <f t="shared" si="99"/>
        <v>28</v>
      </c>
      <c r="W819">
        <f t="shared" si="100"/>
        <v>5.7333333333333334</v>
      </c>
      <c r="X819" t="str">
        <f t="shared" si="101"/>
        <v>High Profit</v>
      </c>
      <c r="Y819">
        <f t="shared" si="102"/>
        <v>108</v>
      </c>
      <c r="Z819">
        <f t="shared" si="103"/>
        <v>282</v>
      </c>
    </row>
    <row r="820" spans="1:26">
      <c r="A820" s="3">
        <v>419</v>
      </c>
      <c r="B820" s="3">
        <v>82</v>
      </c>
      <c r="C820" s="4">
        <v>41548</v>
      </c>
      <c r="D820" s="3" t="s">
        <v>16</v>
      </c>
      <c r="E820" s="3" t="s">
        <v>17</v>
      </c>
      <c r="F820" s="3">
        <v>27</v>
      </c>
      <c r="G820" s="3" t="s">
        <v>18</v>
      </c>
      <c r="H820" s="3" t="s">
        <v>26</v>
      </c>
      <c r="I820" s="3" t="s">
        <v>27</v>
      </c>
      <c r="J820" s="3">
        <v>96</v>
      </c>
      <c r="K820" s="3">
        <v>218</v>
      </c>
      <c r="L820" s="3" t="s">
        <v>58</v>
      </c>
      <c r="M820" s="3">
        <v>50</v>
      </c>
      <c r="N820" s="3">
        <v>60</v>
      </c>
      <c r="O820" s="3">
        <v>140</v>
      </c>
      <c r="P820" s="3">
        <v>58</v>
      </c>
      <c r="Q820">
        <f>SUM([1]!Table1[[#This Row],[Sales]])</f>
        <v>218</v>
      </c>
      <c r="R820">
        <f>SUM([1]!Table1[[#This Row],[Profit]])</f>
        <v>96</v>
      </c>
      <c r="S820" s="7">
        <f t="shared" si="96"/>
        <v>0.44036697247706424</v>
      </c>
      <c r="T820">
        <f t="shared" si="97"/>
        <v>27</v>
      </c>
      <c r="U820">
        <f t="shared" si="98"/>
        <v>78</v>
      </c>
      <c r="V820">
        <f t="shared" si="99"/>
        <v>32</v>
      </c>
      <c r="W820">
        <f t="shared" si="100"/>
        <v>3.5555555555555554</v>
      </c>
      <c r="X820" t="str">
        <f t="shared" si="101"/>
        <v>Low Profit</v>
      </c>
      <c r="Y820">
        <f t="shared" si="102"/>
        <v>82</v>
      </c>
      <c r="Z820">
        <f t="shared" si="103"/>
        <v>218</v>
      </c>
    </row>
    <row r="821" spans="1:26">
      <c r="A821" s="5">
        <v>419</v>
      </c>
      <c r="B821" s="5">
        <v>91</v>
      </c>
      <c r="C821" s="6">
        <v>41548</v>
      </c>
      <c r="D821" s="5" t="s">
        <v>16</v>
      </c>
      <c r="E821" s="5" t="s">
        <v>17</v>
      </c>
      <c r="F821" s="5">
        <v>28</v>
      </c>
      <c r="G821" s="5" t="s">
        <v>18</v>
      </c>
      <c r="H821" s="5" t="s">
        <v>26</v>
      </c>
      <c r="I821" s="5" t="s">
        <v>54</v>
      </c>
      <c r="J821" s="5">
        <v>113</v>
      </c>
      <c r="K821" s="5">
        <v>232</v>
      </c>
      <c r="L821" s="5" t="s">
        <v>58</v>
      </c>
      <c r="M821" s="5">
        <v>50</v>
      </c>
      <c r="N821" s="5">
        <v>80</v>
      </c>
      <c r="O821" s="5">
        <v>150</v>
      </c>
      <c r="P821" s="5">
        <v>51</v>
      </c>
      <c r="Q821">
        <f>SUM([1]!Table1[[#This Row],[Sales]])</f>
        <v>232</v>
      </c>
      <c r="R821">
        <f>SUM([1]!Table1[[#This Row],[Profit]])</f>
        <v>113</v>
      </c>
      <c r="S821" s="7">
        <f t="shared" si="96"/>
        <v>0.48706896551724138</v>
      </c>
      <c r="T821">
        <f t="shared" si="97"/>
        <v>28</v>
      </c>
      <c r="U821">
        <f t="shared" si="98"/>
        <v>82</v>
      </c>
      <c r="V821">
        <f t="shared" si="99"/>
        <v>41</v>
      </c>
      <c r="W821">
        <f t="shared" si="100"/>
        <v>4.0357142857142856</v>
      </c>
      <c r="X821" t="str">
        <f t="shared" si="101"/>
        <v>High Profit</v>
      </c>
      <c r="Y821">
        <f t="shared" si="102"/>
        <v>91</v>
      </c>
      <c r="Z821">
        <f t="shared" si="103"/>
        <v>232</v>
      </c>
    </row>
    <row r="822" spans="1:26">
      <c r="A822" s="3">
        <v>970</v>
      </c>
      <c r="B822" s="3">
        <v>90</v>
      </c>
      <c r="C822" s="4">
        <v>41548</v>
      </c>
      <c r="D822" s="3" t="s">
        <v>16</v>
      </c>
      <c r="E822" s="3" t="s">
        <v>17</v>
      </c>
      <c r="F822" s="3">
        <v>29</v>
      </c>
      <c r="G822" s="3" t="s">
        <v>18</v>
      </c>
      <c r="H822" s="3" t="s">
        <v>26</v>
      </c>
      <c r="I822" s="3" t="s">
        <v>30</v>
      </c>
      <c r="J822" s="3">
        <v>110</v>
      </c>
      <c r="K822" s="3">
        <v>218</v>
      </c>
      <c r="L822" s="3" t="s">
        <v>21</v>
      </c>
      <c r="M822" s="3">
        <v>50</v>
      </c>
      <c r="N822" s="3">
        <v>80</v>
      </c>
      <c r="O822" s="3">
        <v>140</v>
      </c>
      <c r="P822" s="3">
        <v>41</v>
      </c>
      <c r="Q822">
        <f>SUM([1]!Table1[[#This Row],[Sales]])</f>
        <v>218</v>
      </c>
      <c r="R822">
        <f>SUM([1]!Table1[[#This Row],[Profit]])</f>
        <v>110</v>
      </c>
      <c r="S822" s="7">
        <f t="shared" si="96"/>
        <v>0.50458715596330272</v>
      </c>
      <c r="T822">
        <f t="shared" si="97"/>
        <v>29</v>
      </c>
      <c r="U822">
        <f t="shared" si="98"/>
        <v>78</v>
      </c>
      <c r="V822">
        <f t="shared" si="99"/>
        <v>40</v>
      </c>
      <c r="W822">
        <f t="shared" si="100"/>
        <v>3.7931034482758621</v>
      </c>
      <c r="X822" t="str">
        <f t="shared" si="101"/>
        <v>High Profit</v>
      </c>
      <c r="Y822">
        <f t="shared" si="102"/>
        <v>90</v>
      </c>
      <c r="Z822">
        <f t="shared" si="103"/>
        <v>218</v>
      </c>
    </row>
    <row r="823" spans="1:26">
      <c r="A823" s="5">
        <v>641</v>
      </c>
      <c r="B823" s="5">
        <v>10</v>
      </c>
      <c r="C823" s="6">
        <v>41548</v>
      </c>
      <c r="D823" s="5" t="s">
        <v>32</v>
      </c>
      <c r="E823" s="5" t="s">
        <v>17</v>
      </c>
      <c r="F823" s="5">
        <v>3</v>
      </c>
      <c r="G823" s="5" t="s">
        <v>33</v>
      </c>
      <c r="H823" s="5" t="s">
        <v>38</v>
      </c>
      <c r="I823" s="5" t="s">
        <v>39</v>
      </c>
      <c r="J823" s="5">
        <v>-3</v>
      </c>
      <c r="K823" s="5">
        <v>25</v>
      </c>
      <c r="L823" s="5" t="s">
        <v>36</v>
      </c>
      <c r="M823" s="5">
        <v>0</v>
      </c>
      <c r="N823" s="5">
        <v>10</v>
      </c>
      <c r="O823" s="5">
        <v>10</v>
      </c>
      <c r="P823" s="5">
        <v>15</v>
      </c>
      <c r="Q823">
        <f>SUM([1]!Table1[[#This Row],[Sales]])</f>
        <v>25</v>
      </c>
      <c r="R823">
        <f>SUM([1]!Table1[[#This Row],[Profit]])</f>
        <v>-3</v>
      </c>
      <c r="S823" s="7">
        <f t="shared" si="96"/>
        <v>-0.12</v>
      </c>
      <c r="T823">
        <f t="shared" si="97"/>
        <v>3</v>
      </c>
      <c r="U823">
        <f t="shared" si="98"/>
        <v>15</v>
      </c>
      <c r="V823">
        <f t="shared" si="99"/>
        <v>10</v>
      </c>
      <c r="W823">
        <f t="shared" si="100"/>
        <v>-1</v>
      </c>
      <c r="X823" t="str">
        <f t="shared" si="101"/>
        <v>Low Profit</v>
      </c>
      <c r="Y823">
        <f t="shared" si="102"/>
        <v>10</v>
      </c>
      <c r="Z823">
        <f t="shared" si="103"/>
        <v>25</v>
      </c>
    </row>
    <row r="824" spans="1:26">
      <c r="A824" s="3">
        <v>920</v>
      </c>
      <c r="B824" s="3">
        <v>86</v>
      </c>
      <c r="C824" s="4">
        <v>41548</v>
      </c>
      <c r="D824" s="3" t="s">
        <v>32</v>
      </c>
      <c r="E824" s="3" t="s">
        <v>17</v>
      </c>
      <c r="F824" s="3">
        <v>28</v>
      </c>
      <c r="G824" s="3" t="s">
        <v>33</v>
      </c>
      <c r="H824" s="3" t="s">
        <v>38</v>
      </c>
      <c r="I824" s="3" t="s">
        <v>39</v>
      </c>
      <c r="J824" s="3">
        <v>91</v>
      </c>
      <c r="K824" s="3">
        <v>215</v>
      </c>
      <c r="L824" s="3" t="s">
        <v>52</v>
      </c>
      <c r="M824" s="3">
        <v>80</v>
      </c>
      <c r="N824" s="3">
        <v>100</v>
      </c>
      <c r="O824" s="3">
        <v>200</v>
      </c>
      <c r="P824" s="3">
        <v>55</v>
      </c>
      <c r="Q824">
        <f>SUM([1]!Table1[[#This Row],[Sales]])</f>
        <v>215</v>
      </c>
      <c r="R824">
        <f>SUM([1]!Table1[[#This Row],[Profit]])</f>
        <v>91</v>
      </c>
      <c r="S824" s="7">
        <f t="shared" si="96"/>
        <v>0.42325581395348838</v>
      </c>
      <c r="T824">
        <f t="shared" si="97"/>
        <v>28</v>
      </c>
      <c r="U824">
        <f t="shared" si="98"/>
        <v>15</v>
      </c>
      <c r="V824">
        <f t="shared" si="99"/>
        <v>6</v>
      </c>
      <c r="W824">
        <f t="shared" si="100"/>
        <v>3.25</v>
      </c>
      <c r="X824" t="str">
        <f t="shared" si="101"/>
        <v>Low Profit</v>
      </c>
      <c r="Y824">
        <f t="shared" si="102"/>
        <v>86</v>
      </c>
      <c r="Z824">
        <f t="shared" si="103"/>
        <v>215</v>
      </c>
    </row>
    <row r="825" spans="1:26">
      <c r="A825" s="5">
        <v>573</v>
      </c>
      <c r="B825" s="5">
        <v>79</v>
      </c>
      <c r="C825" s="6">
        <v>41548</v>
      </c>
      <c r="D825" s="5" t="s">
        <v>32</v>
      </c>
      <c r="E825" s="5" t="s">
        <v>17</v>
      </c>
      <c r="F825" s="5">
        <v>30</v>
      </c>
      <c r="G825" s="5" t="s">
        <v>33</v>
      </c>
      <c r="H825" s="5" t="s">
        <v>38</v>
      </c>
      <c r="I825" s="5" t="s">
        <v>45</v>
      </c>
      <c r="J825" s="5">
        <v>52</v>
      </c>
      <c r="K825" s="5">
        <v>189</v>
      </c>
      <c r="L825" s="5" t="s">
        <v>51</v>
      </c>
      <c r="M825" s="5">
        <v>70</v>
      </c>
      <c r="N825" s="5">
        <v>70</v>
      </c>
      <c r="O825" s="5">
        <v>170</v>
      </c>
      <c r="P825" s="5">
        <v>63</v>
      </c>
      <c r="Q825">
        <f>SUM([1]!Table1[[#This Row],[Sales]])</f>
        <v>189</v>
      </c>
      <c r="R825">
        <f>SUM([1]!Table1[[#This Row],[Profit]])</f>
        <v>52</v>
      </c>
      <c r="S825" s="7">
        <f t="shared" si="96"/>
        <v>0.27513227513227512</v>
      </c>
      <c r="T825">
        <f t="shared" si="97"/>
        <v>30</v>
      </c>
      <c r="U825">
        <f t="shared" si="98"/>
        <v>19</v>
      </c>
      <c r="V825">
        <f t="shared" si="99"/>
        <v>9</v>
      </c>
      <c r="W825">
        <f t="shared" si="100"/>
        <v>1.7333333333333334</v>
      </c>
      <c r="X825" t="str">
        <f t="shared" si="101"/>
        <v>Low Profit</v>
      </c>
      <c r="Y825">
        <f t="shared" si="102"/>
        <v>79</v>
      </c>
      <c r="Z825">
        <f t="shared" si="103"/>
        <v>189</v>
      </c>
    </row>
    <row r="826" spans="1:26">
      <c r="A826" s="3">
        <v>414</v>
      </c>
      <c r="B826" s="3">
        <v>96</v>
      </c>
      <c r="C826" s="4">
        <v>41548</v>
      </c>
      <c r="D826" s="3" t="s">
        <v>32</v>
      </c>
      <c r="E826" s="3" t="s">
        <v>17</v>
      </c>
      <c r="F826" s="3">
        <v>87</v>
      </c>
      <c r="G826" s="3" t="s">
        <v>33</v>
      </c>
      <c r="H826" s="3" t="s">
        <v>38</v>
      </c>
      <c r="I826" s="3" t="s">
        <v>45</v>
      </c>
      <c r="J826" s="3">
        <v>27</v>
      </c>
      <c r="K826" s="3">
        <v>245</v>
      </c>
      <c r="L826" s="3" t="s">
        <v>52</v>
      </c>
      <c r="M826" s="3">
        <v>90</v>
      </c>
      <c r="N826" s="3">
        <v>60</v>
      </c>
      <c r="O826" s="3">
        <v>230</v>
      </c>
      <c r="P826" s="3">
        <v>116</v>
      </c>
      <c r="Q826">
        <f>SUM([1]!Table1[[#This Row],[Sales]])</f>
        <v>245</v>
      </c>
      <c r="R826">
        <f>SUM([1]!Table1[[#This Row],[Profit]])</f>
        <v>27</v>
      </c>
      <c r="S826" s="7">
        <f t="shared" si="96"/>
        <v>0.11020408163265306</v>
      </c>
      <c r="T826">
        <f t="shared" si="97"/>
        <v>87</v>
      </c>
      <c r="U826">
        <f t="shared" si="98"/>
        <v>15</v>
      </c>
      <c r="V826">
        <f t="shared" si="99"/>
        <v>6</v>
      </c>
      <c r="W826">
        <f t="shared" si="100"/>
        <v>0.31034482758620691</v>
      </c>
      <c r="X826" t="str">
        <f t="shared" si="101"/>
        <v>Low Profit</v>
      </c>
      <c r="Y826">
        <f t="shared" si="102"/>
        <v>96</v>
      </c>
      <c r="Z826">
        <f t="shared" si="103"/>
        <v>245</v>
      </c>
    </row>
    <row r="827" spans="1:26">
      <c r="A827" s="5">
        <v>573</v>
      </c>
      <c r="B827" s="5">
        <v>40</v>
      </c>
      <c r="C827" s="6">
        <v>41548</v>
      </c>
      <c r="D827" s="5" t="s">
        <v>32</v>
      </c>
      <c r="E827" s="5" t="s">
        <v>17</v>
      </c>
      <c r="F827" s="5">
        <v>11</v>
      </c>
      <c r="G827" s="5" t="s">
        <v>33</v>
      </c>
      <c r="H827" s="5" t="s">
        <v>34</v>
      </c>
      <c r="I827" s="5" t="s">
        <v>46</v>
      </c>
      <c r="J827" s="5">
        <v>53</v>
      </c>
      <c r="K827" s="5">
        <v>106</v>
      </c>
      <c r="L827" s="5" t="s">
        <v>51</v>
      </c>
      <c r="M827" s="5">
        <v>50</v>
      </c>
      <c r="N827" s="5">
        <v>90</v>
      </c>
      <c r="O827" s="5">
        <v>140</v>
      </c>
      <c r="P827" s="5">
        <v>23</v>
      </c>
      <c r="Q827">
        <f>SUM([1]!Table1[[#This Row],[Sales]])</f>
        <v>106</v>
      </c>
      <c r="R827">
        <f>SUM([1]!Table1[[#This Row],[Profit]])</f>
        <v>53</v>
      </c>
      <c r="S827" s="7">
        <f t="shared" si="96"/>
        <v>0.5</v>
      </c>
      <c r="T827">
        <f t="shared" si="97"/>
        <v>11</v>
      </c>
      <c r="U827">
        <f t="shared" si="98"/>
        <v>-34</v>
      </c>
      <c r="V827">
        <f t="shared" si="99"/>
        <v>-10</v>
      </c>
      <c r="W827">
        <f t="shared" si="100"/>
        <v>4.8181818181818183</v>
      </c>
      <c r="X827" t="str">
        <f t="shared" si="101"/>
        <v>Low Profit</v>
      </c>
      <c r="Y827">
        <f t="shared" si="102"/>
        <v>40</v>
      </c>
      <c r="Z827">
        <f t="shared" si="103"/>
        <v>106</v>
      </c>
    </row>
    <row r="828" spans="1:26">
      <c r="A828" s="3">
        <v>262</v>
      </c>
      <c r="B828" s="3">
        <v>80</v>
      </c>
      <c r="C828" s="4">
        <v>41548</v>
      </c>
      <c r="D828" s="3" t="s">
        <v>32</v>
      </c>
      <c r="E828" s="3" t="s">
        <v>17</v>
      </c>
      <c r="F828" s="3">
        <v>24</v>
      </c>
      <c r="G828" s="3" t="s">
        <v>33</v>
      </c>
      <c r="H828" s="3" t="s">
        <v>34</v>
      </c>
      <c r="I828" s="3" t="s">
        <v>46</v>
      </c>
      <c r="J828" s="3">
        <v>71</v>
      </c>
      <c r="K828" s="3">
        <v>185</v>
      </c>
      <c r="L828" s="3" t="s">
        <v>52</v>
      </c>
      <c r="M828" s="3">
        <v>110</v>
      </c>
      <c r="N828" s="3">
        <v>120</v>
      </c>
      <c r="O828" s="3">
        <v>250</v>
      </c>
      <c r="P828" s="3">
        <v>46</v>
      </c>
      <c r="Q828">
        <f>SUM([1]!Table1[[#This Row],[Sales]])</f>
        <v>185</v>
      </c>
      <c r="R828">
        <f>SUM([1]!Table1[[#This Row],[Profit]])</f>
        <v>71</v>
      </c>
      <c r="S828" s="7">
        <f t="shared" si="96"/>
        <v>0.38378378378378381</v>
      </c>
      <c r="T828">
        <f t="shared" si="97"/>
        <v>24</v>
      </c>
      <c r="U828">
        <f t="shared" si="98"/>
        <v>-65</v>
      </c>
      <c r="V828">
        <f t="shared" si="99"/>
        <v>-30</v>
      </c>
      <c r="W828">
        <f t="shared" si="100"/>
        <v>2.9583333333333335</v>
      </c>
      <c r="X828" t="str">
        <f t="shared" si="101"/>
        <v>Low Profit</v>
      </c>
      <c r="Y828">
        <f t="shared" si="102"/>
        <v>80</v>
      </c>
      <c r="Z828">
        <f t="shared" si="103"/>
        <v>185</v>
      </c>
    </row>
    <row r="829" spans="1:26">
      <c r="A829" s="5">
        <v>319</v>
      </c>
      <c r="B829" s="5">
        <v>257</v>
      </c>
      <c r="C829" s="6">
        <v>41548</v>
      </c>
      <c r="D829" s="5" t="s">
        <v>32</v>
      </c>
      <c r="E829" s="5" t="s">
        <v>17</v>
      </c>
      <c r="F829" s="5">
        <v>84</v>
      </c>
      <c r="G829" s="5" t="s">
        <v>18</v>
      </c>
      <c r="H829" s="5" t="s">
        <v>19</v>
      </c>
      <c r="I829" s="5" t="s">
        <v>50</v>
      </c>
      <c r="J829" s="5">
        <v>332</v>
      </c>
      <c r="K829" s="5">
        <v>637</v>
      </c>
      <c r="L829" s="5" t="s">
        <v>36</v>
      </c>
      <c r="M829" s="5">
        <v>200</v>
      </c>
      <c r="N829" s="5">
        <v>210</v>
      </c>
      <c r="O829" s="5">
        <v>480</v>
      </c>
      <c r="P829" s="5">
        <v>117</v>
      </c>
      <c r="Q829">
        <f>SUM([1]!Table1[[#This Row],[Sales]])</f>
        <v>637</v>
      </c>
      <c r="R829">
        <f>SUM([1]!Table1[[#This Row],[Profit]])</f>
        <v>332</v>
      </c>
      <c r="S829" s="7">
        <f t="shared" si="96"/>
        <v>0.52119309262166402</v>
      </c>
      <c r="T829">
        <f t="shared" si="97"/>
        <v>84</v>
      </c>
      <c r="U829">
        <f t="shared" si="98"/>
        <v>157</v>
      </c>
      <c r="V829">
        <f t="shared" si="99"/>
        <v>57</v>
      </c>
      <c r="W829">
        <f t="shared" si="100"/>
        <v>3.9523809523809526</v>
      </c>
      <c r="X829" t="str">
        <f t="shared" si="101"/>
        <v>High Profit</v>
      </c>
      <c r="Y829">
        <f t="shared" si="102"/>
        <v>257</v>
      </c>
      <c r="Z829">
        <f t="shared" si="103"/>
        <v>637</v>
      </c>
    </row>
    <row r="830" spans="1:26">
      <c r="A830" s="3">
        <v>515</v>
      </c>
      <c r="B830" s="3">
        <v>122</v>
      </c>
      <c r="C830" s="4">
        <v>41548</v>
      </c>
      <c r="D830" s="3" t="s">
        <v>32</v>
      </c>
      <c r="E830" s="3" t="s">
        <v>17</v>
      </c>
      <c r="F830" s="3">
        <v>39</v>
      </c>
      <c r="G830" s="3" t="s">
        <v>18</v>
      </c>
      <c r="H830" s="3" t="s">
        <v>19</v>
      </c>
      <c r="I830" s="3" t="s">
        <v>20</v>
      </c>
      <c r="J830" s="3">
        <v>169</v>
      </c>
      <c r="K830" s="3">
        <v>318</v>
      </c>
      <c r="L830" s="3" t="s">
        <v>36</v>
      </c>
      <c r="M830" s="3">
        <v>90</v>
      </c>
      <c r="N830" s="3">
        <v>130</v>
      </c>
      <c r="O830" s="3">
        <v>240</v>
      </c>
      <c r="P830" s="3">
        <v>62</v>
      </c>
      <c r="Q830">
        <f>SUM([1]!Table1[[#This Row],[Sales]])</f>
        <v>318</v>
      </c>
      <c r="R830">
        <f>SUM([1]!Table1[[#This Row],[Profit]])</f>
        <v>169</v>
      </c>
      <c r="S830" s="7">
        <f t="shared" si="96"/>
        <v>0.53144654088050314</v>
      </c>
      <c r="T830">
        <f t="shared" si="97"/>
        <v>39</v>
      </c>
      <c r="U830">
        <f t="shared" si="98"/>
        <v>78</v>
      </c>
      <c r="V830">
        <f t="shared" si="99"/>
        <v>32</v>
      </c>
      <c r="W830">
        <f t="shared" si="100"/>
        <v>4.333333333333333</v>
      </c>
      <c r="X830" t="str">
        <f t="shared" si="101"/>
        <v>High Profit</v>
      </c>
      <c r="Y830">
        <f t="shared" si="102"/>
        <v>122</v>
      </c>
      <c r="Z830">
        <f t="shared" si="103"/>
        <v>318</v>
      </c>
    </row>
    <row r="831" spans="1:26">
      <c r="A831" s="5">
        <v>417</v>
      </c>
      <c r="B831" s="5">
        <v>86</v>
      </c>
      <c r="C831" s="6">
        <v>41548</v>
      </c>
      <c r="D831" s="5" t="s">
        <v>32</v>
      </c>
      <c r="E831" s="5" t="s">
        <v>17</v>
      </c>
      <c r="F831" s="5">
        <v>26</v>
      </c>
      <c r="G831" s="5" t="s">
        <v>18</v>
      </c>
      <c r="H831" s="5" t="s">
        <v>19</v>
      </c>
      <c r="I831" s="5" t="s">
        <v>20</v>
      </c>
      <c r="J831" s="5">
        <v>-39</v>
      </c>
      <c r="K831" s="5">
        <v>116</v>
      </c>
      <c r="L831" s="5" t="s">
        <v>51</v>
      </c>
      <c r="M831" s="5">
        <v>60</v>
      </c>
      <c r="N831" s="5">
        <v>10</v>
      </c>
      <c r="O831" s="5">
        <v>80</v>
      </c>
      <c r="P831" s="5">
        <v>49</v>
      </c>
      <c r="Q831">
        <f>SUM([1]!Table1[[#This Row],[Sales]])</f>
        <v>116</v>
      </c>
      <c r="R831">
        <f>SUM([1]!Table1[[#This Row],[Profit]])</f>
        <v>-39</v>
      </c>
      <c r="S831" s="7">
        <f t="shared" si="96"/>
        <v>-0.33620689655172414</v>
      </c>
      <c r="T831">
        <f t="shared" si="97"/>
        <v>26</v>
      </c>
      <c r="U831">
        <f t="shared" si="98"/>
        <v>36</v>
      </c>
      <c r="V831">
        <f t="shared" si="99"/>
        <v>26</v>
      </c>
      <c r="W831">
        <f t="shared" si="100"/>
        <v>-1.5</v>
      </c>
      <c r="X831" t="str">
        <f t="shared" si="101"/>
        <v>Low Profit</v>
      </c>
      <c r="Y831">
        <f t="shared" si="102"/>
        <v>86</v>
      </c>
      <c r="Z831">
        <f t="shared" si="103"/>
        <v>116</v>
      </c>
    </row>
    <row r="832" spans="1:26">
      <c r="A832" s="3">
        <v>515</v>
      </c>
      <c r="B832" s="3">
        <v>239</v>
      </c>
      <c r="C832" s="4">
        <v>41548</v>
      </c>
      <c r="D832" s="3" t="s">
        <v>32</v>
      </c>
      <c r="E832" s="3" t="s">
        <v>17</v>
      </c>
      <c r="F832" s="3">
        <v>66</v>
      </c>
      <c r="G832" s="3" t="s">
        <v>18</v>
      </c>
      <c r="H832" s="3" t="s">
        <v>26</v>
      </c>
      <c r="I832" s="3" t="s">
        <v>27</v>
      </c>
      <c r="J832" s="3">
        <v>221</v>
      </c>
      <c r="K832" s="3">
        <v>509</v>
      </c>
      <c r="L832" s="3" t="s">
        <v>36</v>
      </c>
      <c r="M832" s="3">
        <v>170</v>
      </c>
      <c r="N832" s="3">
        <v>110</v>
      </c>
      <c r="O832" s="3">
        <v>340</v>
      </c>
      <c r="P832" s="3">
        <v>90</v>
      </c>
      <c r="Q832">
        <f>SUM([1]!Table1[[#This Row],[Sales]])</f>
        <v>509</v>
      </c>
      <c r="R832">
        <f>SUM([1]!Table1[[#This Row],[Profit]])</f>
        <v>221</v>
      </c>
      <c r="S832" s="7">
        <f t="shared" si="96"/>
        <v>0.43418467583497056</v>
      </c>
      <c r="T832">
        <f t="shared" si="97"/>
        <v>66</v>
      </c>
      <c r="U832">
        <f t="shared" si="98"/>
        <v>169</v>
      </c>
      <c r="V832">
        <f t="shared" si="99"/>
        <v>69</v>
      </c>
      <c r="W832">
        <f t="shared" si="100"/>
        <v>3.3484848484848486</v>
      </c>
      <c r="X832" t="str">
        <f t="shared" si="101"/>
        <v>High Profit</v>
      </c>
      <c r="Y832">
        <f t="shared" si="102"/>
        <v>239</v>
      </c>
      <c r="Z832">
        <f t="shared" si="103"/>
        <v>509</v>
      </c>
    </row>
    <row r="833" spans="1:26">
      <c r="A833" s="5">
        <v>515</v>
      </c>
      <c r="B833" s="5">
        <v>255</v>
      </c>
      <c r="C833" s="6">
        <v>41548</v>
      </c>
      <c r="D833" s="5" t="s">
        <v>32</v>
      </c>
      <c r="E833" s="5" t="s">
        <v>17</v>
      </c>
      <c r="F833" s="5">
        <v>96</v>
      </c>
      <c r="G833" s="5" t="s">
        <v>18</v>
      </c>
      <c r="H833" s="5" t="s">
        <v>26</v>
      </c>
      <c r="I833" s="5" t="s">
        <v>54</v>
      </c>
      <c r="J833" s="5">
        <v>272</v>
      </c>
      <c r="K833" s="5">
        <v>604</v>
      </c>
      <c r="L833" s="5" t="s">
        <v>36</v>
      </c>
      <c r="M833" s="5">
        <v>170</v>
      </c>
      <c r="N833" s="5">
        <v>130</v>
      </c>
      <c r="O833" s="5">
        <v>400</v>
      </c>
      <c r="P833" s="5">
        <v>129</v>
      </c>
      <c r="Q833">
        <f>SUM([1]!Table1[[#This Row],[Sales]])</f>
        <v>604</v>
      </c>
      <c r="R833">
        <f>SUM([1]!Table1[[#This Row],[Profit]])</f>
        <v>272</v>
      </c>
      <c r="S833" s="7">
        <f t="shared" si="96"/>
        <v>0.45033112582781459</v>
      </c>
      <c r="T833">
        <f t="shared" si="97"/>
        <v>96</v>
      </c>
      <c r="U833">
        <f t="shared" si="98"/>
        <v>204</v>
      </c>
      <c r="V833">
        <f t="shared" si="99"/>
        <v>85</v>
      </c>
      <c r="W833">
        <f t="shared" si="100"/>
        <v>2.8333333333333335</v>
      </c>
      <c r="X833" t="str">
        <f t="shared" si="101"/>
        <v>High Profit</v>
      </c>
      <c r="Y833">
        <f t="shared" si="102"/>
        <v>255</v>
      </c>
      <c r="Z833">
        <f t="shared" si="103"/>
        <v>604</v>
      </c>
    </row>
    <row r="834" spans="1:26">
      <c r="A834" s="3">
        <v>573</v>
      </c>
      <c r="B834" s="3">
        <v>25</v>
      </c>
      <c r="C834" s="4">
        <v>41548</v>
      </c>
      <c r="D834" s="3" t="s">
        <v>32</v>
      </c>
      <c r="E834" s="3" t="s">
        <v>17</v>
      </c>
      <c r="F834" s="3">
        <v>9</v>
      </c>
      <c r="G834" s="3" t="s">
        <v>18</v>
      </c>
      <c r="H834" s="3" t="s">
        <v>26</v>
      </c>
      <c r="I834" s="3" t="s">
        <v>54</v>
      </c>
      <c r="J834" s="3">
        <v>-16</v>
      </c>
      <c r="K834" s="3">
        <v>60</v>
      </c>
      <c r="L834" s="3" t="s">
        <v>51</v>
      </c>
      <c r="M834" s="3">
        <v>10</v>
      </c>
      <c r="N834" s="3">
        <v>0</v>
      </c>
      <c r="O834" s="3">
        <v>30</v>
      </c>
      <c r="P834" s="3">
        <v>42</v>
      </c>
      <c r="Q834">
        <f>SUM([1]!Table1[[#This Row],[Sales]])</f>
        <v>60</v>
      </c>
      <c r="R834">
        <f>SUM([1]!Table1[[#This Row],[Profit]])</f>
        <v>-16</v>
      </c>
      <c r="S834" s="7">
        <f t="shared" si="96"/>
        <v>-0.26666666666666666</v>
      </c>
      <c r="T834">
        <f t="shared" si="97"/>
        <v>9</v>
      </c>
      <c r="U834">
        <f t="shared" si="98"/>
        <v>30</v>
      </c>
      <c r="V834">
        <f t="shared" si="99"/>
        <v>15</v>
      </c>
      <c r="W834">
        <f t="shared" si="100"/>
        <v>-1.7777777777777777</v>
      </c>
      <c r="X834" t="str">
        <f t="shared" si="101"/>
        <v>Low Profit</v>
      </c>
      <c r="Y834">
        <f t="shared" si="102"/>
        <v>25</v>
      </c>
      <c r="Z834">
        <f t="shared" si="103"/>
        <v>60</v>
      </c>
    </row>
    <row r="835" spans="1:26">
      <c r="A835" s="5">
        <v>720</v>
      </c>
      <c r="B835" s="5">
        <v>81</v>
      </c>
      <c r="C835" s="6">
        <v>41579</v>
      </c>
      <c r="D835" s="5" t="s">
        <v>16</v>
      </c>
      <c r="E835" s="5" t="s">
        <v>17</v>
      </c>
      <c r="F835" s="5">
        <v>22</v>
      </c>
      <c r="G835" s="5" t="s">
        <v>33</v>
      </c>
      <c r="H835" s="5" t="s">
        <v>38</v>
      </c>
      <c r="I835" s="5" t="s">
        <v>39</v>
      </c>
      <c r="J835" s="5">
        <v>125</v>
      </c>
      <c r="K835" s="5">
        <v>211</v>
      </c>
      <c r="L835" s="5" t="s">
        <v>21</v>
      </c>
      <c r="M835" s="5">
        <v>80</v>
      </c>
      <c r="N835" s="5">
        <v>80</v>
      </c>
      <c r="O835" s="5">
        <v>190</v>
      </c>
      <c r="P835" s="5">
        <v>33</v>
      </c>
      <c r="Q835">
        <f>SUM([1]!Table1[[#This Row],[Sales]])</f>
        <v>211</v>
      </c>
      <c r="R835">
        <f>SUM([1]!Table1[[#This Row],[Profit]])</f>
        <v>125</v>
      </c>
      <c r="S835" s="7">
        <f t="shared" ref="S835:S898" si="104">J835/K835</f>
        <v>0.59241706161137442</v>
      </c>
      <c r="T835">
        <f t="shared" ref="T835:T898" si="105">SUM(F835)</f>
        <v>22</v>
      </c>
      <c r="U835">
        <f t="shared" ref="U835:U898" si="106">K835-O835</f>
        <v>21</v>
      </c>
      <c r="V835">
        <f t="shared" ref="V835:V898" si="107">B835-M835</f>
        <v>1</v>
      </c>
      <c r="W835">
        <f t="shared" ref="W835:W898" si="108">J835/F835</f>
        <v>5.6818181818181817</v>
      </c>
      <c r="X835" t="str">
        <f t="shared" ref="X835:X898" si="109">IF(J835&gt;100,"High Profit","Low Profit")</f>
        <v>High Profit</v>
      </c>
      <c r="Y835">
        <f t="shared" ref="Y835:Y898" si="110">SUM(B835)</f>
        <v>81</v>
      </c>
      <c r="Z835">
        <f t="shared" ref="Z835:Z898" si="111">SUM(K835)</f>
        <v>211</v>
      </c>
    </row>
    <row r="836" spans="1:26">
      <c r="A836" s="3">
        <v>847</v>
      </c>
      <c r="B836" s="3">
        <v>113</v>
      </c>
      <c r="C836" s="4">
        <v>41579</v>
      </c>
      <c r="D836" s="3" t="s">
        <v>16</v>
      </c>
      <c r="E836" s="3" t="s">
        <v>17</v>
      </c>
      <c r="F836" s="3">
        <v>36</v>
      </c>
      <c r="G836" s="3" t="s">
        <v>33</v>
      </c>
      <c r="H836" s="3" t="s">
        <v>38</v>
      </c>
      <c r="I836" s="3" t="s">
        <v>39</v>
      </c>
      <c r="J836" s="3">
        <v>157</v>
      </c>
      <c r="K836" s="3">
        <v>296</v>
      </c>
      <c r="L836" s="3" t="s">
        <v>56</v>
      </c>
      <c r="M836" s="3">
        <v>110</v>
      </c>
      <c r="N836" s="3">
        <v>110</v>
      </c>
      <c r="O836" s="3">
        <v>270</v>
      </c>
      <c r="P836" s="3">
        <v>59</v>
      </c>
      <c r="Q836">
        <f>SUM([1]!Table1[[#This Row],[Sales]])</f>
        <v>296</v>
      </c>
      <c r="R836">
        <f>SUM([1]!Table1[[#This Row],[Profit]])</f>
        <v>157</v>
      </c>
      <c r="S836" s="7">
        <f t="shared" si="104"/>
        <v>0.53040540540540537</v>
      </c>
      <c r="T836">
        <f t="shared" si="105"/>
        <v>36</v>
      </c>
      <c r="U836">
        <f t="shared" si="106"/>
        <v>26</v>
      </c>
      <c r="V836">
        <f t="shared" si="107"/>
        <v>3</v>
      </c>
      <c r="W836">
        <f t="shared" si="108"/>
        <v>4.3611111111111107</v>
      </c>
      <c r="X836" t="str">
        <f t="shared" si="109"/>
        <v>High Profit</v>
      </c>
      <c r="Y836">
        <f t="shared" si="110"/>
        <v>113</v>
      </c>
      <c r="Z836">
        <f t="shared" si="111"/>
        <v>296</v>
      </c>
    </row>
    <row r="837" spans="1:26">
      <c r="A837" s="5">
        <v>970</v>
      </c>
      <c r="B837" s="5">
        <v>75</v>
      </c>
      <c r="C837" s="6">
        <v>41579</v>
      </c>
      <c r="D837" s="5" t="s">
        <v>16</v>
      </c>
      <c r="E837" s="5" t="s">
        <v>17</v>
      </c>
      <c r="F837" s="5">
        <v>24</v>
      </c>
      <c r="G837" s="5" t="s">
        <v>33</v>
      </c>
      <c r="H837" s="5" t="s">
        <v>34</v>
      </c>
      <c r="I837" s="5" t="s">
        <v>35</v>
      </c>
      <c r="J837" s="5">
        <v>86</v>
      </c>
      <c r="K837" s="5">
        <v>201</v>
      </c>
      <c r="L837" s="5" t="s">
        <v>21</v>
      </c>
      <c r="M837" s="5">
        <v>90</v>
      </c>
      <c r="N837" s="5">
        <v>100</v>
      </c>
      <c r="O837" s="5">
        <v>240</v>
      </c>
      <c r="P837" s="5">
        <v>56</v>
      </c>
      <c r="Q837">
        <f>SUM([1]!Table1[[#This Row],[Sales]])</f>
        <v>201</v>
      </c>
      <c r="R837">
        <f>SUM([1]!Table1[[#This Row],[Profit]])</f>
        <v>86</v>
      </c>
      <c r="S837" s="7">
        <f t="shared" si="104"/>
        <v>0.42786069651741293</v>
      </c>
      <c r="T837">
        <f t="shared" si="105"/>
        <v>24</v>
      </c>
      <c r="U837">
        <f t="shared" si="106"/>
        <v>-39</v>
      </c>
      <c r="V837">
        <f t="shared" si="107"/>
        <v>-15</v>
      </c>
      <c r="W837">
        <f t="shared" si="108"/>
        <v>3.5833333333333335</v>
      </c>
      <c r="X837" t="str">
        <f t="shared" si="109"/>
        <v>Low Profit</v>
      </c>
      <c r="Y837">
        <f t="shared" si="110"/>
        <v>75</v>
      </c>
      <c r="Z837">
        <f t="shared" si="111"/>
        <v>201</v>
      </c>
    </row>
    <row r="838" spans="1:26">
      <c r="A838" s="3">
        <v>847</v>
      </c>
      <c r="B838" s="3">
        <v>211</v>
      </c>
      <c r="C838" s="4">
        <v>41579</v>
      </c>
      <c r="D838" s="3" t="s">
        <v>16</v>
      </c>
      <c r="E838" s="3" t="s">
        <v>17</v>
      </c>
      <c r="F838" s="3">
        <v>59</v>
      </c>
      <c r="G838" s="3" t="s">
        <v>33</v>
      </c>
      <c r="H838" s="3" t="s">
        <v>34</v>
      </c>
      <c r="I838" s="3" t="s">
        <v>35</v>
      </c>
      <c r="J838" s="3">
        <v>191</v>
      </c>
      <c r="K838" s="3">
        <v>451</v>
      </c>
      <c r="L838" s="3" t="s">
        <v>56</v>
      </c>
      <c r="M838" s="3">
        <v>270</v>
      </c>
      <c r="N838" s="3">
        <v>200</v>
      </c>
      <c r="O838" s="3">
        <v>540</v>
      </c>
      <c r="P838" s="3">
        <v>83</v>
      </c>
      <c r="Q838">
        <f>SUM([1]!Table1[[#This Row],[Sales]])</f>
        <v>451</v>
      </c>
      <c r="R838">
        <f>SUM([1]!Table1[[#This Row],[Profit]])</f>
        <v>191</v>
      </c>
      <c r="S838" s="7">
        <f t="shared" si="104"/>
        <v>0.42350332594235035</v>
      </c>
      <c r="T838">
        <f t="shared" si="105"/>
        <v>59</v>
      </c>
      <c r="U838">
        <f t="shared" si="106"/>
        <v>-89</v>
      </c>
      <c r="V838">
        <f t="shared" si="107"/>
        <v>-59</v>
      </c>
      <c r="W838">
        <f t="shared" si="108"/>
        <v>3.2372881355932202</v>
      </c>
      <c r="X838" t="str">
        <f t="shared" si="109"/>
        <v>High Profit</v>
      </c>
      <c r="Y838">
        <f t="shared" si="110"/>
        <v>211</v>
      </c>
      <c r="Z838">
        <f t="shared" si="111"/>
        <v>451</v>
      </c>
    </row>
    <row r="839" spans="1:26">
      <c r="A839" s="5">
        <v>719</v>
      </c>
      <c r="B839" s="5">
        <v>118</v>
      </c>
      <c r="C839" s="6">
        <v>41579</v>
      </c>
      <c r="D839" s="5" t="s">
        <v>16</v>
      </c>
      <c r="E839" s="5" t="s">
        <v>17</v>
      </c>
      <c r="F839" s="5">
        <v>33</v>
      </c>
      <c r="G839" s="5" t="s">
        <v>33</v>
      </c>
      <c r="H839" s="5" t="s">
        <v>38</v>
      </c>
      <c r="I839" s="5" t="s">
        <v>43</v>
      </c>
      <c r="J839" s="5">
        <v>190</v>
      </c>
      <c r="K839" s="5">
        <v>309</v>
      </c>
      <c r="L839" s="5" t="s">
        <v>21</v>
      </c>
      <c r="M839" s="5">
        <v>110</v>
      </c>
      <c r="N839" s="5">
        <v>130</v>
      </c>
      <c r="O839" s="5">
        <v>280</v>
      </c>
      <c r="P839" s="5">
        <v>44</v>
      </c>
      <c r="Q839">
        <f>SUM([1]!Table1[[#This Row],[Sales]])</f>
        <v>309</v>
      </c>
      <c r="R839">
        <f>SUM([1]!Table1[[#This Row],[Profit]])</f>
        <v>190</v>
      </c>
      <c r="S839" s="7">
        <f t="shared" si="104"/>
        <v>0.61488673139158578</v>
      </c>
      <c r="T839">
        <f t="shared" si="105"/>
        <v>33</v>
      </c>
      <c r="U839">
        <f t="shared" si="106"/>
        <v>29</v>
      </c>
      <c r="V839">
        <f t="shared" si="107"/>
        <v>8</v>
      </c>
      <c r="W839">
        <f t="shared" si="108"/>
        <v>5.7575757575757578</v>
      </c>
      <c r="X839" t="str">
        <f t="shared" si="109"/>
        <v>High Profit</v>
      </c>
      <c r="Y839">
        <f t="shared" si="110"/>
        <v>118</v>
      </c>
      <c r="Z839">
        <f t="shared" si="111"/>
        <v>309</v>
      </c>
    </row>
    <row r="840" spans="1:26">
      <c r="A840" s="3">
        <v>815</v>
      </c>
      <c r="B840" s="3">
        <v>173</v>
      </c>
      <c r="C840" s="4">
        <v>41579</v>
      </c>
      <c r="D840" s="3" t="s">
        <v>16</v>
      </c>
      <c r="E840" s="3" t="s">
        <v>17</v>
      </c>
      <c r="F840" s="3">
        <v>57</v>
      </c>
      <c r="G840" s="3" t="s">
        <v>33</v>
      </c>
      <c r="H840" s="3" t="s">
        <v>38</v>
      </c>
      <c r="I840" s="3" t="s">
        <v>45</v>
      </c>
      <c r="J840" s="3">
        <v>206</v>
      </c>
      <c r="K840" s="3">
        <v>439</v>
      </c>
      <c r="L840" s="3" t="s">
        <v>56</v>
      </c>
      <c r="M840" s="3">
        <v>170</v>
      </c>
      <c r="N840" s="3">
        <v>140</v>
      </c>
      <c r="O840" s="3">
        <v>400</v>
      </c>
      <c r="P840" s="3">
        <v>100</v>
      </c>
      <c r="Q840">
        <f>SUM([1]!Table1[[#This Row],[Sales]])</f>
        <v>439</v>
      </c>
      <c r="R840">
        <f>SUM([1]!Table1[[#This Row],[Profit]])</f>
        <v>206</v>
      </c>
      <c r="S840" s="7">
        <f t="shared" si="104"/>
        <v>0.46924829157175396</v>
      </c>
      <c r="T840">
        <f t="shared" si="105"/>
        <v>57</v>
      </c>
      <c r="U840">
        <f t="shared" si="106"/>
        <v>39</v>
      </c>
      <c r="V840">
        <f t="shared" si="107"/>
        <v>3</v>
      </c>
      <c r="W840">
        <f t="shared" si="108"/>
        <v>3.6140350877192984</v>
      </c>
      <c r="X840" t="str">
        <f t="shared" si="109"/>
        <v>High Profit</v>
      </c>
      <c r="Y840">
        <f t="shared" si="110"/>
        <v>173</v>
      </c>
      <c r="Z840">
        <f t="shared" si="111"/>
        <v>439</v>
      </c>
    </row>
    <row r="841" spans="1:26">
      <c r="A841" s="5">
        <v>303</v>
      </c>
      <c r="B841" s="5">
        <v>50</v>
      </c>
      <c r="C841" s="6">
        <v>41579</v>
      </c>
      <c r="D841" s="5" t="s">
        <v>16</v>
      </c>
      <c r="E841" s="5" t="s">
        <v>17</v>
      </c>
      <c r="F841" s="5">
        <v>14</v>
      </c>
      <c r="G841" s="5" t="s">
        <v>33</v>
      </c>
      <c r="H841" s="5" t="s">
        <v>34</v>
      </c>
      <c r="I841" s="5" t="s">
        <v>46</v>
      </c>
      <c r="J841" s="5">
        <v>71</v>
      </c>
      <c r="K841" s="5">
        <v>131</v>
      </c>
      <c r="L841" s="5" t="s">
        <v>21</v>
      </c>
      <c r="M841" s="5">
        <v>60</v>
      </c>
      <c r="N841" s="5">
        <v>70</v>
      </c>
      <c r="O841" s="5">
        <v>150</v>
      </c>
      <c r="P841" s="5">
        <v>25</v>
      </c>
      <c r="Q841">
        <f>SUM([1]!Table1[[#This Row],[Sales]])</f>
        <v>131</v>
      </c>
      <c r="R841">
        <f>SUM([1]!Table1[[#This Row],[Profit]])</f>
        <v>71</v>
      </c>
      <c r="S841" s="7">
        <f t="shared" si="104"/>
        <v>0.5419847328244275</v>
      </c>
      <c r="T841">
        <f t="shared" si="105"/>
        <v>14</v>
      </c>
      <c r="U841">
        <f t="shared" si="106"/>
        <v>-19</v>
      </c>
      <c r="V841">
        <f t="shared" si="107"/>
        <v>-10</v>
      </c>
      <c r="W841">
        <f t="shared" si="108"/>
        <v>5.0714285714285712</v>
      </c>
      <c r="X841" t="str">
        <f t="shared" si="109"/>
        <v>Low Profit</v>
      </c>
      <c r="Y841">
        <f t="shared" si="110"/>
        <v>50</v>
      </c>
      <c r="Z841">
        <f t="shared" si="111"/>
        <v>131</v>
      </c>
    </row>
    <row r="842" spans="1:26">
      <c r="A842" s="3">
        <v>630</v>
      </c>
      <c r="B842" s="3">
        <v>228</v>
      </c>
      <c r="C842" s="4">
        <v>41579</v>
      </c>
      <c r="D842" s="3" t="s">
        <v>16</v>
      </c>
      <c r="E842" s="3" t="s">
        <v>17</v>
      </c>
      <c r="F842" s="3">
        <v>75</v>
      </c>
      <c r="G842" s="3" t="s">
        <v>33</v>
      </c>
      <c r="H842" s="3" t="s">
        <v>34</v>
      </c>
      <c r="I842" s="3" t="s">
        <v>46</v>
      </c>
      <c r="J842" s="3">
        <v>291</v>
      </c>
      <c r="K842" s="3">
        <v>567</v>
      </c>
      <c r="L842" s="3" t="s">
        <v>56</v>
      </c>
      <c r="M842" s="3">
        <v>290</v>
      </c>
      <c r="N842" s="3">
        <v>290</v>
      </c>
      <c r="O842" s="3">
        <v>680</v>
      </c>
      <c r="P842" s="3">
        <v>108</v>
      </c>
      <c r="Q842">
        <f>SUM([1]!Table1[[#This Row],[Sales]])</f>
        <v>567</v>
      </c>
      <c r="R842">
        <f>SUM([1]!Table1[[#This Row],[Profit]])</f>
        <v>291</v>
      </c>
      <c r="S842" s="7">
        <f t="shared" si="104"/>
        <v>0.51322751322751325</v>
      </c>
      <c r="T842">
        <f t="shared" si="105"/>
        <v>75</v>
      </c>
      <c r="U842">
        <f t="shared" si="106"/>
        <v>-113</v>
      </c>
      <c r="V842">
        <f t="shared" si="107"/>
        <v>-62</v>
      </c>
      <c r="W842">
        <f t="shared" si="108"/>
        <v>3.88</v>
      </c>
      <c r="X842" t="str">
        <f t="shared" si="109"/>
        <v>High Profit</v>
      </c>
      <c r="Y842">
        <f t="shared" si="110"/>
        <v>228</v>
      </c>
      <c r="Z842">
        <f t="shared" si="111"/>
        <v>567</v>
      </c>
    </row>
    <row r="843" spans="1:26">
      <c r="A843" s="5">
        <v>234</v>
      </c>
      <c r="B843" s="5">
        <v>181</v>
      </c>
      <c r="C843" s="6">
        <v>41579</v>
      </c>
      <c r="D843" s="5" t="s">
        <v>16</v>
      </c>
      <c r="E843" s="5" t="s">
        <v>17</v>
      </c>
      <c r="F843" s="5">
        <v>50</v>
      </c>
      <c r="G843" s="5" t="s">
        <v>33</v>
      </c>
      <c r="H843" s="5" t="s">
        <v>34</v>
      </c>
      <c r="I843" s="5" t="s">
        <v>46</v>
      </c>
      <c r="J843" s="5">
        <v>159</v>
      </c>
      <c r="K843" s="5">
        <v>387</v>
      </c>
      <c r="L843" s="5" t="s">
        <v>58</v>
      </c>
      <c r="M843" s="5">
        <v>230</v>
      </c>
      <c r="N843" s="5">
        <v>170</v>
      </c>
      <c r="O843" s="5">
        <v>460</v>
      </c>
      <c r="P843" s="5">
        <v>75</v>
      </c>
      <c r="Q843">
        <f>SUM([1]!Table1[[#This Row],[Sales]])</f>
        <v>387</v>
      </c>
      <c r="R843">
        <f>SUM([1]!Table1[[#This Row],[Profit]])</f>
        <v>159</v>
      </c>
      <c r="S843" s="7">
        <f t="shared" si="104"/>
        <v>0.41085271317829458</v>
      </c>
      <c r="T843">
        <f t="shared" si="105"/>
        <v>50</v>
      </c>
      <c r="U843">
        <f t="shared" si="106"/>
        <v>-73</v>
      </c>
      <c r="V843">
        <f t="shared" si="107"/>
        <v>-49</v>
      </c>
      <c r="W843">
        <f t="shared" si="108"/>
        <v>3.18</v>
      </c>
      <c r="X843" t="str">
        <f t="shared" si="109"/>
        <v>High Profit</v>
      </c>
      <c r="Y843">
        <f t="shared" si="110"/>
        <v>181</v>
      </c>
      <c r="Z843">
        <f t="shared" si="111"/>
        <v>387</v>
      </c>
    </row>
    <row r="844" spans="1:26">
      <c r="A844" s="3">
        <v>970</v>
      </c>
      <c r="B844" s="3">
        <v>181</v>
      </c>
      <c r="C844" s="4">
        <v>41579</v>
      </c>
      <c r="D844" s="3" t="s">
        <v>16</v>
      </c>
      <c r="E844" s="3" t="s">
        <v>17</v>
      </c>
      <c r="F844" s="3">
        <v>50</v>
      </c>
      <c r="G844" s="3" t="s">
        <v>18</v>
      </c>
      <c r="H844" s="3" t="s">
        <v>19</v>
      </c>
      <c r="I844" s="3" t="s">
        <v>50</v>
      </c>
      <c r="J844" s="3">
        <v>159</v>
      </c>
      <c r="K844" s="3">
        <v>387</v>
      </c>
      <c r="L844" s="3" t="s">
        <v>21</v>
      </c>
      <c r="M844" s="3">
        <v>170</v>
      </c>
      <c r="N844" s="3">
        <v>100</v>
      </c>
      <c r="O844" s="3">
        <v>330</v>
      </c>
      <c r="P844" s="3">
        <v>75</v>
      </c>
      <c r="Q844">
        <f>SUM([1]!Table1[[#This Row],[Sales]])</f>
        <v>387</v>
      </c>
      <c r="R844">
        <f>SUM([1]!Table1[[#This Row],[Profit]])</f>
        <v>159</v>
      </c>
      <c r="S844" s="7">
        <f t="shared" si="104"/>
        <v>0.41085271317829458</v>
      </c>
      <c r="T844">
        <f t="shared" si="105"/>
        <v>50</v>
      </c>
      <c r="U844">
        <f t="shared" si="106"/>
        <v>57</v>
      </c>
      <c r="V844">
        <f t="shared" si="107"/>
        <v>11</v>
      </c>
      <c r="W844">
        <f t="shared" si="108"/>
        <v>3.18</v>
      </c>
      <c r="X844" t="str">
        <f t="shared" si="109"/>
        <v>High Profit</v>
      </c>
      <c r="Y844">
        <f t="shared" si="110"/>
        <v>181</v>
      </c>
      <c r="Z844">
        <f t="shared" si="111"/>
        <v>387</v>
      </c>
    </row>
    <row r="845" spans="1:26">
      <c r="A845" s="5">
        <v>708</v>
      </c>
      <c r="B845" s="5">
        <v>118</v>
      </c>
      <c r="C845" s="6">
        <v>41579</v>
      </c>
      <c r="D845" s="5" t="s">
        <v>16</v>
      </c>
      <c r="E845" s="5" t="s">
        <v>17</v>
      </c>
      <c r="F845" s="5">
        <v>33</v>
      </c>
      <c r="G845" s="5" t="s">
        <v>18</v>
      </c>
      <c r="H845" s="5" t="s">
        <v>19</v>
      </c>
      <c r="I845" s="5" t="s">
        <v>50</v>
      </c>
      <c r="J845" s="5">
        <v>188</v>
      </c>
      <c r="K845" s="5">
        <v>309</v>
      </c>
      <c r="L845" s="5" t="s">
        <v>56</v>
      </c>
      <c r="M845" s="5">
        <v>110</v>
      </c>
      <c r="N845" s="5">
        <v>110</v>
      </c>
      <c r="O845" s="5">
        <v>260</v>
      </c>
      <c r="P845" s="5">
        <v>45</v>
      </c>
      <c r="Q845">
        <f>SUM([1]!Table1[[#This Row],[Sales]])</f>
        <v>309</v>
      </c>
      <c r="R845">
        <f>SUM([1]!Table1[[#This Row],[Profit]])</f>
        <v>188</v>
      </c>
      <c r="S845" s="7">
        <f t="shared" si="104"/>
        <v>0.60841423948220064</v>
      </c>
      <c r="T845">
        <f t="shared" si="105"/>
        <v>33</v>
      </c>
      <c r="U845">
        <f t="shared" si="106"/>
        <v>49</v>
      </c>
      <c r="V845">
        <f t="shared" si="107"/>
        <v>8</v>
      </c>
      <c r="W845">
        <f t="shared" si="108"/>
        <v>5.6969696969696972</v>
      </c>
      <c r="X845" t="str">
        <f t="shared" si="109"/>
        <v>High Profit</v>
      </c>
      <c r="Y845">
        <f t="shared" si="110"/>
        <v>118</v>
      </c>
      <c r="Z845">
        <f t="shared" si="111"/>
        <v>309</v>
      </c>
    </row>
    <row r="846" spans="1:26">
      <c r="A846" s="3">
        <v>708</v>
      </c>
      <c r="B846" s="3">
        <v>81</v>
      </c>
      <c r="C846" s="4">
        <v>41579</v>
      </c>
      <c r="D846" s="3" t="s">
        <v>16</v>
      </c>
      <c r="E846" s="3" t="s">
        <v>17</v>
      </c>
      <c r="F846" s="3">
        <v>22</v>
      </c>
      <c r="G846" s="3" t="s">
        <v>18</v>
      </c>
      <c r="H846" s="3" t="s">
        <v>19</v>
      </c>
      <c r="I846" s="3" t="s">
        <v>22</v>
      </c>
      <c r="J846" s="3">
        <v>125</v>
      </c>
      <c r="K846" s="3">
        <v>211</v>
      </c>
      <c r="L846" s="3" t="s">
        <v>56</v>
      </c>
      <c r="M846" s="3">
        <v>70</v>
      </c>
      <c r="N846" s="3">
        <v>80</v>
      </c>
      <c r="O846" s="3">
        <v>180</v>
      </c>
      <c r="P846" s="3">
        <v>33</v>
      </c>
      <c r="Q846">
        <f>SUM([1]!Table1[[#This Row],[Sales]])</f>
        <v>211</v>
      </c>
      <c r="R846">
        <f>SUM([1]!Table1[[#This Row],[Profit]])</f>
        <v>125</v>
      </c>
      <c r="S846" s="7">
        <f t="shared" si="104"/>
        <v>0.59241706161137442</v>
      </c>
      <c r="T846">
        <f t="shared" si="105"/>
        <v>22</v>
      </c>
      <c r="U846">
        <f t="shared" si="106"/>
        <v>31</v>
      </c>
      <c r="V846">
        <f t="shared" si="107"/>
        <v>11</v>
      </c>
      <c r="W846">
        <f t="shared" si="108"/>
        <v>5.6818181818181817</v>
      </c>
      <c r="X846" t="str">
        <f t="shared" si="109"/>
        <v>High Profit</v>
      </c>
      <c r="Y846">
        <f t="shared" si="110"/>
        <v>81</v>
      </c>
      <c r="Z846">
        <f t="shared" si="111"/>
        <v>211</v>
      </c>
    </row>
    <row r="847" spans="1:26">
      <c r="A847" s="5">
        <v>614</v>
      </c>
      <c r="B847" s="5">
        <v>78</v>
      </c>
      <c r="C847" s="6">
        <v>41579</v>
      </c>
      <c r="D847" s="5" t="s">
        <v>16</v>
      </c>
      <c r="E847" s="5" t="s">
        <v>17</v>
      </c>
      <c r="F847" s="5">
        <v>25</v>
      </c>
      <c r="G847" s="5" t="s">
        <v>18</v>
      </c>
      <c r="H847" s="5" t="s">
        <v>26</v>
      </c>
      <c r="I847" s="5" t="s">
        <v>27</v>
      </c>
      <c r="J847" s="5">
        <v>92</v>
      </c>
      <c r="K847" s="5">
        <v>210</v>
      </c>
      <c r="L847" s="5" t="s">
        <v>58</v>
      </c>
      <c r="M847" s="5">
        <v>60</v>
      </c>
      <c r="N847" s="5">
        <v>60</v>
      </c>
      <c r="O847" s="5">
        <v>160</v>
      </c>
      <c r="P847" s="5">
        <v>57</v>
      </c>
      <c r="Q847">
        <f>SUM([1]!Table1[[#This Row],[Sales]])</f>
        <v>210</v>
      </c>
      <c r="R847">
        <f>SUM([1]!Table1[[#This Row],[Profit]])</f>
        <v>92</v>
      </c>
      <c r="S847" s="7">
        <f t="shared" si="104"/>
        <v>0.43809523809523809</v>
      </c>
      <c r="T847">
        <f t="shared" si="105"/>
        <v>25</v>
      </c>
      <c r="U847">
        <f t="shared" si="106"/>
        <v>50</v>
      </c>
      <c r="V847">
        <f t="shared" si="107"/>
        <v>18</v>
      </c>
      <c r="W847">
        <f t="shared" si="108"/>
        <v>3.68</v>
      </c>
      <c r="X847" t="str">
        <f t="shared" si="109"/>
        <v>Low Profit</v>
      </c>
      <c r="Y847">
        <f t="shared" si="110"/>
        <v>78</v>
      </c>
      <c r="Z847">
        <f t="shared" si="111"/>
        <v>210</v>
      </c>
    </row>
    <row r="848" spans="1:26">
      <c r="A848" s="3">
        <v>309</v>
      </c>
      <c r="B848" s="3">
        <v>75</v>
      </c>
      <c r="C848" s="4">
        <v>41579</v>
      </c>
      <c r="D848" s="3" t="s">
        <v>16</v>
      </c>
      <c r="E848" s="3" t="s">
        <v>17</v>
      </c>
      <c r="F848" s="3">
        <v>24</v>
      </c>
      <c r="G848" s="3" t="s">
        <v>18</v>
      </c>
      <c r="H848" s="3" t="s">
        <v>26</v>
      </c>
      <c r="I848" s="3" t="s">
        <v>54</v>
      </c>
      <c r="J848" s="3">
        <v>88</v>
      </c>
      <c r="K848" s="3">
        <v>201</v>
      </c>
      <c r="L848" s="3" t="s">
        <v>56</v>
      </c>
      <c r="M848" s="3">
        <v>60</v>
      </c>
      <c r="N848" s="3">
        <v>50</v>
      </c>
      <c r="O848" s="3">
        <v>150</v>
      </c>
      <c r="P848" s="3">
        <v>55</v>
      </c>
      <c r="Q848">
        <f>SUM([1]!Table1[[#This Row],[Sales]])</f>
        <v>201</v>
      </c>
      <c r="R848">
        <f>SUM([1]!Table1[[#This Row],[Profit]])</f>
        <v>88</v>
      </c>
      <c r="S848" s="7">
        <f t="shared" si="104"/>
        <v>0.43781094527363185</v>
      </c>
      <c r="T848">
        <f t="shared" si="105"/>
        <v>24</v>
      </c>
      <c r="U848">
        <f t="shared" si="106"/>
        <v>51</v>
      </c>
      <c r="V848">
        <f t="shared" si="107"/>
        <v>15</v>
      </c>
      <c r="W848">
        <f t="shared" si="108"/>
        <v>3.6666666666666665</v>
      </c>
      <c r="X848" t="str">
        <f t="shared" si="109"/>
        <v>Low Profit</v>
      </c>
      <c r="Y848">
        <f t="shared" si="110"/>
        <v>75</v>
      </c>
      <c r="Z848">
        <f t="shared" si="111"/>
        <v>201</v>
      </c>
    </row>
    <row r="849" spans="1:26">
      <c r="A849" s="5">
        <v>740</v>
      </c>
      <c r="B849" s="5">
        <v>102</v>
      </c>
      <c r="C849" s="6">
        <v>41579</v>
      </c>
      <c r="D849" s="5" t="s">
        <v>16</v>
      </c>
      <c r="E849" s="5" t="s">
        <v>17</v>
      </c>
      <c r="F849" s="5">
        <v>31</v>
      </c>
      <c r="G849" s="5" t="s">
        <v>18</v>
      </c>
      <c r="H849" s="5" t="s">
        <v>26</v>
      </c>
      <c r="I849" s="5" t="s">
        <v>54</v>
      </c>
      <c r="J849" s="5">
        <v>132</v>
      </c>
      <c r="K849" s="5">
        <v>261</v>
      </c>
      <c r="L849" s="5" t="s">
        <v>58</v>
      </c>
      <c r="M849" s="5">
        <v>80</v>
      </c>
      <c r="N849" s="5">
        <v>70</v>
      </c>
      <c r="O849" s="5">
        <v>200</v>
      </c>
      <c r="P849" s="5">
        <v>54</v>
      </c>
      <c r="Q849">
        <f>SUM([1]!Table1[[#This Row],[Sales]])</f>
        <v>261</v>
      </c>
      <c r="R849">
        <f>SUM([1]!Table1[[#This Row],[Profit]])</f>
        <v>132</v>
      </c>
      <c r="S849" s="7">
        <f t="shared" si="104"/>
        <v>0.50574712643678166</v>
      </c>
      <c r="T849">
        <f t="shared" si="105"/>
        <v>31</v>
      </c>
      <c r="U849">
        <f t="shared" si="106"/>
        <v>61</v>
      </c>
      <c r="V849">
        <f t="shared" si="107"/>
        <v>22</v>
      </c>
      <c r="W849">
        <f t="shared" si="108"/>
        <v>4.258064516129032</v>
      </c>
      <c r="X849" t="str">
        <f t="shared" si="109"/>
        <v>High Profit</v>
      </c>
      <c r="Y849">
        <f t="shared" si="110"/>
        <v>102</v>
      </c>
      <c r="Z849">
        <f t="shared" si="111"/>
        <v>261</v>
      </c>
    </row>
    <row r="850" spans="1:26">
      <c r="A850" s="3">
        <v>970</v>
      </c>
      <c r="B850" s="3">
        <v>88</v>
      </c>
      <c r="C850" s="4">
        <v>41579</v>
      </c>
      <c r="D850" s="3" t="s">
        <v>16</v>
      </c>
      <c r="E850" s="3" t="s">
        <v>17</v>
      </c>
      <c r="F850" s="3">
        <v>29</v>
      </c>
      <c r="G850" s="3" t="s">
        <v>18</v>
      </c>
      <c r="H850" s="3" t="s">
        <v>26</v>
      </c>
      <c r="I850" s="3" t="s">
        <v>30</v>
      </c>
      <c r="J850" s="3">
        <v>104</v>
      </c>
      <c r="K850" s="3">
        <v>213</v>
      </c>
      <c r="L850" s="3" t="s">
        <v>21</v>
      </c>
      <c r="M850" s="3">
        <v>70</v>
      </c>
      <c r="N850" s="3">
        <v>60</v>
      </c>
      <c r="O850" s="3">
        <v>160</v>
      </c>
      <c r="P850" s="3">
        <v>42</v>
      </c>
      <c r="Q850">
        <f>SUM([1]!Table1[[#This Row],[Sales]])</f>
        <v>213</v>
      </c>
      <c r="R850">
        <f>SUM([1]!Table1[[#This Row],[Profit]])</f>
        <v>104</v>
      </c>
      <c r="S850" s="7">
        <f t="shared" si="104"/>
        <v>0.48826291079812206</v>
      </c>
      <c r="T850">
        <f t="shared" si="105"/>
        <v>29</v>
      </c>
      <c r="U850">
        <f t="shared" si="106"/>
        <v>53</v>
      </c>
      <c r="V850">
        <f t="shared" si="107"/>
        <v>18</v>
      </c>
      <c r="W850">
        <f t="shared" si="108"/>
        <v>3.5862068965517242</v>
      </c>
      <c r="X850" t="str">
        <f t="shared" si="109"/>
        <v>High Profit</v>
      </c>
      <c r="Y850">
        <f t="shared" si="110"/>
        <v>88</v>
      </c>
      <c r="Z850">
        <f t="shared" si="111"/>
        <v>213</v>
      </c>
    </row>
    <row r="851" spans="1:26">
      <c r="A851" s="5">
        <v>319</v>
      </c>
      <c r="B851" s="5">
        <v>10</v>
      </c>
      <c r="C851" s="6">
        <v>41579</v>
      </c>
      <c r="D851" s="5" t="s">
        <v>32</v>
      </c>
      <c r="E851" s="5" t="s">
        <v>17</v>
      </c>
      <c r="F851" s="5">
        <v>3</v>
      </c>
      <c r="G851" s="5" t="s">
        <v>33</v>
      </c>
      <c r="H851" s="5" t="s">
        <v>38</v>
      </c>
      <c r="I851" s="5" t="s">
        <v>39</v>
      </c>
      <c r="J851" s="5">
        <v>-4</v>
      </c>
      <c r="K851" s="5">
        <v>25</v>
      </c>
      <c r="L851" s="5" t="s">
        <v>36</v>
      </c>
      <c r="M851" s="5">
        <v>0</v>
      </c>
      <c r="N851" s="5">
        <v>10</v>
      </c>
      <c r="O851" s="5">
        <v>20</v>
      </c>
      <c r="P851" s="5">
        <v>16</v>
      </c>
      <c r="Q851">
        <f>SUM([1]!Table1[[#This Row],[Sales]])</f>
        <v>25</v>
      </c>
      <c r="R851">
        <f>SUM([1]!Table1[[#This Row],[Profit]])</f>
        <v>-4</v>
      </c>
      <c r="S851" s="7">
        <f t="shared" si="104"/>
        <v>-0.16</v>
      </c>
      <c r="T851">
        <f t="shared" si="105"/>
        <v>3</v>
      </c>
      <c r="U851">
        <f t="shared" si="106"/>
        <v>5</v>
      </c>
      <c r="V851">
        <f t="shared" si="107"/>
        <v>10</v>
      </c>
      <c r="W851">
        <f t="shared" si="108"/>
        <v>-1.3333333333333333</v>
      </c>
      <c r="X851" t="str">
        <f t="shared" si="109"/>
        <v>Low Profit</v>
      </c>
      <c r="Y851">
        <f t="shared" si="110"/>
        <v>10</v>
      </c>
      <c r="Z851">
        <f t="shared" si="111"/>
        <v>25</v>
      </c>
    </row>
    <row r="852" spans="1:26">
      <c r="A852" s="3">
        <v>920</v>
      </c>
      <c r="B852" s="3">
        <v>77</v>
      </c>
      <c r="C852" s="4">
        <v>41579</v>
      </c>
      <c r="D852" s="3" t="s">
        <v>32</v>
      </c>
      <c r="E852" s="3" t="s">
        <v>17</v>
      </c>
      <c r="F852" s="3">
        <v>25</v>
      </c>
      <c r="G852" s="3" t="s">
        <v>33</v>
      </c>
      <c r="H852" s="3" t="s">
        <v>38</v>
      </c>
      <c r="I852" s="3" t="s">
        <v>39</v>
      </c>
      <c r="J852" s="3">
        <v>76</v>
      </c>
      <c r="K852" s="3">
        <v>192</v>
      </c>
      <c r="L852" s="3" t="s">
        <v>52</v>
      </c>
      <c r="M852" s="3">
        <v>70</v>
      </c>
      <c r="N852" s="3">
        <v>60</v>
      </c>
      <c r="O852" s="3">
        <v>170</v>
      </c>
      <c r="P852" s="3">
        <v>52</v>
      </c>
      <c r="Q852">
        <f>SUM([1]!Table1[[#This Row],[Sales]])</f>
        <v>192</v>
      </c>
      <c r="R852">
        <f>SUM([1]!Table1[[#This Row],[Profit]])</f>
        <v>76</v>
      </c>
      <c r="S852" s="7">
        <f t="shared" si="104"/>
        <v>0.39583333333333331</v>
      </c>
      <c r="T852">
        <f t="shared" si="105"/>
        <v>25</v>
      </c>
      <c r="U852">
        <f t="shared" si="106"/>
        <v>22</v>
      </c>
      <c r="V852">
        <f t="shared" si="107"/>
        <v>7</v>
      </c>
      <c r="W852">
        <f t="shared" si="108"/>
        <v>3.04</v>
      </c>
      <c r="X852" t="str">
        <f t="shared" si="109"/>
        <v>Low Profit</v>
      </c>
      <c r="Y852">
        <f t="shared" si="110"/>
        <v>77</v>
      </c>
      <c r="Z852">
        <f t="shared" si="111"/>
        <v>192</v>
      </c>
    </row>
    <row r="853" spans="1:26">
      <c r="A853" s="5">
        <v>712</v>
      </c>
      <c r="B853" s="5">
        <v>15</v>
      </c>
      <c r="C853" s="6">
        <v>41579</v>
      </c>
      <c r="D853" s="5" t="s">
        <v>32</v>
      </c>
      <c r="E853" s="5" t="s">
        <v>17</v>
      </c>
      <c r="F853" s="5">
        <v>4</v>
      </c>
      <c r="G853" s="5" t="s">
        <v>33</v>
      </c>
      <c r="H853" s="5" t="s">
        <v>38</v>
      </c>
      <c r="I853" s="5" t="s">
        <v>43</v>
      </c>
      <c r="J853" s="5">
        <v>12</v>
      </c>
      <c r="K853" s="5">
        <v>42</v>
      </c>
      <c r="L853" s="5" t="s">
        <v>36</v>
      </c>
      <c r="M853" s="5">
        <v>10</v>
      </c>
      <c r="N853" s="5">
        <v>10</v>
      </c>
      <c r="O853" s="5">
        <v>30</v>
      </c>
      <c r="P853" s="5">
        <v>16</v>
      </c>
      <c r="Q853">
        <f>SUM([1]!Table1[[#This Row],[Sales]])</f>
        <v>42</v>
      </c>
      <c r="R853">
        <f>SUM([1]!Table1[[#This Row],[Profit]])</f>
        <v>12</v>
      </c>
      <c r="S853" s="7">
        <f t="shared" si="104"/>
        <v>0.2857142857142857</v>
      </c>
      <c r="T853">
        <f t="shared" si="105"/>
        <v>4</v>
      </c>
      <c r="U853">
        <f t="shared" si="106"/>
        <v>12</v>
      </c>
      <c r="V853">
        <f t="shared" si="107"/>
        <v>5</v>
      </c>
      <c r="W853">
        <f t="shared" si="108"/>
        <v>3</v>
      </c>
      <c r="X853" t="str">
        <f t="shared" si="109"/>
        <v>Low Profit</v>
      </c>
      <c r="Y853">
        <f t="shared" si="110"/>
        <v>15</v>
      </c>
      <c r="Z853">
        <f t="shared" si="111"/>
        <v>42</v>
      </c>
    </row>
    <row r="854" spans="1:26">
      <c r="A854" s="3">
        <v>573</v>
      </c>
      <c r="B854" s="3">
        <v>82</v>
      </c>
      <c r="C854" s="4">
        <v>41579</v>
      </c>
      <c r="D854" s="3" t="s">
        <v>32</v>
      </c>
      <c r="E854" s="3" t="s">
        <v>17</v>
      </c>
      <c r="F854" s="3">
        <v>31</v>
      </c>
      <c r="G854" s="3" t="s">
        <v>33</v>
      </c>
      <c r="H854" s="3" t="s">
        <v>38</v>
      </c>
      <c r="I854" s="3" t="s">
        <v>45</v>
      </c>
      <c r="J854" s="3">
        <v>56</v>
      </c>
      <c r="K854" s="3">
        <v>196</v>
      </c>
      <c r="L854" s="3" t="s">
        <v>51</v>
      </c>
      <c r="M854" s="3">
        <v>80</v>
      </c>
      <c r="N854" s="3">
        <v>40</v>
      </c>
      <c r="O854" s="3">
        <v>180</v>
      </c>
      <c r="P854" s="3">
        <v>64</v>
      </c>
      <c r="Q854">
        <f>SUM([1]!Table1[[#This Row],[Sales]])</f>
        <v>196</v>
      </c>
      <c r="R854">
        <f>SUM([1]!Table1[[#This Row],[Profit]])</f>
        <v>56</v>
      </c>
      <c r="S854" s="7">
        <f t="shared" si="104"/>
        <v>0.2857142857142857</v>
      </c>
      <c r="T854">
        <f t="shared" si="105"/>
        <v>31</v>
      </c>
      <c r="U854">
        <f t="shared" si="106"/>
        <v>16</v>
      </c>
      <c r="V854">
        <f t="shared" si="107"/>
        <v>2</v>
      </c>
      <c r="W854">
        <f t="shared" si="108"/>
        <v>1.8064516129032258</v>
      </c>
      <c r="X854" t="str">
        <f t="shared" si="109"/>
        <v>Low Profit</v>
      </c>
      <c r="Y854">
        <f t="shared" si="110"/>
        <v>82</v>
      </c>
      <c r="Z854">
        <f t="shared" si="111"/>
        <v>196</v>
      </c>
    </row>
    <row r="855" spans="1:26">
      <c r="A855" s="5">
        <v>608</v>
      </c>
      <c r="B855" s="5">
        <v>94</v>
      </c>
      <c r="C855" s="6">
        <v>41579</v>
      </c>
      <c r="D855" s="5" t="s">
        <v>32</v>
      </c>
      <c r="E855" s="5" t="s">
        <v>17</v>
      </c>
      <c r="F855" s="5">
        <v>85</v>
      </c>
      <c r="G855" s="5" t="s">
        <v>33</v>
      </c>
      <c r="H855" s="5" t="s">
        <v>38</v>
      </c>
      <c r="I855" s="5" t="s">
        <v>45</v>
      </c>
      <c r="J855" s="5">
        <v>24</v>
      </c>
      <c r="K855" s="5">
        <v>239</v>
      </c>
      <c r="L855" s="5" t="s">
        <v>52</v>
      </c>
      <c r="M855" s="5">
        <v>90</v>
      </c>
      <c r="N855" s="5">
        <v>30</v>
      </c>
      <c r="O855" s="5">
        <v>220</v>
      </c>
      <c r="P855" s="5">
        <v>114</v>
      </c>
      <c r="Q855">
        <f>SUM([1]!Table1[[#This Row],[Sales]])</f>
        <v>239</v>
      </c>
      <c r="R855">
        <f>SUM([1]!Table1[[#This Row],[Profit]])</f>
        <v>24</v>
      </c>
      <c r="S855" s="7">
        <f t="shared" si="104"/>
        <v>0.100418410041841</v>
      </c>
      <c r="T855">
        <f t="shared" si="105"/>
        <v>85</v>
      </c>
      <c r="U855">
        <f t="shared" si="106"/>
        <v>19</v>
      </c>
      <c r="V855">
        <f t="shared" si="107"/>
        <v>4</v>
      </c>
      <c r="W855">
        <f t="shared" si="108"/>
        <v>0.28235294117647058</v>
      </c>
      <c r="X855" t="str">
        <f t="shared" si="109"/>
        <v>Low Profit</v>
      </c>
      <c r="Y855">
        <f t="shared" si="110"/>
        <v>94</v>
      </c>
      <c r="Z855">
        <f t="shared" si="111"/>
        <v>239</v>
      </c>
    </row>
    <row r="856" spans="1:26">
      <c r="A856" s="3">
        <v>573</v>
      </c>
      <c r="B856" s="3">
        <v>54</v>
      </c>
      <c r="C856" s="4">
        <v>41579</v>
      </c>
      <c r="D856" s="3" t="s">
        <v>32</v>
      </c>
      <c r="E856" s="3" t="s">
        <v>17</v>
      </c>
      <c r="F856" s="3">
        <v>15</v>
      </c>
      <c r="G856" s="3" t="s">
        <v>33</v>
      </c>
      <c r="H856" s="3" t="s">
        <v>34</v>
      </c>
      <c r="I856" s="3" t="s">
        <v>46</v>
      </c>
      <c r="J856" s="3">
        <v>76</v>
      </c>
      <c r="K856" s="3">
        <v>141</v>
      </c>
      <c r="L856" s="3" t="s">
        <v>51</v>
      </c>
      <c r="M856" s="3">
        <v>60</v>
      </c>
      <c r="N856" s="3">
        <v>80</v>
      </c>
      <c r="O856" s="3">
        <v>160</v>
      </c>
      <c r="P856" s="3">
        <v>27</v>
      </c>
      <c r="Q856">
        <f>SUM([1]!Table1[[#This Row],[Sales]])</f>
        <v>141</v>
      </c>
      <c r="R856">
        <f>SUM([1]!Table1[[#This Row],[Profit]])</f>
        <v>76</v>
      </c>
      <c r="S856" s="7">
        <f t="shared" si="104"/>
        <v>0.53900709219858156</v>
      </c>
      <c r="T856">
        <f t="shared" si="105"/>
        <v>15</v>
      </c>
      <c r="U856">
        <f t="shared" si="106"/>
        <v>-19</v>
      </c>
      <c r="V856">
        <f t="shared" si="107"/>
        <v>-6</v>
      </c>
      <c r="W856">
        <f t="shared" si="108"/>
        <v>5.0666666666666664</v>
      </c>
      <c r="X856" t="str">
        <f t="shared" si="109"/>
        <v>Low Profit</v>
      </c>
      <c r="Y856">
        <f t="shared" si="110"/>
        <v>54</v>
      </c>
      <c r="Z856">
        <f t="shared" si="111"/>
        <v>141</v>
      </c>
    </row>
    <row r="857" spans="1:26">
      <c r="A857" s="5">
        <v>715</v>
      </c>
      <c r="B857" s="5">
        <v>75</v>
      </c>
      <c r="C857" s="6">
        <v>41579</v>
      </c>
      <c r="D857" s="5" t="s">
        <v>32</v>
      </c>
      <c r="E857" s="5" t="s">
        <v>17</v>
      </c>
      <c r="F857" s="5">
        <v>23</v>
      </c>
      <c r="G857" s="5" t="s">
        <v>33</v>
      </c>
      <c r="H857" s="5" t="s">
        <v>34</v>
      </c>
      <c r="I857" s="5" t="s">
        <v>46</v>
      </c>
      <c r="J857" s="5">
        <v>67</v>
      </c>
      <c r="K857" s="5">
        <v>175</v>
      </c>
      <c r="L857" s="5" t="s">
        <v>52</v>
      </c>
      <c r="M857" s="5">
        <v>90</v>
      </c>
      <c r="N857" s="5">
        <v>70</v>
      </c>
      <c r="O857" s="5">
        <v>200</v>
      </c>
      <c r="P857" s="5">
        <v>44</v>
      </c>
      <c r="Q857">
        <f>SUM([1]!Table1[[#This Row],[Sales]])</f>
        <v>175</v>
      </c>
      <c r="R857">
        <f>SUM([1]!Table1[[#This Row],[Profit]])</f>
        <v>67</v>
      </c>
      <c r="S857" s="7">
        <f t="shared" si="104"/>
        <v>0.38285714285714284</v>
      </c>
      <c r="T857">
        <f t="shared" si="105"/>
        <v>23</v>
      </c>
      <c r="U857">
        <f t="shared" si="106"/>
        <v>-25</v>
      </c>
      <c r="V857">
        <f t="shared" si="107"/>
        <v>-15</v>
      </c>
      <c r="W857">
        <f t="shared" si="108"/>
        <v>2.9130434782608696</v>
      </c>
      <c r="X857" t="str">
        <f t="shared" si="109"/>
        <v>Low Profit</v>
      </c>
      <c r="Y857">
        <f t="shared" si="110"/>
        <v>75</v>
      </c>
      <c r="Z857">
        <f t="shared" si="111"/>
        <v>175</v>
      </c>
    </row>
    <row r="858" spans="1:26">
      <c r="A858" s="3">
        <v>641</v>
      </c>
      <c r="B858" s="3">
        <v>228</v>
      </c>
      <c r="C858" s="4">
        <v>41579</v>
      </c>
      <c r="D858" s="3" t="s">
        <v>32</v>
      </c>
      <c r="E858" s="3" t="s">
        <v>17</v>
      </c>
      <c r="F858" s="3">
        <v>75</v>
      </c>
      <c r="G858" s="3" t="s">
        <v>18</v>
      </c>
      <c r="H858" s="3" t="s">
        <v>19</v>
      </c>
      <c r="I858" s="3" t="s">
        <v>50</v>
      </c>
      <c r="J858" s="3">
        <v>291</v>
      </c>
      <c r="K858" s="3">
        <v>567</v>
      </c>
      <c r="L858" s="3" t="s">
        <v>36</v>
      </c>
      <c r="M858" s="3">
        <v>210</v>
      </c>
      <c r="N858" s="3">
        <v>180</v>
      </c>
      <c r="O858" s="3">
        <v>490</v>
      </c>
      <c r="P858" s="3">
        <v>108</v>
      </c>
      <c r="Q858">
        <f>SUM([1]!Table1[[#This Row],[Sales]])</f>
        <v>567</v>
      </c>
      <c r="R858">
        <f>SUM([1]!Table1[[#This Row],[Profit]])</f>
        <v>291</v>
      </c>
      <c r="S858" s="7">
        <f t="shared" si="104"/>
        <v>0.51322751322751325</v>
      </c>
      <c r="T858">
        <f t="shared" si="105"/>
        <v>75</v>
      </c>
      <c r="U858">
        <f t="shared" si="106"/>
        <v>77</v>
      </c>
      <c r="V858">
        <f t="shared" si="107"/>
        <v>18</v>
      </c>
      <c r="W858">
        <f t="shared" si="108"/>
        <v>3.88</v>
      </c>
      <c r="X858" t="str">
        <f t="shared" si="109"/>
        <v>High Profit</v>
      </c>
      <c r="Y858">
        <f t="shared" si="110"/>
        <v>228</v>
      </c>
      <c r="Z858">
        <f t="shared" si="111"/>
        <v>567</v>
      </c>
    </row>
    <row r="859" spans="1:26">
      <c r="A859" s="5">
        <v>641</v>
      </c>
      <c r="B859" s="5">
        <v>113</v>
      </c>
      <c r="C859" s="6">
        <v>41579</v>
      </c>
      <c r="D859" s="5" t="s">
        <v>32</v>
      </c>
      <c r="E859" s="5" t="s">
        <v>17</v>
      </c>
      <c r="F859" s="5">
        <v>36</v>
      </c>
      <c r="G859" s="5" t="s">
        <v>18</v>
      </c>
      <c r="H859" s="5" t="s">
        <v>19</v>
      </c>
      <c r="I859" s="5" t="s">
        <v>20</v>
      </c>
      <c r="J859" s="5">
        <v>159</v>
      </c>
      <c r="K859" s="5">
        <v>296</v>
      </c>
      <c r="L859" s="5" t="s">
        <v>36</v>
      </c>
      <c r="M859" s="5">
        <v>100</v>
      </c>
      <c r="N859" s="5">
        <v>100</v>
      </c>
      <c r="O859" s="5">
        <v>250</v>
      </c>
      <c r="P859" s="5">
        <v>58</v>
      </c>
      <c r="Q859">
        <f>SUM([1]!Table1[[#This Row],[Sales]])</f>
        <v>296</v>
      </c>
      <c r="R859">
        <f>SUM([1]!Table1[[#This Row],[Profit]])</f>
        <v>159</v>
      </c>
      <c r="S859" s="7">
        <f t="shared" si="104"/>
        <v>0.53716216216216217</v>
      </c>
      <c r="T859">
        <f t="shared" si="105"/>
        <v>36</v>
      </c>
      <c r="U859">
        <f t="shared" si="106"/>
        <v>46</v>
      </c>
      <c r="V859">
        <f t="shared" si="107"/>
        <v>13</v>
      </c>
      <c r="W859">
        <f t="shared" si="108"/>
        <v>4.416666666666667</v>
      </c>
      <c r="X859" t="str">
        <f t="shared" si="109"/>
        <v>High Profit</v>
      </c>
      <c r="Y859">
        <f t="shared" si="110"/>
        <v>113</v>
      </c>
      <c r="Z859">
        <f t="shared" si="111"/>
        <v>296</v>
      </c>
    </row>
    <row r="860" spans="1:26">
      <c r="A860" s="3">
        <v>563</v>
      </c>
      <c r="B860" s="3">
        <v>211</v>
      </c>
      <c r="C860" s="4">
        <v>41579</v>
      </c>
      <c r="D860" s="3" t="s">
        <v>32</v>
      </c>
      <c r="E860" s="3" t="s">
        <v>17</v>
      </c>
      <c r="F860" s="3">
        <v>59</v>
      </c>
      <c r="G860" s="3" t="s">
        <v>18</v>
      </c>
      <c r="H860" s="3" t="s">
        <v>26</v>
      </c>
      <c r="I860" s="3" t="s">
        <v>27</v>
      </c>
      <c r="J860" s="3">
        <v>191</v>
      </c>
      <c r="K860" s="3">
        <v>451</v>
      </c>
      <c r="L860" s="3" t="s">
        <v>36</v>
      </c>
      <c r="M860" s="3">
        <v>170</v>
      </c>
      <c r="N860" s="3">
        <v>110</v>
      </c>
      <c r="O860" s="3">
        <v>350</v>
      </c>
      <c r="P860" s="3">
        <v>83</v>
      </c>
      <c r="Q860">
        <f>SUM([1]!Table1[[#This Row],[Sales]])</f>
        <v>451</v>
      </c>
      <c r="R860">
        <f>SUM([1]!Table1[[#This Row],[Profit]])</f>
        <v>191</v>
      </c>
      <c r="S860" s="7">
        <f t="shared" si="104"/>
        <v>0.42350332594235035</v>
      </c>
      <c r="T860">
        <f t="shared" si="105"/>
        <v>59</v>
      </c>
      <c r="U860">
        <f t="shared" si="106"/>
        <v>101</v>
      </c>
      <c r="V860">
        <f t="shared" si="107"/>
        <v>41</v>
      </c>
      <c r="W860">
        <f t="shared" si="108"/>
        <v>3.2372881355932202</v>
      </c>
      <c r="X860" t="str">
        <f t="shared" si="109"/>
        <v>High Profit</v>
      </c>
      <c r="Y860">
        <f t="shared" si="110"/>
        <v>211</v>
      </c>
      <c r="Z860">
        <f t="shared" si="111"/>
        <v>451</v>
      </c>
    </row>
    <row r="861" spans="1:26">
      <c r="A861" s="5">
        <v>641</v>
      </c>
      <c r="B861" s="5">
        <v>245</v>
      </c>
      <c r="C861" s="6">
        <v>41579</v>
      </c>
      <c r="D861" s="5" t="s">
        <v>32</v>
      </c>
      <c r="E861" s="5" t="s">
        <v>17</v>
      </c>
      <c r="F861" s="5">
        <v>93</v>
      </c>
      <c r="G861" s="5" t="s">
        <v>18</v>
      </c>
      <c r="H861" s="5" t="s">
        <v>26</v>
      </c>
      <c r="I861" s="5" t="s">
        <v>54</v>
      </c>
      <c r="J861" s="5">
        <v>257</v>
      </c>
      <c r="K861" s="5">
        <v>581</v>
      </c>
      <c r="L861" s="5" t="s">
        <v>36</v>
      </c>
      <c r="M861" s="5">
        <v>200</v>
      </c>
      <c r="N861" s="5">
        <v>130</v>
      </c>
      <c r="O861" s="5">
        <v>450</v>
      </c>
      <c r="P861" s="5">
        <v>127</v>
      </c>
      <c r="Q861">
        <f>SUM([1]!Table1[[#This Row],[Sales]])</f>
        <v>581</v>
      </c>
      <c r="R861">
        <f>SUM([1]!Table1[[#This Row],[Profit]])</f>
        <v>257</v>
      </c>
      <c r="S861" s="7">
        <f t="shared" si="104"/>
        <v>0.44234079173838209</v>
      </c>
      <c r="T861">
        <f t="shared" si="105"/>
        <v>93</v>
      </c>
      <c r="U861">
        <f t="shared" si="106"/>
        <v>131</v>
      </c>
      <c r="V861">
        <f t="shared" si="107"/>
        <v>45</v>
      </c>
      <c r="W861">
        <f t="shared" si="108"/>
        <v>2.763440860215054</v>
      </c>
      <c r="X861" t="str">
        <f t="shared" si="109"/>
        <v>High Profit</v>
      </c>
      <c r="Y861">
        <f t="shared" si="110"/>
        <v>245</v>
      </c>
      <c r="Z861">
        <f t="shared" si="111"/>
        <v>581</v>
      </c>
    </row>
    <row r="862" spans="1:26">
      <c r="A862" s="3">
        <v>720</v>
      </c>
      <c r="B862" s="3">
        <v>86</v>
      </c>
      <c r="C862" s="4">
        <v>41609</v>
      </c>
      <c r="D862" s="3" t="s">
        <v>16</v>
      </c>
      <c r="E862" s="3" t="s">
        <v>17</v>
      </c>
      <c r="F862" s="3">
        <v>24</v>
      </c>
      <c r="G862" s="3" t="s">
        <v>33</v>
      </c>
      <c r="H862" s="3" t="s">
        <v>38</v>
      </c>
      <c r="I862" s="3" t="s">
        <v>39</v>
      </c>
      <c r="J862" s="3">
        <v>131</v>
      </c>
      <c r="K862" s="3">
        <v>224</v>
      </c>
      <c r="L862" s="3" t="s">
        <v>21</v>
      </c>
      <c r="M862" s="3">
        <v>80</v>
      </c>
      <c r="N862" s="3">
        <v>90</v>
      </c>
      <c r="O862" s="3">
        <v>200</v>
      </c>
      <c r="P862" s="3">
        <v>36</v>
      </c>
      <c r="Q862">
        <f>SUM([1]!Table1[[#This Row],[Sales]])</f>
        <v>224</v>
      </c>
      <c r="R862">
        <f>SUM([1]!Table1[[#This Row],[Profit]])</f>
        <v>131</v>
      </c>
      <c r="S862" s="7">
        <f t="shared" si="104"/>
        <v>0.5848214285714286</v>
      </c>
      <c r="T862">
        <f t="shared" si="105"/>
        <v>24</v>
      </c>
      <c r="U862">
        <f t="shared" si="106"/>
        <v>24</v>
      </c>
      <c r="V862">
        <f t="shared" si="107"/>
        <v>6</v>
      </c>
      <c r="W862">
        <f t="shared" si="108"/>
        <v>5.458333333333333</v>
      </c>
      <c r="X862" t="str">
        <f t="shared" si="109"/>
        <v>High Profit</v>
      </c>
      <c r="Y862">
        <f t="shared" si="110"/>
        <v>86</v>
      </c>
      <c r="Z862">
        <f t="shared" si="111"/>
        <v>224</v>
      </c>
    </row>
    <row r="863" spans="1:26">
      <c r="A863" s="5">
        <v>312</v>
      </c>
      <c r="B863" s="5">
        <v>127</v>
      </c>
      <c r="C863" s="6">
        <v>41609</v>
      </c>
      <c r="D863" s="5" t="s">
        <v>16</v>
      </c>
      <c r="E863" s="5" t="s">
        <v>17</v>
      </c>
      <c r="F863" s="5">
        <v>40</v>
      </c>
      <c r="G863" s="5" t="s">
        <v>33</v>
      </c>
      <c r="H863" s="5" t="s">
        <v>38</v>
      </c>
      <c r="I863" s="5" t="s">
        <v>39</v>
      </c>
      <c r="J863" s="5">
        <v>181</v>
      </c>
      <c r="K863" s="5">
        <v>332</v>
      </c>
      <c r="L863" s="5" t="s">
        <v>56</v>
      </c>
      <c r="M863" s="5">
        <v>120</v>
      </c>
      <c r="N863" s="5">
        <v>130</v>
      </c>
      <c r="O863" s="5">
        <v>300</v>
      </c>
      <c r="P863" s="5">
        <v>63</v>
      </c>
      <c r="Q863">
        <f>SUM([1]!Table1[[#This Row],[Sales]])</f>
        <v>332</v>
      </c>
      <c r="R863">
        <f>SUM([1]!Table1[[#This Row],[Profit]])</f>
        <v>181</v>
      </c>
      <c r="S863" s="7">
        <f t="shared" si="104"/>
        <v>0.54518072289156627</v>
      </c>
      <c r="T863">
        <f t="shared" si="105"/>
        <v>40</v>
      </c>
      <c r="U863">
        <f t="shared" si="106"/>
        <v>32</v>
      </c>
      <c r="V863">
        <f t="shared" si="107"/>
        <v>7</v>
      </c>
      <c r="W863">
        <f t="shared" si="108"/>
        <v>4.5250000000000004</v>
      </c>
      <c r="X863" t="str">
        <f t="shared" si="109"/>
        <v>High Profit</v>
      </c>
      <c r="Y863">
        <f t="shared" si="110"/>
        <v>127</v>
      </c>
      <c r="Z863">
        <f t="shared" si="111"/>
        <v>332</v>
      </c>
    </row>
    <row r="864" spans="1:26">
      <c r="A864" s="3">
        <v>720</v>
      </c>
      <c r="B864" s="3">
        <v>67</v>
      </c>
      <c r="C864" s="4">
        <v>41609</v>
      </c>
      <c r="D864" s="3" t="s">
        <v>16</v>
      </c>
      <c r="E864" s="3" t="s">
        <v>17</v>
      </c>
      <c r="F864" s="3">
        <v>22</v>
      </c>
      <c r="G864" s="3" t="s">
        <v>33</v>
      </c>
      <c r="H864" s="3" t="s">
        <v>34</v>
      </c>
      <c r="I864" s="3" t="s">
        <v>35</v>
      </c>
      <c r="J864" s="3">
        <v>70</v>
      </c>
      <c r="K864" s="3">
        <v>179</v>
      </c>
      <c r="L864" s="3" t="s">
        <v>21</v>
      </c>
      <c r="M864" s="3">
        <v>80</v>
      </c>
      <c r="N864" s="3">
        <v>80</v>
      </c>
      <c r="O864" s="3">
        <v>210</v>
      </c>
      <c r="P864" s="3">
        <v>54</v>
      </c>
      <c r="Q864">
        <f>SUM([1]!Table1[[#This Row],[Sales]])</f>
        <v>179</v>
      </c>
      <c r="R864">
        <f>SUM([1]!Table1[[#This Row],[Profit]])</f>
        <v>70</v>
      </c>
      <c r="S864" s="7">
        <f t="shared" si="104"/>
        <v>0.39106145251396646</v>
      </c>
      <c r="T864">
        <f t="shared" si="105"/>
        <v>22</v>
      </c>
      <c r="U864">
        <f t="shared" si="106"/>
        <v>-31</v>
      </c>
      <c r="V864">
        <f t="shared" si="107"/>
        <v>-13</v>
      </c>
      <c r="W864">
        <f t="shared" si="108"/>
        <v>3.1818181818181817</v>
      </c>
      <c r="X864" t="str">
        <f t="shared" si="109"/>
        <v>Low Profit</v>
      </c>
      <c r="Y864">
        <f t="shared" si="110"/>
        <v>67</v>
      </c>
      <c r="Z864">
        <f t="shared" si="111"/>
        <v>179</v>
      </c>
    </row>
    <row r="865" spans="1:26">
      <c r="A865" s="5">
        <v>773</v>
      </c>
      <c r="B865" s="5">
        <v>250</v>
      </c>
      <c r="C865" s="6">
        <v>41609</v>
      </c>
      <c r="D865" s="5" t="s">
        <v>16</v>
      </c>
      <c r="E865" s="5" t="s">
        <v>17</v>
      </c>
      <c r="F865" s="5">
        <v>70</v>
      </c>
      <c r="G865" s="5" t="s">
        <v>33</v>
      </c>
      <c r="H865" s="5" t="s">
        <v>34</v>
      </c>
      <c r="I865" s="5" t="s">
        <v>35</v>
      </c>
      <c r="J865" s="5">
        <v>233</v>
      </c>
      <c r="K865" s="5">
        <v>534</v>
      </c>
      <c r="L865" s="5" t="s">
        <v>56</v>
      </c>
      <c r="M865" s="5">
        <v>320</v>
      </c>
      <c r="N865" s="5">
        <v>240</v>
      </c>
      <c r="O865" s="5">
        <v>640</v>
      </c>
      <c r="P865" s="5">
        <v>94</v>
      </c>
      <c r="Q865">
        <f>SUM([1]!Table1[[#This Row],[Sales]])</f>
        <v>534</v>
      </c>
      <c r="R865">
        <f>SUM([1]!Table1[[#This Row],[Profit]])</f>
        <v>233</v>
      </c>
      <c r="S865" s="7">
        <f t="shared" si="104"/>
        <v>0.43632958801498128</v>
      </c>
      <c r="T865">
        <f t="shared" si="105"/>
        <v>70</v>
      </c>
      <c r="U865">
        <f t="shared" si="106"/>
        <v>-106</v>
      </c>
      <c r="V865">
        <f t="shared" si="107"/>
        <v>-70</v>
      </c>
      <c r="W865">
        <f t="shared" si="108"/>
        <v>3.3285714285714287</v>
      </c>
      <c r="X865" t="str">
        <f t="shared" si="109"/>
        <v>High Profit</v>
      </c>
      <c r="Y865">
        <f t="shared" si="110"/>
        <v>250</v>
      </c>
      <c r="Z865">
        <f t="shared" si="111"/>
        <v>534</v>
      </c>
    </row>
    <row r="866" spans="1:26">
      <c r="A866" s="3">
        <v>303</v>
      </c>
      <c r="B866" s="3">
        <v>123</v>
      </c>
      <c r="C866" s="4">
        <v>41609</v>
      </c>
      <c r="D866" s="3" t="s">
        <v>16</v>
      </c>
      <c r="E866" s="3" t="s">
        <v>17</v>
      </c>
      <c r="F866" s="3">
        <v>34</v>
      </c>
      <c r="G866" s="3" t="s">
        <v>33</v>
      </c>
      <c r="H866" s="3" t="s">
        <v>38</v>
      </c>
      <c r="I866" s="3" t="s">
        <v>43</v>
      </c>
      <c r="J866" s="3">
        <v>199</v>
      </c>
      <c r="K866" s="3">
        <v>322</v>
      </c>
      <c r="L866" s="3" t="s">
        <v>21</v>
      </c>
      <c r="M866" s="3">
        <v>120</v>
      </c>
      <c r="N866" s="3">
        <v>130</v>
      </c>
      <c r="O866" s="3">
        <v>290</v>
      </c>
      <c r="P866" s="3">
        <v>45</v>
      </c>
      <c r="Q866">
        <f>SUM([1]!Table1[[#This Row],[Sales]])</f>
        <v>322</v>
      </c>
      <c r="R866">
        <f>SUM([1]!Table1[[#This Row],[Profit]])</f>
        <v>199</v>
      </c>
      <c r="S866" s="7">
        <f t="shared" si="104"/>
        <v>0.61801242236024845</v>
      </c>
      <c r="T866">
        <f t="shared" si="105"/>
        <v>34</v>
      </c>
      <c r="U866">
        <f t="shared" si="106"/>
        <v>32</v>
      </c>
      <c r="V866">
        <f t="shared" si="107"/>
        <v>3</v>
      </c>
      <c r="W866">
        <f t="shared" si="108"/>
        <v>5.8529411764705879</v>
      </c>
      <c r="X866" t="str">
        <f t="shared" si="109"/>
        <v>High Profit</v>
      </c>
      <c r="Y866">
        <f t="shared" si="110"/>
        <v>123</v>
      </c>
      <c r="Z866">
        <f t="shared" si="111"/>
        <v>322</v>
      </c>
    </row>
    <row r="867" spans="1:26">
      <c r="A867" s="5">
        <v>312</v>
      </c>
      <c r="B867" s="5">
        <v>224</v>
      </c>
      <c r="C867" s="6">
        <v>41609</v>
      </c>
      <c r="D867" s="5" t="s">
        <v>16</v>
      </c>
      <c r="E867" s="5" t="s">
        <v>17</v>
      </c>
      <c r="F867" s="5">
        <v>73</v>
      </c>
      <c r="G867" s="5" t="s">
        <v>33</v>
      </c>
      <c r="H867" s="5" t="s">
        <v>38</v>
      </c>
      <c r="I867" s="5" t="s">
        <v>45</v>
      </c>
      <c r="J867" s="5">
        <v>288</v>
      </c>
      <c r="K867" s="5">
        <v>569</v>
      </c>
      <c r="L867" s="5" t="s">
        <v>56</v>
      </c>
      <c r="M867" s="5">
        <v>220</v>
      </c>
      <c r="N867" s="5">
        <v>190</v>
      </c>
      <c r="O867" s="5">
        <v>520</v>
      </c>
      <c r="P867" s="5">
        <v>116</v>
      </c>
      <c r="Q867">
        <f>SUM([1]!Table1[[#This Row],[Sales]])</f>
        <v>569</v>
      </c>
      <c r="R867">
        <f>SUM([1]!Table1[[#This Row],[Profit]])</f>
        <v>288</v>
      </c>
      <c r="S867" s="7">
        <f t="shared" si="104"/>
        <v>0.5061511423550088</v>
      </c>
      <c r="T867">
        <f t="shared" si="105"/>
        <v>73</v>
      </c>
      <c r="U867">
        <f t="shared" si="106"/>
        <v>49</v>
      </c>
      <c r="V867">
        <f t="shared" si="107"/>
        <v>4</v>
      </c>
      <c r="W867">
        <f t="shared" si="108"/>
        <v>3.9452054794520546</v>
      </c>
      <c r="X867" t="str">
        <f t="shared" si="109"/>
        <v>High Profit</v>
      </c>
      <c r="Y867">
        <f t="shared" si="110"/>
        <v>224</v>
      </c>
      <c r="Z867">
        <f t="shared" si="111"/>
        <v>569</v>
      </c>
    </row>
    <row r="868" spans="1:26">
      <c r="A868" s="3">
        <v>970</v>
      </c>
      <c r="B868" s="3">
        <v>54</v>
      </c>
      <c r="C868" s="4">
        <v>41609</v>
      </c>
      <c r="D868" s="3" t="s">
        <v>16</v>
      </c>
      <c r="E868" s="3" t="s">
        <v>17</v>
      </c>
      <c r="F868" s="3">
        <v>15</v>
      </c>
      <c r="G868" s="3" t="s">
        <v>33</v>
      </c>
      <c r="H868" s="3" t="s">
        <v>34</v>
      </c>
      <c r="I868" s="3" t="s">
        <v>46</v>
      </c>
      <c r="J868" s="3">
        <v>79</v>
      </c>
      <c r="K868" s="3">
        <v>142</v>
      </c>
      <c r="L868" s="3" t="s">
        <v>21</v>
      </c>
      <c r="M868" s="3">
        <v>60</v>
      </c>
      <c r="N868" s="3">
        <v>90</v>
      </c>
      <c r="O868" s="3">
        <v>170</v>
      </c>
      <c r="P868" s="3">
        <v>26</v>
      </c>
      <c r="Q868">
        <f>SUM([1]!Table1[[#This Row],[Sales]])</f>
        <v>142</v>
      </c>
      <c r="R868">
        <f>SUM([1]!Table1[[#This Row],[Profit]])</f>
        <v>79</v>
      </c>
      <c r="S868" s="7">
        <f t="shared" si="104"/>
        <v>0.55633802816901412</v>
      </c>
      <c r="T868">
        <f t="shared" si="105"/>
        <v>15</v>
      </c>
      <c r="U868">
        <f t="shared" si="106"/>
        <v>-28</v>
      </c>
      <c r="V868">
        <f t="shared" si="107"/>
        <v>-6</v>
      </c>
      <c r="W868">
        <f t="shared" si="108"/>
        <v>5.2666666666666666</v>
      </c>
      <c r="X868" t="str">
        <f t="shared" si="109"/>
        <v>Low Profit</v>
      </c>
      <c r="Y868">
        <f t="shared" si="110"/>
        <v>54</v>
      </c>
      <c r="Z868">
        <f t="shared" si="111"/>
        <v>142</v>
      </c>
    </row>
    <row r="869" spans="1:26">
      <c r="A869" s="5">
        <v>708</v>
      </c>
      <c r="B869" s="5">
        <v>247</v>
      </c>
      <c r="C869" s="6">
        <v>41609</v>
      </c>
      <c r="D869" s="5" t="s">
        <v>16</v>
      </c>
      <c r="E869" s="5" t="s">
        <v>17</v>
      </c>
      <c r="F869" s="5">
        <v>81</v>
      </c>
      <c r="G869" s="5" t="s">
        <v>33</v>
      </c>
      <c r="H869" s="5" t="s">
        <v>34</v>
      </c>
      <c r="I869" s="5" t="s">
        <v>46</v>
      </c>
      <c r="J869" s="5">
        <v>321</v>
      </c>
      <c r="K869" s="5">
        <v>614</v>
      </c>
      <c r="L869" s="5" t="s">
        <v>56</v>
      </c>
      <c r="M869" s="5">
        <v>310</v>
      </c>
      <c r="N869" s="5">
        <v>320</v>
      </c>
      <c r="O869" s="5">
        <v>730</v>
      </c>
      <c r="P869" s="5">
        <v>113</v>
      </c>
      <c r="Q869">
        <f>SUM([1]!Table1[[#This Row],[Sales]])</f>
        <v>614</v>
      </c>
      <c r="R869">
        <f>SUM([1]!Table1[[#This Row],[Profit]])</f>
        <v>321</v>
      </c>
      <c r="S869" s="7">
        <f t="shared" si="104"/>
        <v>0.5228013029315961</v>
      </c>
      <c r="T869">
        <f t="shared" si="105"/>
        <v>81</v>
      </c>
      <c r="U869">
        <f t="shared" si="106"/>
        <v>-116</v>
      </c>
      <c r="V869">
        <f t="shared" si="107"/>
        <v>-63</v>
      </c>
      <c r="W869">
        <f t="shared" si="108"/>
        <v>3.9629629629629628</v>
      </c>
      <c r="X869" t="str">
        <f t="shared" si="109"/>
        <v>High Profit</v>
      </c>
      <c r="Y869">
        <f t="shared" si="110"/>
        <v>247</v>
      </c>
      <c r="Z869">
        <f t="shared" si="111"/>
        <v>614</v>
      </c>
    </row>
    <row r="870" spans="1:26">
      <c r="A870" s="3">
        <v>937</v>
      </c>
      <c r="B870" s="3">
        <v>153</v>
      </c>
      <c r="C870" s="4">
        <v>41609</v>
      </c>
      <c r="D870" s="3" t="s">
        <v>16</v>
      </c>
      <c r="E870" s="3" t="s">
        <v>17</v>
      </c>
      <c r="F870" s="3">
        <v>42</v>
      </c>
      <c r="G870" s="3" t="s">
        <v>33</v>
      </c>
      <c r="H870" s="3" t="s">
        <v>34</v>
      </c>
      <c r="I870" s="3" t="s">
        <v>46</v>
      </c>
      <c r="J870" s="3">
        <v>129</v>
      </c>
      <c r="K870" s="3">
        <v>326</v>
      </c>
      <c r="L870" s="3" t="s">
        <v>58</v>
      </c>
      <c r="M870" s="3">
        <v>190</v>
      </c>
      <c r="N870" s="3">
        <v>140</v>
      </c>
      <c r="O870" s="3">
        <v>390</v>
      </c>
      <c r="P870" s="3">
        <v>66</v>
      </c>
      <c r="Q870">
        <f>SUM([1]!Table1[[#This Row],[Sales]])</f>
        <v>326</v>
      </c>
      <c r="R870">
        <f>SUM([1]!Table1[[#This Row],[Profit]])</f>
        <v>129</v>
      </c>
      <c r="S870" s="7">
        <f t="shared" si="104"/>
        <v>0.39570552147239263</v>
      </c>
      <c r="T870">
        <f t="shared" si="105"/>
        <v>42</v>
      </c>
      <c r="U870">
        <f t="shared" si="106"/>
        <v>-64</v>
      </c>
      <c r="V870">
        <f t="shared" si="107"/>
        <v>-37</v>
      </c>
      <c r="W870">
        <f t="shared" si="108"/>
        <v>3.0714285714285716</v>
      </c>
      <c r="X870" t="str">
        <f t="shared" si="109"/>
        <v>High Profit</v>
      </c>
      <c r="Y870">
        <f t="shared" si="110"/>
        <v>153</v>
      </c>
      <c r="Z870">
        <f t="shared" si="111"/>
        <v>326</v>
      </c>
    </row>
    <row r="871" spans="1:26">
      <c r="A871" s="5">
        <v>970</v>
      </c>
      <c r="B871" s="5">
        <v>153</v>
      </c>
      <c r="C871" s="6">
        <v>41609</v>
      </c>
      <c r="D871" s="5" t="s">
        <v>16</v>
      </c>
      <c r="E871" s="5" t="s">
        <v>17</v>
      </c>
      <c r="F871" s="5">
        <v>42</v>
      </c>
      <c r="G871" s="5" t="s">
        <v>18</v>
      </c>
      <c r="H871" s="5" t="s">
        <v>19</v>
      </c>
      <c r="I871" s="5" t="s">
        <v>50</v>
      </c>
      <c r="J871" s="5">
        <v>129</v>
      </c>
      <c r="K871" s="5">
        <v>326</v>
      </c>
      <c r="L871" s="5" t="s">
        <v>21</v>
      </c>
      <c r="M871" s="5">
        <v>140</v>
      </c>
      <c r="N871" s="5">
        <v>80</v>
      </c>
      <c r="O871" s="5">
        <v>280</v>
      </c>
      <c r="P871" s="5">
        <v>66</v>
      </c>
      <c r="Q871">
        <f>SUM([1]!Table1[[#This Row],[Sales]])</f>
        <v>326</v>
      </c>
      <c r="R871">
        <f>SUM([1]!Table1[[#This Row],[Profit]])</f>
        <v>129</v>
      </c>
      <c r="S871" s="7">
        <f t="shared" si="104"/>
        <v>0.39570552147239263</v>
      </c>
      <c r="T871">
        <f t="shared" si="105"/>
        <v>42</v>
      </c>
      <c r="U871">
        <f t="shared" si="106"/>
        <v>46</v>
      </c>
      <c r="V871">
        <f t="shared" si="107"/>
        <v>13</v>
      </c>
      <c r="W871">
        <f t="shared" si="108"/>
        <v>3.0714285714285716</v>
      </c>
      <c r="X871" t="str">
        <f t="shared" si="109"/>
        <v>High Profit</v>
      </c>
      <c r="Y871">
        <f t="shared" si="110"/>
        <v>153</v>
      </c>
      <c r="Z871">
        <f t="shared" si="111"/>
        <v>326</v>
      </c>
    </row>
    <row r="872" spans="1:26">
      <c r="A872" s="3">
        <v>618</v>
      </c>
      <c r="B872" s="3">
        <v>123</v>
      </c>
      <c r="C872" s="4">
        <v>41609</v>
      </c>
      <c r="D872" s="3" t="s">
        <v>16</v>
      </c>
      <c r="E872" s="3" t="s">
        <v>17</v>
      </c>
      <c r="F872" s="3">
        <v>34</v>
      </c>
      <c r="G872" s="3" t="s">
        <v>18</v>
      </c>
      <c r="H872" s="3" t="s">
        <v>19</v>
      </c>
      <c r="I872" s="3" t="s">
        <v>50</v>
      </c>
      <c r="J872" s="3">
        <v>197</v>
      </c>
      <c r="K872" s="3">
        <v>322</v>
      </c>
      <c r="L872" s="3" t="s">
        <v>56</v>
      </c>
      <c r="M872" s="3">
        <v>110</v>
      </c>
      <c r="N872" s="3">
        <v>130</v>
      </c>
      <c r="O872" s="3">
        <v>280</v>
      </c>
      <c r="P872" s="3">
        <v>46</v>
      </c>
      <c r="Q872">
        <f>SUM([1]!Table1[[#This Row],[Sales]])</f>
        <v>322</v>
      </c>
      <c r="R872">
        <f>SUM([1]!Table1[[#This Row],[Profit]])</f>
        <v>197</v>
      </c>
      <c r="S872" s="7">
        <f t="shared" si="104"/>
        <v>0.61180124223602483</v>
      </c>
      <c r="T872">
        <f t="shared" si="105"/>
        <v>34</v>
      </c>
      <c r="U872">
        <f t="shared" si="106"/>
        <v>42</v>
      </c>
      <c r="V872">
        <f t="shared" si="107"/>
        <v>13</v>
      </c>
      <c r="W872">
        <f t="shared" si="108"/>
        <v>5.7941176470588234</v>
      </c>
      <c r="X872" t="str">
        <f t="shared" si="109"/>
        <v>High Profit</v>
      </c>
      <c r="Y872">
        <f t="shared" si="110"/>
        <v>123</v>
      </c>
      <c r="Z872">
        <f t="shared" si="111"/>
        <v>322</v>
      </c>
    </row>
    <row r="873" spans="1:26">
      <c r="A873" s="5">
        <v>312</v>
      </c>
      <c r="B873" s="5">
        <v>86</v>
      </c>
      <c r="C873" s="6">
        <v>41609</v>
      </c>
      <c r="D873" s="5" t="s">
        <v>16</v>
      </c>
      <c r="E873" s="5" t="s">
        <v>17</v>
      </c>
      <c r="F873" s="5">
        <v>24</v>
      </c>
      <c r="G873" s="5" t="s">
        <v>18</v>
      </c>
      <c r="H873" s="5" t="s">
        <v>19</v>
      </c>
      <c r="I873" s="5" t="s">
        <v>22</v>
      </c>
      <c r="J873" s="5">
        <v>131</v>
      </c>
      <c r="K873" s="5">
        <v>224</v>
      </c>
      <c r="L873" s="5" t="s">
        <v>56</v>
      </c>
      <c r="M873" s="5">
        <v>80</v>
      </c>
      <c r="N873" s="5">
        <v>80</v>
      </c>
      <c r="O873" s="5">
        <v>190</v>
      </c>
      <c r="P873" s="5">
        <v>36</v>
      </c>
      <c r="Q873">
        <f>SUM([1]!Table1[[#This Row],[Sales]])</f>
        <v>224</v>
      </c>
      <c r="R873">
        <f>SUM([1]!Table1[[#This Row],[Profit]])</f>
        <v>131</v>
      </c>
      <c r="S873" s="7">
        <f t="shared" si="104"/>
        <v>0.5848214285714286</v>
      </c>
      <c r="T873">
        <f t="shared" si="105"/>
        <v>24</v>
      </c>
      <c r="U873">
        <f t="shared" si="106"/>
        <v>34</v>
      </c>
      <c r="V873">
        <f t="shared" si="107"/>
        <v>6</v>
      </c>
      <c r="W873">
        <f t="shared" si="108"/>
        <v>5.458333333333333</v>
      </c>
      <c r="X873" t="str">
        <f t="shared" si="109"/>
        <v>High Profit</v>
      </c>
      <c r="Y873">
        <f t="shared" si="110"/>
        <v>86</v>
      </c>
      <c r="Z873">
        <f t="shared" si="111"/>
        <v>224</v>
      </c>
    </row>
    <row r="874" spans="1:26">
      <c r="A874" s="3">
        <v>513</v>
      </c>
      <c r="B874" s="3">
        <v>88</v>
      </c>
      <c r="C874" s="4">
        <v>41609</v>
      </c>
      <c r="D874" s="3" t="s">
        <v>16</v>
      </c>
      <c r="E874" s="3" t="s">
        <v>17</v>
      </c>
      <c r="F874" s="3">
        <v>29</v>
      </c>
      <c r="G874" s="3" t="s">
        <v>18</v>
      </c>
      <c r="H874" s="3" t="s">
        <v>26</v>
      </c>
      <c r="I874" s="3" t="s">
        <v>27</v>
      </c>
      <c r="J874" s="3">
        <v>107</v>
      </c>
      <c r="K874" s="3">
        <v>236</v>
      </c>
      <c r="L874" s="3" t="s">
        <v>58</v>
      </c>
      <c r="M874" s="3">
        <v>70</v>
      </c>
      <c r="N874" s="3">
        <v>70</v>
      </c>
      <c r="O874" s="3">
        <v>180</v>
      </c>
      <c r="P874" s="3">
        <v>61</v>
      </c>
      <c r="Q874">
        <f>SUM([1]!Table1[[#This Row],[Sales]])</f>
        <v>236</v>
      </c>
      <c r="R874">
        <f>SUM([1]!Table1[[#This Row],[Profit]])</f>
        <v>107</v>
      </c>
      <c r="S874" s="7">
        <f t="shared" si="104"/>
        <v>0.45338983050847459</v>
      </c>
      <c r="T874">
        <f t="shared" si="105"/>
        <v>29</v>
      </c>
      <c r="U874">
        <f t="shared" si="106"/>
        <v>56</v>
      </c>
      <c r="V874">
        <f t="shared" si="107"/>
        <v>18</v>
      </c>
      <c r="W874">
        <f t="shared" si="108"/>
        <v>3.6896551724137931</v>
      </c>
      <c r="X874" t="str">
        <f t="shared" si="109"/>
        <v>High Profit</v>
      </c>
      <c r="Y874">
        <f t="shared" si="110"/>
        <v>88</v>
      </c>
      <c r="Z874">
        <f t="shared" si="111"/>
        <v>236</v>
      </c>
    </row>
    <row r="875" spans="1:26">
      <c r="A875" s="5">
        <v>513</v>
      </c>
      <c r="B875" s="5">
        <v>134</v>
      </c>
      <c r="C875" s="6">
        <v>41609</v>
      </c>
      <c r="D875" s="5" t="s">
        <v>16</v>
      </c>
      <c r="E875" s="5" t="s">
        <v>17</v>
      </c>
      <c r="F875" s="5">
        <v>41</v>
      </c>
      <c r="G875" s="5" t="s">
        <v>18</v>
      </c>
      <c r="H875" s="5" t="s">
        <v>26</v>
      </c>
      <c r="I875" s="5" t="s">
        <v>54</v>
      </c>
      <c r="J875" s="5">
        <v>180</v>
      </c>
      <c r="K875" s="5">
        <v>341</v>
      </c>
      <c r="L875" s="5" t="s">
        <v>58</v>
      </c>
      <c r="M875" s="5">
        <v>110</v>
      </c>
      <c r="N875" s="5">
        <v>90</v>
      </c>
      <c r="O875" s="5">
        <v>260</v>
      </c>
      <c r="P875" s="5">
        <v>65</v>
      </c>
      <c r="Q875">
        <f>SUM([1]!Table1[[#This Row],[Sales]])</f>
        <v>341</v>
      </c>
      <c r="R875">
        <f>SUM([1]!Table1[[#This Row],[Profit]])</f>
        <v>180</v>
      </c>
      <c r="S875" s="7">
        <f t="shared" si="104"/>
        <v>0.52785923753665687</v>
      </c>
      <c r="T875">
        <f t="shared" si="105"/>
        <v>41</v>
      </c>
      <c r="U875">
        <f t="shared" si="106"/>
        <v>81</v>
      </c>
      <c r="V875">
        <f t="shared" si="107"/>
        <v>24</v>
      </c>
      <c r="W875">
        <f t="shared" si="108"/>
        <v>4.3902439024390247</v>
      </c>
      <c r="X875" t="str">
        <f t="shared" si="109"/>
        <v>High Profit</v>
      </c>
      <c r="Y875">
        <f t="shared" si="110"/>
        <v>134</v>
      </c>
      <c r="Z875">
        <f t="shared" si="111"/>
        <v>341</v>
      </c>
    </row>
    <row r="876" spans="1:26">
      <c r="A876" s="3">
        <v>719</v>
      </c>
      <c r="B876" s="3">
        <v>81</v>
      </c>
      <c r="C876" s="4">
        <v>41609</v>
      </c>
      <c r="D876" s="3" t="s">
        <v>16</v>
      </c>
      <c r="E876" s="3" t="s">
        <v>17</v>
      </c>
      <c r="F876" s="3">
        <v>26</v>
      </c>
      <c r="G876" s="3" t="s">
        <v>18</v>
      </c>
      <c r="H876" s="3" t="s">
        <v>26</v>
      </c>
      <c r="I876" s="3" t="s">
        <v>30</v>
      </c>
      <c r="J876" s="3">
        <v>98</v>
      </c>
      <c r="K876" s="3">
        <v>197</v>
      </c>
      <c r="L876" s="3" t="s">
        <v>21</v>
      </c>
      <c r="M876" s="3">
        <v>60</v>
      </c>
      <c r="N876" s="3">
        <v>60</v>
      </c>
      <c r="O876" s="3">
        <v>150</v>
      </c>
      <c r="P876" s="3">
        <v>38</v>
      </c>
      <c r="Q876">
        <f>SUM([1]!Table1[[#This Row],[Sales]])</f>
        <v>197</v>
      </c>
      <c r="R876">
        <f>SUM([1]!Table1[[#This Row],[Profit]])</f>
        <v>98</v>
      </c>
      <c r="S876" s="7">
        <f t="shared" si="104"/>
        <v>0.49746192893401014</v>
      </c>
      <c r="T876">
        <f t="shared" si="105"/>
        <v>26</v>
      </c>
      <c r="U876">
        <f t="shared" si="106"/>
        <v>47</v>
      </c>
      <c r="V876">
        <f t="shared" si="107"/>
        <v>21</v>
      </c>
      <c r="W876">
        <f t="shared" si="108"/>
        <v>3.7692307692307692</v>
      </c>
      <c r="X876" t="str">
        <f t="shared" si="109"/>
        <v>Low Profit</v>
      </c>
      <c r="Y876">
        <f t="shared" si="110"/>
        <v>81</v>
      </c>
      <c r="Z876">
        <f t="shared" si="111"/>
        <v>197</v>
      </c>
    </row>
    <row r="877" spans="1:26">
      <c r="A877" s="5">
        <v>712</v>
      </c>
      <c r="B877" s="5">
        <v>10</v>
      </c>
      <c r="C877" s="6">
        <v>41609</v>
      </c>
      <c r="D877" s="5" t="s">
        <v>32</v>
      </c>
      <c r="E877" s="5" t="s">
        <v>17</v>
      </c>
      <c r="F877" s="5">
        <v>3</v>
      </c>
      <c r="G877" s="5" t="s">
        <v>33</v>
      </c>
      <c r="H877" s="5" t="s">
        <v>38</v>
      </c>
      <c r="I877" s="5" t="s">
        <v>39</v>
      </c>
      <c r="J877" s="5">
        <v>-1</v>
      </c>
      <c r="K877" s="5">
        <v>26</v>
      </c>
      <c r="L877" s="5" t="s">
        <v>36</v>
      </c>
      <c r="M877" s="5">
        <v>0</v>
      </c>
      <c r="N877" s="5">
        <v>10</v>
      </c>
      <c r="O877" s="5">
        <v>20</v>
      </c>
      <c r="P877" s="5">
        <v>15</v>
      </c>
      <c r="Q877">
        <f>SUM([1]!Table1[[#This Row],[Sales]])</f>
        <v>26</v>
      </c>
      <c r="R877">
        <f>SUM([1]!Table1[[#This Row],[Profit]])</f>
        <v>-1</v>
      </c>
      <c r="S877" s="7">
        <f t="shared" si="104"/>
        <v>-3.8461538461538464E-2</v>
      </c>
      <c r="T877">
        <f t="shared" si="105"/>
        <v>3</v>
      </c>
      <c r="U877">
        <f t="shared" si="106"/>
        <v>6</v>
      </c>
      <c r="V877">
        <f t="shared" si="107"/>
        <v>10</v>
      </c>
      <c r="W877">
        <f t="shared" si="108"/>
        <v>-0.33333333333333331</v>
      </c>
      <c r="X877" t="str">
        <f t="shared" si="109"/>
        <v>Low Profit</v>
      </c>
      <c r="Y877">
        <f t="shared" si="110"/>
        <v>10</v>
      </c>
      <c r="Z877">
        <f t="shared" si="111"/>
        <v>26</v>
      </c>
    </row>
    <row r="878" spans="1:26">
      <c r="A878" s="3">
        <v>414</v>
      </c>
      <c r="B878" s="3">
        <v>83</v>
      </c>
      <c r="C878" s="4">
        <v>41609</v>
      </c>
      <c r="D878" s="3" t="s">
        <v>32</v>
      </c>
      <c r="E878" s="3" t="s">
        <v>17</v>
      </c>
      <c r="F878" s="3">
        <v>27</v>
      </c>
      <c r="G878" s="3" t="s">
        <v>33</v>
      </c>
      <c r="H878" s="3" t="s">
        <v>38</v>
      </c>
      <c r="I878" s="3" t="s">
        <v>39</v>
      </c>
      <c r="J878" s="3">
        <v>85</v>
      </c>
      <c r="K878" s="3">
        <v>208</v>
      </c>
      <c r="L878" s="3" t="s">
        <v>52</v>
      </c>
      <c r="M878" s="3">
        <v>80</v>
      </c>
      <c r="N878" s="3">
        <v>70</v>
      </c>
      <c r="O878" s="3">
        <v>190</v>
      </c>
      <c r="P878" s="3">
        <v>55</v>
      </c>
      <c r="Q878">
        <f>SUM([1]!Table1[[#This Row],[Sales]])</f>
        <v>208</v>
      </c>
      <c r="R878">
        <f>SUM([1]!Table1[[#This Row],[Profit]])</f>
        <v>85</v>
      </c>
      <c r="S878" s="7">
        <f t="shared" si="104"/>
        <v>0.40865384615384615</v>
      </c>
      <c r="T878">
        <f t="shared" si="105"/>
        <v>27</v>
      </c>
      <c r="U878">
        <f t="shared" si="106"/>
        <v>18</v>
      </c>
      <c r="V878">
        <f t="shared" si="107"/>
        <v>3</v>
      </c>
      <c r="W878">
        <f t="shared" si="108"/>
        <v>3.1481481481481484</v>
      </c>
      <c r="X878" t="str">
        <f t="shared" si="109"/>
        <v>Low Profit</v>
      </c>
      <c r="Y878">
        <f t="shared" si="110"/>
        <v>83</v>
      </c>
      <c r="Z878">
        <f t="shared" si="111"/>
        <v>208</v>
      </c>
    </row>
    <row r="879" spans="1:26">
      <c r="A879" s="5">
        <v>573</v>
      </c>
      <c r="B879" s="5">
        <v>68</v>
      </c>
      <c r="C879" s="6">
        <v>41609</v>
      </c>
      <c r="D879" s="5" t="s">
        <v>32</v>
      </c>
      <c r="E879" s="5" t="s">
        <v>17</v>
      </c>
      <c r="F879" s="5">
        <v>25</v>
      </c>
      <c r="G879" s="5" t="s">
        <v>33</v>
      </c>
      <c r="H879" s="5" t="s">
        <v>38</v>
      </c>
      <c r="I879" s="5" t="s">
        <v>45</v>
      </c>
      <c r="J879" s="5">
        <v>39</v>
      </c>
      <c r="K879" s="5">
        <v>163</v>
      </c>
      <c r="L879" s="5" t="s">
        <v>51</v>
      </c>
      <c r="M879" s="5">
        <v>60</v>
      </c>
      <c r="N879" s="5">
        <v>40</v>
      </c>
      <c r="O879" s="5">
        <v>150</v>
      </c>
      <c r="P879" s="5">
        <v>59</v>
      </c>
      <c r="Q879">
        <f>SUM([1]!Table1[[#This Row],[Sales]])</f>
        <v>163</v>
      </c>
      <c r="R879">
        <f>SUM([1]!Table1[[#This Row],[Profit]])</f>
        <v>39</v>
      </c>
      <c r="S879" s="7">
        <f t="shared" si="104"/>
        <v>0.2392638036809816</v>
      </c>
      <c r="T879">
        <f t="shared" si="105"/>
        <v>25</v>
      </c>
      <c r="U879">
        <f t="shared" si="106"/>
        <v>13</v>
      </c>
      <c r="V879">
        <f t="shared" si="107"/>
        <v>8</v>
      </c>
      <c r="W879">
        <f t="shared" si="108"/>
        <v>1.56</v>
      </c>
      <c r="X879" t="str">
        <f t="shared" si="109"/>
        <v>Low Profit</v>
      </c>
      <c r="Y879">
        <f t="shared" si="110"/>
        <v>68</v>
      </c>
      <c r="Z879">
        <f t="shared" si="111"/>
        <v>163</v>
      </c>
    </row>
    <row r="880" spans="1:26">
      <c r="A880" s="3">
        <v>262</v>
      </c>
      <c r="B880" s="3">
        <v>105</v>
      </c>
      <c r="C880" s="4">
        <v>41609</v>
      </c>
      <c r="D880" s="3" t="s">
        <v>32</v>
      </c>
      <c r="E880" s="3" t="s">
        <v>17</v>
      </c>
      <c r="F880" s="3">
        <v>95</v>
      </c>
      <c r="G880" s="3" t="s">
        <v>33</v>
      </c>
      <c r="H880" s="3" t="s">
        <v>38</v>
      </c>
      <c r="I880" s="3" t="s">
        <v>45</v>
      </c>
      <c r="J880" s="3">
        <v>30</v>
      </c>
      <c r="K880" s="3">
        <v>266</v>
      </c>
      <c r="L880" s="3" t="s">
        <v>52</v>
      </c>
      <c r="M880" s="3">
        <v>100</v>
      </c>
      <c r="N880" s="3">
        <v>30</v>
      </c>
      <c r="O880" s="3">
        <v>240</v>
      </c>
      <c r="P880" s="3">
        <v>125</v>
      </c>
      <c r="Q880">
        <f>SUM([1]!Table1[[#This Row],[Sales]])</f>
        <v>266</v>
      </c>
      <c r="R880">
        <f>SUM([1]!Table1[[#This Row],[Profit]])</f>
        <v>30</v>
      </c>
      <c r="S880" s="7">
        <f t="shared" si="104"/>
        <v>0.11278195488721804</v>
      </c>
      <c r="T880">
        <f t="shared" si="105"/>
        <v>95</v>
      </c>
      <c r="U880">
        <f t="shared" si="106"/>
        <v>26</v>
      </c>
      <c r="V880">
        <f t="shared" si="107"/>
        <v>5</v>
      </c>
      <c r="W880">
        <f t="shared" si="108"/>
        <v>0.31578947368421051</v>
      </c>
      <c r="X880" t="str">
        <f t="shared" si="109"/>
        <v>Low Profit</v>
      </c>
      <c r="Y880">
        <f t="shared" si="110"/>
        <v>105</v>
      </c>
      <c r="Z880">
        <f t="shared" si="111"/>
        <v>266</v>
      </c>
    </row>
    <row r="881" spans="1:26">
      <c r="A881" s="5">
        <v>573</v>
      </c>
      <c r="B881" s="5">
        <v>50</v>
      </c>
      <c r="C881" s="6">
        <v>41609</v>
      </c>
      <c r="D881" s="5" t="s">
        <v>32</v>
      </c>
      <c r="E881" s="5" t="s">
        <v>17</v>
      </c>
      <c r="F881" s="5">
        <v>14</v>
      </c>
      <c r="G881" s="5" t="s">
        <v>33</v>
      </c>
      <c r="H881" s="5" t="s">
        <v>34</v>
      </c>
      <c r="I881" s="5" t="s">
        <v>46</v>
      </c>
      <c r="J881" s="5">
        <v>71</v>
      </c>
      <c r="K881" s="5">
        <v>131</v>
      </c>
      <c r="L881" s="5" t="s">
        <v>51</v>
      </c>
      <c r="M881" s="5">
        <v>60</v>
      </c>
      <c r="N881" s="5">
        <v>70</v>
      </c>
      <c r="O881" s="5">
        <v>150</v>
      </c>
      <c r="P881" s="5">
        <v>25</v>
      </c>
      <c r="Q881">
        <f>SUM([1]!Table1[[#This Row],[Sales]])</f>
        <v>131</v>
      </c>
      <c r="R881">
        <f>SUM([1]!Table1[[#This Row],[Profit]])</f>
        <v>71</v>
      </c>
      <c r="S881" s="7">
        <f t="shared" si="104"/>
        <v>0.5419847328244275</v>
      </c>
      <c r="T881">
        <f t="shared" si="105"/>
        <v>14</v>
      </c>
      <c r="U881">
        <f t="shared" si="106"/>
        <v>-19</v>
      </c>
      <c r="V881">
        <f t="shared" si="107"/>
        <v>-10</v>
      </c>
      <c r="W881">
        <f t="shared" si="108"/>
        <v>5.0714285714285712</v>
      </c>
      <c r="X881" t="str">
        <f t="shared" si="109"/>
        <v>Low Profit</v>
      </c>
      <c r="Y881">
        <f t="shared" si="110"/>
        <v>50</v>
      </c>
      <c r="Z881">
        <f t="shared" si="111"/>
        <v>131</v>
      </c>
    </row>
    <row r="882" spans="1:26">
      <c r="A882" s="3">
        <v>262</v>
      </c>
      <c r="B882" s="3">
        <v>80</v>
      </c>
      <c r="C882" s="4">
        <v>41609</v>
      </c>
      <c r="D882" s="3" t="s">
        <v>32</v>
      </c>
      <c r="E882" s="3" t="s">
        <v>17</v>
      </c>
      <c r="F882" s="3">
        <v>24</v>
      </c>
      <c r="G882" s="3" t="s">
        <v>33</v>
      </c>
      <c r="H882" s="3" t="s">
        <v>34</v>
      </c>
      <c r="I882" s="3" t="s">
        <v>46</v>
      </c>
      <c r="J882" s="3">
        <v>74</v>
      </c>
      <c r="K882" s="3">
        <v>188</v>
      </c>
      <c r="L882" s="3" t="s">
        <v>52</v>
      </c>
      <c r="M882" s="3">
        <v>100</v>
      </c>
      <c r="N882" s="3">
        <v>80</v>
      </c>
      <c r="O882" s="3">
        <v>220</v>
      </c>
      <c r="P882" s="3">
        <v>46</v>
      </c>
      <c r="Q882">
        <f>SUM([1]!Table1[[#This Row],[Sales]])</f>
        <v>188</v>
      </c>
      <c r="R882">
        <f>SUM([1]!Table1[[#This Row],[Profit]])</f>
        <v>74</v>
      </c>
      <c r="S882" s="7">
        <f t="shared" si="104"/>
        <v>0.39361702127659576</v>
      </c>
      <c r="T882">
        <f t="shared" si="105"/>
        <v>24</v>
      </c>
      <c r="U882">
        <f t="shared" si="106"/>
        <v>-32</v>
      </c>
      <c r="V882">
        <f t="shared" si="107"/>
        <v>-20</v>
      </c>
      <c r="W882">
        <f t="shared" si="108"/>
        <v>3.0833333333333335</v>
      </c>
      <c r="X882" t="str">
        <f t="shared" si="109"/>
        <v>Low Profit</v>
      </c>
      <c r="Y882">
        <f t="shared" si="110"/>
        <v>80</v>
      </c>
      <c r="Z882">
        <f t="shared" si="111"/>
        <v>188</v>
      </c>
    </row>
    <row r="883" spans="1:26">
      <c r="A883" s="5">
        <v>515</v>
      </c>
      <c r="B883" s="5">
        <v>247</v>
      </c>
      <c r="C883" s="6">
        <v>41609</v>
      </c>
      <c r="D883" s="5" t="s">
        <v>32</v>
      </c>
      <c r="E883" s="5" t="s">
        <v>17</v>
      </c>
      <c r="F883" s="5">
        <v>81</v>
      </c>
      <c r="G883" s="5" t="s">
        <v>18</v>
      </c>
      <c r="H883" s="5" t="s">
        <v>19</v>
      </c>
      <c r="I883" s="5" t="s">
        <v>50</v>
      </c>
      <c r="J883" s="5">
        <v>321</v>
      </c>
      <c r="K883" s="5">
        <v>614</v>
      </c>
      <c r="L883" s="5" t="s">
        <v>36</v>
      </c>
      <c r="M883" s="5">
        <v>230</v>
      </c>
      <c r="N883" s="5">
        <v>200</v>
      </c>
      <c r="O883" s="5">
        <v>530</v>
      </c>
      <c r="P883" s="5">
        <v>113</v>
      </c>
      <c r="Q883">
        <f>SUM([1]!Table1[[#This Row],[Sales]])</f>
        <v>614</v>
      </c>
      <c r="R883">
        <f>SUM([1]!Table1[[#This Row],[Profit]])</f>
        <v>321</v>
      </c>
      <c r="S883" s="7">
        <f t="shared" si="104"/>
        <v>0.5228013029315961</v>
      </c>
      <c r="T883">
        <f t="shared" si="105"/>
        <v>81</v>
      </c>
      <c r="U883">
        <f t="shared" si="106"/>
        <v>84</v>
      </c>
      <c r="V883">
        <f t="shared" si="107"/>
        <v>17</v>
      </c>
      <c r="W883">
        <f t="shared" si="108"/>
        <v>3.9629629629629628</v>
      </c>
      <c r="X883" t="str">
        <f t="shared" si="109"/>
        <v>High Profit</v>
      </c>
      <c r="Y883">
        <f t="shared" si="110"/>
        <v>247</v>
      </c>
      <c r="Z883">
        <f t="shared" si="111"/>
        <v>614</v>
      </c>
    </row>
    <row r="884" spans="1:26">
      <c r="A884" s="3">
        <v>515</v>
      </c>
      <c r="B884" s="3">
        <v>127</v>
      </c>
      <c r="C884" s="4">
        <v>41609</v>
      </c>
      <c r="D884" s="3" t="s">
        <v>32</v>
      </c>
      <c r="E884" s="3" t="s">
        <v>17</v>
      </c>
      <c r="F884" s="3">
        <v>40</v>
      </c>
      <c r="G884" s="3" t="s">
        <v>18</v>
      </c>
      <c r="H884" s="3" t="s">
        <v>19</v>
      </c>
      <c r="I884" s="3" t="s">
        <v>20</v>
      </c>
      <c r="J884" s="3">
        <v>183</v>
      </c>
      <c r="K884" s="3">
        <v>332</v>
      </c>
      <c r="L884" s="3" t="s">
        <v>36</v>
      </c>
      <c r="M884" s="3">
        <v>120</v>
      </c>
      <c r="N884" s="3">
        <v>120</v>
      </c>
      <c r="O884" s="3">
        <v>290</v>
      </c>
      <c r="P884" s="3">
        <v>62</v>
      </c>
      <c r="Q884">
        <f>SUM([1]!Table1[[#This Row],[Sales]])</f>
        <v>332</v>
      </c>
      <c r="R884">
        <f>SUM([1]!Table1[[#This Row],[Profit]])</f>
        <v>183</v>
      </c>
      <c r="S884" s="7">
        <f t="shared" si="104"/>
        <v>0.5512048192771084</v>
      </c>
      <c r="T884">
        <f t="shared" si="105"/>
        <v>40</v>
      </c>
      <c r="U884">
        <f t="shared" si="106"/>
        <v>42</v>
      </c>
      <c r="V884">
        <f t="shared" si="107"/>
        <v>7</v>
      </c>
      <c r="W884">
        <f t="shared" si="108"/>
        <v>4.5750000000000002</v>
      </c>
      <c r="X884" t="str">
        <f t="shared" si="109"/>
        <v>High Profit</v>
      </c>
      <c r="Y884">
        <f t="shared" si="110"/>
        <v>127</v>
      </c>
      <c r="Z884">
        <f t="shared" si="111"/>
        <v>332</v>
      </c>
    </row>
    <row r="885" spans="1:26">
      <c r="A885" s="5">
        <v>641</v>
      </c>
      <c r="B885" s="5">
        <v>250</v>
      </c>
      <c r="C885" s="6">
        <v>41609</v>
      </c>
      <c r="D885" s="5" t="s">
        <v>32</v>
      </c>
      <c r="E885" s="5" t="s">
        <v>17</v>
      </c>
      <c r="F885" s="5">
        <v>70</v>
      </c>
      <c r="G885" s="5" t="s">
        <v>18</v>
      </c>
      <c r="H885" s="5" t="s">
        <v>26</v>
      </c>
      <c r="I885" s="5" t="s">
        <v>27</v>
      </c>
      <c r="J885" s="5">
        <v>232</v>
      </c>
      <c r="K885" s="5">
        <v>534</v>
      </c>
      <c r="L885" s="5" t="s">
        <v>36</v>
      </c>
      <c r="M885" s="5">
        <v>210</v>
      </c>
      <c r="N885" s="5">
        <v>120</v>
      </c>
      <c r="O885" s="5">
        <v>410</v>
      </c>
      <c r="P885" s="5">
        <v>95</v>
      </c>
      <c r="Q885">
        <f>SUM([1]!Table1[[#This Row],[Sales]])</f>
        <v>534</v>
      </c>
      <c r="R885">
        <f>SUM([1]!Table1[[#This Row],[Profit]])</f>
        <v>232</v>
      </c>
      <c r="S885" s="7">
        <f t="shared" si="104"/>
        <v>0.43445692883895132</v>
      </c>
      <c r="T885">
        <f t="shared" si="105"/>
        <v>70</v>
      </c>
      <c r="U885">
        <f t="shared" si="106"/>
        <v>124</v>
      </c>
      <c r="V885">
        <f t="shared" si="107"/>
        <v>40</v>
      </c>
      <c r="W885">
        <f t="shared" si="108"/>
        <v>3.3142857142857145</v>
      </c>
      <c r="X885" t="str">
        <f t="shared" si="109"/>
        <v>High Profit</v>
      </c>
      <c r="Y885">
        <f t="shared" si="110"/>
        <v>250</v>
      </c>
      <c r="Z885">
        <f t="shared" si="111"/>
        <v>534</v>
      </c>
    </row>
    <row r="886" spans="1:26">
      <c r="A886" s="3">
        <v>563</v>
      </c>
      <c r="B886" s="3">
        <v>294</v>
      </c>
      <c r="C886" s="4">
        <v>41609</v>
      </c>
      <c r="D886" s="3" t="s">
        <v>32</v>
      </c>
      <c r="E886" s="3" t="s">
        <v>17</v>
      </c>
      <c r="F886" s="3">
        <v>111</v>
      </c>
      <c r="G886" s="3" t="s">
        <v>18</v>
      </c>
      <c r="H886" s="3" t="s">
        <v>26</v>
      </c>
      <c r="I886" s="3" t="s">
        <v>54</v>
      </c>
      <c r="J886" s="3">
        <v>321</v>
      </c>
      <c r="K886" s="3">
        <v>697</v>
      </c>
      <c r="L886" s="3" t="s">
        <v>36</v>
      </c>
      <c r="M886" s="3">
        <v>240</v>
      </c>
      <c r="N886" s="3">
        <v>170</v>
      </c>
      <c r="O886" s="3">
        <v>540</v>
      </c>
      <c r="P886" s="3">
        <v>144</v>
      </c>
      <c r="Q886">
        <f>SUM([1]!Table1[[#This Row],[Sales]])</f>
        <v>697</v>
      </c>
      <c r="R886">
        <f>SUM([1]!Table1[[#This Row],[Profit]])</f>
        <v>321</v>
      </c>
      <c r="S886" s="7">
        <f t="shared" si="104"/>
        <v>0.46054519368723101</v>
      </c>
      <c r="T886">
        <f t="shared" si="105"/>
        <v>111</v>
      </c>
      <c r="U886">
        <f t="shared" si="106"/>
        <v>157</v>
      </c>
      <c r="V886">
        <f t="shared" si="107"/>
        <v>54</v>
      </c>
      <c r="W886">
        <f t="shared" si="108"/>
        <v>2.8918918918918921</v>
      </c>
      <c r="X886" t="str">
        <f t="shared" si="109"/>
        <v>High Profit</v>
      </c>
      <c r="Y886">
        <f t="shared" si="110"/>
        <v>294</v>
      </c>
      <c r="Z886">
        <f t="shared" si="111"/>
        <v>697</v>
      </c>
    </row>
    <row r="887" spans="1:26">
      <c r="A887" s="5">
        <v>816</v>
      </c>
      <c r="B887" s="5">
        <v>20</v>
      </c>
      <c r="C887" s="6">
        <v>41609</v>
      </c>
      <c r="D887" s="5" t="s">
        <v>32</v>
      </c>
      <c r="E887" s="5" t="s">
        <v>17</v>
      </c>
      <c r="F887" s="5">
        <v>7</v>
      </c>
      <c r="G887" s="5" t="s">
        <v>18</v>
      </c>
      <c r="H887" s="5" t="s">
        <v>26</v>
      </c>
      <c r="I887" s="5" t="s">
        <v>54</v>
      </c>
      <c r="J887" s="5">
        <v>-24</v>
      </c>
      <c r="K887" s="5">
        <v>48</v>
      </c>
      <c r="L887" s="5" t="s">
        <v>51</v>
      </c>
      <c r="M887" s="5">
        <v>10</v>
      </c>
      <c r="N887" s="5">
        <v>-10</v>
      </c>
      <c r="O887" s="5">
        <v>30</v>
      </c>
      <c r="P887" s="5">
        <v>41</v>
      </c>
      <c r="Q887">
        <f>SUM([1]!Table1[[#This Row],[Sales]])</f>
        <v>48</v>
      </c>
      <c r="R887">
        <f>SUM([1]!Table1[[#This Row],[Profit]])</f>
        <v>-24</v>
      </c>
      <c r="S887" s="7">
        <f t="shared" si="104"/>
        <v>-0.5</v>
      </c>
      <c r="T887">
        <f t="shared" si="105"/>
        <v>7</v>
      </c>
      <c r="U887">
        <f t="shared" si="106"/>
        <v>18</v>
      </c>
      <c r="V887">
        <f t="shared" si="107"/>
        <v>10</v>
      </c>
      <c r="W887">
        <f t="shared" si="108"/>
        <v>-3.4285714285714284</v>
      </c>
      <c r="X887" t="str">
        <f t="shared" si="109"/>
        <v>Low Profit</v>
      </c>
      <c r="Y887">
        <f t="shared" si="110"/>
        <v>20</v>
      </c>
      <c r="Z887">
        <f t="shared" si="111"/>
        <v>48</v>
      </c>
    </row>
    <row r="888" spans="1:26">
      <c r="A888" s="3">
        <v>951</v>
      </c>
      <c r="B888" s="3">
        <v>154</v>
      </c>
      <c r="C888" s="4">
        <v>41183</v>
      </c>
      <c r="D888" s="3" t="s">
        <v>16</v>
      </c>
      <c r="E888" s="3" t="s">
        <v>29</v>
      </c>
      <c r="F888" s="3">
        <v>50</v>
      </c>
      <c r="G888" s="3" t="s">
        <v>33</v>
      </c>
      <c r="H888" s="3" t="s">
        <v>38</v>
      </c>
      <c r="I888" s="3" t="s">
        <v>39</v>
      </c>
      <c r="J888" s="3">
        <v>-117</v>
      </c>
      <c r="K888" s="3">
        <v>130</v>
      </c>
      <c r="L888" s="3" t="s">
        <v>31</v>
      </c>
      <c r="M888" s="3">
        <v>220</v>
      </c>
      <c r="N888" s="3">
        <v>-100</v>
      </c>
      <c r="O888" s="3">
        <v>190</v>
      </c>
      <c r="P888" s="3">
        <v>93</v>
      </c>
      <c r="Q888">
        <f>SUM([1]!Table1[[#This Row],[Sales]])</f>
        <v>130</v>
      </c>
      <c r="R888">
        <f>SUM([1]!Table1[[#This Row],[Profit]])</f>
        <v>-117</v>
      </c>
      <c r="S888" s="7">
        <f t="shared" si="104"/>
        <v>-0.9</v>
      </c>
      <c r="T888">
        <f t="shared" si="105"/>
        <v>50</v>
      </c>
      <c r="U888">
        <f t="shared" si="106"/>
        <v>-60</v>
      </c>
      <c r="V888">
        <f t="shared" si="107"/>
        <v>-66</v>
      </c>
      <c r="W888">
        <f t="shared" si="108"/>
        <v>-2.34</v>
      </c>
      <c r="X888" t="str">
        <f t="shared" si="109"/>
        <v>Low Profit</v>
      </c>
      <c r="Y888">
        <f t="shared" si="110"/>
        <v>154</v>
      </c>
      <c r="Z888">
        <f t="shared" si="111"/>
        <v>130</v>
      </c>
    </row>
    <row r="889" spans="1:26">
      <c r="A889" s="5">
        <v>714</v>
      </c>
      <c r="B889" s="5">
        <v>257</v>
      </c>
      <c r="C889" s="6">
        <v>41183</v>
      </c>
      <c r="D889" s="5" t="s">
        <v>16</v>
      </c>
      <c r="E889" s="5" t="s">
        <v>29</v>
      </c>
      <c r="F889" s="5">
        <v>84</v>
      </c>
      <c r="G889" s="5" t="s">
        <v>33</v>
      </c>
      <c r="H889" s="5" t="s">
        <v>34</v>
      </c>
      <c r="I889" s="5" t="s">
        <v>35</v>
      </c>
      <c r="J889" s="5">
        <v>225</v>
      </c>
      <c r="K889" s="5">
        <v>598</v>
      </c>
      <c r="L889" s="5" t="s">
        <v>31</v>
      </c>
      <c r="M889" s="5">
        <v>230</v>
      </c>
      <c r="N889" s="5">
        <v>240</v>
      </c>
      <c r="O889" s="5">
        <v>550</v>
      </c>
      <c r="P889" s="5">
        <v>116</v>
      </c>
      <c r="Q889">
        <f>SUM([1]!Table1[[#This Row],[Sales]])</f>
        <v>598</v>
      </c>
      <c r="R889">
        <f>SUM([1]!Table1[[#This Row],[Profit]])</f>
        <v>225</v>
      </c>
      <c r="S889" s="7">
        <f t="shared" si="104"/>
        <v>0.37625418060200672</v>
      </c>
      <c r="T889">
        <f t="shared" si="105"/>
        <v>84</v>
      </c>
      <c r="U889">
        <f t="shared" si="106"/>
        <v>48</v>
      </c>
      <c r="V889">
        <f t="shared" si="107"/>
        <v>27</v>
      </c>
      <c r="W889">
        <f t="shared" si="108"/>
        <v>2.6785714285714284</v>
      </c>
      <c r="X889" t="str">
        <f t="shared" si="109"/>
        <v>High Profit</v>
      </c>
      <c r="Y889">
        <f t="shared" si="110"/>
        <v>257</v>
      </c>
      <c r="Z889">
        <f t="shared" si="111"/>
        <v>598</v>
      </c>
    </row>
    <row r="890" spans="1:26">
      <c r="A890" s="3">
        <v>818</v>
      </c>
      <c r="B890" s="3">
        <v>122</v>
      </c>
      <c r="C890" s="4">
        <v>41183</v>
      </c>
      <c r="D890" s="3" t="s">
        <v>16</v>
      </c>
      <c r="E890" s="3" t="s">
        <v>29</v>
      </c>
      <c r="F890" s="3">
        <v>39</v>
      </c>
      <c r="G890" s="3" t="s">
        <v>33</v>
      </c>
      <c r="H890" s="3" t="s">
        <v>38</v>
      </c>
      <c r="I890" s="3" t="s">
        <v>43</v>
      </c>
      <c r="J890" s="3">
        <v>-74</v>
      </c>
      <c r="K890" s="3">
        <v>109</v>
      </c>
      <c r="L890" s="3" t="s">
        <v>31</v>
      </c>
      <c r="M890" s="3">
        <v>170</v>
      </c>
      <c r="N890" s="3">
        <v>-60</v>
      </c>
      <c r="O890" s="3">
        <v>150</v>
      </c>
      <c r="P890" s="3">
        <v>61</v>
      </c>
      <c r="Q890">
        <f>SUM([1]!Table1[[#This Row],[Sales]])</f>
        <v>109</v>
      </c>
      <c r="R890">
        <f>SUM([1]!Table1[[#This Row],[Profit]])</f>
        <v>-74</v>
      </c>
      <c r="S890" s="7">
        <f t="shared" si="104"/>
        <v>-0.67889908256880738</v>
      </c>
      <c r="T890">
        <f t="shared" si="105"/>
        <v>39</v>
      </c>
      <c r="U890">
        <f t="shared" si="106"/>
        <v>-41</v>
      </c>
      <c r="V890">
        <f t="shared" si="107"/>
        <v>-48</v>
      </c>
      <c r="W890">
        <f t="shared" si="108"/>
        <v>-1.8974358974358974</v>
      </c>
      <c r="X890" t="str">
        <f t="shared" si="109"/>
        <v>Low Profit</v>
      </c>
      <c r="Y890">
        <f t="shared" si="110"/>
        <v>122</v>
      </c>
      <c r="Z890">
        <f t="shared" si="111"/>
        <v>109</v>
      </c>
    </row>
    <row r="891" spans="1:26">
      <c r="A891" s="5">
        <v>626</v>
      </c>
      <c r="B891" s="5">
        <v>260</v>
      </c>
      <c r="C891" s="6">
        <v>41183</v>
      </c>
      <c r="D891" s="5" t="s">
        <v>16</v>
      </c>
      <c r="E891" s="5" t="s">
        <v>29</v>
      </c>
      <c r="F891" s="5">
        <v>91</v>
      </c>
      <c r="G891" s="5" t="s">
        <v>33</v>
      </c>
      <c r="H891" s="5" t="s">
        <v>38</v>
      </c>
      <c r="I891" s="5" t="s">
        <v>45</v>
      </c>
      <c r="J891" s="5">
        <v>247</v>
      </c>
      <c r="K891" s="5">
        <v>650</v>
      </c>
      <c r="L891" s="5" t="s">
        <v>31</v>
      </c>
      <c r="M891" s="5">
        <v>380</v>
      </c>
      <c r="N891" s="5">
        <v>470</v>
      </c>
      <c r="O891" s="5">
        <v>960</v>
      </c>
      <c r="P891" s="5">
        <v>143</v>
      </c>
      <c r="Q891">
        <f>SUM([1]!Table1[[#This Row],[Sales]])</f>
        <v>650</v>
      </c>
      <c r="R891">
        <f>SUM([1]!Table1[[#This Row],[Profit]])</f>
        <v>247</v>
      </c>
      <c r="S891" s="7">
        <f t="shared" si="104"/>
        <v>0.38</v>
      </c>
      <c r="T891">
        <f t="shared" si="105"/>
        <v>91</v>
      </c>
      <c r="U891">
        <f t="shared" si="106"/>
        <v>-310</v>
      </c>
      <c r="V891">
        <f t="shared" si="107"/>
        <v>-120</v>
      </c>
      <c r="W891">
        <f t="shared" si="108"/>
        <v>2.7142857142857144</v>
      </c>
      <c r="X891" t="str">
        <f t="shared" si="109"/>
        <v>High Profit</v>
      </c>
      <c r="Y891">
        <f t="shared" si="110"/>
        <v>260</v>
      </c>
      <c r="Z891">
        <f t="shared" si="111"/>
        <v>650</v>
      </c>
    </row>
    <row r="892" spans="1:26">
      <c r="A892" s="3">
        <v>562</v>
      </c>
      <c r="B892" s="3">
        <v>239</v>
      </c>
      <c r="C892" s="4">
        <v>41183</v>
      </c>
      <c r="D892" s="3" t="s">
        <v>16</v>
      </c>
      <c r="E892" s="3" t="s">
        <v>29</v>
      </c>
      <c r="F892" s="3">
        <v>66</v>
      </c>
      <c r="G892" s="3" t="s">
        <v>33</v>
      </c>
      <c r="H892" s="3" t="s">
        <v>34</v>
      </c>
      <c r="I892" s="3" t="s">
        <v>47</v>
      </c>
      <c r="J892" s="3">
        <v>149</v>
      </c>
      <c r="K892" s="3">
        <v>478</v>
      </c>
      <c r="L892" s="3" t="s">
        <v>31</v>
      </c>
      <c r="M892" s="3">
        <v>210</v>
      </c>
      <c r="N892" s="3">
        <v>160</v>
      </c>
      <c r="O892" s="3">
        <v>430</v>
      </c>
      <c r="P892" s="3">
        <v>90</v>
      </c>
      <c r="Q892">
        <f>SUM([1]!Table1[[#This Row],[Sales]])</f>
        <v>478</v>
      </c>
      <c r="R892">
        <f>SUM([1]!Table1[[#This Row],[Profit]])</f>
        <v>149</v>
      </c>
      <c r="S892" s="7">
        <f t="shared" si="104"/>
        <v>0.31171548117154813</v>
      </c>
      <c r="T892">
        <f t="shared" si="105"/>
        <v>66</v>
      </c>
      <c r="U892">
        <f t="shared" si="106"/>
        <v>48</v>
      </c>
      <c r="V892">
        <f t="shared" si="107"/>
        <v>29</v>
      </c>
      <c r="W892">
        <f t="shared" si="108"/>
        <v>2.2575757575757578</v>
      </c>
      <c r="X892" t="str">
        <f t="shared" si="109"/>
        <v>High Profit</v>
      </c>
      <c r="Y892">
        <f t="shared" si="110"/>
        <v>239</v>
      </c>
      <c r="Z892">
        <f t="shared" si="111"/>
        <v>478</v>
      </c>
    </row>
    <row r="893" spans="1:26">
      <c r="A893" s="5">
        <v>562</v>
      </c>
      <c r="B893" s="5">
        <v>125</v>
      </c>
      <c r="C893" s="6">
        <v>41183</v>
      </c>
      <c r="D893" s="5" t="s">
        <v>16</v>
      </c>
      <c r="E893" s="5" t="s">
        <v>29</v>
      </c>
      <c r="F893" s="5">
        <v>113</v>
      </c>
      <c r="G893" s="5" t="s">
        <v>33</v>
      </c>
      <c r="H893" s="5" t="s">
        <v>34</v>
      </c>
      <c r="I893" s="5" t="s">
        <v>46</v>
      </c>
      <c r="J893" s="5">
        <v>27</v>
      </c>
      <c r="K893" s="5">
        <v>298</v>
      </c>
      <c r="L893" s="5" t="s">
        <v>31</v>
      </c>
      <c r="M893" s="5">
        <v>110</v>
      </c>
      <c r="N893" s="5">
        <v>50</v>
      </c>
      <c r="O893" s="5">
        <v>270</v>
      </c>
      <c r="P893" s="5">
        <v>146</v>
      </c>
      <c r="Q893">
        <f>SUM([1]!Table1[[#This Row],[Sales]])</f>
        <v>298</v>
      </c>
      <c r="R893">
        <f>SUM([1]!Table1[[#This Row],[Profit]])</f>
        <v>27</v>
      </c>
      <c r="S893" s="7">
        <f t="shared" si="104"/>
        <v>9.0604026845637578E-2</v>
      </c>
      <c r="T893">
        <f t="shared" si="105"/>
        <v>113</v>
      </c>
      <c r="U893">
        <f t="shared" si="106"/>
        <v>28</v>
      </c>
      <c r="V893">
        <f t="shared" si="107"/>
        <v>15</v>
      </c>
      <c r="W893">
        <f t="shared" si="108"/>
        <v>0.23893805309734514</v>
      </c>
      <c r="X893" t="str">
        <f t="shared" si="109"/>
        <v>Low Profit</v>
      </c>
      <c r="Y893">
        <f t="shared" si="110"/>
        <v>125</v>
      </c>
      <c r="Z893">
        <f t="shared" si="111"/>
        <v>298</v>
      </c>
    </row>
    <row r="894" spans="1:26">
      <c r="A894" s="3">
        <v>661</v>
      </c>
      <c r="B894" s="3">
        <v>108</v>
      </c>
      <c r="C894" s="4">
        <v>41183</v>
      </c>
      <c r="D894" s="3" t="s">
        <v>16</v>
      </c>
      <c r="E894" s="3" t="s">
        <v>29</v>
      </c>
      <c r="F894" s="3">
        <v>30</v>
      </c>
      <c r="G894" s="3" t="s">
        <v>18</v>
      </c>
      <c r="H894" s="3" t="s">
        <v>19</v>
      </c>
      <c r="I894" s="3" t="s">
        <v>50</v>
      </c>
      <c r="J894" s="3">
        <v>115</v>
      </c>
      <c r="K894" s="3">
        <v>265</v>
      </c>
      <c r="L894" s="3" t="s">
        <v>31</v>
      </c>
      <c r="M894" s="3">
        <v>80</v>
      </c>
      <c r="N894" s="3">
        <v>120</v>
      </c>
      <c r="O894" s="3">
        <v>210</v>
      </c>
      <c r="P894" s="3">
        <v>42</v>
      </c>
      <c r="Q894">
        <f>SUM([1]!Table1[[#This Row],[Sales]])</f>
        <v>265</v>
      </c>
      <c r="R894">
        <f>SUM([1]!Table1[[#This Row],[Profit]])</f>
        <v>115</v>
      </c>
      <c r="S894" s="7">
        <f t="shared" si="104"/>
        <v>0.43396226415094341</v>
      </c>
      <c r="T894">
        <f t="shared" si="105"/>
        <v>30</v>
      </c>
      <c r="U894">
        <f t="shared" si="106"/>
        <v>55</v>
      </c>
      <c r="V894">
        <f t="shared" si="107"/>
        <v>28</v>
      </c>
      <c r="W894">
        <f t="shared" si="108"/>
        <v>3.8333333333333335</v>
      </c>
      <c r="X894" t="str">
        <f t="shared" si="109"/>
        <v>High Profit</v>
      </c>
      <c r="Y894">
        <f t="shared" si="110"/>
        <v>108</v>
      </c>
      <c r="Z894">
        <f t="shared" si="111"/>
        <v>265</v>
      </c>
    </row>
    <row r="895" spans="1:26">
      <c r="A895" s="5">
        <v>562</v>
      </c>
      <c r="B895" s="5">
        <v>239</v>
      </c>
      <c r="C895" s="6">
        <v>41183</v>
      </c>
      <c r="D895" s="5" t="s">
        <v>16</v>
      </c>
      <c r="E895" s="5" t="s">
        <v>29</v>
      </c>
      <c r="F895" s="5">
        <v>74</v>
      </c>
      <c r="G895" s="5" t="s">
        <v>18</v>
      </c>
      <c r="H895" s="5" t="s">
        <v>19</v>
      </c>
      <c r="I895" s="5" t="s">
        <v>20</v>
      </c>
      <c r="J895" s="5">
        <v>186</v>
      </c>
      <c r="K895" s="5">
        <v>520</v>
      </c>
      <c r="L895" s="5" t="s">
        <v>31</v>
      </c>
      <c r="M895" s="5">
        <v>190</v>
      </c>
      <c r="N895" s="5">
        <v>170</v>
      </c>
      <c r="O895" s="5">
        <v>410</v>
      </c>
      <c r="P895" s="5">
        <v>95</v>
      </c>
      <c r="Q895">
        <f>SUM([1]!Table1[[#This Row],[Sales]])</f>
        <v>520</v>
      </c>
      <c r="R895">
        <f>SUM([1]!Table1[[#This Row],[Profit]])</f>
        <v>186</v>
      </c>
      <c r="S895" s="7">
        <f t="shared" si="104"/>
        <v>0.3576923076923077</v>
      </c>
      <c r="T895">
        <f t="shared" si="105"/>
        <v>74</v>
      </c>
      <c r="U895">
        <f t="shared" si="106"/>
        <v>110</v>
      </c>
      <c r="V895">
        <f t="shared" si="107"/>
        <v>49</v>
      </c>
      <c r="W895">
        <f t="shared" si="108"/>
        <v>2.5135135135135136</v>
      </c>
      <c r="X895" t="str">
        <f t="shared" si="109"/>
        <v>High Profit</v>
      </c>
      <c r="Y895">
        <f t="shared" si="110"/>
        <v>239</v>
      </c>
      <c r="Z895">
        <f t="shared" si="111"/>
        <v>520</v>
      </c>
    </row>
    <row r="896" spans="1:26">
      <c r="A896" s="3">
        <v>562</v>
      </c>
      <c r="B896" s="3">
        <v>123</v>
      </c>
      <c r="C896" s="4">
        <v>41183</v>
      </c>
      <c r="D896" s="3" t="s">
        <v>16</v>
      </c>
      <c r="E896" s="3" t="s">
        <v>29</v>
      </c>
      <c r="F896" s="3">
        <v>34</v>
      </c>
      <c r="G896" s="3" t="s">
        <v>18</v>
      </c>
      <c r="H896" s="3" t="s">
        <v>26</v>
      </c>
      <c r="I896" s="3" t="s">
        <v>27</v>
      </c>
      <c r="J896" s="3">
        <v>134</v>
      </c>
      <c r="K896" s="3">
        <v>302</v>
      </c>
      <c r="L896" s="3" t="s">
        <v>31</v>
      </c>
      <c r="M896" s="3">
        <v>50</v>
      </c>
      <c r="N896" s="3">
        <v>80</v>
      </c>
      <c r="O896" s="3">
        <v>140</v>
      </c>
      <c r="P896" s="3">
        <v>45</v>
      </c>
      <c r="Q896">
        <f>SUM([1]!Table1[[#This Row],[Sales]])</f>
        <v>302</v>
      </c>
      <c r="R896">
        <f>SUM([1]!Table1[[#This Row],[Profit]])</f>
        <v>134</v>
      </c>
      <c r="S896" s="7">
        <f t="shared" si="104"/>
        <v>0.44370860927152317</v>
      </c>
      <c r="T896">
        <f t="shared" si="105"/>
        <v>34</v>
      </c>
      <c r="U896">
        <f t="shared" si="106"/>
        <v>162</v>
      </c>
      <c r="V896">
        <f t="shared" si="107"/>
        <v>73</v>
      </c>
      <c r="W896">
        <f t="shared" si="108"/>
        <v>3.9411764705882355</v>
      </c>
      <c r="X896" t="str">
        <f t="shared" si="109"/>
        <v>High Profit</v>
      </c>
      <c r="Y896">
        <f t="shared" si="110"/>
        <v>123</v>
      </c>
      <c r="Z896">
        <f t="shared" si="111"/>
        <v>302</v>
      </c>
    </row>
    <row r="897" spans="1:26">
      <c r="A897" s="5">
        <v>971</v>
      </c>
      <c r="B897" s="5">
        <v>43</v>
      </c>
      <c r="C897" s="6">
        <v>41183</v>
      </c>
      <c r="D897" s="5" t="s">
        <v>32</v>
      </c>
      <c r="E897" s="5" t="s">
        <v>29</v>
      </c>
      <c r="F897" s="5">
        <v>13</v>
      </c>
      <c r="G897" s="5" t="s">
        <v>33</v>
      </c>
      <c r="H897" s="5" t="s">
        <v>38</v>
      </c>
      <c r="I897" s="5" t="s">
        <v>39</v>
      </c>
      <c r="J897" s="5">
        <v>29</v>
      </c>
      <c r="K897" s="5">
        <v>107</v>
      </c>
      <c r="L897" s="5" t="s">
        <v>49</v>
      </c>
      <c r="M897" s="5">
        <v>50</v>
      </c>
      <c r="N897" s="5">
        <v>80</v>
      </c>
      <c r="O897" s="5">
        <v>150</v>
      </c>
      <c r="P897" s="5">
        <v>35</v>
      </c>
      <c r="Q897">
        <f>SUM([1]!Table1[[#This Row],[Sales]])</f>
        <v>107</v>
      </c>
      <c r="R897">
        <f>SUM([1]!Table1[[#This Row],[Profit]])</f>
        <v>29</v>
      </c>
      <c r="S897" s="7">
        <f t="shared" si="104"/>
        <v>0.27102803738317754</v>
      </c>
      <c r="T897">
        <f t="shared" si="105"/>
        <v>13</v>
      </c>
      <c r="U897">
        <f t="shared" si="106"/>
        <v>-43</v>
      </c>
      <c r="V897">
        <f t="shared" si="107"/>
        <v>-7</v>
      </c>
      <c r="W897">
        <f t="shared" si="108"/>
        <v>2.2307692307692308</v>
      </c>
      <c r="X897" t="str">
        <f t="shared" si="109"/>
        <v>Low Profit</v>
      </c>
      <c r="Y897">
        <f t="shared" si="110"/>
        <v>43</v>
      </c>
      <c r="Z897">
        <f t="shared" si="111"/>
        <v>107</v>
      </c>
    </row>
    <row r="898" spans="1:26">
      <c r="A898" s="3">
        <v>435</v>
      </c>
      <c r="B898" s="3">
        <v>79</v>
      </c>
      <c r="C898" s="4">
        <v>41183</v>
      </c>
      <c r="D898" s="3" t="s">
        <v>32</v>
      </c>
      <c r="E898" s="3" t="s">
        <v>29</v>
      </c>
      <c r="F898" s="3">
        <v>30</v>
      </c>
      <c r="G898" s="3" t="s">
        <v>33</v>
      </c>
      <c r="H898" s="3" t="s">
        <v>38</v>
      </c>
      <c r="I898" s="3" t="s">
        <v>39</v>
      </c>
      <c r="J898" s="3">
        <v>34</v>
      </c>
      <c r="K898" s="3">
        <v>177</v>
      </c>
      <c r="L898" s="3" t="s">
        <v>42</v>
      </c>
      <c r="M898" s="3">
        <v>100</v>
      </c>
      <c r="N898" s="3">
        <v>120</v>
      </c>
      <c r="O898" s="3">
        <v>260</v>
      </c>
      <c r="P898" s="3">
        <v>64</v>
      </c>
      <c r="Q898">
        <f>SUM([1]!Table1[[#This Row],[Sales]])</f>
        <v>177</v>
      </c>
      <c r="R898">
        <f>SUM([1]!Table1[[#This Row],[Profit]])</f>
        <v>34</v>
      </c>
      <c r="S898" s="7">
        <f t="shared" si="104"/>
        <v>0.19209039548022599</v>
      </c>
      <c r="T898">
        <f t="shared" si="105"/>
        <v>30</v>
      </c>
      <c r="U898">
        <f t="shared" si="106"/>
        <v>-83</v>
      </c>
      <c r="V898">
        <f t="shared" si="107"/>
        <v>-21</v>
      </c>
      <c r="W898">
        <f t="shared" si="108"/>
        <v>1.1333333333333333</v>
      </c>
      <c r="X898" t="str">
        <f t="shared" si="109"/>
        <v>Low Profit</v>
      </c>
      <c r="Y898">
        <f t="shared" si="110"/>
        <v>79</v>
      </c>
      <c r="Z898">
        <f t="shared" si="111"/>
        <v>177</v>
      </c>
    </row>
    <row r="899" spans="1:26">
      <c r="A899" s="5">
        <v>425</v>
      </c>
      <c r="B899" s="5">
        <v>96</v>
      </c>
      <c r="C899" s="6">
        <v>41183</v>
      </c>
      <c r="D899" s="5" t="s">
        <v>32</v>
      </c>
      <c r="E899" s="5" t="s">
        <v>29</v>
      </c>
      <c r="F899" s="5">
        <v>87</v>
      </c>
      <c r="G899" s="5" t="s">
        <v>33</v>
      </c>
      <c r="H899" s="5" t="s">
        <v>38</v>
      </c>
      <c r="I899" s="5" t="s">
        <v>39</v>
      </c>
      <c r="J899" s="5">
        <v>17</v>
      </c>
      <c r="K899" s="5">
        <v>230</v>
      </c>
      <c r="L899" s="5" t="s">
        <v>53</v>
      </c>
      <c r="M899" s="5">
        <v>140</v>
      </c>
      <c r="N899" s="5">
        <v>100</v>
      </c>
      <c r="O899" s="5">
        <v>330</v>
      </c>
      <c r="P899" s="5">
        <v>117</v>
      </c>
      <c r="Q899">
        <f>SUM([1]!Table1[[#This Row],[Sales]])</f>
        <v>230</v>
      </c>
      <c r="R899">
        <f>SUM([1]!Table1[[#This Row],[Profit]])</f>
        <v>17</v>
      </c>
      <c r="S899" s="7">
        <f t="shared" ref="S899:S962" si="112">J899/K899</f>
        <v>7.3913043478260873E-2</v>
      </c>
      <c r="T899">
        <f t="shared" ref="T899:T962" si="113">SUM(F899)</f>
        <v>87</v>
      </c>
      <c r="U899">
        <f t="shared" ref="U899:U962" si="114">K899-O899</f>
        <v>-100</v>
      </c>
      <c r="V899">
        <f t="shared" ref="V899:V962" si="115">B899-M899</f>
        <v>-44</v>
      </c>
      <c r="W899">
        <f t="shared" ref="W899:W962" si="116">J899/F899</f>
        <v>0.19540229885057472</v>
      </c>
      <c r="X899" t="str">
        <f t="shared" ref="X899:X962" si="117">IF(J899&gt;100,"High Profit","Low Profit")</f>
        <v>Low Profit</v>
      </c>
      <c r="Y899">
        <f t="shared" ref="Y899:Y962" si="118">SUM(B899)</f>
        <v>96</v>
      </c>
      <c r="Z899">
        <f t="shared" ref="Z899:Z962" si="119">SUM(K899)</f>
        <v>230</v>
      </c>
    </row>
    <row r="900" spans="1:26">
      <c r="A900" s="3">
        <v>503</v>
      </c>
      <c r="B900" s="3">
        <v>161</v>
      </c>
      <c r="C900" s="4">
        <v>41183</v>
      </c>
      <c r="D900" s="3" t="s">
        <v>32</v>
      </c>
      <c r="E900" s="3" t="s">
        <v>29</v>
      </c>
      <c r="F900" s="3">
        <v>45</v>
      </c>
      <c r="G900" s="3" t="s">
        <v>33</v>
      </c>
      <c r="H900" s="3" t="s">
        <v>34</v>
      </c>
      <c r="I900" s="3" t="s">
        <v>35</v>
      </c>
      <c r="J900" s="3">
        <v>91</v>
      </c>
      <c r="K900" s="3">
        <v>322</v>
      </c>
      <c r="L900" s="3" t="s">
        <v>49</v>
      </c>
      <c r="M900" s="3">
        <v>140</v>
      </c>
      <c r="N900" s="3">
        <v>110</v>
      </c>
      <c r="O900" s="3">
        <v>290</v>
      </c>
      <c r="P900" s="3">
        <v>70</v>
      </c>
      <c r="Q900">
        <f>SUM([1]!Table1[[#This Row],[Sales]])</f>
        <v>322</v>
      </c>
      <c r="R900">
        <f>SUM([1]!Table1[[#This Row],[Profit]])</f>
        <v>91</v>
      </c>
      <c r="S900" s="7">
        <f t="shared" si="112"/>
        <v>0.28260869565217389</v>
      </c>
      <c r="T900">
        <f t="shared" si="113"/>
        <v>45</v>
      </c>
      <c r="U900">
        <f t="shared" si="114"/>
        <v>32</v>
      </c>
      <c r="V900">
        <f t="shared" si="115"/>
        <v>21</v>
      </c>
      <c r="W900">
        <f t="shared" si="116"/>
        <v>2.0222222222222221</v>
      </c>
      <c r="X900" t="str">
        <f t="shared" si="117"/>
        <v>Low Profit</v>
      </c>
      <c r="Y900">
        <f t="shared" si="118"/>
        <v>161</v>
      </c>
      <c r="Z900">
        <f t="shared" si="119"/>
        <v>322</v>
      </c>
    </row>
    <row r="901" spans="1:26">
      <c r="A901" s="5">
        <v>253</v>
      </c>
      <c r="B901" s="5">
        <v>80</v>
      </c>
      <c r="C901" s="6">
        <v>41183</v>
      </c>
      <c r="D901" s="5" t="s">
        <v>32</v>
      </c>
      <c r="E901" s="5" t="s">
        <v>29</v>
      </c>
      <c r="F901" s="5">
        <v>24</v>
      </c>
      <c r="G901" s="5" t="s">
        <v>33</v>
      </c>
      <c r="H901" s="5" t="s">
        <v>34</v>
      </c>
      <c r="I901" s="5" t="s">
        <v>35</v>
      </c>
      <c r="J901" s="5">
        <v>48</v>
      </c>
      <c r="K901" s="5">
        <v>174</v>
      </c>
      <c r="L901" s="5" t="s">
        <v>53</v>
      </c>
      <c r="M901" s="5">
        <v>60</v>
      </c>
      <c r="N901" s="5">
        <v>80</v>
      </c>
      <c r="O901" s="5">
        <v>150</v>
      </c>
      <c r="P901" s="5">
        <v>46</v>
      </c>
      <c r="Q901">
        <f>SUM([1]!Table1[[#This Row],[Sales]])</f>
        <v>174</v>
      </c>
      <c r="R901">
        <f>SUM([1]!Table1[[#This Row],[Profit]])</f>
        <v>48</v>
      </c>
      <c r="S901" s="7">
        <f t="shared" si="112"/>
        <v>0.27586206896551724</v>
      </c>
      <c r="T901">
        <f t="shared" si="113"/>
        <v>24</v>
      </c>
      <c r="U901">
        <f t="shared" si="114"/>
        <v>24</v>
      </c>
      <c r="V901">
        <f t="shared" si="115"/>
        <v>20</v>
      </c>
      <c r="W901">
        <f t="shared" si="116"/>
        <v>2</v>
      </c>
      <c r="X901" t="str">
        <f t="shared" si="117"/>
        <v>Low Profit</v>
      </c>
      <c r="Y901">
        <f t="shared" si="118"/>
        <v>80</v>
      </c>
      <c r="Z901">
        <f t="shared" si="119"/>
        <v>174</v>
      </c>
    </row>
    <row r="902" spans="1:26">
      <c r="A902" s="3">
        <v>971</v>
      </c>
      <c r="B902" s="3">
        <v>51</v>
      </c>
      <c r="C902" s="4">
        <v>41183</v>
      </c>
      <c r="D902" s="3" t="s">
        <v>32</v>
      </c>
      <c r="E902" s="3" t="s">
        <v>29</v>
      </c>
      <c r="F902" s="3">
        <v>46</v>
      </c>
      <c r="G902" s="3" t="s">
        <v>33</v>
      </c>
      <c r="H902" s="3" t="s">
        <v>38</v>
      </c>
      <c r="I902" s="3" t="s">
        <v>43</v>
      </c>
      <c r="J902" s="3">
        <v>-5</v>
      </c>
      <c r="K902" s="3">
        <v>122</v>
      </c>
      <c r="L902" s="3" t="s">
        <v>49</v>
      </c>
      <c r="M902" s="3">
        <v>70</v>
      </c>
      <c r="N902" s="3">
        <v>50</v>
      </c>
      <c r="O902" s="3">
        <v>170</v>
      </c>
      <c r="P902" s="3">
        <v>76</v>
      </c>
      <c r="Q902">
        <f>SUM([1]!Table1[[#This Row],[Sales]])</f>
        <v>122</v>
      </c>
      <c r="R902">
        <f>SUM([1]!Table1[[#This Row],[Profit]])</f>
        <v>-5</v>
      </c>
      <c r="S902" s="7">
        <f t="shared" si="112"/>
        <v>-4.0983606557377046E-2</v>
      </c>
      <c r="T902">
        <f t="shared" si="113"/>
        <v>46</v>
      </c>
      <c r="U902">
        <f t="shared" si="114"/>
        <v>-48</v>
      </c>
      <c r="V902">
        <f t="shared" si="115"/>
        <v>-19</v>
      </c>
      <c r="W902">
        <f t="shared" si="116"/>
        <v>-0.10869565217391304</v>
      </c>
      <c r="X902" t="str">
        <f t="shared" si="117"/>
        <v>Low Profit</v>
      </c>
      <c r="Y902">
        <f t="shared" si="118"/>
        <v>51</v>
      </c>
      <c r="Z902">
        <f t="shared" si="119"/>
        <v>122</v>
      </c>
    </row>
    <row r="903" spans="1:26">
      <c r="A903" s="5">
        <v>435</v>
      </c>
      <c r="B903" s="5">
        <v>65</v>
      </c>
      <c r="C903" s="6">
        <v>41183</v>
      </c>
      <c r="D903" s="5" t="s">
        <v>32</v>
      </c>
      <c r="E903" s="5" t="s">
        <v>29</v>
      </c>
      <c r="F903" s="5">
        <v>20</v>
      </c>
      <c r="G903" s="5" t="s">
        <v>33</v>
      </c>
      <c r="H903" s="5" t="s">
        <v>38</v>
      </c>
      <c r="I903" s="5" t="s">
        <v>43</v>
      </c>
      <c r="J903" s="5">
        <v>36</v>
      </c>
      <c r="K903" s="5">
        <v>142</v>
      </c>
      <c r="L903" s="5" t="s">
        <v>42</v>
      </c>
      <c r="M903" s="5">
        <v>90</v>
      </c>
      <c r="N903" s="5">
        <v>90</v>
      </c>
      <c r="O903" s="5">
        <v>200</v>
      </c>
      <c r="P903" s="5">
        <v>41</v>
      </c>
      <c r="Q903">
        <f>SUM([1]!Table1[[#This Row],[Sales]])</f>
        <v>142</v>
      </c>
      <c r="R903">
        <f>SUM([1]!Table1[[#This Row],[Profit]])</f>
        <v>36</v>
      </c>
      <c r="S903" s="7">
        <f t="shared" si="112"/>
        <v>0.25352112676056338</v>
      </c>
      <c r="T903">
        <f t="shared" si="113"/>
        <v>20</v>
      </c>
      <c r="U903">
        <f t="shared" si="114"/>
        <v>-58</v>
      </c>
      <c r="V903">
        <f t="shared" si="115"/>
        <v>-25</v>
      </c>
      <c r="W903">
        <f t="shared" si="116"/>
        <v>1.8</v>
      </c>
      <c r="X903" t="str">
        <f t="shared" si="117"/>
        <v>Low Profit</v>
      </c>
      <c r="Y903">
        <f t="shared" si="118"/>
        <v>65</v>
      </c>
      <c r="Z903">
        <f t="shared" si="119"/>
        <v>142</v>
      </c>
    </row>
    <row r="904" spans="1:26">
      <c r="A904" s="3">
        <v>971</v>
      </c>
      <c r="B904" s="3">
        <v>60</v>
      </c>
      <c r="C904" s="4">
        <v>41183</v>
      </c>
      <c r="D904" s="3" t="s">
        <v>32</v>
      </c>
      <c r="E904" s="3" t="s">
        <v>29</v>
      </c>
      <c r="F904" s="3">
        <v>19</v>
      </c>
      <c r="G904" s="3" t="s">
        <v>33</v>
      </c>
      <c r="H904" s="3" t="s">
        <v>38</v>
      </c>
      <c r="I904" s="3" t="s">
        <v>45</v>
      </c>
      <c r="J904" s="3">
        <v>21</v>
      </c>
      <c r="K904" s="3">
        <v>144</v>
      </c>
      <c r="L904" s="3" t="s">
        <v>49</v>
      </c>
      <c r="M904" s="3">
        <v>80</v>
      </c>
      <c r="N904" s="3">
        <v>90</v>
      </c>
      <c r="O904" s="3">
        <v>210</v>
      </c>
      <c r="P904" s="3">
        <v>63</v>
      </c>
      <c r="Q904">
        <f>SUM([1]!Table1[[#This Row],[Sales]])</f>
        <v>144</v>
      </c>
      <c r="R904">
        <f>SUM([1]!Table1[[#This Row],[Profit]])</f>
        <v>21</v>
      </c>
      <c r="S904" s="7">
        <f t="shared" si="112"/>
        <v>0.14583333333333334</v>
      </c>
      <c r="T904">
        <f t="shared" si="113"/>
        <v>19</v>
      </c>
      <c r="U904">
        <f t="shared" si="114"/>
        <v>-66</v>
      </c>
      <c r="V904">
        <f t="shared" si="115"/>
        <v>-20</v>
      </c>
      <c r="W904">
        <f t="shared" si="116"/>
        <v>1.1052631578947369</v>
      </c>
      <c r="X904" t="str">
        <f t="shared" si="117"/>
        <v>Low Profit</v>
      </c>
      <c r="Y904">
        <f t="shared" si="118"/>
        <v>60</v>
      </c>
      <c r="Z904">
        <f t="shared" si="119"/>
        <v>144</v>
      </c>
    </row>
    <row r="905" spans="1:26">
      <c r="A905" s="5">
        <v>435</v>
      </c>
      <c r="B905" s="5">
        <v>47</v>
      </c>
      <c r="C905" s="6">
        <v>41183</v>
      </c>
      <c r="D905" s="5" t="s">
        <v>32</v>
      </c>
      <c r="E905" s="5" t="s">
        <v>29</v>
      </c>
      <c r="F905" s="5">
        <v>15</v>
      </c>
      <c r="G905" s="5" t="s">
        <v>33</v>
      </c>
      <c r="H905" s="5" t="s">
        <v>38</v>
      </c>
      <c r="I905" s="5" t="s">
        <v>45</v>
      </c>
      <c r="J905" s="5">
        <v>22</v>
      </c>
      <c r="K905" s="5">
        <v>111</v>
      </c>
      <c r="L905" s="5" t="s">
        <v>42</v>
      </c>
      <c r="M905" s="5">
        <v>50</v>
      </c>
      <c r="N905" s="5">
        <v>80</v>
      </c>
      <c r="O905" s="5">
        <v>150</v>
      </c>
      <c r="P905" s="5">
        <v>42</v>
      </c>
      <c r="Q905">
        <f>SUM([1]!Table1[[#This Row],[Sales]])</f>
        <v>111</v>
      </c>
      <c r="R905">
        <f>SUM([1]!Table1[[#This Row],[Profit]])</f>
        <v>22</v>
      </c>
      <c r="S905" s="7">
        <f t="shared" si="112"/>
        <v>0.1981981981981982</v>
      </c>
      <c r="T905">
        <f t="shared" si="113"/>
        <v>15</v>
      </c>
      <c r="U905">
        <f t="shared" si="114"/>
        <v>-39</v>
      </c>
      <c r="V905">
        <f t="shared" si="115"/>
        <v>-3</v>
      </c>
      <c r="W905">
        <f t="shared" si="116"/>
        <v>1.4666666666666666</v>
      </c>
      <c r="X905" t="str">
        <f t="shared" si="117"/>
        <v>Low Profit</v>
      </c>
      <c r="Y905">
        <f t="shared" si="118"/>
        <v>47</v>
      </c>
      <c r="Z905">
        <f t="shared" si="119"/>
        <v>111</v>
      </c>
    </row>
    <row r="906" spans="1:26">
      <c r="A906" s="3">
        <v>206</v>
      </c>
      <c r="B906" s="3">
        <v>68</v>
      </c>
      <c r="C906" s="4">
        <v>41183</v>
      </c>
      <c r="D906" s="3" t="s">
        <v>32</v>
      </c>
      <c r="E906" s="3" t="s">
        <v>29</v>
      </c>
      <c r="F906" s="3">
        <v>21</v>
      </c>
      <c r="G906" s="3" t="s">
        <v>33</v>
      </c>
      <c r="H906" s="3" t="s">
        <v>38</v>
      </c>
      <c r="I906" s="3" t="s">
        <v>45</v>
      </c>
      <c r="J906" s="3">
        <v>56</v>
      </c>
      <c r="K906" s="3">
        <v>167</v>
      </c>
      <c r="L906" s="3" t="s">
        <v>53</v>
      </c>
      <c r="M906" s="3">
        <v>90</v>
      </c>
      <c r="N906" s="3">
        <v>110</v>
      </c>
      <c r="O906" s="3">
        <v>230</v>
      </c>
      <c r="P906" s="3">
        <v>43</v>
      </c>
      <c r="Q906">
        <f>SUM([1]!Table1[[#This Row],[Sales]])</f>
        <v>167</v>
      </c>
      <c r="R906">
        <f>SUM([1]!Table1[[#This Row],[Profit]])</f>
        <v>56</v>
      </c>
      <c r="S906" s="7">
        <f t="shared" si="112"/>
        <v>0.33532934131736525</v>
      </c>
      <c r="T906">
        <f t="shared" si="113"/>
        <v>21</v>
      </c>
      <c r="U906">
        <f t="shared" si="114"/>
        <v>-63</v>
      </c>
      <c r="V906">
        <f t="shared" si="115"/>
        <v>-22</v>
      </c>
      <c r="W906">
        <f t="shared" si="116"/>
        <v>2.6666666666666665</v>
      </c>
      <c r="X906" t="str">
        <f t="shared" si="117"/>
        <v>Low Profit</v>
      </c>
      <c r="Y906">
        <f t="shared" si="118"/>
        <v>68</v>
      </c>
      <c r="Z906">
        <f t="shared" si="119"/>
        <v>167</v>
      </c>
    </row>
    <row r="907" spans="1:26">
      <c r="A907" s="5">
        <v>206</v>
      </c>
      <c r="B907" s="5">
        <v>22</v>
      </c>
      <c r="C907" s="6">
        <v>41183</v>
      </c>
      <c r="D907" s="5" t="s">
        <v>32</v>
      </c>
      <c r="E907" s="5" t="s">
        <v>29</v>
      </c>
      <c r="F907" s="5">
        <v>7</v>
      </c>
      <c r="G907" s="5" t="s">
        <v>33</v>
      </c>
      <c r="H907" s="5" t="s">
        <v>34</v>
      </c>
      <c r="I907" s="5" t="s">
        <v>47</v>
      </c>
      <c r="J907" s="5">
        <v>10</v>
      </c>
      <c r="K907" s="5">
        <v>51</v>
      </c>
      <c r="L907" s="5" t="s">
        <v>53</v>
      </c>
      <c r="M907" s="5">
        <v>10</v>
      </c>
      <c r="N907" s="5">
        <v>20</v>
      </c>
      <c r="O907" s="5">
        <v>30</v>
      </c>
      <c r="P907" s="5">
        <v>19</v>
      </c>
      <c r="Q907">
        <f>SUM([1]!Table1[[#This Row],[Sales]])</f>
        <v>51</v>
      </c>
      <c r="R907">
        <f>SUM([1]!Table1[[#This Row],[Profit]])</f>
        <v>10</v>
      </c>
      <c r="S907" s="7">
        <f t="shared" si="112"/>
        <v>0.19607843137254902</v>
      </c>
      <c r="T907">
        <f t="shared" si="113"/>
        <v>7</v>
      </c>
      <c r="U907">
        <f t="shared" si="114"/>
        <v>21</v>
      </c>
      <c r="V907">
        <f t="shared" si="115"/>
        <v>12</v>
      </c>
      <c r="W907">
        <f t="shared" si="116"/>
        <v>1.4285714285714286</v>
      </c>
      <c r="X907" t="str">
        <f t="shared" si="117"/>
        <v>Low Profit</v>
      </c>
      <c r="Y907">
        <f t="shared" si="118"/>
        <v>22</v>
      </c>
      <c r="Z907">
        <f t="shared" si="119"/>
        <v>51</v>
      </c>
    </row>
    <row r="908" spans="1:26">
      <c r="A908" s="3">
        <v>702</v>
      </c>
      <c r="B908" s="3">
        <v>21</v>
      </c>
      <c r="C908" s="4">
        <v>41183</v>
      </c>
      <c r="D908" s="3" t="s">
        <v>32</v>
      </c>
      <c r="E908" s="3" t="s">
        <v>29</v>
      </c>
      <c r="F908" s="3">
        <v>5</v>
      </c>
      <c r="G908" s="3" t="s">
        <v>33</v>
      </c>
      <c r="H908" s="3" t="s">
        <v>34</v>
      </c>
      <c r="I908" s="3" t="s">
        <v>46</v>
      </c>
      <c r="J908" s="3">
        <v>14</v>
      </c>
      <c r="K908" s="3">
        <v>52</v>
      </c>
      <c r="L908" s="3" t="s">
        <v>41</v>
      </c>
      <c r="M908" s="3">
        <v>10</v>
      </c>
      <c r="N908" s="3">
        <v>20</v>
      </c>
      <c r="O908" s="3">
        <v>30</v>
      </c>
      <c r="P908" s="3">
        <v>17</v>
      </c>
      <c r="Q908">
        <f>SUM([1]!Table1[[#This Row],[Sales]])</f>
        <v>52</v>
      </c>
      <c r="R908">
        <f>SUM([1]!Table1[[#This Row],[Profit]])</f>
        <v>14</v>
      </c>
      <c r="S908" s="7">
        <f t="shared" si="112"/>
        <v>0.26923076923076922</v>
      </c>
      <c r="T908">
        <f t="shared" si="113"/>
        <v>5</v>
      </c>
      <c r="U908">
        <f t="shared" si="114"/>
        <v>22</v>
      </c>
      <c r="V908">
        <f t="shared" si="115"/>
        <v>11</v>
      </c>
      <c r="W908">
        <f t="shared" si="116"/>
        <v>2.8</v>
      </c>
      <c r="X908" t="str">
        <f t="shared" si="117"/>
        <v>Low Profit</v>
      </c>
      <c r="Y908">
        <f t="shared" si="118"/>
        <v>21</v>
      </c>
      <c r="Z908">
        <f t="shared" si="119"/>
        <v>52</v>
      </c>
    </row>
    <row r="909" spans="1:26">
      <c r="A909" s="5">
        <v>801</v>
      </c>
      <c r="B909" s="5">
        <v>103</v>
      </c>
      <c r="C909" s="6">
        <v>41183</v>
      </c>
      <c r="D909" s="5" t="s">
        <v>32</v>
      </c>
      <c r="E909" s="5" t="s">
        <v>29</v>
      </c>
      <c r="F909" s="5">
        <v>33</v>
      </c>
      <c r="G909" s="5" t="s">
        <v>33</v>
      </c>
      <c r="H909" s="5" t="s">
        <v>34</v>
      </c>
      <c r="I909" s="5" t="s">
        <v>46</v>
      </c>
      <c r="J909" s="5">
        <v>87</v>
      </c>
      <c r="K909" s="5">
        <v>236</v>
      </c>
      <c r="L909" s="5" t="s">
        <v>42</v>
      </c>
      <c r="M909" s="5">
        <v>80</v>
      </c>
      <c r="N909" s="5">
        <v>110</v>
      </c>
      <c r="O909" s="5">
        <v>210</v>
      </c>
      <c r="P909" s="5">
        <v>46</v>
      </c>
      <c r="Q909">
        <f>SUM([1]!Table1[[#This Row],[Sales]])</f>
        <v>236</v>
      </c>
      <c r="R909">
        <f>SUM([1]!Table1[[#This Row],[Profit]])</f>
        <v>87</v>
      </c>
      <c r="S909" s="7">
        <f t="shared" si="112"/>
        <v>0.36864406779661019</v>
      </c>
      <c r="T909">
        <f t="shared" si="113"/>
        <v>33</v>
      </c>
      <c r="U909">
        <f t="shared" si="114"/>
        <v>26</v>
      </c>
      <c r="V909">
        <f t="shared" si="115"/>
        <v>23</v>
      </c>
      <c r="W909">
        <f t="shared" si="116"/>
        <v>2.6363636363636362</v>
      </c>
      <c r="X909" t="str">
        <f t="shared" si="117"/>
        <v>Low Profit</v>
      </c>
      <c r="Y909">
        <f t="shared" si="118"/>
        <v>103</v>
      </c>
      <c r="Z909">
        <f t="shared" si="119"/>
        <v>236</v>
      </c>
    </row>
    <row r="910" spans="1:26">
      <c r="A910" s="3">
        <v>775</v>
      </c>
      <c r="B910" s="3">
        <v>125</v>
      </c>
      <c r="C910" s="4">
        <v>41183</v>
      </c>
      <c r="D910" s="3" t="s">
        <v>32</v>
      </c>
      <c r="E910" s="3" t="s">
        <v>29</v>
      </c>
      <c r="F910" s="3">
        <v>113</v>
      </c>
      <c r="G910" s="3" t="s">
        <v>18</v>
      </c>
      <c r="H910" s="3" t="s">
        <v>19</v>
      </c>
      <c r="I910" s="3" t="s">
        <v>50</v>
      </c>
      <c r="J910" s="3">
        <v>26</v>
      </c>
      <c r="K910" s="3">
        <v>298</v>
      </c>
      <c r="L910" s="3" t="s">
        <v>41</v>
      </c>
      <c r="M910" s="3">
        <v>90</v>
      </c>
      <c r="N910" s="3">
        <v>60</v>
      </c>
      <c r="O910" s="3">
        <v>240</v>
      </c>
      <c r="P910" s="3">
        <v>147</v>
      </c>
      <c r="Q910">
        <f>SUM([1]!Table1[[#This Row],[Sales]])</f>
        <v>298</v>
      </c>
      <c r="R910">
        <f>SUM([1]!Table1[[#This Row],[Profit]])</f>
        <v>26</v>
      </c>
      <c r="S910" s="7">
        <f t="shared" si="112"/>
        <v>8.7248322147651006E-2</v>
      </c>
      <c r="T910">
        <f t="shared" si="113"/>
        <v>113</v>
      </c>
      <c r="U910">
        <f t="shared" si="114"/>
        <v>58</v>
      </c>
      <c r="V910">
        <f t="shared" si="115"/>
        <v>35</v>
      </c>
      <c r="W910">
        <f t="shared" si="116"/>
        <v>0.23008849557522124</v>
      </c>
      <c r="X910" t="str">
        <f t="shared" si="117"/>
        <v>Low Profit</v>
      </c>
      <c r="Y910">
        <f t="shared" si="118"/>
        <v>125</v>
      </c>
      <c r="Z910">
        <f t="shared" si="119"/>
        <v>298</v>
      </c>
    </row>
    <row r="911" spans="1:26">
      <c r="A911" s="5">
        <v>206</v>
      </c>
      <c r="B911" s="5">
        <v>125</v>
      </c>
      <c r="C911" s="6">
        <v>41183</v>
      </c>
      <c r="D911" s="5" t="s">
        <v>32</v>
      </c>
      <c r="E911" s="5" t="s">
        <v>29</v>
      </c>
      <c r="F911" s="5">
        <v>41</v>
      </c>
      <c r="G911" s="5" t="s">
        <v>18</v>
      </c>
      <c r="H911" s="5" t="s">
        <v>19</v>
      </c>
      <c r="I911" s="5" t="s">
        <v>50</v>
      </c>
      <c r="J911" s="5">
        <v>115</v>
      </c>
      <c r="K911" s="5">
        <v>313</v>
      </c>
      <c r="L911" s="5" t="s">
        <v>53</v>
      </c>
      <c r="M911" s="5">
        <v>90</v>
      </c>
      <c r="N911" s="5">
        <v>130</v>
      </c>
      <c r="O911" s="5">
        <v>250</v>
      </c>
      <c r="P911" s="5">
        <v>73</v>
      </c>
      <c r="Q911">
        <f>SUM([1]!Table1[[#This Row],[Sales]])</f>
        <v>313</v>
      </c>
      <c r="R911">
        <f>SUM([1]!Table1[[#This Row],[Profit]])</f>
        <v>115</v>
      </c>
      <c r="S911" s="7">
        <f t="shared" si="112"/>
        <v>0.36741214057507987</v>
      </c>
      <c r="T911">
        <f t="shared" si="113"/>
        <v>41</v>
      </c>
      <c r="U911">
        <f t="shared" si="114"/>
        <v>63</v>
      </c>
      <c r="V911">
        <f t="shared" si="115"/>
        <v>35</v>
      </c>
      <c r="W911">
        <f t="shared" si="116"/>
        <v>2.8048780487804876</v>
      </c>
      <c r="X911" t="str">
        <f t="shared" si="117"/>
        <v>High Profit</v>
      </c>
      <c r="Y911">
        <f t="shared" si="118"/>
        <v>125</v>
      </c>
      <c r="Z911">
        <f t="shared" si="119"/>
        <v>313</v>
      </c>
    </row>
    <row r="912" spans="1:26">
      <c r="A912" s="3">
        <v>702</v>
      </c>
      <c r="B912" s="3">
        <v>154</v>
      </c>
      <c r="C912" s="4">
        <v>41183</v>
      </c>
      <c r="D912" s="3" t="s">
        <v>32</v>
      </c>
      <c r="E912" s="3" t="s">
        <v>29</v>
      </c>
      <c r="F912" s="3">
        <v>50</v>
      </c>
      <c r="G912" s="3" t="s">
        <v>18</v>
      </c>
      <c r="H912" s="3" t="s">
        <v>19</v>
      </c>
      <c r="I912" s="3" t="s">
        <v>20</v>
      </c>
      <c r="J912" s="3">
        <v>120</v>
      </c>
      <c r="K912" s="3">
        <v>367</v>
      </c>
      <c r="L912" s="3" t="s">
        <v>41</v>
      </c>
      <c r="M912" s="3">
        <v>120</v>
      </c>
      <c r="N912" s="3">
        <v>120</v>
      </c>
      <c r="O912" s="3">
        <v>290</v>
      </c>
      <c r="P912" s="3">
        <v>93</v>
      </c>
      <c r="Q912">
        <f>SUM([1]!Table1[[#This Row],[Sales]])</f>
        <v>367</v>
      </c>
      <c r="R912">
        <f>SUM([1]!Table1[[#This Row],[Profit]])</f>
        <v>120</v>
      </c>
      <c r="S912" s="7">
        <f t="shared" si="112"/>
        <v>0.32697547683923706</v>
      </c>
      <c r="T912">
        <f t="shared" si="113"/>
        <v>50</v>
      </c>
      <c r="U912">
        <f t="shared" si="114"/>
        <v>77</v>
      </c>
      <c r="V912">
        <f t="shared" si="115"/>
        <v>34</v>
      </c>
      <c r="W912">
        <f t="shared" si="116"/>
        <v>2.4</v>
      </c>
      <c r="X912" t="str">
        <f t="shared" si="117"/>
        <v>High Profit</v>
      </c>
      <c r="Y912">
        <f t="shared" si="118"/>
        <v>154</v>
      </c>
      <c r="Z912">
        <f t="shared" si="119"/>
        <v>367</v>
      </c>
    </row>
    <row r="913" spans="1:26">
      <c r="A913" s="5">
        <v>971</v>
      </c>
      <c r="B913" s="5">
        <v>90</v>
      </c>
      <c r="C913" s="6">
        <v>41183</v>
      </c>
      <c r="D913" s="5" t="s">
        <v>32</v>
      </c>
      <c r="E913" s="5" t="s">
        <v>29</v>
      </c>
      <c r="F913" s="5">
        <v>29</v>
      </c>
      <c r="G913" s="5" t="s">
        <v>18</v>
      </c>
      <c r="H913" s="5" t="s">
        <v>19</v>
      </c>
      <c r="I913" s="5" t="s">
        <v>20</v>
      </c>
      <c r="J913" s="5">
        <v>73</v>
      </c>
      <c r="K913" s="5">
        <v>205</v>
      </c>
      <c r="L913" s="5" t="s">
        <v>49</v>
      </c>
      <c r="M913" s="5">
        <v>60</v>
      </c>
      <c r="N913" s="5">
        <v>90</v>
      </c>
      <c r="O913" s="5">
        <v>160</v>
      </c>
      <c r="P913" s="5">
        <v>42</v>
      </c>
      <c r="Q913">
        <f>SUM([1]!Table1[[#This Row],[Sales]])</f>
        <v>205</v>
      </c>
      <c r="R913">
        <f>SUM([1]!Table1[[#This Row],[Profit]])</f>
        <v>73</v>
      </c>
      <c r="S913" s="7">
        <f t="shared" si="112"/>
        <v>0.35609756097560974</v>
      </c>
      <c r="T913">
        <f t="shared" si="113"/>
        <v>29</v>
      </c>
      <c r="U913">
        <f t="shared" si="114"/>
        <v>45</v>
      </c>
      <c r="V913">
        <f t="shared" si="115"/>
        <v>30</v>
      </c>
      <c r="W913">
        <f t="shared" si="116"/>
        <v>2.5172413793103448</v>
      </c>
      <c r="X913" t="str">
        <f t="shared" si="117"/>
        <v>Low Profit</v>
      </c>
      <c r="Y913">
        <f t="shared" si="118"/>
        <v>90</v>
      </c>
      <c r="Z913">
        <f t="shared" si="119"/>
        <v>205</v>
      </c>
    </row>
    <row r="914" spans="1:26">
      <c r="A914" s="3">
        <v>702</v>
      </c>
      <c r="B914" s="3">
        <v>122</v>
      </c>
      <c r="C914" s="4">
        <v>41183</v>
      </c>
      <c r="D914" s="3" t="s">
        <v>32</v>
      </c>
      <c r="E914" s="3" t="s">
        <v>29</v>
      </c>
      <c r="F914" s="3">
        <v>39</v>
      </c>
      <c r="G914" s="3" t="s">
        <v>18</v>
      </c>
      <c r="H914" s="3" t="s">
        <v>19</v>
      </c>
      <c r="I914" s="3" t="s">
        <v>22</v>
      </c>
      <c r="J914" s="3">
        <v>114</v>
      </c>
      <c r="K914" s="3">
        <v>298</v>
      </c>
      <c r="L914" s="3" t="s">
        <v>41</v>
      </c>
      <c r="M914" s="3">
        <v>90</v>
      </c>
      <c r="N914" s="3">
        <v>130</v>
      </c>
      <c r="O914" s="3">
        <v>240</v>
      </c>
      <c r="P914" s="3">
        <v>62</v>
      </c>
      <c r="Q914">
        <f>SUM([1]!Table1[[#This Row],[Sales]])</f>
        <v>298</v>
      </c>
      <c r="R914">
        <f>SUM([1]!Table1[[#This Row],[Profit]])</f>
        <v>114</v>
      </c>
      <c r="S914" s="7">
        <f t="shared" si="112"/>
        <v>0.3825503355704698</v>
      </c>
      <c r="T914">
        <f t="shared" si="113"/>
        <v>39</v>
      </c>
      <c r="U914">
        <f t="shared" si="114"/>
        <v>58</v>
      </c>
      <c r="V914">
        <f t="shared" si="115"/>
        <v>32</v>
      </c>
      <c r="W914">
        <f t="shared" si="116"/>
        <v>2.9230769230769229</v>
      </c>
      <c r="X914" t="str">
        <f t="shared" si="117"/>
        <v>High Profit</v>
      </c>
      <c r="Y914">
        <f t="shared" si="118"/>
        <v>122</v>
      </c>
      <c r="Z914">
        <f t="shared" si="119"/>
        <v>298</v>
      </c>
    </row>
    <row r="915" spans="1:26">
      <c r="A915" s="5">
        <v>435</v>
      </c>
      <c r="B915" s="5">
        <v>86</v>
      </c>
      <c r="C915" s="6">
        <v>41183</v>
      </c>
      <c r="D915" s="5" t="s">
        <v>32</v>
      </c>
      <c r="E915" s="5" t="s">
        <v>29</v>
      </c>
      <c r="F915" s="5">
        <v>26</v>
      </c>
      <c r="G915" s="5" t="s">
        <v>18</v>
      </c>
      <c r="H915" s="5" t="s">
        <v>19</v>
      </c>
      <c r="I915" s="5" t="s">
        <v>22</v>
      </c>
      <c r="J915" s="5">
        <v>-27</v>
      </c>
      <c r="K915" s="5">
        <v>109</v>
      </c>
      <c r="L915" s="5" t="s">
        <v>42</v>
      </c>
      <c r="M915" s="5">
        <v>60</v>
      </c>
      <c r="N915" s="5">
        <v>0</v>
      </c>
      <c r="O915" s="5">
        <v>80</v>
      </c>
      <c r="P915" s="5">
        <v>50</v>
      </c>
      <c r="Q915">
        <f>SUM([1]!Table1[[#This Row],[Sales]])</f>
        <v>109</v>
      </c>
      <c r="R915">
        <f>SUM([1]!Table1[[#This Row],[Profit]])</f>
        <v>-27</v>
      </c>
      <c r="S915" s="7">
        <f t="shared" si="112"/>
        <v>-0.24770642201834864</v>
      </c>
      <c r="T915">
        <f t="shared" si="113"/>
        <v>26</v>
      </c>
      <c r="U915">
        <f t="shared" si="114"/>
        <v>29</v>
      </c>
      <c r="V915">
        <f t="shared" si="115"/>
        <v>26</v>
      </c>
      <c r="W915">
        <f t="shared" si="116"/>
        <v>-1.0384615384615385</v>
      </c>
      <c r="X915" t="str">
        <f t="shared" si="117"/>
        <v>Low Profit</v>
      </c>
      <c r="Y915">
        <f t="shared" si="118"/>
        <v>86</v>
      </c>
      <c r="Z915">
        <f t="shared" si="119"/>
        <v>109</v>
      </c>
    </row>
    <row r="916" spans="1:26">
      <c r="A916" s="3">
        <v>702</v>
      </c>
      <c r="B916" s="3">
        <v>257</v>
      </c>
      <c r="C916" s="4">
        <v>41183</v>
      </c>
      <c r="D916" s="3" t="s">
        <v>32</v>
      </c>
      <c r="E916" s="3" t="s">
        <v>29</v>
      </c>
      <c r="F916" s="3">
        <v>84</v>
      </c>
      <c r="G916" s="3" t="s">
        <v>18</v>
      </c>
      <c r="H916" s="3" t="s">
        <v>26</v>
      </c>
      <c r="I916" s="3" t="s">
        <v>27</v>
      </c>
      <c r="J916" s="3">
        <v>224</v>
      </c>
      <c r="K916" s="3">
        <v>598</v>
      </c>
      <c r="L916" s="3" t="s">
        <v>41</v>
      </c>
      <c r="M916" s="3">
        <v>110</v>
      </c>
      <c r="N916" s="3">
        <v>130</v>
      </c>
      <c r="O916" s="3">
        <v>290</v>
      </c>
      <c r="P916" s="3">
        <v>117</v>
      </c>
      <c r="Q916">
        <f>SUM([1]!Table1[[#This Row],[Sales]])</f>
        <v>598</v>
      </c>
      <c r="R916">
        <f>SUM([1]!Table1[[#This Row],[Profit]])</f>
        <v>224</v>
      </c>
      <c r="S916" s="7">
        <f t="shared" si="112"/>
        <v>0.37458193979933108</v>
      </c>
      <c r="T916">
        <f t="shared" si="113"/>
        <v>84</v>
      </c>
      <c r="U916">
        <f t="shared" si="114"/>
        <v>308</v>
      </c>
      <c r="V916">
        <f t="shared" si="115"/>
        <v>147</v>
      </c>
      <c r="W916">
        <f t="shared" si="116"/>
        <v>2.6666666666666665</v>
      </c>
      <c r="X916" t="str">
        <f t="shared" si="117"/>
        <v>High Profit</v>
      </c>
      <c r="Y916">
        <f t="shared" si="118"/>
        <v>257</v>
      </c>
      <c r="Z916">
        <f t="shared" si="119"/>
        <v>598</v>
      </c>
    </row>
    <row r="917" spans="1:26">
      <c r="A917" s="5">
        <v>541</v>
      </c>
      <c r="B917" s="5">
        <v>21</v>
      </c>
      <c r="C917" s="6">
        <v>41183</v>
      </c>
      <c r="D917" s="5" t="s">
        <v>32</v>
      </c>
      <c r="E917" s="5" t="s">
        <v>29</v>
      </c>
      <c r="F917" s="5">
        <v>5</v>
      </c>
      <c r="G917" s="5" t="s">
        <v>18</v>
      </c>
      <c r="H917" s="5" t="s">
        <v>26</v>
      </c>
      <c r="I917" s="5" t="s">
        <v>27</v>
      </c>
      <c r="J917" s="5">
        <v>16</v>
      </c>
      <c r="K917" s="5">
        <v>53</v>
      </c>
      <c r="L917" s="5" t="s">
        <v>49</v>
      </c>
      <c r="M917" s="5">
        <v>0</v>
      </c>
      <c r="N917" s="5">
        <v>20</v>
      </c>
      <c r="O917" s="5">
        <v>20</v>
      </c>
      <c r="P917" s="5">
        <v>16</v>
      </c>
      <c r="Q917">
        <f>SUM([1]!Table1[[#This Row],[Sales]])</f>
        <v>53</v>
      </c>
      <c r="R917">
        <f>SUM([1]!Table1[[#This Row],[Profit]])</f>
        <v>16</v>
      </c>
      <c r="S917" s="7">
        <f t="shared" si="112"/>
        <v>0.30188679245283018</v>
      </c>
      <c r="T917">
        <f t="shared" si="113"/>
        <v>5</v>
      </c>
      <c r="U917">
        <f t="shared" si="114"/>
        <v>33</v>
      </c>
      <c r="V917">
        <f t="shared" si="115"/>
        <v>21</v>
      </c>
      <c r="W917">
        <f t="shared" si="116"/>
        <v>3.2</v>
      </c>
      <c r="X917" t="str">
        <f t="shared" si="117"/>
        <v>Low Profit</v>
      </c>
      <c r="Y917">
        <f t="shared" si="118"/>
        <v>21</v>
      </c>
      <c r="Z917">
        <f t="shared" si="119"/>
        <v>53</v>
      </c>
    </row>
    <row r="918" spans="1:26">
      <c r="A918" s="3">
        <v>775</v>
      </c>
      <c r="B918" s="3">
        <v>239</v>
      </c>
      <c r="C918" s="4">
        <v>41183</v>
      </c>
      <c r="D918" s="3" t="s">
        <v>32</v>
      </c>
      <c r="E918" s="3" t="s">
        <v>29</v>
      </c>
      <c r="F918" s="3">
        <v>66</v>
      </c>
      <c r="G918" s="3" t="s">
        <v>18</v>
      </c>
      <c r="H918" s="3" t="s">
        <v>26</v>
      </c>
      <c r="I918" s="3" t="s">
        <v>54</v>
      </c>
      <c r="J918" s="3">
        <v>149</v>
      </c>
      <c r="K918" s="3">
        <v>478</v>
      </c>
      <c r="L918" s="3" t="s">
        <v>41</v>
      </c>
      <c r="M918" s="3">
        <v>110</v>
      </c>
      <c r="N918" s="3">
        <v>80</v>
      </c>
      <c r="O918" s="3">
        <v>230</v>
      </c>
      <c r="P918" s="3">
        <v>90</v>
      </c>
      <c r="Q918">
        <f>SUM([1]!Table1[[#This Row],[Sales]])</f>
        <v>478</v>
      </c>
      <c r="R918">
        <f>SUM([1]!Table1[[#This Row],[Profit]])</f>
        <v>149</v>
      </c>
      <c r="S918" s="7">
        <f t="shared" si="112"/>
        <v>0.31171548117154813</v>
      </c>
      <c r="T918">
        <f t="shared" si="113"/>
        <v>66</v>
      </c>
      <c r="U918">
        <f t="shared" si="114"/>
        <v>248</v>
      </c>
      <c r="V918">
        <f t="shared" si="115"/>
        <v>129</v>
      </c>
      <c r="W918">
        <f t="shared" si="116"/>
        <v>2.2575757575757578</v>
      </c>
      <c r="X918" t="str">
        <f t="shared" si="117"/>
        <v>High Profit</v>
      </c>
      <c r="Y918">
        <f t="shared" si="118"/>
        <v>239</v>
      </c>
      <c r="Z918">
        <f t="shared" si="119"/>
        <v>478</v>
      </c>
    </row>
    <row r="919" spans="1:26">
      <c r="A919" s="5">
        <v>702</v>
      </c>
      <c r="B919" s="5">
        <v>255</v>
      </c>
      <c r="C919" s="6">
        <v>41183</v>
      </c>
      <c r="D919" s="5" t="s">
        <v>32</v>
      </c>
      <c r="E919" s="5" t="s">
        <v>29</v>
      </c>
      <c r="F919" s="5">
        <v>96</v>
      </c>
      <c r="G919" s="5" t="s">
        <v>18</v>
      </c>
      <c r="H919" s="5" t="s">
        <v>26</v>
      </c>
      <c r="I919" s="5" t="s">
        <v>30</v>
      </c>
      <c r="J919" s="5">
        <v>-363</v>
      </c>
      <c r="K919" s="5">
        <v>21</v>
      </c>
      <c r="L919" s="5" t="s">
        <v>41</v>
      </c>
      <c r="M919" s="5">
        <v>110</v>
      </c>
      <c r="N919" s="5">
        <v>-170</v>
      </c>
      <c r="O919" s="5">
        <v>0</v>
      </c>
      <c r="P919" s="5">
        <v>129</v>
      </c>
      <c r="Q919">
        <f>SUM([1]!Table1[[#This Row],[Sales]])</f>
        <v>21</v>
      </c>
      <c r="R919">
        <f>SUM([1]!Table1[[#This Row],[Profit]])</f>
        <v>-363</v>
      </c>
      <c r="S919" s="7">
        <f t="shared" si="112"/>
        <v>-17.285714285714285</v>
      </c>
      <c r="T919">
        <f t="shared" si="113"/>
        <v>96</v>
      </c>
      <c r="U919">
        <f t="shared" si="114"/>
        <v>21</v>
      </c>
      <c r="V919">
        <f t="shared" si="115"/>
        <v>145</v>
      </c>
      <c r="W919">
        <f t="shared" si="116"/>
        <v>-3.78125</v>
      </c>
      <c r="X919" t="str">
        <f t="shared" si="117"/>
        <v>Low Profit</v>
      </c>
      <c r="Y919">
        <f t="shared" si="118"/>
        <v>255</v>
      </c>
      <c r="Z919">
        <f t="shared" si="119"/>
        <v>21</v>
      </c>
    </row>
    <row r="920" spans="1:26">
      <c r="A920" s="3">
        <v>435</v>
      </c>
      <c r="B920" s="3">
        <v>25</v>
      </c>
      <c r="C920" s="4">
        <v>41183</v>
      </c>
      <c r="D920" s="3" t="s">
        <v>32</v>
      </c>
      <c r="E920" s="3" t="s">
        <v>29</v>
      </c>
      <c r="F920" s="3">
        <v>9</v>
      </c>
      <c r="G920" s="3" t="s">
        <v>18</v>
      </c>
      <c r="H920" s="3" t="s">
        <v>26</v>
      </c>
      <c r="I920" s="3" t="s">
        <v>30</v>
      </c>
      <c r="J920" s="3">
        <v>-12</v>
      </c>
      <c r="K920" s="3">
        <v>56</v>
      </c>
      <c r="L920" s="3" t="s">
        <v>42</v>
      </c>
      <c r="M920" s="3">
        <v>0</v>
      </c>
      <c r="N920" s="3">
        <v>10</v>
      </c>
      <c r="O920" s="3">
        <v>20</v>
      </c>
      <c r="P920" s="3">
        <v>43</v>
      </c>
      <c r="Q920">
        <f>SUM([1]!Table1[[#This Row],[Sales]])</f>
        <v>56</v>
      </c>
      <c r="R920">
        <f>SUM([1]!Table1[[#This Row],[Profit]])</f>
        <v>-12</v>
      </c>
      <c r="S920" s="7">
        <f t="shared" si="112"/>
        <v>-0.21428571428571427</v>
      </c>
      <c r="T920">
        <f t="shared" si="113"/>
        <v>9</v>
      </c>
      <c r="U920">
        <f t="shared" si="114"/>
        <v>36</v>
      </c>
      <c r="V920">
        <f t="shared" si="115"/>
        <v>25</v>
      </c>
      <c r="W920">
        <f t="shared" si="116"/>
        <v>-1.3333333333333333</v>
      </c>
      <c r="X920" t="str">
        <f t="shared" si="117"/>
        <v>Low Profit</v>
      </c>
      <c r="Y920">
        <f t="shared" si="118"/>
        <v>25</v>
      </c>
      <c r="Z920">
        <f t="shared" si="119"/>
        <v>56</v>
      </c>
    </row>
    <row r="921" spans="1:26">
      <c r="A921" s="5">
        <v>909</v>
      </c>
      <c r="B921" s="5">
        <v>173</v>
      </c>
      <c r="C921" s="6">
        <v>41214</v>
      </c>
      <c r="D921" s="5" t="s">
        <v>16</v>
      </c>
      <c r="E921" s="5" t="s">
        <v>29</v>
      </c>
      <c r="F921" s="5">
        <v>57</v>
      </c>
      <c r="G921" s="5" t="s">
        <v>33</v>
      </c>
      <c r="H921" s="5" t="s">
        <v>38</v>
      </c>
      <c r="I921" s="5" t="s">
        <v>39</v>
      </c>
      <c r="J921" s="5">
        <v>-127</v>
      </c>
      <c r="K921" s="5">
        <v>146</v>
      </c>
      <c r="L921" s="5" t="s">
        <v>31</v>
      </c>
      <c r="M921" s="5">
        <v>200</v>
      </c>
      <c r="N921" s="5">
        <v>-130</v>
      </c>
      <c r="O921" s="5">
        <v>170</v>
      </c>
      <c r="P921" s="5">
        <v>100</v>
      </c>
      <c r="Q921">
        <f>SUM([1]!Table1[[#This Row],[Sales]])</f>
        <v>146</v>
      </c>
      <c r="R921">
        <f>SUM([1]!Table1[[#This Row],[Profit]])</f>
        <v>-127</v>
      </c>
      <c r="S921" s="7">
        <f t="shared" si="112"/>
        <v>-0.86986301369863017</v>
      </c>
      <c r="T921">
        <f t="shared" si="113"/>
        <v>57</v>
      </c>
      <c r="U921">
        <f t="shared" si="114"/>
        <v>-24</v>
      </c>
      <c r="V921">
        <f t="shared" si="115"/>
        <v>-27</v>
      </c>
      <c r="W921">
        <f t="shared" si="116"/>
        <v>-2.2280701754385963</v>
      </c>
      <c r="X921" t="str">
        <f t="shared" si="117"/>
        <v>Low Profit</v>
      </c>
      <c r="Y921">
        <f t="shared" si="118"/>
        <v>173</v>
      </c>
      <c r="Z921">
        <f t="shared" si="119"/>
        <v>146</v>
      </c>
    </row>
    <row r="922" spans="1:26">
      <c r="A922" s="3">
        <v>707</v>
      </c>
      <c r="B922" s="3">
        <v>228</v>
      </c>
      <c r="C922" s="4">
        <v>41214</v>
      </c>
      <c r="D922" s="3" t="s">
        <v>16</v>
      </c>
      <c r="E922" s="3" t="s">
        <v>29</v>
      </c>
      <c r="F922" s="3">
        <v>75</v>
      </c>
      <c r="G922" s="3" t="s">
        <v>33</v>
      </c>
      <c r="H922" s="3" t="s">
        <v>34</v>
      </c>
      <c r="I922" s="3" t="s">
        <v>35</v>
      </c>
      <c r="J922" s="3">
        <v>197</v>
      </c>
      <c r="K922" s="3">
        <v>532</v>
      </c>
      <c r="L922" s="3" t="s">
        <v>31</v>
      </c>
      <c r="M922" s="3">
        <v>220</v>
      </c>
      <c r="N922" s="3">
        <v>190</v>
      </c>
      <c r="O922" s="3">
        <v>510</v>
      </c>
      <c r="P922" s="3">
        <v>107</v>
      </c>
      <c r="Q922">
        <f>SUM([1]!Table1[[#This Row],[Sales]])</f>
        <v>532</v>
      </c>
      <c r="R922">
        <f>SUM([1]!Table1[[#This Row],[Profit]])</f>
        <v>197</v>
      </c>
      <c r="S922" s="7">
        <f t="shared" si="112"/>
        <v>0.37030075187969924</v>
      </c>
      <c r="T922">
        <f t="shared" si="113"/>
        <v>75</v>
      </c>
      <c r="U922">
        <f t="shared" si="114"/>
        <v>22</v>
      </c>
      <c r="V922">
        <f t="shared" si="115"/>
        <v>8</v>
      </c>
      <c r="W922">
        <f t="shared" si="116"/>
        <v>2.6266666666666665</v>
      </c>
      <c r="X922" t="str">
        <f t="shared" si="117"/>
        <v>High Profit</v>
      </c>
      <c r="Y922">
        <f t="shared" si="118"/>
        <v>228</v>
      </c>
      <c r="Z922">
        <f t="shared" si="119"/>
        <v>532</v>
      </c>
    </row>
    <row r="923" spans="1:26">
      <c r="A923" s="5">
        <v>619</v>
      </c>
      <c r="B923" s="5">
        <v>113</v>
      </c>
      <c r="C923" s="6">
        <v>41214</v>
      </c>
      <c r="D923" s="5" t="s">
        <v>16</v>
      </c>
      <c r="E923" s="5" t="s">
        <v>29</v>
      </c>
      <c r="F923" s="5">
        <v>36</v>
      </c>
      <c r="G923" s="5" t="s">
        <v>33</v>
      </c>
      <c r="H923" s="5" t="s">
        <v>38</v>
      </c>
      <c r="I923" s="5" t="s">
        <v>43</v>
      </c>
      <c r="J923" s="5">
        <v>-56</v>
      </c>
      <c r="K923" s="5">
        <v>116</v>
      </c>
      <c r="L923" s="5" t="s">
        <v>31</v>
      </c>
      <c r="M923" s="5">
        <v>130</v>
      </c>
      <c r="N923" s="5">
        <v>-50</v>
      </c>
      <c r="O923" s="5">
        <v>130</v>
      </c>
      <c r="P923" s="5">
        <v>59</v>
      </c>
      <c r="Q923">
        <f>SUM([1]!Table1[[#This Row],[Sales]])</f>
        <v>116</v>
      </c>
      <c r="R923">
        <f>SUM([1]!Table1[[#This Row],[Profit]])</f>
        <v>-56</v>
      </c>
      <c r="S923" s="7">
        <f t="shared" si="112"/>
        <v>-0.48275862068965519</v>
      </c>
      <c r="T923">
        <f t="shared" si="113"/>
        <v>36</v>
      </c>
      <c r="U923">
        <f t="shared" si="114"/>
        <v>-14</v>
      </c>
      <c r="V923">
        <f t="shared" si="115"/>
        <v>-17</v>
      </c>
      <c r="W923">
        <f t="shared" si="116"/>
        <v>-1.5555555555555556</v>
      </c>
      <c r="X923" t="str">
        <f t="shared" si="117"/>
        <v>Low Profit</v>
      </c>
      <c r="Y923">
        <f t="shared" si="118"/>
        <v>113</v>
      </c>
      <c r="Z923">
        <f t="shared" si="119"/>
        <v>116</v>
      </c>
    </row>
    <row r="924" spans="1:26">
      <c r="A924" s="3">
        <v>951</v>
      </c>
      <c r="B924" s="3">
        <v>249</v>
      </c>
      <c r="C924" s="4">
        <v>41214</v>
      </c>
      <c r="D924" s="3" t="s">
        <v>16</v>
      </c>
      <c r="E924" s="3" t="s">
        <v>29</v>
      </c>
      <c r="F924" s="3">
        <v>87</v>
      </c>
      <c r="G924" s="3" t="s">
        <v>33</v>
      </c>
      <c r="H924" s="3" t="s">
        <v>38</v>
      </c>
      <c r="I924" s="3" t="s">
        <v>45</v>
      </c>
      <c r="J924" s="3">
        <v>235</v>
      </c>
      <c r="K924" s="3">
        <v>623</v>
      </c>
      <c r="L924" s="3" t="s">
        <v>31</v>
      </c>
      <c r="M924" s="3">
        <v>290</v>
      </c>
      <c r="N924" s="3">
        <v>310</v>
      </c>
      <c r="O924" s="3">
        <v>740</v>
      </c>
      <c r="P924" s="3">
        <v>139</v>
      </c>
      <c r="Q924">
        <f>SUM([1]!Table1[[#This Row],[Sales]])</f>
        <v>623</v>
      </c>
      <c r="R924">
        <f>SUM([1]!Table1[[#This Row],[Profit]])</f>
        <v>235</v>
      </c>
      <c r="S924" s="7">
        <f t="shared" si="112"/>
        <v>0.37720706260032105</v>
      </c>
      <c r="T924">
        <f t="shared" si="113"/>
        <v>87</v>
      </c>
      <c r="U924">
        <f t="shared" si="114"/>
        <v>-117</v>
      </c>
      <c r="V924">
        <f t="shared" si="115"/>
        <v>-41</v>
      </c>
      <c r="W924">
        <f t="shared" si="116"/>
        <v>2.7011494252873565</v>
      </c>
      <c r="X924" t="str">
        <f t="shared" si="117"/>
        <v>High Profit</v>
      </c>
      <c r="Y924">
        <f t="shared" si="118"/>
        <v>249</v>
      </c>
      <c r="Z924">
        <f t="shared" si="119"/>
        <v>623</v>
      </c>
    </row>
    <row r="925" spans="1:26">
      <c r="A925" s="5">
        <v>559</v>
      </c>
      <c r="B925" s="5">
        <v>211</v>
      </c>
      <c r="C925" s="6">
        <v>41214</v>
      </c>
      <c r="D925" s="5" t="s">
        <v>16</v>
      </c>
      <c r="E925" s="5" t="s">
        <v>29</v>
      </c>
      <c r="F925" s="5">
        <v>59</v>
      </c>
      <c r="G925" s="5" t="s">
        <v>33</v>
      </c>
      <c r="H925" s="5" t="s">
        <v>34</v>
      </c>
      <c r="I925" s="5" t="s">
        <v>47</v>
      </c>
      <c r="J925" s="5">
        <v>129</v>
      </c>
      <c r="K925" s="5">
        <v>423</v>
      </c>
      <c r="L925" s="5" t="s">
        <v>31</v>
      </c>
      <c r="M925" s="5">
        <v>200</v>
      </c>
      <c r="N925" s="5">
        <v>140</v>
      </c>
      <c r="O925" s="5">
        <v>410</v>
      </c>
      <c r="P925" s="5">
        <v>83</v>
      </c>
      <c r="Q925">
        <f>SUM([1]!Table1[[#This Row],[Sales]])</f>
        <v>423</v>
      </c>
      <c r="R925">
        <f>SUM([1]!Table1[[#This Row],[Profit]])</f>
        <v>129</v>
      </c>
      <c r="S925" s="7">
        <f t="shared" si="112"/>
        <v>0.30496453900709219</v>
      </c>
      <c r="T925">
        <f t="shared" si="113"/>
        <v>59</v>
      </c>
      <c r="U925">
        <f t="shared" si="114"/>
        <v>13</v>
      </c>
      <c r="V925">
        <f t="shared" si="115"/>
        <v>11</v>
      </c>
      <c r="W925">
        <f t="shared" si="116"/>
        <v>2.1864406779661016</v>
      </c>
      <c r="X925" t="str">
        <f t="shared" si="117"/>
        <v>High Profit</v>
      </c>
      <c r="Y925">
        <f t="shared" si="118"/>
        <v>211</v>
      </c>
      <c r="Z925">
        <f t="shared" si="119"/>
        <v>423</v>
      </c>
    </row>
    <row r="926" spans="1:26">
      <c r="A926" s="3">
        <v>818</v>
      </c>
      <c r="B926" s="3">
        <v>121</v>
      </c>
      <c r="C926" s="4">
        <v>41214</v>
      </c>
      <c r="D926" s="3" t="s">
        <v>16</v>
      </c>
      <c r="E926" s="3" t="s">
        <v>29</v>
      </c>
      <c r="F926" s="3">
        <v>109</v>
      </c>
      <c r="G926" s="3" t="s">
        <v>33</v>
      </c>
      <c r="H926" s="3" t="s">
        <v>34</v>
      </c>
      <c r="I926" s="3" t="s">
        <v>46</v>
      </c>
      <c r="J926" s="3">
        <v>26</v>
      </c>
      <c r="K926" s="3">
        <v>289</v>
      </c>
      <c r="L926" s="3" t="s">
        <v>31</v>
      </c>
      <c r="M926" s="3">
        <v>110</v>
      </c>
      <c r="N926" s="3">
        <v>40</v>
      </c>
      <c r="O926" s="3">
        <v>280</v>
      </c>
      <c r="P926" s="3">
        <v>142</v>
      </c>
      <c r="Q926">
        <f>SUM([1]!Table1[[#This Row],[Sales]])</f>
        <v>289</v>
      </c>
      <c r="R926">
        <f>SUM([1]!Table1[[#This Row],[Profit]])</f>
        <v>26</v>
      </c>
      <c r="S926" s="7">
        <f t="shared" si="112"/>
        <v>8.9965397923875437E-2</v>
      </c>
      <c r="T926">
        <f t="shared" si="113"/>
        <v>109</v>
      </c>
      <c r="U926">
        <f t="shared" si="114"/>
        <v>9</v>
      </c>
      <c r="V926">
        <f t="shared" si="115"/>
        <v>11</v>
      </c>
      <c r="W926">
        <f t="shared" si="116"/>
        <v>0.23853211009174313</v>
      </c>
      <c r="X926" t="str">
        <f t="shared" si="117"/>
        <v>Low Profit</v>
      </c>
      <c r="Y926">
        <f t="shared" si="118"/>
        <v>121</v>
      </c>
      <c r="Z926">
        <f t="shared" si="119"/>
        <v>289</v>
      </c>
    </row>
    <row r="927" spans="1:26">
      <c r="A927" s="5">
        <v>213</v>
      </c>
      <c r="B927" s="5">
        <v>81</v>
      </c>
      <c r="C927" s="6">
        <v>41214</v>
      </c>
      <c r="D927" s="5" t="s">
        <v>16</v>
      </c>
      <c r="E927" s="5" t="s">
        <v>29</v>
      </c>
      <c r="F927" s="5">
        <v>22</v>
      </c>
      <c r="G927" s="5" t="s">
        <v>18</v>
      </c>
      <c r="H927" s="5" t="s">
        <v>19</v>
      </c>
      <c r="I927" s="5" t="s">
        <v>50</v>
      </c>
      <c r="J927" s="5">
        <v>84</v>
      </c>
      <c r="K927" s="5">
        <v>198</v>
      </c>
      <c r="L927" s="5" t="s">
        <v>31</v>
      </c>
      <c r="M927" s="5">
        <v>70</v>
      </c>
      <c r="N927" s="5">
        <v>80</v>
      </c>
      <c r="O927" s="5">
        <v>180</v>
      </c>
      <c r="P927" s="5">
        <v>33</v>
      </c>
      <c r="Q927">
        <f>SUM([1]!Table1[[#This Row],[Sales]])</f>
        <v>198</v>
      </c>
      <c r="R927">
        <f>SUM([1]!Table1[[#This Row],[Profit]])</f>
        <v>84</v>
      </c>
      <c r="S927" s="7">
        <f t="shared" si="112"/>
        <v>0.42424242424242425</v>
      </c>
      <c r="T927">
        <f t="shared" si="113"/>
        <v>22</v>
      </c>
      <c r="U927">
        <f t="shared" si="114"/>
        <v>18</v>
      </c>
      <c r="V927">
        <f t="shared" si="115"/>
        <v>11</v>
      </c>
      <c r="W927">
        <f t="shared" si="116"/>
        <v>3.8181818181818183</v>
      </c>
      <c r="X927" t="str">
        <f t="shared" si="117"/>
        <v>Low Profit</v>
      </c>
      <c r="Y927">
        <f t="shared" si="118"/>
        <v>81</v>
      </c>
      <c r="Z927">
        <f t="shared" si="119"/>
        <v>198</v>
      </c>
    </row>
    <row r="928" spans="1:26">
      <c r="A928" s="3">
        <v>213</v>
      </c>
      <c r="B928" s="3">
        <v>225</v>
      </c>
      <c r="C928" s="4">
        <v>41214</v>
      </c>
      <c r="D928" s="3" t="s">
        <v>16</v>
      </c>
      <c r="E928" s="3" t="s">
        <v>29</v>
      </c>
      <c r="F928" s="3">
        <v>69</v>
      </c>
      <c r="G928" s="3" t="s">
        <v>18</v>
      </c>
      <c r="H928" s="3" t="s">
        <v>19</v>
      </c>
      <c r="I928" s="3" t="s">
        <v>20</v>
      </c>
      <c r="J928" s="3">
        <v>174</v>
      </c>
      <c r="K928" s="3">
        <v>490</v>
      </c>
      <c r="L928" s="3" t="s">
        <v>31</v>
      </c>
      <c r="M928" s="3">
        <v>210</v>
      </c>
      <c r="N928" s="3">
        <v>160</v>
      </c>
      <c r="O928" s="3">
        <v>450</v>
      </c>
      <c r="P928" s="3">
        <v>91</v>
      </c>
      <c r="Q928">
        <f>SUM([1]!Table1[[#This Row],[Sales]])</f>
        <v>490</v>
      </c>
      <c r="R928">
        <f>SUM([1]!Table1[[#This Row],[Profit]])</f>
        <v>174</v>
      </c>
      <c r="S928" s="7">
        <f t="shared" si="112"/>
        <v>0.35510204081632651</v>
      </c>
      <c r="T928">
        <f t="shared" si="113"/>
        <v>69</v>
      </c>
      <c r="U928">
        <f t="shared" si="114"/>
        <v>40</v>
      </c>
      <c r="V928">
        <f t="shared" si="115"/>
        <v>15</v>
      </c>
      <c r="W928">
        <f t="shared" si="116"/>
        <v>2.5217391304347827</v>
      </c>
      <c r="X928" t="str">
        <f t="shared" si="117"/>
        <v>High Profit</v>
      </c>
      <c r="Y928">
        <f t="shared" si="118"/>
        <v>225</v>
      </c>
      <c r="Z928">
        <f t="shared" si="119"/>
        <v>490</v>
      </c>
    </row>
    <row r="929" spans="1:26">
      <c r="A929" s="5">
        <v>213</v>
      </c>
      <c r="B929" s="5">
        <v>118</v>
      </c>
      <c r="C929" s="6">
        <v>41214</v>
      </c>
      <c r="D929" s="5" t="s">
        <v>16</v>
      </c>
      <c r="E929" s="5" t="s">
        <v>29</v>
      </c>
      <c r="F929" s="5">
        <v>33</v>
      </c>
      <c r="G929" s="5" t="s">
        <v>18</v>
      </c>
      <c r="H929" s="5" t="s">
        <v>26</v>
      </c>
      <c r="I929" s="5" t="s">
        <v>27</v>
      </c>
      <c r="J929" s="5">
        <v>128</v>
      </c>
      <c r="K929" s="5">
        <v>290</v>
      </c>
      <c r="L929" s="5" t="s">
        <v>31</v>
      </c>
      <c r="M929" s="5">
        <v>80</v>
      </c>
      <c r="N929" s="5">
        <v>110</v>
      </c>
      <c r="O929" s="5">
        <v>210</v>
      </c>
      <c r="P929" s="5">
        <v>44</v>
      </c>
      <c r="Q929">
        <f>SUM([1]!Table1[[#This Row],[Sales]])</f>
        <v>290</v>
      </c>
      <c r="R929">
        <f>SUM([1]!Table1[[#This Row],[Profit]])</f>
        <v>128</v>
      </c>
      <c r="S929" s="7">
        <f t="shared" si="112"/>
        <v>0.44137931034482758</v>
      </c>
      <c r="T929">
        <f t="shared" si="113"/>
        <v>33</v>
      </c>
      <c r="U929">
        <f t="shared" si="114"/>
        <v>80</v>
      </c>
      <c r="V929">
        <f t="shared" si="115"/>
        <v>38</v>
      </c>
      <c r="W929">
        <f t="shared" si="116"/>
        <v>3.8787878787878789</v>
      </c>
      <c r="X929" t="str">
        <f t="shared" si="117"/>
        <v>High Profit</v>
      </c>
      <c r="Y929">
        <f t="shared" si="118"/>
        <v>118</v>
      </c>
      <c r="Z929">
        <f t="shared" si="119"/>
        <v>290</v>
      </c>
    </row>
    <row r="930" spans="1:26">
      <c r="A930" s="3">
        <v>801</v>
      </c>
      <c r="B930" s="3">
        <v>82</v>
      </c>
      <c r="C930" s="4">
        <v>41214</v>
      </c>
      <c r="D930" s="3" t="s">
        <v>32</v>
      </c>
      <c r="E930" s="3" t="s">
        <v>29</v>
      </c>
      <c r="F930" s="3">
        <v>31</v>
      </c>
      <c r="G930" s="3" t="s">
        <v>33</v>
      </c>
      <c r="H930" s="3" t="s">
        <v>38</v>
      </c>
      <c r="I930" s="3" t="s">
        <v>39</v>
      </c>
      <c r="J930" s="3">
        <v>38</v>
      </c>
      <c r="K930" s="3">
        <v>184</v>
      </c>
      <c r="L930" s="3" t="s">
        <v>42</v>
      </c>
      <c r="M930" s="3">
        <v>90</v>
      </c>
      <c r="N930" s="3">
        <v>60</v>
      </c>
      <c r="O930" s="3">
        <v>210</v>
      </c>
      <c r="P930" s="3">
        <v>64</v>
      </c>
      <c r="Q930">
        <f>SUM([1]!Table1[[#This Row],[Sales]])</f>
        <v>184</v>
      </c>
      <c r="R930">
        <f>SUM([1]!Table1[[#This Row],[Profit]])</f>
        <v>38</v>
      </c>
      <c r="S930" s="7">
        <f t="shared" si="112"/>
        <v>0.20652173913043478</v>
      </c>
      <c r="T930">
        <f t="shared" si="113"/>
        <v>31</v>
      </c>
      <c r="U930">
        <f t="shared" si="114"/>
        <v>-26</v>
      </c>
      <c r="V930">
        <f t="shared" si="115"/>
        <v>-8</v>
      </c>
      <c r="W930">
        <f t="shared" si="116"/>
        <v>1.2258064516129032</v>
      </c>
      <c r="X930" t="str">
        <f t="shared" si="117"/>
        <v>Low Profit</v>
      </c>
      <c r="Y930">
        <f t="shared" si="118"/>
        <v>82</v>
      </c>
      <c r="Z930">
        <f t="shared" si="119"/>
        <v>184</v>
      </c>
    </row>
    <row r="931" spans="1:26">
      <c r="A931" s="5">
        <v>253</v>
      </c>
      <c r="B931" s="5">
        <v>94</v>
      </c>
      <c r="C931" s="6">
        <v>41214</v>
      </c>
      <c r="D931" s="5" t="s">
        <v>32</v>
      </c>
      <c r="E931" s="5" t="s">
        <v>29</v>
      </c>
      <c r="F931" s="5">
        <v>85</v>
      </c>
      <c r="G931" s="5" t="s">
        <v>33</v>
      </c>
      <c r="H931" s="5" t="s">
        <v>38</v>
      </c>
      <c r="I931" s="5" t="s">
        <v>39</v>
      </c>
      <c r="J931" s="5">
        <v>16</v>
      </c>
      <c r="K931" s="5">
        <v>224</v>
      </c>
      <c r="L931" s="5" t="s">
        <v>53</v>
      </c>
      <c r="M931" s="5">
        <v>110</v>
      </c>
      <c r="N931" s="5">
        <v>40</v>
      </c>
      <c r="O931" s="5">
        <v>260</v>
      </c>
      <c r="P931" s="5">
        <v>114</v>
      </c>
      <c r="Q931">
        <f>SUM([1]!Table1[[#This Row],[Sales]])</f>
        <v>224</v>
      </c>
      <c r="R931">
        <f>SUM([1]!Table1[[#This Row],[Profit]])</f>
        <v>16</v>
      </c>
      <c r="S931" s="7">
        <f t="shared" si="112"/>
        <v>7.1428571428571425E-2</v>
      </c>
      <c r="T931">
        <f t="shared" si="113"/>
        <v>85</v>
      </c>
      <c r="U931">
        <f t="shared" si="114"/>
        <v>-36</v>
      </c>
      <c r="V931">
        <f t="shared" si="115"/>
        <v>-16</v>
      </c>
      <c r="W931">
        <f t="shared" si="116"/>
        <v>0.18823529411764706</v>
      </c>
      <c r="X931" t="str">
        <f t="shared" si="117"/>
        <v>Low Profit</v>
      </c>
      <c r="Y931">
        <f t="shared" si="118"/>
        <v>94</v>
      </c>
      <c r="Z931">
        <f t="shared" si="119"/>
        <v>224</v>
      </c>
    </row>
    <row r="932" spans="1:26">
      <c r="A932" s="3">
        <v>503</v>
      </c>
      <c r="B932" s="3">
        <v>181</v>
      </c>
      <c r="C932" s="4">
        <v>41214</v>
      </c>
      <c r="D932" s="3" t="s">
        <v>32</v>
      </c>
      <c r="E932" s="3" t="s">
        <v>29</v>
      </c>
      <c r="F932" s="3">
        <v>50</v>
      </c>
      <c r="G932" s="3" t="s">
        <v>33</v>
      </c>
      <c r="H932" s="3" t="s">
        <v>34</v>
      </c>
      <c r="I932" s="3" t="s">
        <v>35</v>
      </c>
      <c r="J932" s="3">
        <v>108</v>
      </c>
      <c r="K932" s="3">
        <v>363</v>
      </c>
      <c r="L932" s="3" t="s">
        <v>49</v>
      </c>
      <c r="M932" s="3">
        <v>170</v>
      </c>
      <c r="N932" s="3">
        <v>120</v>
      </c>
      <c r="O932" s="3">
        <v>350</v>
      </c>
      <c r="P932" s="3">
        <v>74</v>
      </c>
      <c r="Q932">
        <f>SUM([1]!Table1[[#This Row],[Sales]])</f>
        <v>363</v>
      </c>
      <c r="R932">
        <f>SUM([1]!Table1[[#This Row],[Profit]])</f>
        <v>108</v>
      </c>
      <c r="S932" s="7">
        <f t="shared" si="112"/>
        <v>0.2975206611570248</v>
      </c>
      <c r="T932">
        <f t="shared" si="113"/>
        <v>50</v>
      </c>
      <c r="U932">
        <f t="shared" si="114"/>
        <v>13</v>
      </c>
      <c r="V932">
        <f t="shared" si="115"/>
        <v>11</v>
      </c>
      <c r="W932">
        <f t="shared" si="116"/>
        <v>2.16</v>
      </c>
      <c r="X932" t="str">
        <f t="shared" si="117"/>
        <v>High Profit</v>
      </c>
      <c r="Y932">
        <f t="shared" si="118"/>
        <v>181</v>
      </c>
      <c r="Z932">
        <f t="shared" si="119"/>
        <v>363</v>
      </c>
    </row>
    <row r="933" spans="1:26">
      <c r="A933" s="5">
        <v>801</v>
      </c>
      <c r="B933" s="5">
        <v>69</v>
      </c>
      <c r="C933" s="6">
        <v>41214</v>
      </c>
      <c r="D933" s="5" t="s">
        <v>32</v>
      </c>
      <c r="E933" s="5" t="s">
        <v>29</v>
      </c>
      <c r="F933" s="5">
        <v>21</v>
      </c>
      <c r="G933" s="5" t="s">
        <v>33</v>
      </c>
      <c r="H933" s="5" t="s">
        <v>38</v>
      </c>
      <c r="I933" s="5" t="s">
        <v>43</v>
      </c>
      <c r="J933" s="5">
        <v>39</v>
      </c>
      <c r="K933" s="5">
        <v>150</v>
      </c>
      <c r="L933" s="5" t="s">
        <v>42</v>
      </c>
      <c r="M933" s="5">
        <v>80</v>
      </c>
      <c r="N933" s="5">
        <v>50</v>
      </c>
      <c r="O933" s="5">
        <v>170</v>
      </c>
      <c r="P933" s="5">
        <v>42</v>
      </c>
      <c r="Q933">
        <f>SUM([1]!Table1[[#This Row],[Sales]])</f>
        <v>150</v>
      </c>
      <c r="R933">
        <f>SUM([1]!Table1[[#This Row],[Profit]])</f>
        <v>39</v>
      </c>
      <c r="S933" s="7">
        <f t="shared" si="112"/>
        <v>0.26</v>
      </c>
      <c r="T933">
        <f t="shared" si="113"/>
        <v>21</v>
      </c>
      <c r="U933">
        <f t="shared" si="114"/>
        <v>-20</v>
      </c>
      <c r="V933">
        <f t="shared" si="115"/>
        <v>-11</v>
      </c>
      <c r="W933">
        <f t="shared" si="116"/>
        <v>1.8571428571428572</v>
      </c>
      <c r="X933" t="str">
        <f t="shared" si="117"/>
        <v>Low Profit</v>
      </c>
      <c r="Y933">
        <f t="shared" si="118"/>
        <v>69</v>
      </c>
      <c r="Z933">
        <f t="shared" si="119"/>
        <v>150</v>
      </c>
    </row>
    <row r="934" spans="1:26">
      <c r="A934" s="3">
        <v>971</v>
      </c>
      <c r="B934" s="3">
        <v>53</v>
      </c>
      <c r="C934" s="4">
        <v>41214</v>
      </c>
      <c r="D934" s="3" t="s">
        <v>32</v>
      </c>
      <c r="E934" s="3" t="s">
        <v>29</v>
      </c>
      <c r="F934" s="3">
        <v>17</v>
      </c>
      <c r="G934" s="3" t="s">
        <v>33</v>
      </c>
      <c r="H934" s="3" t="s">
        <v>38</v>
      </c>
      <c r="I934" s="3" t="s">
        <v>45</v>
      </c>
      <c r="J934" s="3">
        <v>14</v>
      </c>
      <c r="K934" s="3">
        <v>128</v>
      </c>
      <c r="L934" s="3" t="s">
        <v>49</v>
      </c>
      <c r="M934" s="3">
        <v>60</v>
      </c>
      <c r="N934" s="3">
        <v>40</v>
      </c>
      <c r="O934" s="3">
        <v>150</v>
      </c>
      <c r="P934" s="3">
        <v>61</v>
      </c>
      <c r="Q934">
        <f>SUM([1]!Table1[[#This Row],[Sales]])</f>
        <v>128</v>
      </c>
      <c r="R934">
        <f>SUM([1]!Table1[[#This Row],[Profit]])</f>
        <v>14</v>
      </c>
      <c r="S934" s="7">
        <f t="shared" si="112"/>
        <v>0.109375</v>
      </c>
      <c r="T934">
        <f t="shared" si="113"/>
        <v>17</v>
      </c>
      <c r="U934">
        <f t="shared" si="114"/>
        <v>-22</v>
      </c>
      <c r="V934">
        <f t="shared" si="115"/>
        <v>-7</v>
      </c>
      <c r="W934">
        <f t="shared" si="116"/>
        <v>0.82352941176470584</v>
      </c>
      <c r="X934" t="str">
        <f t="shared" si="117"/>
        <v>Low Profit</v>
      </c>
      <c r="Y934">
        <f t="shared" si="118"/>
        <v>53</v>
      </c>
      <c r="Z934">
        <f t="shared" si="119"/>
        <v>128</v>
      </c>
    </row>
    <row r="935" spans="1:26">
      <c r="A935" s="5">
        <v>425</v>
      </c>
      <c r="B935" s="5">
        <v>63</v>
      </c>
      <c r="C935" s="6">
        <v>41214</v>
      </c>
      <c r="D935" s="5" t="s">
        <v>32</v>
      </c>
      <c r="E935" s="5" t="s">
        <v>29</v>
      </c>
      <c r="F935" s="5">
        <v>20</v>
      </c>
      <c r="G935" s="5" t="s">
        <v>33</v>
      </c>
      <c r="H935" s="5" t="s">
        <v>38</v>
      </c>
      <c r="I935" s="5" t="s">
        <v>45</v>
      </c>
      <c r="J935" s="5">
        <v>50</v>
      </c>
      <c r="K935" s="5">
        <v>156</v>
      </c>
      <c r="L935" s="5" t="s">
        <v>53</v>
      </c>
      <c r="M935" s="5">
        <v>70</v>
      </c>
      <c r="N935" s="5">
        <v>70</v>
      </c>
      <c r="O935" s="5">
        <v>180</v>
      </c>
      <c r="P935" s="5">
        <v>43</v>
      </c>
      <c r="Q935">
        <f>SUM([1]!Table1[[#This Row],[Sales]])</f>
        <v>156</v>
      </c>
      <c r="R935">
        <f>SUM([1]!Table1[[#This Row],[Profit]])</f>
        <v>50</v>
      </c>
      <c r="S935" s="7">
        <f t="shared" si="112"/>
        <v>0.32051282051282054</v>
      </c>
      <c r="T935">
        <f t="shared" si="113"/>
        <v>20</v>
      </c>
      <c r="U935">
        <f t="shared" si="114"/>
        <v>-24</v>
      </c>
      <c r="V935">
        <f t="shared" si="115"/>
        <v>-7</v>
      </c>
      <c r="W935">
        <f t="shared" si="116"/>
        <v>2.5</v>
      </c>
      <c r="X935" t="str">
        <f t="shared" si="117"/>
        <v>Low Profit</v>
      </c>
      <c r="Y935">
        <f t="shared" si="118"/>
        <v>63</v>
      </c>
      <c r="Z935">
        <f t="shared" si="119"/>
        <v>156</v>
      </c>
    </row>
    <row r="936" spans="1:26">
      <c r="A936" s="3">
        <v>775</v>
      </c>
      <c r="B936" s="3">
        <v>15</v>
      </c>
      <c r="C936" s="4">
        <v>41214</v>
      </c>
      <c r="D936" s="3" t="s">
        <v>32</v>
      </c>
      <c r="E936" s="3" t="s">
        <v>29</v>
      </c>
      <c r="F936" s="3">
        <v>4</v>
      </c>
      <c r="G936" s="3" t="s">
        <v>33</v>
      </c>
      <c r="H936" s="3" t="s">
        <v>34</v>
      </c>
      <c r="I936" s="3" t="s">
        <v>46</v>
      </c>
      <c r="J936" s="3">
        <v>9</v>
      </c>
      <c r="K936" s="3">
        <v>39</v>
      </c>
      <c r="L936" s="3" t="s">
        <v>41</v>
      </c>
      <c r="M936" s="3">
        <v>10</v>
      </c>
      <c r="N936" s="3">
        <v>10</v>
      </c>
      <c r="O936" s="3">
        <v>30</v>
      </c>
      <c r="P936" s="3">
        <v>15</v>
      </c>
      <c r="Q936">
        <f>SUM([1]!Table1[[#This Row],[Sales]])</f>
        <v>39</v>
      </c>
      <c r="R936">
        <f>SUM([1]!Table1[[#This Row],[Profit]])</f>
        <v>9</v>
      </c>
      <c r="S936" s="7">
        <f t="shared" si="112"/>
        <v>0.23076923076923078</v>
      </c>
      <c r="T936">
        <f t="shared" si="113"/>
        <v>4</v>
      </c>
      <c r="U936">
        <f t="shared" si="114"/>
        <v>9</v>
      </c>
      <c r="V936">
        <f t="shared" si="115"/>
        <v>5</v>
      </c>
      <c r="W936">
        <f t="shared" si="116"/>
        <v>2.25</v>
      </c>
      <c r="X936" t="str">
        <f t="shared" si="117"/>
        <v>Low Profit</v>
      </c>
      <c r="Y936">
        <f t="shared" si="118"/>
        <v>15</v>
      </c>
      <c r="Z936">
        <f t="shared" si="119"/>
        <v>39</v>
      </c>
    </row>
    <row r="937" spans="1:26">
      <c r="A937" s="5">
        <v>435</v>
      </c>
      <c r="B937" s="5">
        <v>101</v>
      </c>
      <c r="C937" s="6">
        <v>41214</v>
      </c>
      <c r="D937" s="5" t="s">
        <v>32</v>
      </c>
      <c r="E937" s="5" t="s">
        <v>29</v>
      </c>
      <c r="F937" s="5">
        <v>33</v>
      </c>
      <c r="G937" s="5" t="s">
        <v>33</v>
      </c>
      <c r="H937" s="5" t="s">
        <v>34</v>
      </c>
      <c r="I937" s="5" t="s">
        <v>46</v>
      </c>
      <c r="J937" s="5">
        <v>85</v>
      </c>
      <c r="K937" s="5">
        <v>231</v>
      </c>
      <c r="L937" s="5" t="s">
        <v>42</v>
      </c>
      <c r="M937" s="5">
        <v>90</v>
      </c>
      <c r="N937" s="5">
        <v>90</v>
      </c>
      <c r="O937" s="5">
        <v>220</v>
      </c>
      <c r="P937" s="5">
        <v>45</v>
      </c>
      <c r="Q937">
        <f>SUM([1]!Table1[[#This Row],[Sales]])</f>
        <v>231</v>
      </c>
      <c r="R937">
        <f>SUM([1]!Table1[[#This Row],[Profit]])</f>
        <v>85</v>
      </c>
      <c r="S937" s="7">
        <f t="shared" si="112"/>
        <v>0.36796536796536794</v>
      </c>
      <c r="T937">
        <f t="shared" si="113"/>
        <v>33</v>
      </c>
      <c r="U937">
        <f t="shared" si="114"/>
        <v>11</v>
      </c>
      <c r="V937">
        <f t="shared" si="115"/>
        <v>11</v>
      </c>
      <c r="W937">
        <f t="shared" si="116"/>
        <v>2.5757575757575757</v>
      </c>
      <c r="X937" t="str">
        <f t="shared" si="117"/>
        <v>Low Profit</v>
      </c>
      <c r="Y937">
        <f t="shared" si="118"/>
        <v>101</v>
      </c>
      <c r="Z937">
        <f t="shared" si="119"/>
        <v>231</v>
      </c>
    </row>
    <row r="938" spans="1:26">
      <c r="A938" s="3">
        <v>775</v>
      </c>
      <c r="B938" s="3">
        <v>121</v>
      </c>
      <c r="C938" s="4">
        <v>41214</v>
      </c>
      <c r="D938" s="3" t="s">
        <v>32</v>
      </c>
      <c r="E938" s="3" t="s">
        <v>29</v>
      </c>
      <c r="F938" s="3">
        <v>109</v>
      </c>
      <c r="G938" s="3" t="s">
        <v>18</v>
      </c>
      <c r="H938" s="3" t="s">
        <v>19</v>
      </c>
      <c r="I938" s="3" t="s">
        <v>50</v>
      </c>
      <c r="J938" s="3">
        <v>26</v>
      </c>
      <c r="K938" s="3">
        <v>289</v>
      </c>
      <c r="L938" s="3" t="s">
        <v>41</v>
      </c>
      <c r="M938" s="3">
        <v>110</v>
      </c>
      <c r="N938" s="3">
        <v>20</v>
      </c>
      <c r="O938" s="3">
        <v>260</v>
      </c>
      <c r="P938" s="3">
        <v>142</v>
      </c>
      <c r="Q938">
        <f>SUM([1]!Table1[[#This Row],[Sales]])</f>
        <v>289</v>
      </c>
      <c r="R938">
        <f>SUM([1]!Table1[[#This Row],[Profit]])</f>
        <v>26</v>
      </c>
      <c r="S938" s="7">
        <f t="shared" si="112"/>
        <v>8.9965397923875437E-2</v>
      </c>
      <c r="T938">
        <f t="shared" si="113"/>
        <v>109</v>
      </c>
      <c r="U938">
        <f t="shared" si="114"/>
        <v>29</v>
      </c>
      <c r="V938">
        <f t="shared" si="115"/>
        <v>11</v>
      </c>
      <c r="W938">
        <f t="shared" si="116"/>
        <v>0.23853211009174313</v>
      </c>
      <c r="X938" t="str">
        <f t="shared" si="117"/>
        <v>Low Profit</v>
      </c>
      <c r="Y938">
        <f t="shared" si="118"/>
        <v>121</v>
      </c>
      <c r="Z938">
        <f t="shared" si="119"/>
        <v>289</v>
      </c>
    </row>
    <row r="939" spans="1:26">
      <c r="A939" s="5">
        <v>206</v>
      </c>
      <c r="B939" s="5">
        <v>130</v>
      </c>
      <c r="C939" s="6">
        <v>41214</v>
      </c>
      <c r="D939" s="5" t="s">
        <v>32</v>
      </c>
      <c r="E939" s="5" t="s">
        <v>29</v>
      </c>
      <c r="F939" s="5">
        <v>42</v>
      </c>
      <c r="G939" s="5" t="s">
        <v>18</v>
      </c>
      <c r="H939" s="5" t="s">
        <v>19</v>
      </c>
      <c r="I939" s="5" t="s">
        <v>50</v>
      </c>
      <c r="J939" s="5">
        <v>122</v>
      </c>
      <c r="K939" s="5">
        <v>325</v>
      </c>
      <c r="L939" s="5" t="s">
        <v>53</v>
      </c>
      <c r="M939" s="5">
        <v>120</v>
      </c>
      <c r="N939" s="5">
        <v>120</v>
      </c>
      <c r="O939" s="5">
        <v>300</v>
      </c>
      <c r="P939" s="5">
        <v>73</v>
      </c>
      <c r="Q939">
        <f>SUM([1]!Table1[[#This Row],[Sales]])</f>
        <v>325</v>
      </c>
      <c r="R939">
        <f>SUM([1]!Table1[[#This Row],[Profit]])</f>
        <v>122</v>
      </c>
      <c r="S939" s="7">
        <f t="shared" si="112"/>
        <v>0.37538461538461537</v>
      </c>
      <c r="T939">
        <f t="shared" si="113"/>
        <v>42</v>
      </c>
      <c r="U939">
        <f t="shared" si="114"/>
        <v>25</v>
      </c>
      <c r="V939">
        <f t="shared" si="115"/>
        <v>10</v>
      </c>
      <c r="W939">
        <f t="shared" si="116"/>
        <v>2.9047619047619047</v>
      </c>
      <c r="X939" t="str">
        <f t="shared" si="117"/>
        <v>High Profit</v>
      </c>
      <c r="Y939">
        <f t="shared" si="118"/>
        <v>130</v>
      </c>
      <c r="Z939">
        <f t="shared" si="119"/>
        <v>325</v>
      </c>
    </row>
    <row r="940" spans="1:26">
      <c r="A940" s="3">
        <v>702</v>
      </c>
      <c r="B940" s="3">
        <v>173</v>
      </c>
      <c r="C940" s="4">
        <v>41214</v>
      </c>
      <c r="D940" s="3" t="s">
        <v>32</v>
      </c>
      <c r="E940" s="3" t="s">
        <v>29</v>
      </c>
      <c r="F940" s="3">
        <v>57</v>
      </c>
      <c r="G940" s="3" t="s">
        <v>18</v>
      </c>
      <c r="H940" s="3" t="s">
        <v>19</v>
      </c>
      <c r="I940" s="3" t="s">
        <v>20</v>
      </c>
      <c r="J940" s="3">
        <v>138</v>
      </c>
      <c r="K940" s="3">
        <v>412</v>
      </c>
      <c r="L940" s="3" t="s">
        <v>41</v>
      </c>
      <c r="M940" s="3">
        <v>160</v>
      </c>
      <c r="N940" s="3">
        <v>130</v>
      </c>
      <c r="O940" s="3">
        <v>380</v>
      </c>
      <c r="P940" s="3">
        <v>101</v>
      </c>
      <c r="Q940">
        <f>SUM([1]!Table1[[#This Row],[Sales]])</f>
        <v>412</v>
      </c>
      <c r="R940">
        <f>SUM([1]!Table1[[#This Row],[Profit]])</f>
        <v>138</v>
      </c>
      <c r="S940" s="7">
        <f t="shared" si="112"/>
        <v>0.33495145631067963</v>
      </c>
      <c r="T940">
        <f t="shared" si="113"/>
        <v>57</v>
      </c>
      <c r="U940">
        <f t="shared" si="114"/>
        <v>32</v>
      </c>
      <c r="V940">
        <f t="shared" si="115"/>
        <v>13</v>
      </c>
      <c r="W940">
        <f t="shared" si="116"/>
        <v>2.4210526315789473</v>
      </c>
      <c r="X940" t="str">
        <f t="shared" si="117"/>
        <v>High Profit</v>
      </c>
      <c r="Y940">
        <f t="shared" si="118"/>
        <v>173</v>
      </c>
      <c r="Z940">
        <f t="shared" si="119"/>
        <v>412</v>
      </c>
    </row>
    <row r="941" spans="1:26">
      <c r="A941" s="5">
        <v>971</v>
      </c>
      <c r="B941" s="5">
        <v>88</v>
      </c>
      <c r="C941" s="6">
        <v>41214</v>
      </c>
      <c r="D941" s="5" t="s">
        <v>32</v>
      </c>
      <c r="E941" s="5" t="s">
        <v>29</v>
      </c>
      <c r="F941" s="5">
        <v>29</v>
      </c>
      <c r="G941" s="5" t="s">
        <v>18</v>
      </c>
      <c r="H941" s="5" t="s">
        <v>19</v>
      </c>
      <c r="I941" s="5" t="s">
        <v>20</v>
      </c>
      <c r="J941" s="5">
        <v>70</v>
      </c>
      <c r="K941" s="5">
        <v>200</v>
      </c>
      <c r="L941" s="5" t="s">
        <v>49</v>
      </c>
      <c r="M941" s="5">
        <v>80</v>
      </c>
      <c r="N941" s="5">
        <v>70</v>
      </c>
      <c r="O941" s="5">
        <v>180</v>
      </c>
      <c r="P941" s="5">
        <v>42</v>
      </c>
      <c r="Q941">
        <f>SUM([1]!Table1[[#This Row],[Sales]])</f>
        <v>200</v>
      </c>
      <c r="R941">
        <f>SUM([1]!Table1[[#This Row],[Profit]])</f>
        <v>70</v>
      </c>
      <c r="S941" s="7">
        <f t="shared" si="112"/>
        <v>0.35</v>
      </c>
      <c r="T941">
        <f t="shared" si="113"/>
        <v>29</v>
      </c>
      <c r="U941">
        <f t="shared" si="114"/>
        <v>20</v>
      </c>
      <c r="V941">
        <f t="shared" si="115"/>
        <v>8</v>
      </c>
      <c r="W941">
        <f t="shared" si="116"/>
        <v>2.4137931034482758</v>
      </c>
      <c r="X941" t="str">
        <f t="shared" si="117"/>
        <v>Low Profit</v>
      </c>
      <c r="Y941">
        <f t="shared" si="118"/>
        <v>88</v>
      </c>
      <c r="Z941">
        <f t="shared" si="119"/>
        <v>200</v>
      </c>
    </row>
    <row r="942" spans="1:26">
      <c r="A942" s="3">
        <v>702</v>
      </c>
      <c r="B942" s="3">
        <v>113</v>
      </c>
      <c r="C942" s="4">
        <v>41214</v>
      </c>
      <c r="D942" s="3" t="s">
        <v>32</v>
      </c>
      <c r="E942" s="3" t="s">
        <v>29</v>
      </c>
      <c r="F942" s="3">
        <v>36</v>
      </c>
      <c r="G942" s="3" t="s">
        <v>18</v>
      </c>
      <c r="H942" s="3" t="s">
        <v>19</v>
      </c>
      <c r="I942" s="3" t="s">
        <v>22</v>
      </c>
      <c r="J942" s="3">
        <v>107</v>
      </c>
      <c r="K942" s="3">
        <v>278</v>
      </c>
      <c r="L942" s="3" t="s">
        <v>41</v>
      </c>
      <c r="M942" s="3">
        <v>100</v>
      </c>
      <c r="N942" s="3">
        <v>100</v>
      </c>
      <c r="O942" s="3">
        <v>250</v>
      </c>
      <c r="P942" s="3">
        <v>58</v>
      </c>
      <c r="Q942">
        <f>SUM([1]!Table1[[#This Row],[Sales]])</f>
        <v>278</v>
      </c>
      <c r="R942">
        <f>SUM([1]!Table1[[#This Row],[Profit]])</f>
        <v>107</v>
      </c>
      <c r="S942" s="7">
        <f t="shared" si="112"/>
        <v>0.38489208633093525</v>
      </c>
      <c r="T942">
        <f t="shared" si="113"/>
        <v>36</v>
      </c>
      <c r="U942">
        <f t="shared" si="114"/>
        <v>28</v>
      </c>
      <c r="V942">
        <f t="shared" si="115"/>
        <v>13</v>
      </c>
      <c r="W942">
        <f t="shared" si="116"/>
        <v>2.9722222222222223</v>
      </c>
      <c r="X942" t="str">
        <f t="shared" si="117"/>
        <v>High Profit</v>
      </c>
      <c r="Y942">
        <f t="shared" si="118"/>
        <v>113</v>
      </c>
      <c r="Z942">
        <f t="shared" si="119"/>
        <v>278</v>
      </c>
    </row>
    <row r="943" spans="1:26">
      <c r="A943" s="5">
        <v>702</v>
      </c>
      <c r="B943" s="5">
        <v>228</v>
      </c>
      <c r="C943" s="6">
        <v>41214</v>
      </c>
      <c r="D943" s="5" t="s">
        <v>32</v>
      </c>
      <c r="E943" s="5" t="s">
        <v>29</v>
      </c>
      <c r="F943" s="5">
        <v>75</v>
      </c>
      <c r="G943" s="5" t="s">
        <v>18</v>
      </c>
      <c r="H943" s="5" t="s">
        <v>26</v>
      </c>
      <c r="I943" s="5" t="s">
        <v>27</v>
      </c>
      <c r="J943" s="5">
        <v>196</v>
      </c>
      <c r="K943" s="5">
        <v>532</v>
      </c>
      <c r="L943" s="5" t="s">
        <v>41</v>
      </c>
      <c r="M943" s="5">
        <v>160</v>
      </c>
      <c r="N943" s="5">
        <v>140</v>
      </c>
      <c r="O943" s="5">
        <v>380</v>
      </c>
      <c r="P943" s="5">
        <v>108</v>
      </c>
      <c r="Q943">
        <f>SUM([1]!Table1[[#This Row],[Sales]])</f>
        <v>532</v>
      </c>
      <c r="R943">
        <f>SUM([1]!Table1[[#This Row],[Profit]])</f>
        <v>196</v>
      </c>
      <c r="S943" s="7">
        <f t="shared" si="112"/>
        <v>0.36842105263157893</v>
      </c>
      <c r="T943">
        <f t="shared" si="113"/>
        <v>75</v>
      </c>
      <c r="U943">
        <f t="shared" si="114"/>
        <v>152</v>
      </c>
      <c r="V943">
        <f t="shared" si="115"/>
        <v>68</v>
      </c>
      <c r="W943">
        <f t="shared" si="116"/>
        <v>2.6133333333333333</v>
      </c>
      <c r="X943" t="str">
        <f t="shared" si="117"/>
        <v>High Profit</v>
      </c>
      <c r="Y943">
        <f t="shared" si="118"/>
        <v>228</v>
      </c>
      <c r="Z943">
        <f t="shared" si="119"/>
        <v>532</v>
      </c>
    </row>
    <row r="944" spans="1:26">
      <c r="A944" s="3">
        <v>702</v>
      </c>
      <c r="B944" s="3">
        <v>211</v>
      </c>
      <c r="C944" s="4">
        <v>41214</v>
      </c>
      <c r="D944" s="3" t="s">
        <v>32</v>
      </c>
      <c r="E944" s="3" t="s">
        <v>29</v>
      </c>
      <c r="F944" s="3">
        <v>59</v>
      </c>
      <c r="G944" s="3" t="s">
        <v>18</v>
      </c>
      <c r="H944" s="3" t="s">
        <v>26</v>
      </c>
      <c r="I944" s="3" t="s">
        <v>54</v>
      </c>
      <c r="J944" s="3">
        <v>128</v>
      </c>
      <c r="K944" s="3">
        <v>423</v>
      </c>
      <c r="L944" s="3" t="s">
        <v>41</v>
      </c>
      <c r="M944" s="3">
        <v>150</v>
      </c>
      <c r="N944" s="3">
        <v>80</v>
      </c>
      <c r="O944" s="3">
        <v>300</v>
      </c>
      <c r="P944" s="3">
        <v>84</v>
      </c>
      <c r="Q944">
        <f>SUM([1]!Table1[[#This Row],[Sales]])</f>
        <v>423</v>
      </c>
      <c r="R944">
        <f>SUM([1]!Table1[[#This Row],[Profit]])</f>
        <v>128</v>
      </c>
      <c r="S944" s="7">
        <f t="shared" si="112"/>
        <v>0.30260047281323876</v>
      </c>
      <c r="T944">
        <f t="shared" si="113"/>
        <v>59</v>
      </c>
      <c r="U944">
        <f t="shared" si="114"/>
        <v>123</v>
      </c>
      <c r="V944">
        <f t="shared" si="115"/>
        <v>61</v>
      </c>
      <c r="W944">
        <f t="shared" si="116"/>
        <v>2.1694915254237288</v>
      </c>
      <c r="X944" t="str">
        <f t="shared" si="117"/>
        <v>High Profit</v>
      </c>
      <c r="Y944">
        <f t="shared" si="118"/>
        <v>211</v>
      </c>
      <c r="Z944">
        <f t="shared" si="119"/>
        <v>423</v>
      </c>
    </row>
    <row r="945" spans="1:26">
      <c r="A945" s="5">
        <v>971</v>
      </c>
      <c r="B945" s="5">
        <v>78</v>
      </c>
      <c r="C945" s="6">
        <v>41214</v>
      </c>
      <c r="D945" s="5" t="s">
        <v>32</v>
      </c>
      <c r="E945" s="5" t="s">
        <v>29</v>
      </c>
      <c r="F945" s="5">
        <v>25</v>
      </c>
      <c r="G945" s="5" t="s">
        <v>18</v>
      </c>
      <c r="H945" s="5" t="s">
        <v>26</v>
      </c>
      <c r="I945" s="5" t="s">
        <v>54</v>
      </c>
      <c r="J945" s="5">
        <v>62</v>
      </c>
      <c r="K945" s="5">
        <v>197</v>
      </c>
      <c r="L945" s="5" t="s">
        <v>49</v>
      </c>
      <c r="M945" s="5">
        <v>50</v>
      </c>
      <c r="N945" s="5">
        <v>50</v>
      </c>
      <c r="O945" s="5">
        <v>140</v>
      </c>
      <c r="P945" s="5">
        <v>57</v>
      </c>
      <c r="Q945">
        <f>SUM([1]!Table1[[#This Row],[Sales]])</f>
        <v>197</v>
      </c>
      <c r="R945">
        <f>SUM([1]!Table1[[#This Row],[Profit]])</f>
        <v>62</v>
      </c>
      <c r="S945" s="7">
        <f t="shared" si="112"/>
        <v>0.31472081218274112</v>
      </c>
      <c r="T945">
        <f t="shared" si="113"/>
        <v>25</v>
      </c>
      <c r="U945">
        <f t="shared" si="114"/>
        <v>57</v>
      </c>
      <c r="V945">
        <f t="shared" si="115"/>
        <v>28</v>
      </c>
      <c r="W945">
        <f t="shared" si="116"/>
        <v>2.48</v>
      </c>
      <c r="X945" t="str">
        <f t="shared" si="117"/>
        <v>Low Profit</v>
      </c>
      <c r="Y945">
        <f t="shared" si="118"/>
        <v>78</v>
      </c>
      <c r="Z945">
        <f t="shared" si="119"/>
        <v>197</v>
      </c>
    </row>
    <row r="946" spans="1:26">
      <c r="A946" s="3">
        <v>702</v>
      </c>
      <c r="B946" s="3">
        <v>245</v>
      </c>
      <c r="C946" s="4">
        <v>41214</v>
      </c>
      <c r="D946" s="3" t="s">
        <v>32</v>
      </c>
      <c r="E946" s="3" t="s">
        <v>29</v>
      </c>
      <c r="F946" s="3">
        <v>93</v>
      </c>
      <c r="G946" s="3" t="s">
        <v>18</v>
      </c>
      <c r="H946" s="3" t="s">
        <v>26</v>
      </c>
      <c r="I946" s="3" t="s">
        <v>30</v>
      </c>
      <c r="J946" s="3">
        <v>-340</v>
      </c>
      <c r="K946" s="3">
        <v>32</v>
      </c>
      <c r="L946" s="3" t="s">
        <v>41</v>
      </c>
      <c r="M946" s="3">
        <v>180</v>
      </c>
      <c r="N946" s="3">
        <v>-280</v>
      </c>
      <c r="O946" s="3">
        <v>0</v>
      </c>
      <c r="P946" s="3">
        <v>127</v>
      </c>
      <c r="Q946">
        <f>SUM([1]!Table1[[#This Row],[Sales]])</f>
        <v>32</v>
      </c>
      <c r="R946">
        <f>SUM([1]!Table1[[#This Row],[Profit]])</f>
        <v>-340</v>
      </c>
      <c r="S946" s="7">
        <f t="shared" si="112"/>
        <v>-10.625</v>
      </c>
      <c r="T946">
        <f t="shared" si="113"/>
        <v>93</v>
      </c>
      <c r="U946">
        <f t="shared" si="114"/>
        <v>32</v>
      </c>
      <c r="V946">
        <f t="shared" si="115"/>
        <v>65</v>
      </c>
      <c r="W946">
        <f t="shared" si="116"/>
        <v>-3.6559139784946235</v>
      </c>
      <c r="X946" t="str">
        <f t="shared" si="117"/>
        <v>Low Profit</v>
      </c>
      <c r="Y946">
        <f t="shared" si="118"/>
        <v>245</v>
      </c>
      <c r="Z946">
        <f t="shared" si="119"/>
        <v>32</v>
      </c>
    </row>
    <row r="947" spans="1:26">
      <c r="A947" s="5">
        <v>971</v>
      </c>
      <c r="B947" s="5">
        <v>102</v>
      </c>
      <c r="C947" s="6">
        <v>41214</v>
      </c>
      <c r="D947" s="5" t="s">
        <v>32</v>
      </c>
      <c r="E947" s="5" t="s">
        <v>29</v>
      </c>
      <c r="F947" s="5">
        <v>31</v>
      </c>
      <c r="G947" s="5" t="s">
        <v>18</v>
      </c>
      <c r="H947" s="5" t="s">
        <v>26</v>
      </c>
      <c r="I947" s="5" t="s">
        <v>30</v>
      </c>
      <c r="J947" s="5">
        <v>89</v>
      </c>
      <c r="K947" s="5">
        <v>245</v>
      </c>
      <c r="L947" s="5" t="s">
        <v>49</v>
      </c>
      <c r="M947" s="5">
        <v>70</v>
      </c>
      <c r="N947" s="5">
        <v>70</v>
      </c>
      <c r="O947" s="5">
        <v>170</v>
      </c>
      <c r="P947" s="5">
        <v>54</v>
      </c>
      <c r="Q947">
        <f>SUM([1]!Table1[[#This Row],[Sales]])</f>
        <v>245</v>
      </c>
      <c r="R947">
        <f>SUM([1]!Table1[[#This Row],[Profit]])</f>
        <v>89</v>
      </c>
      <c r="S947" s="7">
        <f t="shared" si="112"/>
        <v>0.36326530612244901</v>
      </c>
      <c r="T947">
        <f t="shared" si="113"/>
        <v>31</v>
      </c>
      <c r="U947">
        <f t="shared" si="114"/>
        <v>75</v>
      </c>
      <c r="V947">
        <f t="shared" si="115"/>
        <v>32</v>
      </c>
      <c r="W947">
        <f t="shared" si="116"/>
        <v>2.870967741935484</v>
      </c>
      <c r="X947" t="str">
        <f t="shared" si="117"/>
        <v>Low Profit</v>
      </c>
      <c r="Y947">
        <f t="shared" si="118"/>
        <v>102</v>
      </c>
      <c r="Z947">
        <f t="shared" si="119"/>
        <v>245</v>
      </c>
    </row>
    <row r="948" spans="1:26">
      <c r="A948" s="3">
        <v>714</v>
      </c>
      <c r="B948" s="3">
        <v>224</v>
      </c>
      <c r="C948" s="4">
        <v>41244</v>
      </c>
      <c r="D948" s="3" t="s">
        <v>16</v>
      </c>
      <c r="E948" s="3" t="s">
        <v>29</v>
      </c>
      <c r="F948" s="3">
        <v>73</v>
      </c>
      <c r="G948" s="3" t="s">
        <v>33</v>
      </c>
      <c r="H948" s="3" t="s">
        <v>38</v>
      </c>
      <c r="I948" s="3" t="s">
        <v>39</v>
      </c>
      <c r="J948" s="3">
        <v>-149</v>
      </c>
      <c r="K948" s="3">
        <v>192</v>
      </c>
      <c r="L948" s="3" t="s">
        <v>31</v>
      </c>
      <c r="M948" s="3">
        <v>260</v>
      </c>
      <c r="N948" s="3">
        <v>-150</v>
      </c>
      <c r="O948" s="3">
        <v>220</v>
      </c>
      <c r="P948" s="3">
        <v>117</v>
      </c>
      <c r="Q948">
        <f>SUM([1]!Table1[[#This Row],[Sales]])</f>
        <v>192</v>
      </c>
      <c r="R948">
        <f>SUM([1]!Table1[[#This Row],[Profit]])</f>
        <v>-149</v>
      </c>
      <c r="S948" s="7">
        <f t="shared" si="112"/>
        <v>-0.77604166666666663</v>
      </c>
      <c r="T948">
        <f t="shared" si="113"/>
        <v>73</v>
      </c>
      <c r="U948">
        <f t="shared" si="114"/>
        <v>-28</v>
      </c>
      <c r="V948">
        <f t="shared" si="115"/>
        <v>-36</v>
      </c>
      <c r="W948">
        <f t="shared" si="116"/>
        <v>-2.0410958904109591</v>
      </c>
      <c r="X948" t="str">
        <f t="shared" si="117"/>
        <v>Low Profit</v>
      </c>
      <c r="Y948">
        <f t="shared" si="118"/>
        <v>224</v>
      </c>
      <c r="Z948">
        <f t="shared" si="119"/>
        <v>192</v>
      </c>
    </row>
    <row r="949" spans="1:26">
      <c r="A949" s="5">
        <v>209</v>
      </c>
      <c r="B949" s="5">
        <v>247</v>
      </c>
      <c r="C949" s="6">
        <v>41244</v>
      </c>
      <c r="D949" s="5" t="s">
        <v>16</v>
      </c>
      <c r="E949" s="5" t="s">
        <v>29</v>
      </c>
      <c r="F949" s="5">
        <v>81</v>
      </c>
      <c r="G949" s="5" t="s">
        <v>33</v>
      </c>
      <c r="H949" s="5" t="s">
        <v>34</v>
      </c>
      <c r="I949" s="5" t="s">
        <v>35</v>
      </c>
      <c r="J949" s="5">
        <v>216</v>
      </c>
      <c r="K949" s="5">
        <v>576</v>
      </c>
      <c r="L949" s="5" t="s">
        <v>31</v>
      </c>
      <c r="M949" s="5">
        <v>240</v>
      </c>
      <c r="N949" s="5">
        <v>210</v>
      </c>
      <c r="O949" s="5">
        <v>550</v>
      </c>
      <c r="P949" s="5">
        <v>113</v>
      </c>
      <c r="Q949">
        <f>SUM([1]!Table1[[#This Row],[Sales]])</f>
        <v>576</v>
      </c>
      <c r="R949">
        <f>SUM([1]!Table1[[#This Row],[Profit]])</f>
        <v>216</v>
      </c>
      <c r="S949" s="7">
        <f t="shared" si="112"/>
        <v>0.375</v>
      </c>
      <c r="T949">
        <f t="shared" si="113"/>
        <v>81</v>
      </c>
      <c r="U949">
        <f t="shared" si="114"/>
        <v>26</v>
      </c>
      <c r="V949">
        <f t="shared" si="115"/>
        <v>7</v>
      </c>
      <c r="W949">
        <f t="shared" si="116"/>
        <v>2.6666666666666665</v>
      </c>
      <c r="X949" t="str">
        <f t="shared" si="117"/>
        <v>High Profit</v>
      </c>
      <c r="Y949">
        <f t="shared" si="118"/>
        <v>247</v>
      </c>
      <c r="Z949">
        <f t="shared" si="119"/>
        <v>576</v>
      </c>
    </row>
    <row r="950" spans="1:26">
      <c r="A950" s="3">
        <v>951</v>
      </c>
      <c r="B950" s="3">
        <v>127</v>
      </c>
      <c r="C950" s="4">
        <v>41244</v>
      </c>
      <c r="D950" s="3" t="s">
        <v>16</v>
      </c>
      <c r="E950" s="3" t="s">
        <v>29</v>
      </c>
      <c r="F950" s="3">
        <v>40</v>
      </c>
      <c r="G950" s="3" t="s">
        <v>33</v>
      </c>
      <c r="H950" s="3" t="s">
        <v>38</v>
      </c>
      <c r="I950" s="3" t="s">
        <v>43</v>
      </c>
      <c r="J950" s="3">
        <v>-88</v>
      </c>
      <c r="K950" s="3">
        <v>102</v>
      </c>
      <c r="L950" s="3" t="s">
        <v>31</v>
      </c>
      <c r="M950" s="3">
        <v>150</v>
      </c>
      <c r="N950" s="3">
        <v>-90</v>
      </c>
      <c r="O950" s="3">
        <v>120</v>
      </c>
      <c r="P950" s="3">
        <v>63</v>
      </c>
      <c r="Q950">
        <f>SUM([1]!Table1[[#This Row],[Sales]])</f>
        <v>102</v>
      </c>
      <c r="R950">
        <f>SUM([1]!Table1[[#This Row],[Profit]])</f>
        <v>-88</v>
      </c>
      <c r="S950" s="7">
        <f t="shared" si="112"/>
        <v>-0.86274509803921573</v>
      </c>
      <c r="T950">
        <f t="shared" si="113"/>
        <v>40</v>
      </c>
      <c r="U950">
        <f t="shared" si="114"/>
        <v>-18</v>
      </c>
      <c r="V950">
        <f t="shared" si="115"/>
        <v>-23</v>
      </c>
      <c r="W950">
        <f t="shared" si="116"/>
        <v>-2.2000000000000002</v>
      </c>
      <c r="X950" t="str">
        <f t="shared" si="117"/>
        <v>Low Profit</v>
      </c>
      <c r="Y950">
        <f t="shared" si="118"/>
        <v>127</v>
      </c>
      <c r="Z950">
        <f t="shared" si="119"/>
        <v>102</v>
      </c>
    </row>
    <row r="951" spans="1:26">
      <c r="A951" s="5">
        <v>707</v>
      </c>
      <c r="B951" s="5">
        <v>279</v>
      </c>
      <c r="C951" s="6">
        <v>41244</v>
      </c>
      <c r="D951" s="5" t="s">
        <v>16</v>
      </c>
      <c r="E951" s="5" t="s">
        <v>29</v>
      </c>
      <c r="F951" s="5">
        <v>97</v>
      </c>
      <c r="G951" s="5" t="s">
        <v>33</v>
      </c>
      <c r="H951" s="5" t="s">
        <v>38</v>
      </c>
      <c r="I951" s="5" t="s">
        <v>45</v>
      </c>
      <c r="J951" s="5">
        <v>271</v>
      </c>
      <c r="K951" s="5">
        <v>699</v>
      </c>
      <c r="L951" s="5" t="s">
        <v>31</v>
      </c>
      <c r="M951" s="5">
        <v>330</v>
      </c>
      <c r="N951" s="5">
        <v>350</v>
      </c>
      <c r="O951" s="5">
        <v>830</v>
      </c>
      <c r="P951" s="5">
        <v>149</v>
      </c>
      <c r="Q951">
        <f>SUM([1]!Table1[[#This Row],[Sales]])</f>
        <v>699</v>
      </c>
      <c r="R951">
        <f>SUM([1]!Table1[[#This Row],[Profit]])</f>
        <v>271</v>
      </c>
      <c r="S951" s="7">
        <f t="shared" si="112"/>
        <v>0.38769670958512159</v>
      </c>
      <c r="T951">
        <f t="shared" si="113"/>
        <v>97</v>
      </c>
      <c r="U951">
        <f t="shared" si="114"/>
        <v>-131</v>
      </c>
      <c r="V951">
        <f t="shared" si="115"/>
        <v>-51</v>
      </c>
      <c r="W951">
        <f t="shared" si="116"/>
        <v>2.7938144329896906</v>
      </c>
      <c r="X951" t="str">
        <f t="shared" si="117"/>
        <v>High Profit</v>
      </c>
      <c r="Y951">
        <f t="shared" si="118"/>
        <v>279</v>
      </c>
      <c r="Z951">
        <f t="shared" si="119"/>
        <v>699</v>
      </c>
    </row>
    <row r="952" spans="1:26">
      <c r="A952" s="3">
        <v>916</v>
      </c>
      <c r="B952" s="3">
        <v>250</v>
      </c>
      <c r="C952" s="4">
        <v>41244</v>
      </c>
      <c r="D952" s="3" t="s">
        <v>16</v>
      </c>
      <c r="E952" s="3" t="s">
        <v>29</v>
      </c>
      <c r="F952" s="3">
        <v>70</v>
      </c>
      <c r="G952" s="3" t="s">
        <v>33</v>
      </c>
      <c r="H952" s="3" t="s">
        <v>34</v>
      </c>
      <c r="I952" s="3" t="s">
        <v>47</v>
      </c>
      <c r="J952" s="3">
        <v>157</v>
      </c>
      <c r="K952" s="3">
        <v>501</v>
      </c>
      <c r="L952" s="3" t="s">
        <v>31</v>
      </c>
      <c r="M952" s="3">
        <v>240</v>
      </c>
      <c r="N952" s="3">
        <v>160</v>
      </c>
      <c r="O952" s="3">
        <v>480</v>
      </c>
      <c r="P952" s="3">
        <v>94</v>
      </c>
      <c r="Q952">
        <f>SUM([1]!Table1[[#This Row],[Sales]])</f>
        <v>501</v>
      </c>
      <c r="R952">
        <f>SUM([1]!Table1[[#This Row],[Profit]])</f>
        <v>157</v>
      </c>
      <c r="S952" s="7">
        <f t="shared" si="112"/>
        <v>0.31337325349301398</v>
      </c>
      <c r="T952">
        <f t="shared" si="113"/>
        <v>70</v>
      </c>
      <c r="U952">
        <f t="shared" si="114"/>
        <v>21</v>
      </c>
      <c r="V952">
        <f t="shared" si="115"/>
        <v>10</v>
      </c>
      <c r="W952">
        <f t="shared" si="116"/>
        <v>2.2428571428571429</v>
      </c>
      <c r="X952" t="str">
        <f t="shared" si="117"/>
        <v>High Profit</v>
      </c>
      <c r="Y952">
        <f t="shared" si="118"/>
        <v>250</v>
      </c>
      <c r="Z952">
        <f t="shared" si="119"/>
        <v>501</v>
      </c>
    </row>
    <row r="953" spans="1:26">
      <c r="A953" s="5">
        <v>530</v>
      </c>
      <c r="B953" s="5">
        <v>135</v>
      </c>
      <c r="C953" s="6">
        <v>41244</v>
      </c>
      <c r="D953" s="5" t="s">
        <v>16</v>
      </c>
      <c r="E953" s="5" t="s">
        <v>29</v>
      </c>
      <c r="F953" s="5">
        <v>122</v>
      </c>
      <c r="G953" s="5" t="s">
        <v>33</v>
      </c>
      <c r="H953" s="5" t="s">
        <v>34</v>
      </c>
      <c r="I953" s="5" t="s">
        <v>46</v>
      </c>
      <c r="J953" s="5">
        <v>31</v>
      </c>
      <c r="K953" s="5">
        <v>322</v>
      </c>
      <c r="L953" s="5" t="s">
        <v>31</v>
      </c>
      <c r="M953" s="5">
        <v>130</v>
      </c>
      <c r="N953" s="5">
        <v>40</v>
      </c>
      <c r="O953" s="5">
        <v>310</v>
      </c>
      <c r="P953" s="5">
        <v>156</v>
      </c>
      <c r="Q953">
        <f>SUM([1]!Table1[[#This Row],[Sales]])</f>
        <v>322</v>
      </c>
      <c r="R953">
        <f>SUM([1]!Table1[[#This Row],[Profit]])</f>
        <v>31</v>
      </c>
      <c r="S953" s="7">
        <f t="shared" si="112"/>
        <v>9.627329192546584E-2</v>
      </c>
      <c r="T953">
        <f t="shared" si="113"/>
        <v>122</v>
      </c>
      <c r="U953">
        <f t="shared" si="114"/>
        <v>12</v>
      </c>
      <c r="V953">
        <f t="shared" si="115"/>
        <v>5</v>
      </c>
      <c r="W953">
        <f t="shared" si="116"/>
        <v>0.25409836065573771</v>
      </c>
      <c r="X953" t="str">
        <f t="shared" si="117"/>
        <v>Low Profit</v>
      </c>
      <c r="Y953">
        <f t="shared" si="118"/>
        <v>135</v>
      </c>
      <c r="Z953">
        <f t="shared" si="119"/>
        <v>322</v>
      </c>
    </row>
    <row r="954" spans="1:26">
      <c r="A954" s="3">
        <v>626</v>
      </c>
      <c r="B954" s="3">
        <v>86</v>
      </c>
      <c r="C954" s="4">
        <v>41244</v>
      </c>
      <c r="D954" s="3" t="s">
        <v>16</v>
      </c>
      <c r="E954" s="3" t="s">
        <v>29</v>
      </c>
      <c r="F954" s="3">
        <v>24</v>
      </c>
      <c r="G954" s="3" t="s">
        <v>18</v>
      </c>
      <c r="H954" s="3" t="s">
        <v>19</v>
      </c>
      <c r="I954" s="3" t="s">
        <v>50</v>
      </c>
      <c r="J954" s="3">
        <v>89</v>
      </c>
      <c r="K954" s="3">
        <v>210</v>
      </c>
      <c r="L954" s="3" t="s">
        <v>31</v>
      </c>
      <c r="M954" s="3">
        <v>80</v>
      </c>
      <c r="N954" s="3">
        <v>80</v>
      </c>
      <c r="O954" s="3">
        <v>190</v>
      </c>
      <c r="P954" s="3">
        <v>35</v>
      </c>
      <c r="Q954">
        <f>SUM([1]!Table1[[#This Row],[Sales]])</f>
        <v>210</v>
      </c>
      <c r="R954">
        <f>SUM([1]!Table1[[#This Row],[Profit]])</f>
        <v>89</v>
      </c>
      <c r="S954" s="7">
        <f t="shared" si="112"/>
        <v>0.4238095238095238</v>
      </c>
      <c r="T954">
        <f t="shared" si="113"/>
        <v>24</v>
      </c>
      <c r="U954">
        <f t="shared" si="114"/>
        <v>20</v>
      </c>
      <c r="V954">
        <f t="shared" si="115"/>
        <v>6</v>
      </c>
      <c r="W954">
        <f t="shared" si="116"/>
        <v>3.7083333333333335</v>
      </c>
      <c r="X954" t="str">
        <f t="shared" si="117"/>
        <v>Low Profit</v>
      </c>
      <c r="Y954">
        <f t="shared" si="118"/>
        <v>86</v>
      </c>
      <c r="Z954">
        <f t="shared" si="119"/>
        <v>210</v>
      </c>
    </row>
    <row r="955" spans="1:26">
      <c r="A955" s="5">
        <v>415</v>
      </c>
      <c r="B955" s="5">
        <v>241</v>
      </c>
      <c r="C955" s="6">
        <v>41244</v>
      </c>
      <c r="D955" s="5" t="s">
        <v>16</v>
      </c>
      <c r="E955" s="5" t="s">
        <v>29</v>
      </c>
      <c r="F955" s="5">
        <v>74</v>
      </c>
      <c r="G955" s="5" t="s">
        <v>18</v>
      </c>
      <c r="H955" s="5" t="s">
        <v>19</v>
      </c>
      <c r="I955" s="5" t="s">
        <v>20</v>
      </c>
      <c r="J955" s="5">
        <v>188</v>
      </c>
      <c r="K955" s="5">
        <v>525</v>
      </c>
      <c r="L955" s="5" t="s">
        <v>31</v>
      </c>
      <c r="M955" s="5">
        <v>220</v>
      </c>
      <c r="N955" s="5">
        <v>170</v>
      </c>
      <c r="O955" s="5">
        <v>480</v>
      </c>
      <c r="P955" s="5">
        <v>96</v>
      </c>
      <c r="Q955">
        <f>SUM([1]!Table1[[#This Row],[Sales]])</f>
        <v>525</v>
      </c>
      <c r="R955">
        <f>SUM([1]!Table1[[#This Row],[Profit]])</f>
        <v>188</v>
      </c>
      <c r="S955" s="7">
        <f t="shared" si="112"/>
        <v>0.35809523809523808</v>
      </c>
      <c r="T955">
        <f t="shared" si="113"/>
        <v>74</v>
      </c>
      <c r="U955">
        <f t="shared" si="114"/>
        <v>45</v>
      </c>
      <c r="V955">
        <f t="shared" si="115"/>
        <v>21</v>
      </c>
      <c r="W955">
        <f t="shared" si="116"/>
        <v>2.5405405405405403</v>
      </c>
      <c r="X955" t="str">
        <f t="shared" si="117"/>
        <v>High Profit</v>
      </c>
      <c r="Y955">
        <f t="shared" si="118"/>
        <v>241</v>
      </c>
      <c r="Z955">
        <f t="shared" si="119"/>
        <v>525</v>
      </c>
    </row>
    <row r="956" spans="1:26">
      <c r="A956" s="3">
        <v>916</v>
      </c>
      <c r="B956" s="3">
        <v>123</v>
      </c>
      <c r="C956" s="4">
        <v>41244</v>
      </c>
      <c r="D956" s="3" t="s">
        <v>16</v>
      </c>
      <c r="E956" s="3" t="s">
        <v>29</v>
      </c>
      <c r="F956" s="3">
        <v>34</v>
      </c>
      <c r="G956" s="3" t="s">
        <v>18</v>
      </c>
      <c r="H956" s="3" t="s">
        <v>26</v>
      </c>
      <c r="I956" s="3" t="s">
        <v>27</v>
      </c>
      <c r="J956" s="3">
        <v>134</v>
      </c>
      <c r="K956" s="3">
        <v>302</v>
      </c>
      <c r="L956" s="3" t="s">
        <v>31</v>
      </c>
      <c r="M956" s="3">
        <v>90</v>
      </c>
      <c r="N956" s="3">
        <v>110</v>
      </c>
      <c r="O956" s="3">
        <v>220</v>
      </c>
      <c r="P956" s="3">
        <v>45</v>
      </c>
      <c r="Q956">
        <f>SUM([1]!Table1[[#This Row],[Sales]])</f>
        <v>302</v>
      </c>
      <c r="R956">
        <f>SUM([1]!Table1[[#This Row],[Profit]])</f>
        <v>134</v>
      </c>
      <c r="S956" s="7">
        <f t="shared" si="112"/>
        <v>0.44370860927152317</v>
      </c>
      <c r="T956">
        <f t="shared" si="113"/>
        <v>34</v>
      </c>
      <c r="U956">
        <f t="shared" si="114"/>
        <v>82</v>
      </c>
      <c r="V956">
        <f t="shared" si="115"/>
        <v>33</v>
      </c>
      <c r="W956">
        <f t="shared" si="116"/>
        <v>3.9411764705882355</v>
      </c>
      <c r="X956" t="str">
        <f t="shared" si="117"/>
        <v>High Profit</v>
      </c>
      <c r="Y956">
        <f t="shared" si="118"/>
        <v>123</v>
      </c>
      <c r="Z956">
        <f t="shared" si="119"/>
        <v>302</v>
      </c>
    </row>
    <row r="957" spans="1:26">
      <c r="A957" s="5">
        <v>435</v>
      </c>
      <c r="B957" s="5">
        <v>68</v>
      </c>
      <c r="C957" s="6">
        <v>41244</v>
      </c>
      <c r="D957" s="5" t="s">
        <v>32</v>
      </c>
      <c r="E957" s="5" t="s">
        <v>29</v>
      </c>
      <c r="F957" s="5">
        <v>25</v>
      </c>
      <c r="G957" s="5" t="s">
        <v>33</v>
      </c>
      <c r="H957" s="5" t="s">
        <v>38</v>
      </c>
      <c r="I957" s="5" t="s">
        <v>39</v>
      </c>
      <c r="J957" s="5">
        <v>26</v>
      </c>
      <c r="K957" s="5">
        <v>153</v>
      </c>
      <c r="L957" s="5" t="s">
        <v>42</v>
      </c>
      <c r="M957" s="5">
        <v>80</v>
      </c>
      <c r="N957" s="5">
        <v>50</v>
      </c>
      <c r="O957" s="5">
        <v>180</v>
      </c>
      <c r="P957" s="5">
        <v>59</v>
      </c>
      <c r="Q957">
        <f>SUM([1]!Table1[[#This Row],[Sales]])</f>
        <v>153</v>
      </c>
      <c r="R957">
        <f>SUM([1]!Table1[[#This Row],[Profit]])</f>
        <v>26</v>
      </c>
      <c r="S957" s="7">
        <f t="shared" si="112"/>
        <v>0.16993464052287582</v>
      </c>
      <c r="T957">
        <f t="shared" si="113"/>
        <v>25</v>
      </c>
      <c r="U957">
        <f t="shared" si="114"/>
        <v>-27</v>
      </c>
      <c r="V957">
        <f t="shared" si="115"/>
        <v>-12</v>
      </c>
      <c r="W957">
        <f t="shared" si="116"/>
        <v>1.04</v>
      </c>
      <c r="X957" t="str">
        <f t="shared" si="117"/>
        <v>Low Profit</v>
      </c>
      <c r="Y957">
        <f t="shared" si="118"/>
        <v>68</v>
      </c>
      <c r="Z957">
        <f t="shared" si="119"/>
        <v>153</v>
      </c>
    </row>
    <row r="958" spans="1:26">
      <c r="A958" s="3">
        <v>509</v>
      </c>
      <c r="B958" s="3">
        <v>105</v>
      </c>
      <c r="C958" s="4">
        <v>41244</v>
      </c>
      <c r="D958" s="3" t="s">
        <v>32</v>
      </c>
      <c r="E958" s="3" t="s">
        <v>29</v>
      </c>
      <c r="F958" s="3">
        <v>95</v>
      </c>
      <c r="G958" s="3" t="s">
        <v>33</v>
      </c>
      <c r="H958" s="3" t="s">
        <v>38</v>
      </c>
      <c r="I958" s="3" t="s">
        <v>39</v>
      </c>
      <c r="J958" s="3">
        <v>20</v>
      </c>
      <c r="K958" s="3">
        <v>250</v>
      </c>
      <c r="L958" s="3" t="s">
        <v>53</v>
      </c>
      <c r="M958" s="3">
        <v>120</v>
      </c>
      <c r="N958" s="3">
        <v>50</v>
      </c>
      <c r="O958" s="3">
        <v>290</v>
      </c>
      <c r="P958" s="3">
        <v>125</v>
      </c>
      <c r="Q958">
        <f>SUM([1]!Table1[[#This Row],[Sales]])</f>
        <v>250</v>
      </c>
      <c r="R958">
        <f>SUM([1]!Table1[[#This Row],[Profit]])</f>
        <v>20</v>
      </c>
      <c r="S958" s="7">
        <f t="shared" si="112"/>
        <v>0.08</v>
      </c>
      <c r="T958">
        <f t="shared" si="113"/>
        <v>95</v>
      </c>
      <c r="U958">
        <f t="shared" si="114"/>
        <v>-40</v>
      </c>
      <c r="V958">
        <f t="shared" si="115"/>
        <v>-15</v>
      </c>
      <c r="W958">
        <f t="shared" si="116"/>
        <v>0.21052631578947367</v>
      </c>
      <c r="X958" t="str">
        <f t="shared" si="117"/>
        <v>Low Profit</v>
      </c>
      <c r="Y958">
        <f t="shared" si="118"/>
        <v>105</v>
      </c>
      <c r="Z958">
        <f t="shared" si="119"/>
        <v>250</v>
      </c>
    </row>
    <row r="959" spans="1:26">
      <c r="A959" s="5">
        <v>971</v>
      </c>
      <c r="B959" s="5">
        <v>153</v>
      </c>
      <c r="C959" s="6">
        <v>41244</v>
      </c>
      <c r="D959" s="5" t="s">
        <v>32</v>
      </c>
      <c r="E959" s="5" t="s">
        <v>29</v>
      </c>
      <c r="F959" s="5">
        <v>42</v>
      </c>
      <c r="G959" s="5" t="s">
        <v>33</v>
      </c>
      <c r="H959" s="5" t="s">
        <v>34</v>
      </c>
      <c r="I959" s="5" t="s">
        <v>35</v>
      </c>
      <c r="J959" s="5">
        <v>87</v>
      </c>
      <c r="K959" s="5">
        <v>306</v>
      </c>
      <c r="L959" s="5" t="s">
        <v>49</v>
      </c>
      <c r="M959" s="5">
        <v>150</v>
      </c>
      <c r="N959" s="5">
        <v>80</v>
      </c>
      <c r="O959" s="5">
        <v>290</v>
      </c>
      <c r="P959" s="5">
        <v>66</v>
      </c>
      <c r="Q959">
        <f>SUM([1]!Table1[[#This Row],[Sales]])</f>
        <v>306</v>
      </c>
      <c r="R959">
        <f>SUM([1]!Table1[[#This Row],[Profit]])</f>
        <v>87</v>
      </c>
      <c r="S959" s="7">
        <f t="shared" si="112"/>
        <v>0.28431372549019607</v>
      </c>
      <c r="T959">
        <f t="shared" si="113"/>
        <v>42</v>
      </c>
      <c r="U959">
        <f t="shared" si="114"/>
        <v>16</v>
      </c>
      <c r="V959">
        <f t="shared" si="115"/>
        <v>3</v>
      </c>
      <c r="W959">
        <f t="shared" si="116"/>
        <v>2.0714285714285716</v>
      </c>
      <c r="X959" t="str">
        <f t="shared" si="117"/>
        <v>Low Profit</v>
      </c>
      <c r="Y959">
        <f t="shared" si="118"/>
        <v>153</v>
      </c>
      <c r="Z959">
        <f t="shared" si="119"/>
        <v>306</v>
      </c>
    </row>
    <row r="960" spans="1:26">
      <c r="A960" s="3">
        <v>253</v>
      </c>
      <c r="B960" s="3">
        <v>80</v>
      </c>
      <c r="C960" s="4">
        <v>41244</v>
      </c>
      <c r="D960" s="3" t="s">
        <v>32</v>
      </c>
      <c r="E960" s="3" t="s">
        <v>29</v>
      </c>
      <c r="F960" s="3">
        <v>24</v>
      </c>
      <c r="G960" s="3" t="s">
        <v>33</v>
      </c>
      <c r="H960" s="3" t="s">
        <v>34</v>
      </c>
      <c r="I960" s="3" t="s">
        <v>35</v>
      </c>
      <c r="J960" s="3">
        <v>51</v>
      </c>
      <c r="K960" s="3">
        <v>176</v>
      </c>
      <c r="L960" s="3" t="s">
        <v>53</v>
      </c>
      <c r="M960" s="3">
        <v>70</v>
      </c>
      <c r="N960" s="3">
        <v>60</v>
      </c>
      <c r="O960" s="3">
        <v>170</v>
      </c>
      <c r="P960" s="3">
        <v>45</v>
      </c>
      <c r="Q960">
        <f>SUM([1]!Table1[[#This Row],[Sales]])</f>
        <v>176</v>
      </c>
      <c r="R960">
        <f>SUM([1]!Table1[[#This Row],[Profit]])</f>
        <v>51</v>
      </c>
      <c r="S960" s="7">
        <f t="shared" si="112"/>
        <v>0.28977272727272729</v>
      </c>
      <c r="T960">
        <f t="shared" si="113"/>
        <v>24</v>
      </c>
      <c r="U960">
        <f t="shared" si="114"/>
        <v>6</v>
      </c>
      <c r="V960">
        <f t="shared" si="115"/>
        <v>10</v>
      </c>
      <c r="W960">
        <f t="shared" si="116"/>
        <v>2.125</v>
      </c>
      <c r="X960" t="str">
        <f t="shared" si="117"/>
        <v>Low Profit</v>
      </c>
      <c r="Y960">
        <f t="shared" si="118"/>
        <v>80</v>
      </c>
      <c r="Z960">
        <f t="shared" si="119"/>
        <v>176</v>
      </c>
    </row>
    <row r="961" spans="1:26">
      <c r="A961" s="5">
        <v>435</v>
      </c>
      <c r="B961" s="5">
        <v>63</v>
      </c>
      <c r="C961" s="6">
        <v>41244</v>
      </c>
      <c r="D961" s="5" t="s">
        <v>32</v>
      </c>
      <c r="E961" s="5" t="s">
        <v>29</v>
      </c>
      <c r="F961" s="5">
        <v>19</v>
      </c>
      <c r="G961" s="5" t="s">
        <v>33</v>
      </c>
      <c r="H961" s="5" t="s">
        <v>38</v>
      </c>
      <c r="I961" s="5" t="s">
        <v>43</v>
      </c>
      <c r="J961" s="5">
        <v>36</v>
      </c>
      <c r="K961" s="5">
        <v>139</v>
      </c>
      <c r="L961" s="5" t="s">
        <v>42</v>
      </c>
      <c r="M961" s="5">
        <v>70</v>
      </c>
      <c r="N961" s="5">
        <v>50</v>
      </c>
      <c r="O961" s="5">
        <v>160</v>
      </c>
      <c r="P961" s="5">
        <v>40</v>
      </c>
      <c r="Q961">
        <f>SUM([1]!Table1[[#This Row],[Sales]])</f>
        <v>139</v>
      </c>
      <c r="R961">
        <f>SUM([1]!Table1[[#This Row],[Profit]])</f>
        <v>36</v>
      </c>
      <c r="S961" s="7">
        <f t="shared" si="112"/>
        <v>0.25899280575539568</v>
      </c>
      <c r="T961">
        <f t="shared" si="113"/>
        <v>19</v>
      </c>
      <c r="U961">
        <f t="shared" si="114"/>
        <v>-21</v>
      </c>
      <c r="V961">
        <f t="shared" si="115"/>
        <v>-7</v>
      </c>
      <c r="W961">
        <f t="shared" si="116"/>
        <v>1.8947368421052631</v>
      </c>
      <c r="X961" t="str">
        <f t="shared" si="117"/>
        <v>Low Profit</v>
      </c>
      <c r="Y961">
        <f t="shared" si="118"/>
        <v>63</v>
      </c>
      <c r="Z961">
        <f t="shared" si="119"/>
        <v>139</v>
      </c>
    </row>
    <row r="962" spans="1:26">
      <c r="A962" s="3">
        <v>253</v>
      </c>
      <c r="B962" s="3">
        <v>72</v>
      </c>
      <c r="C962" s="4">
        <v>41244</v>
      </c>
      <c r="D962" s="3" t="s">
        <v>32</v>
      </c>
      <c r="E962" s="3" t="s">
        <v>29</v>
      </c>
      <c r="F962" s="3">
        <v>23</v>
      </c>
      <c r="G962" s="3" t="s">
        <v>33</v>
      </c>
      <c r="H962" s="3" t="s">
        <v>38</v>
      </c>
      <c r="I962" s="3" t="s">
        <v>45</v>
      </c>
      <c r="J962" s="3">
        <v>58</v>
      </c>
      <c r="K962" s="3">
        <v>176</v>
      </c>
      <c r="L962" s="3" t="s">
        <v>53</v>
      </c>
      <c r="M962" s="3">
        <v>80</v>
      </c>
      <c r="N962" s="3">
        <v>80</v>
      </c>
      <c r="O962" s="3">
        <v>200</v>
      </c>
      <c r="P962" s="3">
        <v>46</v>
      </c>
      <c r="Q962">
        <f>SUM([1]!Table1[[#This Row],[Sales]])</f>
        <v>176</v>
      </c>
      <c r="R962">
        <f>SUM([1]!Table1[[#This Row],[Profit]])</f>
        <v>58</v>
      </c>
      <c r="S962" s="7">
        <f t="shared" si="112"/>
        <v>0.32954545454545453</v>
      </c>
      <c r="T962">
        <f t="shared" si="113"/>
        <v>23</v>
      </c>
      <c r="U962">
        <f t="shared" si="114"/>
        <v>-24</v>
      </c>
      <c r="V962">
        <f t="shared" si="115"/>
        <v>-8</v>
      </c>
      <c r="W962">
        <f t="shared" si="116"/>
        <v>2.5217391304347827</v>
      </c>
      <c r="X962" t="str">
        <f t="shared" si="117"/>
        <v>Low Profit</v>
      </c>
      <c r="Y962">
        <f t="shared" si="118"/>
        <v>72</v>
      </c>
      <c r="Z962">
        <f t="shared" si="119"/>
        <v>176</v>
      </c>
    </row>
    <row r="963" spans="1:26">
      <c r="A963" s="5">
        <v>775</v>
      </c>
      <c r="B963" s="5">
        <v>16</v>
      </c>
      <c r="C963" s="6">
        <v>41244</v>
      </c>
      <c r="D963" s="5" t="s">
        <v>32</v>
      </c>
      <c r="E963" s="5" t="s">
        <v>29</v>
      </c>
      <c r="F963" s="5">
        <v>4</v>
      </c>
      <c r="G963" s="5" t="s">
        <v>33</v>
      </c>
      <c r="H963" s="5" t="s">
        <v>34</v>
      </c>
      <c r="I963" s="5" t="s">
        <v>46</v>
      </c>
      <c r="J963" s="5">
        <v>10</v>
      </c>
      <c r="K963" s="5">
        <v>41</v>
      </c>
      <c r="L963" s="5" t="s">
        <v>41</v>
      </c>
      <c r="M963" s="5">
        <v>10</v>
      </c>
      <c r="N963" s="5">
        <v>10</v>
      </c>
      <c r="O963" s="5">
        <v>30</v>
      </c>
      <c r="P963" s="5">
        <v>15</v>
      </c>
      <c r="Q963">
        <f>SUM([1]!Table1[[#This Row],[Sales]])</f>
        <v>41</v>
      </c>
      <c r="R963">
        <f>SUM([1]!Table1[[#This Row],[Profit]])</f>
        <v>10</v>
      </c>
      <c r="S963" s="7">
        <f t="shared" ref="S963:S1026" si="120">J963/K963</f>
        <v>0.24390243902439024</v>
      </c>
      <c r="T963">
        <f t="shared" ref="T963:T1026" si="121">SUM(F963)</f>
        <v>4</v>
      </c>
      <c r="U963">
        <f t="shared" ref="U963:U1026" si="122">K963-O963</f>
        <v>11</v>
      </c>
      <c r="V963">
        <f t="shared" ref="V963:V1026" si="123">B963-M963</f>
        <v>6</v>
      </c>
      <c r="W963">
        <f t="shared" ref="W963:W1026" si="124">J963/F963</f>
        <v>2.5</v>
      </c>
      <c r="X963" t="str">
        <f t="shared" ref="X963:X1026" si="125">IF(J963&gt;100,"High Profit","Low Profit")</f>
        <v>Low Profit</v>
      </c>
      <c r="Y963">
        <f t="shared" ref="Y963:Y1026" si="126">SUM(B963)</f>
        <v>16</v>
      </c>
      <c r="Z963">
        <f t="shared" ref="Z963:Z1026" si="127">SUM(K963)</f>
        <v>41</v>
      </c>
    </row>
    <row r="964" spans="1:26">
      <c r="A964" s="3">
        <v>435</v>
      </c>
      <c r="B964" s="3">
        <v>94</v>
      </c>
      <c r="C964" s="4">
        <v>41244</v>
      </c>
      <c r="D964" s="3" t="s">
        <v>32</v>
      </c>
      <c r="E964" s="3" t="s">
        <v>29</v>
      </c>
      <c r="F964" s="3">
        <v>31</v>
      </c>
      <c r="G964" s="3" t="s">
        <v>33</v>
      </c>
      <c r="H964" s="3" t="s">
        <v>34</v>
      </c>
      <c r="I964" s="3" t="s">
        <v>46</v>
      </c>
      <c r="J964" s="3">
        <v>77</v>
      </c>
      <c r="K964" s="3">
        <v>214</v>
      </c>
      <c r="L964" s="3" t="s">
        <v>42</v>
      </c>
      <c r="M964" s="3">
        <v>90</v>
      </c>
      <c r="N964" s="3">
        <v>70</v>
      </c>
      <c r="O964" s="3">
        <v>200</v>
      </c>
      <c r="P964" s="3">
        <v>43</v>
      </c>
      <c r="Q964">
        <f>SUM([1]!Table1[[#This Row],[Sales]])</f>
        <v>214</v>
      </c>
      <c r="R964">
        <f>SUM([1]!Table1[[#This Row],[Profit]])</f>
        <v>77</v>
      </c>
      <c r="S964" s="7">
        <f t="shared" si="120"/>
        <v>0.35981308411214952</v>
      </c>
      <c r="T964">
        <f t="shared" si="121"/>
        <v>31</v>
      </c>
      <c r="U964">
        <f t="shared" si="122"/>
        <v>14</v>
      </c>
      <c r="V964">
        <f t="shared" si="123"/>
        <v>4</v>
      </c>
      <c r="W964">
        <f t="shared" si="124"/>
        <v>2.4838709677419355</v>
      </c>
      <c r="X964" t="str">
        <f t="shared" si="125"/>
        <v>Low Profit</v>
      </c>
      <c r="Y964">
        <f t="shared" si="126"/>
        <v>94</v>
      </c>
      <c r="Z964">
        <f t="shared" si="127"/>
        <v>214</v>
      </c>
    </row>
    <row r="965" spans="1:26">
      <c r="A965" s="5">
        <v>702</v>
      </c>
      <c r="B965" s="5">
        <v>135</v>
      </c>
      <c r="C965" s="6">
        <v>41244</v>
      </c>
      <c r="D965" s="5" t="s">
        <v>32</v>
      </c>
      <c r="E965" s="5" t="s">
        <v>29</v>
      </c>
      <c r="F965" s="5">
        <v>122</v>
      </c>
      <c r="G965" s="5" t="s">
        <v>18</v>
      </c>
      <c r="H965" s="5" t="s">
        <v>19</v>
      </c>
      <c r="I965" s="5" t="s">
        <v>50</v>
      </c>
      <c r="J965" s="5">
        <v>32</v>
      </c>
      <c r="K965" s="5">
        <v>322</v>
      </c>
      <c r="L965" s="5" t="s">
        <v>41</v>
      </c>
      <c r="M965" s="5">
        <v>120</v>
      </c>
      <c r="N965" s="5">
        <v>30</v>
      </c>
      <c r="O965" s="5">
        <v>290</v>
      </c>
      <c r="P965" s="5">
        <v>155</v>
      </c>
      <c r="Q965">
        <f>SUM([1]!Table1[[#This Row],[Sales]])</f>
        <v>322</v>
      </c>
      <c r="R965">
        <f>SUM([1]!Table1[[#This Row],[Profit]])</f>
        <v>32</v>
      </c>
      <c r="S965" s="7">
        <f t="shared" si="120"/>
        <v>9.9378881987577633E-2</v>
      </c>
      <c r="T965">
        <f t="shared" si="121"/>
        <v>122</v>
      </c>
      <c r="U965">
        <f t="shared" si="122"/>
        <v>32</v>
      </c>
      <c r="V965">
        <f t="shared" si="123"/>
        <v>15</v>
      </c>
      <c r="W965">
        <f t="shared" si="124"/>
        <v>0.26229508196721313</v>
      </c>
      <c r="X965" t="str">
        <f t="shared" si="125"/>
        <v>Low Profit</v>
      </c>
      <c r="Y965">
        <f t="shared" si="126"/>
        <v>135</v>
      </c>
      <c r="Z965">
        <f t="shared" si="127"/>
        <v>322</v>
      </c>
    </row>
    <row r="966" spans="1:26">
      <c r="A966" s="3">
        <v>509</v>
      </c>
      <c r="B966" s="3">
        <v>115</v>
      </c>
      <c r="C966" s="4">
        <v>41244</v>
      </c>
      <c r="D966" s="3" t="s">
        <v>32</v>
      </c>
      <c r="E966" s="3" t="s">
        <v>29</v>
      </c>
      <c r="F966" s="3">
        <v>37</v>
      </c>
      <c r="G966" s="3" t="s">
        <v>18</v>
      </c>
      <c r="H966" s="3" t="s">
        <v>19</v>
      </c>
      <c r="I966" s="3" t="s">
        <v>50</v>
      </c>
      <c r="J966" s="3">
        <v>105</v>
      </c>
      <c r="K966" s="3">
        <v>289</v>
      </c>
      <c r="L966" s="3" t="s">
        <v>53</v>
      </c>
      <c r="M966" s="3">
        <v>100</v>
      </c>
      <c r="N966" s="3">
        <v>110</v>
      </c>
      <c r="O966" s="3">
        <v>260</v>
      </c>
      <c r="P966" s="3">
        <v>69</v>
      </c>
      <c r="Q966">
        <f>SUM([1]!Table1[[#This Row],[Sales]])</f>
        <v>289</v>
      </c>
      <c r="R966">
        <f>SUM([1]!Table1[[#This Row],[Profit]])</f>
        <v>105</v>
      </c>
      <c r="S966" s="7">
        <f t="shared" si="120"/>
        <v>0.36332179930795849</v>
      </c>
      <c r="T966">
        <f t="shared" si="121"/>
        <v>37</v>
      </c>
      <c r="U966">
        <f t="shared" si="122"/>
        <v>29</v>
      </c>
      <c r="V966">
        <f t="shared" si="123"/>
        <v>15</v>
      </c>
      <c r="W966">
        <f t="shared" si="124"/>
        <v>2.8378378378378377</v>
      </c>
      <c r="X966" t="str">
        <f t="shared" si="125"/>
        <v>High Profit</v>
      </c>
      <c r="Y966">
        <f t="shared" si="126"/>
        <v>115</v>
      </c>
      <c r="Z966">
        <f t="shared" si="127"/>
        <v>289</v>
      </c>
    </row>
    <row r="967" spans="1:26">
      <c r="A967" s="5">
        <v>775</v>
      </c>
      <c r="B967" s="5">
        <v>224</v>
      </c>
      <c r="C967" s="6">
        <v>41244</v>
      </c>
      <c r="D967" s="5" t="s">
        <v>32</v>
      </c>
      <c r="E967" s="5" t="s">
        <v>29</v>
      </c>
      <c r="F967" s="5">
        <v>73</v>
      </c>
      <c r="G967" s="5" t="s">
        <v>18</v>
      </c>
      <c r="H967" s="5" t="s">
        <v>19</v>
      </c>
      <c r="I967" s="5" t="s">
        <v>20</v>
      </c>
      <c r="J967" s="5">
        <v>194</v>
      </c>
      <c r="K967" s="5">
        <v>534</v>
      </c>
      <c r="L967" s="5" t="s">
        <v>41</v>
      </c>
      <c r="M967" s="5">
        <v>210</v>
      </c>
      <c r="N967" s="5">
        <v>170</v>
      </c>
      <c r="O967" s="5">
        <v>490</v>
      </c>
      <c r="P967" s="5">
        <v>116</v>
      </c>
      <c r="Q967">
        <f>SUM([1]!Table1[[#This Row],[Sales]])</f>
        <v>534</v>
      </c>
      <c r="R967">
        <f>SUM([1]!Table1[[#This Row],[Profit]])</f>
        <v>194</v>
      </c>
      <c r="S967" s="7">
        <f t="shared" si="120"/>
        <v>0.36329588014981273</v>
      </c>
      <c r="T967">
        <f t="shared" si="121"/>
        <v>73</v>
      </c>
      <c r="U967">
        <f t="shared" si="122"/>
        <v>44</v>
      </c>
      <c r="V967">
        <f t="shared" si="123"/>
        <v>14</v>
      </c>
      <c r="W967">
        <f t="shared" si="124"/>
        <v>2.6575342465753424</v>
      </c>
      <c r="X967" t="str">
        <f t="shared" si="125"/>
        <v>High Profit</v>
      </c>
      <c r="Y967">
        <f t="shared" si="126"/>
        <v>224</v>
      </c>
      <c r="Z967">
        <f t="shared" si="127"/>
        <v>534</v>
      </c>
    </row>
    <row r="968" spans="1:26">
      <c r="A968" s="3">
        <v>541</v>
      </c>
      <c r="B968" s="3">
        <v>81</v>
      </c>
      <c r="C968" s="4">
        <v>41244</v>
      </c>
      <c r="D968" s="3" t="s">
        <v>32</v>
      </c>
      <c r="E968" s="3" t="s">
        <v>29</v>
      </c>
      <c r="F968" s="3">
        <v>26</v>
      </c>
      <c r="G968" s="3" t="s">
        <v>18</v>
      </c>
      <c r="H968" s="3" t="s">
        <v>19</v>
      </c>
      <c r="I968" s="3" t="s">
        <v>20</v>
      </c>
      <c r="J968" s="3">
        <v>66</v>
      </c>
      <c r="K968" s="3">
        <v>185</v>
      </c>
      <c r="L968" s="3" t="s">
        <v>49</v>
      </c>
      <c r="M968" s="3">
        <v>70</v>
      </c>
      <c r="N968" s="3">
        <v>70</v>
      </c>
      <c r="O968" s="3">
        <v>170</v>
      </c>
      <c r="P968" s="3">
        <v>38</v>
      </c>
      <c r="Q968">
        <f>SUM([1]!Table1[[#This Row],[Sales]])</f>
        <v>185</v>
      </c>
      <c r="R968">
        <f>SUM([1]!Table1[[#This Row],[Profit]])</f>
        <v>66</v>
      </c>
      <c r="S968" s="7">
        <f t="shared" si="120"/>
        <v>0.35675675675675678</v>
      </c>
      <c r="T968">
        <f t="shared" si="121"/>
        <v>26</v>
      </c>
      <c r="U968">
        <f t="shared" si="122"/>
        <v>15</v>
      </c>
      <c r="V968">
        <f t="shared" si="123"/>
        <v>11</v>
      </c>
      <c r="W968">
        <f t="shared" si="124"/>
        <v>2.5384615384615383</v>
      </c>
      <c r="X968" t="str">
        <f t="shared" si="125"/>
        <v>Low Profit</v>
      </c>
      <c r="Y968">
        <f t="shared" si="126"/>
        <v>81</v>
      </c>
      <c r="Z968">
        <f t="shared" si="127"/>
        <v>185</v>
      </c>
    </row>
    <row r="969" spans="1:26">
      <c r="A969" s="5">
        <v>775</v>
      </c>
      <c r="B969" s="5">
        <v>127</v>
      </c>
      <c r="C969" s="6">
        <v>41244</v>
      </c>
      <c r="D969" s="5" t="s">
        <v>32</v>
      </c>
      <c r="E969" s="5" t="s">
        <v>29</v>
      </c>
      <c r="F969" s="5">
        <v>40</v>
      </c>
      <c r="G969" s="5" t="s">
        <v>18</v>
      </c>
      <c r="H969" s="5" t="s">
        <v>19</v>
      </c>
      <c r="I969" s="5" t="s">
        <v>22</v>
      </c>
      <c r="J969" s="5">
        <v>122</v>
      </c>
      <c r="K969" s="5">
        <v>312</v>
      </c>
      <c r="L969" s="5" t="s">
        <v>41</v>
      </c>
      <c r="M969" s="5">
        <v>120</v>
      </c>
      <c r="N969" s="5">
        <v>120</v>
      </c>
      <c r="O969" s="5">
        <v>290</v>
      </c>
      <c r="P969" s="5">
        <v>63</v>
      </c>
      <c r="Q969">
        <f>SUM([1]!Table1[[#This Row],[Sales]])</f>
        <v>312</v>
      </c>
      <c r="R969">
        <f>SUM([1]!Table1[[#This Row],[Profit]])</f>
        <v>122</v>
      </c>
      <c r="S969" s="7">
        <f t="shared" si="120"/>
        <v>0.39102564102564102</v>
      </c>
      <c r="T969">
        <f t="shared" si="121"/>
        <v>40</v>
      </c>
      <c r="U969">
        <f t="shared" si="122"/>
        <v>22</v>
      </c>
      <c r="V969">
        <f t="shared" si="123"/>
        <v>7</v>
      </c>
      <c r="W969">
        <f t="shared" si="124"/>
        <v>3.05</v>
      </c>
      <c r="X969" t="str">
        <f t="shared" si="125"/>
        <v>High Profit</v>
      </c>
      <c r="Y969">
        <f t="shared" si="126"/>
        <v>127</v>
      </c>
      <c r="Z969">
        <f t="shared" si="127"/>
        <v>312</v>
      </c>
    </row>
    <row r="970" spans="1:26">
      <c r="A970" s="3">
        <v>702</v>
      </c>
      <c r="B970" s="3">
        <v>247</v>
      </c>
      <c r="C970" s="4">
        <v>41244</v>
      </c>
      <c r="D970" s="3" t="s">
        <v>32</v>
      </c>
      <c r="E970" s="3" t="s">
        <v>29</v>
      </c>
      <c r="F970" s="3">
        <v>81</v>
      </c>
      <c r="G970" s="3" t="s">
        <v>18</v>
      </c>
      <c r="H970" s="3" t="s">
        <v>26</v>
      </c>
      <c r="I970" s="3" t="s">
        <v>27</v>
      </c>
      <c r="J970" s="3">
        <v>215</v>
      </c>
      <c r="K970" s="3">
        <v>576</v>
      </c>
      <c r="L970" s="3" t="s">
        <v>41</v>
      </c>
      <c r="M970" s="3">
        <v>180</v>
      </c>
      <c r="N970" s="3">
        <v>150</v>
      </c>
      <c r="O970" s="3">
        <v>420</v>
      </c>
      <c r="P970" s="3">
        <v>114</v>
      </c>
      <c r="Q970">
        <f>SUM([1]!Table1[[#This Row],[Sales]])</f>
        <v>576</v>
      </c>
      <c r="R970">
        <f>SUM([1]!Table1[[#This Row],[Profit]])</f>
        <v>215</v>
      </c>
      <c r="S970" s="7">
        <f t="shared" si="120"/>
        <v>0.3732638888888889</v>
      </c>
      <c r="T970">
        <f t="shared" si="121"/>
        <v>81</v>
      </c>
      <c r="U970">
        <f t="shared" si="122"/>
        <v>156</v>
      </c>
      <c r="V970">
        <f t="shared" si="123"/>
        <v>67</v>
      </c>
      <c r="W970">
        <f t="shared" si="124"/>
        <v>2.6543209876543208</v>
      </c>
      <c r="X970" t="str">
        <f t="shared" si="125"/>
        <v>High Profit</v>
      </c>
      <c r="Y970">
        <f t="shared" si="126"/>
        <v>247</v>
      </c>
      <c r="Z970">
        <f t="shared" si="127"/>
        <v>576</v>
      </c>
    </row>
    <row r="971" spans="1:26">
      <c r="A971" s="5">
        <v>702</v>
      </c>
      <c r="B971" s="5">
        <v>250</v>
      </c>
      <c r="C971" s="6">
        <v>41244</v>
      </c>
      <c r="D971" s="5" t="s">
        <v>32</v>
      </c>
      <c r="E971" s="5" t="s">
        <v>29</v>
      </c>
      <c r="F971" s="5">
        <v>70</v>
      </c>
      <c r="G971" s="5" t="s">
        <v>18</v>
      </c>
      <c r="H971" s="5" t="s">
        <v>26</v>
      </c>
      <c r="I971" s="5" t="s">
        <v>54</v>
      </c>
      <c r="J971" s="5">
        <v>157</v>
      </c>
      <c r="K971" s="5">
        <v>501</v>
      </c>
      <c r="L971" s="5" t="s">
        <v>41</v>
      </c>
      <c r="M971" s="5">
        <v>180</v>
      </c>
      <c r="N971" s="5">
        <v>100</v>
      </c>
      <c r="O971" s="5">
        <v>360</v>
      </c>
      <c r="P971" s="5">
        <v>94</v>
      </c>
      <c r="Q971">
        <f>SUM([1]!Table1[[#This Row],[Sales]])</f>
        <v>501</v>
      </c>
      <c r="R971">
        <f>SUM([1]!Table1[[#This Row],[Profit]])</f>
        <v>157</v>
      </c>
      <c r="S971" s="7">
        <f t="shared" si="120"/>
        <v>0.31337325349301398</v>
      </c>
      <c r="T971">
        <f t="shared" si="121"/>
        <v>70</v>
      </c>
      <c r="U971">
        <f t="shared" si="122"/>
        <v>141</v>
      </c>
      <c r="V971">
        <f t="shared" si="123"/>
        <v>70</v>
      </c>
      <c r="W971">
        <f t="shared" si="124"/>
        <v>2.2428571428571429</v>
      </c>
      <c r="X971" t="str">
        <f t="shared" si="125"/>
        <v>High Profit</v>
      </c>
      <c r="Y971">
        <f t="shared" si="126"/>
        <v>250</v>
      </c>
      <c r="Z971">
        <f t="shared" si="127"/>
        <v>501</v>
      </c>
    </row>
    <row r="972" spans="1:26">
      <c r="A972" s="3">
        <v>971</v>
      </c>
      <c r="B972" s="3">
        <v>88</v>
      </c>
      <c r="C972" s="4">
        <v>41244</v>
      </c>
      <c r="D972" s="3" t="s">
        <v>32</v>
      </c>
      <c r="E972" s="3" t="s">
        <v>29</v>
      </c>
      <c r="F972" s="3">
        <v>29</v>
      </c>
      <c r="G972" s="3" t="s">
        <v>18</v>
      </c>
      <c r="H972" s="3" t="s">
        <v>26</v>
      </c>
      <c r="I972" s="3" t="s">
        <v>54</v>
      </c>
      <c r="J972" s="3">
        <v>73</v>
      </c>
      <c r="K972" s="3">
        <v>221</v>
      </c>
      <c r="L972" s="3" t="s">
        <v>49</v>
      </c>
      <c r="M972" s="3">
        <v>60</v>
      </c>
      <c r="N972" s="3">
        <v>60</v>
      </c>
      <c r="O972" s="3">
        <v>160</v>
      </c>
      <c r="P972" s="3">
        <v>60</v>
      </c>
      <c r="Q972">
        <f>SUM([1]!Table1[[#This Row],[Sales]])</f>
        <v>221</v>
      </c>
      <c r="R972">
        <f>SUM([1]!Table1[[#This Row],[Profit]])</f>
        <v>73</v>
      </c>
      <c r="S972" s="7">
        <f t="shared" si="120"/>
        <v>0.33031674208144796</v>
      </c>
      <c r="T972">
        <f t="shared" si="121"/>
        <v>29</v>
      </c>
      <c r="U972">
        <f t="shared" si="122"/>
        <v>61</v>
      </c>
      <c r="V972">
        <f t="shared" si="123"/>
        <v>28</v>
      </c>
      <c r="W972">
        <f t="shared" si="124"/>
        <v>2.5172413793103448</v>
      </c>
      <c r="X972" t="str">
        <f t="shared" si="125"/>
        <v>Low Profit</v>
      </c>
      <c r="Y972">
        <f t="shared" si="126"/>
        <v>88</v>
      </c>
      <c r="Z972">
        <f t="shared" si="127"/>
        <v>221</v>
      </c>
    </row>
    <row r="973" spans="1:26">
      <c r="A973" s="5">
        <v>775</v>
      </c>
      <c r="B973" s="5">
        <v>294</v>
      </c>
      <c r="C973" s="6">
        <v>41244</v>
      </c>
      <c r="D973" s="5" t="s">
        <v>32</v>
      </c>
      <c r="E973" s="5" t="s">
        <v>29</v>
      </c>
      <c r="F973" s="5">
        <v>111</v>
      </c>
      <c r="G973" s="5" t="s">
        <v>18</v>
      </c>
      <c r="H973" s="5" t="s">
        <v>26</v>
      </c>
      <c r="I973" s="5" t="s">
        <v>30</v>
      </c>
      <c r="J973" s="5">
        <v>-408</v>
      </c>
      <c r="K973" s="5">
        <v>31</v>
      </c>
      <c r="L973" s="5" t="s">
        <v>41</v>
      </c>
      <c r="M973" s="5">
        <v>210</v>
      </c>
      <c r="N973" s="5">
        <v>-320</v>
      </c>
      <c r="O973" s="5">
        <v>0</v>
      </c>
      <c r="P973" s="5">
        <v>145</v>
      </c>
      <c r="Q973">
        <f>SUM([1]!Table1[[#This Row],[Sales]])</f>
        <v>31</v>
      </c>
      <c r="R973">
        <f>SUM([1]!Table1[[#This Row],[Profit]])</f>
        <v>-408</v>
      </c>
      <c r="S973" s="7">
        <f t="shared" si="120"/>
        <v>-13.161290322580646</v>
      </c>
      <c r="T973">
        <f t="shared" si="121"/>
        <v>111</v>
      </c>
      <c r="U973">
        <f t="shared" si="122"/>
        <v>31</v>
      </c>
      <c r="V973">
        <f t="shared" si="123"/>
        <v>84</v>
      </c>
      <c r="W973">
        <f t="shared" si="124"/>
        <v>-3.6756756756756759</v>
      </c>
      <c r="X973" t="str">
        <f t="shared" si="125"/>
        <v>Low Profit</v>
      </c>
      <c r="Y973">
        <f t="shared" si="126"/>
        <v>294</v>
      </c>
      <c r="Z973">
        <f t="shared" si="127"/>
        <v>31</v>
      </c>
    </row>
    <row r="974" spans="1:26">
      <c r="A974" s="3">
        <v>503</v>
      </c>
      <c r="B974" s="3">
        <v>134</v>
      </c>
      <c r="C974" s="4">
        <v>41244</v>
      </c>
      <c r="D974" s="3" t="s">
        <v>32</v>
      </c>
      <c r="E974" s="3" t="s">
        <v>29</v>
      </c>
      <c r="F974" s="3">
        <v>41</v>
      </c>
      <c r="G974" s="3" t="s">
        <v>18</v>
      </c>
      <c r="H974" s="3" t="s">
        <v>26</v>
      </c>
      <c r="I974" s="3" t="s">
        <v>30</v>
      </c>
      <c r="J974" s="3">
        <v>121</v>
      </c>
      <c r="K974" s="3">
        <v>320</v>
      </c>
      <c r="L974" s="3" t="s">
        <v>49</v>
      </c>
      <c r="M974" s="3">
        <v>90</v>
      </c>
      <c r="N974" s="3">
        <v>100</v>
      </c>
      <c r="O974" s="3">
        <v>230</v>
      </c>
      <c r="P974" s="3">
        <v>65</v>
      </c>
      <c r="Q974">
        <f>SUM([1]!Table1[[#This Row],[Sales]])</f>
        <v>320</v>
      </c>
      <c r="R974">
        <f>SUM([1]!Table1[[#This Row],[Profit]])</f>
        <v>121</v>
      </c>
      <c r="S974" s="7">
        <f t="shared" si="120"/>
        <v>0.37812499999999999</v>
      </c>
      <c r="T974">
        <f t="shared" si="121"/>
        <v>41</v>
      </c>
      <c r="U974">
        <f t="shared" si="122"/>
        <v>90</v>
      </c>
      <c r="V974">
        <f t="shared" si="123"/>
        <v>44</v>
      </c>
      <c r="W974">
        <f t="shared" si="124"/>
        <v>2.9512195121951219</v>
      </c>
      <c r="X974" t="str">
        <f t="shared" si="125"/>
        <v>High Profit</v>
      </c>
      <c r="Y974">
        <f t="shared" si="126"/>
        <v>134</v>
      </c>
      <c r="Z974">
        <f t="shared" si="127"/>
        <v>320</v>
      </c>
    </row>
    <row r="975" spans="1:26">
      <c r="A975" s="5">
        <v>435</v>
      </c>
      <c r="B975" s="5">
        <v>20</v>
      </c>
      <c r="C975" s="6">
        <v>41244</v>
      </c>
      <c r="D975" s="5" t="s">
        <v>32</v>
      </c>
      <c r="E975" s="5" t="s">
        <v>29</v>
      </c>
      <c r="F975" s="5">
        <v>7</v>
      </c>
      <c r="G975" s="5" t="s">
        <v>18</v>
      </c>
      <c r="H975" s="5" t="s">
        <v>26</v>
      </c>
      <c r="I975" s="5" t="s">
        <v>30</v>
      </c>
      <c r="J975" s="5">
        <v>-15</v>
      </c>
      <c r="K975" s="5">
        <v>45</v>
      </c>
      <c r="L975" s="5" t="s">
        <v>42</v>
      </c>
      <c r="M975" s="5">
        <v>10</v>
      </c>
      <c r="N975" s="5">
        <v>0</v>
      </c>
      <c r="O975" s="5">
        <v>30</v>
      </c>
      <c r="P975" s="5">
        <v>40</v>
      </c>
      <c r="Q975">
        <f>SUM([1]!Table1[[#This Row],[Sales]])</f>
        <v>45</v>
      </c>
      <c r="R975">
        <f>SUM([1]!Table1[[#This Row],[Profit]])</f>
        <v>-15</v>
      </c>
      <c r="S975" s="7">
        <f t="shared" si="120"/>
        <v>-0.33333333333333331</v>
      </c>
      <c r="T975">
        <f t="shared" si="121"/>
        <v>7</v>
      </c>
      <c r="U975">
        <f t="shared" si="122"/>
        <v>15</v>
      </c>
      <c r="V975">
        <f t="shared" si="123"/>
        <v>10</v>
      </c>
      <c r="W975">
        <f t="shared" si="124"/>
        <v>-2.1428571428571428</v>
      </c>
      <c r="X975" t="str">
        <f t="shared" si="125"/>
        <v>Low Profit</v>
      </c>
      <c r="Y975">
        <f t="shared" si="126"/>
        <v>20</v>
      </c>
      <c r="Z975">
        <f t="shared" si="127"/>
        <v>45</v>
      </c>
    </row>
    <row r="976" spans="1:26">
      <c r="A976" s="3">
        <v>650</v>
      </c>
      <c r="B976" s="3">
        <v>154</v>
      </c>
      <c r="C976" s="4">
        <v>41548</v>
      </c>
      <c r="D976" s="3" t="s">
        <v>16</v>
      </c>
      <c r="E976" s="3" t="s">
        <v>29</v>
      </c>
      <c r="F976" s="3">
        <v>50</v>
      </c>
      <c r="G976" s="3" t="s">
        <v>33</v>
      </c>
      <c r="H976" s="3" t="s">
        <v>38</v>
      </c>
      <c r="I976" s="3" t="s">
        <v>39</v>
      </c>
      <c r="J976" s="3">
        <v>-174</v>
      </c>
      <c r="K976" s="3">
        <v>139</v>
      </c>
      <c r="L976" s="3" t="s">
        <v>31</v>
      </c>
      <c r="M976" s="3">
        <v>220</v>
      </c>
      <c r="N976" s="3">
        <v>-100</v>
      </c>
      <c r="O976" s="3">
        <v>190</v>
      </c>
      <c r="P976" s="3">
        <v>93</v>
      </c>
      <c r="Q976">
        <f>SUM([1]!Table1[[#This Row],[Sales]])</f>
        <v>139</v>
      </c>
      <c r="R976">
        <f>SUM([1]!Table1[[#This Row],[Profit]])</f>
        <v>-174</v>
      </c>
      <c r="S976" s="7">
        <f t="shared" si="120"/>
        <v>-1.2517985611510791</v>
      </c>
      <c r="T976">
        <f t="shared" si="121"/>
        <v>50</v>
      </c>
      <c r="U976">
        <f t="shared" si="122"/>
        <v>-51</v>
      </c>
      <c r="V976">
        <f t="shared" si="123"/>
        <v>-66</v>
      </c>
      <c r="W976">
        <f t="shared" si="124"/>
        <v>-3.48</v>
      </c>
      <c r="X976" t="str">
        <f t="shared" si="125"/>
        <v>Low Profit</v>
      </c>
      <c r="Y976">
        <f t="shared" si="126"/>
        <v>154</v>
      </c>
      <c r="Z976">
        <f t="shared" si="127"/>
        <v>139</v>
      </c>
    </row>
    <row r="977" spans="1:26">
      <c r="A977" s="5">
        <v>415</v>
      </c>
      <c r="B977" s="5">
        <v>257</v>
      </c>
      <c r="C977" s="6">
        <v>41548</v>
      </c>
      <c r="D977" s="5" t="s">
        <v>16</v>
      </c>
      <c r="E977" s="5" t="s">
        <v>29</v>
      </c>
      <c r="F977" s="5">
        <v>84</v>
      </c>
      <c r="G977" s="5" t="s">
        <v>33</v>
      </c>
      <c r="H977" s="5" t="s">
        <v>34</v>
      </c>
      <c r="I977" s="5" t="s">
        <v>35</v>
      </c>
      <c r="J977" s="5">
        <v>334</v>
      </c>
      <c r="K977" s="5">
        <v>637</v>
      </c>
      <c r="L977" s="5" t="s">
        <v>31</v>
      </c>
      <c r="M977" s="5">
        <v>230</v>
      </c>
      <c r="N977" s="5">
        <v>240</v>
      </c>
      <c r="O977" s="5">
        <v>550</v>
      </c>
      <c r="P977" s="5">
        <v>116</v>
      </c>
      <c r="Q977">
        <f>SUM([1]!Table1[[#This Row],[Sales]])</f>
        <v>637</v>
      </c>
      <c r="R977">
        <f>SUM([1]!Table1[[#This Row],[Profit]])</f>
        <v>334</v>
      </c>
      <c r="S977" s="7">
        <f t="shared" si="120"/>
        <v>0.52433281004709575</v>
      </c>
      <c r="T977">
        <f t="shared" si="121"/>
        <v>84</v>
      </c>
      <c r="U977">
        <f t="shared" si="122"/>
        <v>87</v>
      </c>
      <c r="V977">
        <f t="shared" si="123"/>
        <v>27</v>
      </c>
      <c r="W977">
        <f t="shared" si="124"/>
        <v>3.9761904761904763</v>
      </c>
      <c r="X977" t="str">
        <f t="shared" si="125"/>
        <v>High Profit</v>
      </c>
      <c r="Y977">
        <f t="shared" si="126"/>
        <v>257</v>
      </c>
      <c r="Z977">
        <f t="shared" si="127"/>
        <v>637</v>
      </c>
    </row>
    <row r="978" spans="1:26">
      <c r="A978" s="3">
        <v>909</v>
      </c>
      <c r="B978" s="3">
        <v>122</v>
      </c>
      <c r="C978" s="4">
        <v>41548</v>
      </c>
      <c r="D978" s="3" t="s">
        <v>16</v>
      </c>
      <c r="E978" s="3" t="s">
        <v>29</v>
      </c>
      <c r="F978" s="3">
        <v>39</v>
      </c>
      <c r="G978" s="3" t="s">
        <v>33</v>
      </c>
      <c r="H978" s="3" t="s">
        <v>38</v>
      </c>
      <c r="I978" s="3" t="s">
        <v>43</v>
      </c>
      <c r="J978" s="3">
        <v>-110</v>
      </c>
      <c r="K978" s="3">
        <v>116</v>
      </c>
      <c r="L978" s="3" t="s">
        <v>31</v>
      </c>
      <c r="M978" s="3">
        <v>170</v>
      </c>
      <c r="N978" s="3">
        <v>-60</v>
      </c>
      <c r="O978" s="3">
        <v>150</v>
      </c>
      <c r="P978" s="3">
        <v>61</v>
      </c>
      <c r="Q978">
        <f>SUM([1]!Table1[[#This Row],[Sales]])</f>
        <v>116</v>
      </c>
      <c r="R978">
        <f>SUM([1]!Table1[[#This Row],[Profit]])</f>
        <v>-110</v>
      </c>
      <c r="S978" s="7">
        <f t="shared" si="120"/>
        <v>-0.94827586206896552</v>
      </c>
      <c r="T978">
        <f t="shared" si="121"/>
        <v>39</v>
      </c>
      <c r="U978">
        <f t="shared" si="122"/>
        <v>-34</v>
      </c>
      <c r="V978">
        <f t="shared" si="123"/>
        <v>-48</v>
      </c>
      <c r="W978">
        <f t="shared" si="124"/>
        <v>-2.8205128205128207</v>
      </c>
      <c r="X978" t="str">
        <f t="shared" si="125"/>
        <v>Low Profit</v>
      </c>
      <c r="Y978">
        <f t="shared" si="126"/>
        <v>122</v>
      </c>
      <c r="Z978">
        <f t="shared" si="127"/>
        <v>116</v>
      </c>
    </row>
    <row r="979" spans="1:26">
      <c r="A979" s="5">
        <v>818</v>
      </c>
      <c r="B979" s="5">
        <v>260</v>
      </c>
      <c r="C979" s="6">
        <v>41548</v>
      </c>
      <c r="D979" s="5" t="s">
        <v>16</v>
      </c>
      <c r="E979" s="5" t="s">
        <v>29</v>
      </c>
      <c r="F979" s="5">
        <v>91</v>
      </c>
      <c r="G979" s="5" t="s">
        <v>33</v>
      </c>
      <c r="H979" s="5" t="s">
        <v>38</v>
      </c>
      <c r="I979" s="5" t="s">
        <v>45</v>
      </c>
      <c r="J979" s="5">
        <v>367</v>
      </c>
      <c r="K979" s="5">
        <v>693</v>
      </c>
      <c r="L979" s="5" t="s">
        <v>31</v>
      </c>
      <c r="M979" s="5">
        <v>380</v>
      </c>
      <c r="N979" s="5">
        <v>470</v>
      </c>
      <c r="O979" s="5">
        <v>960</v>
      </c>
      <c r="P979" s="5">
        <v>143</v>
      </c>
      <c r="Q979">
        <f>SUM([1]!Table1[[#This Row],[Sales]])</f>
        <v>693</v>
      </c>
      <c r="R979">
        <f>SUM([1]!Table1[[#This Row],[Profit]])</f>
        <v>367</v>
      </c>
      <c r="S979" s="7">
        <f t="shared" si="120"/>
        <v>0.5295815295815296</v>
      </c>
      <c r="T979">
        <f t="shared" si="121"/>
        <v>91</v>
      </c>
      <c r="U979">
        <f t="shared" si="122"/>
        <v>-267</v>
      </c>
      <c r="V979">
        <f t="shared" si="123"/>
        <v>-120</v>
      </c>
      <c r="W979">
        <f t="shared" si="124"/>
        <v>4.0329670329670328</v>
      </c>
      <c r="X979" t="str">
        <f t="shared" si="125"/>
        <v>High Profit</v>
      </c>
      <c r="Y979">
        <f t="shared" si="126"/>
        <v>260</v>
      </c>
      <c r="Z979">
        <f t="shared" si="127"/>
        <v>693</v>
      </c>
    </row>
    <row r="980" spans="1:26">
      <c r="A980" s="3">
        <v>714</v>
      </c>
      <c r="B980" s="3">
        <v>239</v>
      </c>
      <c r="C980" s="4">
        <v>41548</v>
      </c>
      <c r="D980" s="3" t="s">
        <v>16</v>
      </c>
      <c r="E980" s="3" t="s">
        <v>29</v>
      </c>
      <c r="F980" s="3">
        <v>66</v>
      </c>
      <c r="G980" s="3" t="s">
        <v>33</v>
      </c>
      <c r="H980" s="3" t="s">
        <v>34</v>
      </c>
      <c r="I980" s="3" t="s">
        <v>47</v>
      </c>
      <c r="J980" s="3">
        <v>221</v>
      </c>
      <c r="K980" s="3">
        <v>509</v>
      </c>
      <c r="L980" s="3" t="s">
        <v>31</v>
      </c>
      <c r="M980" s="3">
        <v>210</v>
      </c>
      <c r="N980" s="3">
        <v>160</v>
      </c>
      <c r="O980" s="3">
        <v>430</v>
      </c>
      <c r="P980" s="3">
        <v>90</v>
      </c>
      <c r="Q980">
        <f>SUM([1]!Table1[[#This Row],[Sales]])</f>
        <v>509</v>
      </c>
      <c r="R980">
        <f>SUM([1]!Table1[[#This Row],[Profit]])</f>
        <v>221</v>
      </c>
      <c r="S980" s="7">
        <f t="shared" si="120"/>
        <v>0.43418467583497056</v>
      </c>
      <c r="T980">
        <f t="shared" si="121"/>
        <v>66</v>
      </c>
      <c r="U980">
        <f t="shared" si="122"/>
        <v>79</v>
      </c>
      <c r="V980">
        <f t="shared" si="123"/>
        <v>29</v>
      </c>
      <c r="W980">
        <f t="shared" si="124"/>
        <v>3.3484848484848486</v>
      </c>
      <c r="X980" t="str">
        <f t="shared" si="125"/>
        <v>High Profit</v>
      </c>
      <c r="Y980">
        <f t="shared" si="126"/>
        <v>239</v>
      </c>
      <c r="Z980">
        <f t="shared" si="127"/>
        <v>509</v>
      </c>
    </row>
    <row r="981" spans="1:26">
      <c r="A981" s="5">
        <v>805</v>
      </c>
      <c r="B981" s="5">
        <v>125</v>
      </c>
      <c r="C981" s="6">
        <v>41548</v>
      </c>
      <c r="D981" s="5" t="s">
        <v>16</v>
      </c>
      <c r="E981" s="5" t="s">
        <v>29</v>
      </c>
      <c r="F981" s="5">
        <v>113</v>
      </c>
      <c r="G981" s="5" t="s">
        <v>33</v>
      </c>
      <c r="H981" s="5" t="s">
        <v>34</v>
      </c>
      <c r="I981" s="5" t="s">
        <v>46</v>
      </c>
      <c r="J981" s="5">
        <v>40</v>
      </c>
      <c r="K981" s="5">
        <v>318</v>
      </c>
      <c r="L981" s="5" t="s">
        <v>31</v>
      </c>
      <c r="M981" s="5">
        <v>110</v>
      </c>
      <c r="N981" s="5">
        <v>50</v>
      </c>
      <c r="O981" s="5">
        <v>270</v>
      </c>
      <c r="P981" s="5">
        <v>146</v>
      </c>
      <c r="Q981">
        <f>SUM([1]!Table1[[#This Row],[Sales]])</f>
        <v>318</v>
      </c>
      <c r="R981">
        <f>SUM([1]!Table1[[#This Row],[Profit]])</f>
        <v>40</v>
      </c>
      <c r="S981" s="7">
        <f t="shared" si="120"/>
        <v>0.12578616352201258</v>
      </c>
      <c r="T981">
        <f t="shared" si="121"/>
        <v>113</v>
      </c>
      <c r="U981">
        <f t="shared" si="122"/>
        <v>48</v>
      </c>
      <c r="V981">
        <f t="shared" si="123"/>
        <v>15</v>
      </c>
      <c r="W981">
        <f t="shared" si="124"/>
        <v>0.35398230088495575</v>
      </c>
      <c r="X981" t="str">
        <f t="shared" si="125"/>
        <v>Low Profit</v>
      </c>
      <c r="Y981">
        <f t="shared" si="126"/>
        <v>125</v>
      </c>
      <c r="Z981">
        <f t="shared" si="127"/>
        <v>318</v>
      </c>
    </row>
    <row r="982" spans="1:26">
      <c r="A982" s="3">
        <v>925</v>
      </c>
      <c r="B982" s="3">
        <v>108</v>
      </c>
      <c r="C982" s="4">
        <v>41548</v>
      </c>
      <c r="D982" s="3" t="s">
        <v>16</v>
      </c>
      <c r="E982" s="3" t="s">
        <v>29</v>
      </c>
      <c r="F982" s="3">
        <v>30</v>
      </c>
      <c r="G982" s="3" t="s">
        <v>18</v>
      </c>
      <c r="H982" s="3" t="s">
        <v>19</v>
      </c>
      <c r="I982" s="3" t="s">
        <v>50</v>
      </c>
      <c r="J982" s="3">
        <v>171</v>
      </c>
      <c r="K982" s="3">
        <v>282</v>
      </c>
      <c r="L982" s="3" t="s">
        <v>31</v>
      </c>
      <c r="M982" s="3">
        <v>80</v>
      </c>
      <c r="N982" s="3">
        <v>120</v>
      </c>
      <c r="O982" s="3">
        <v>210</v>
      </c>
      <c r="P982" s="3">
        <v>42</v>
      </c>
      <c r="Q982">
        <f>SUM([1]!Table1[[#This Row],[Sales]])</f>
        <v>282</v>
      </c>
      <c r="R982">
        <f>SUM([1]!Table1[[#This Row],[Profit]])</f>
        <v>171</v>
      </c>
      <c r="S982" s="7">
        <f t="shared" si="120"/>
        <v>0.6063829787234043</v>
      </c>
      <c r="T982">
        <f t="shared" si="121"/>
        <v>30</v>
      </c>
      <c r="U982">
        <f t="shared" si="122"/>
        <v>72</v>
      </c>
      <c r="V982">
        <f t="shared" si="123"/>
        <v>28</v>
      </c>
      <c r="W982">
        <f t="shared" si="124"/>
        <v>5.7</v>
      </c>
      <c r="X982" t="str">
        <f t="shared" si="125"/>
        <v>High Profit</v>
      </c>
      <c r="Y982">
        <f t="shared" si="126"/>
        <v>108</v>
      </c>
      <c r="Z982">
        <f t="shared" si="127"/>
        <v>282</v>
      </c>
    </row>
    <row r="983" spans="1:26">
      <c r="A983" s="5">
        <v>951</v>
      </c>
      <c r="B983" s="5">
        <v>239</v>
      </c>
      <c r="C983" s="6">
        <v>41548</v>
      </c>
      <c r="D983" s="5" t="s">
        <v>16</v>
      </c>
      <c r="E983" s="5" t="s">
        <v>29</v>
      </c>
      <c r="F983" s="5">
        <v>74</v>
      </c>
      <c r="G983" s="5" t="s">
        <v>18</v>
      </c>
      <c r="H983" s="5" t="s">
        <v>19</v>
      </c>
      <c r="I983" s="5" t="s">
        <v>20</v>
      </c>
      <c r="J983" s="5">
        <v>276</v>
      </c>
      <c r="K983" s="5">
        <v>554</v>
      </c>
      <c r="L983" s="5" t="s">
        <v>31</v>
      </c>
      <c r="M983" s="5">
        <v>190</v>
      </c>
      <c r="N983" s="5">
        <v>170</v>
      </c>
      <c r="O983" s="5">
        <v>410</v>
      </c>
      <c r="P983" s="5">
        <v>95</v>
      </c>
      <c r="Q983">
        <f>SUM([1]!Table1[[#This Row],[Sales]])</f>
        <v>554</v>
      </c>
      <c r="R983">
        <f>SUM([1]!Table1[[#This Row],[Profit]])</f>
        <v>276</v>
      </c>
      <c r="S983" s="7">
        <f t="shared" si="120"/>
        <v>0.49819494584837543</v>
      </c>
      <c r="T983">
        <f t="shared" si="121"/>
        <v>74</v>
      </c>
      <c r="U983">
        <f t="shared" si="122"/>
        <v>144</v>
      </c>
      <c r="V983">
        <f t="shared" si="123"/>
        <v>49</v>
      </c>
      <c r="W983">
        <f t="shared" si="124"/>
        <v>3.7297297297297298</v>
      </c>
      <c r="X983" t="str">
        <f t="shared" si="125"/>
        <v>High Profit</v>
      </c>
      <c r="Y983">
        <f t="shared" si="126"/>
        <v>239</v>
      </c>
      <c r="Z983">
        <f t="shared" si="127"/>
        <v>554</v>
      </c>
    </row>
    <row r="984" spans="1:26">
      <c r="A984" s="3">
        <v>831</v>
      </c>
      <c r="B984" s="3">
        <v>123</v>
      </c>
      <c r="C984" s="4">
        <v>41548</v>
      </c>
      <c r="D984" s="3" t="s">
        <v>16</v>
      </c>
      <c r="E984" s="3" t="s">
        <v>29</v>
      </c>
      <c r="F984" s="3">
        <v>34</v>
      </c>
      <c r="G984" s="3" t="s">
        <v>18</v>
      </c>
      <c r="H984" s="3" t="s">
        <v>26</v>
      </c>
      <c r="I984" s="3" t="s">
        <v>27</v>
      </c>
      <c r="J984" s="3">
        <v>199</v>
      </c>
      <c r="K984" s="3">
        <v>322</v>
      </c>
      <c r="L984" s="3" t="s">
        <v>31</v>
      </c>
      <c r="M984" s="3">
        <v>50</v>
      </c>
      <c r="N984" s="3">
        <v>80</v>
      </c>
      <c r="O984" s="3">
        <v>140</v>
      </c>
      <c r="P984" s="3">
        <v>45</v>
      </c>
      <c r="Q984">
        <f>SUM([1]!Table1[[#This Row],[Sales]])</f>
        <v>322</v>
      </c>
      <c r="R984">
        <f>SUM([1]!Table1[[#This Row],[Profit]])</f>
        <v>199</v>
      </c>
      <c r="S984" s="7">
        <f t="shared" si="120"/>
        <v>0.61801242236024845</v>
      </c>
      <c r="T984">
        <f t="shared" si="121"/>
        <v>34</v>
      </c>
      <c r="U984">
        <f t="shared" si="122"/>
        <v>182</v>
      </c>
      <c r="V984">
        <f t="shared" si="123"/>
        <v>73</v>
      </c>
      <c r="W984">
        <f t="shared" si="124"/>
        <v>5.8529411764705879</v>
      </c>
      <c r="X984" t="str">
        <f t="shared" si="125"/>
        <v>High Profit</v>
      </c>
      <c r="Y984">
        <f t="shared" si="126"/>
        <v>123</v>
      </c>
      <c r="Z984">
        <f t="shared" si="127"/>
        <v>322</v>
      </c>
    </row>
    <row r="985" spans="1:26">
      <c r="A985" s="5">
        <v>971</v>
      </c>
      <c r="B985" s="5">
        <v>43</v>
      </c>
      <c r="C985" s="6">
        <v>41548</v>
      </c>
      <c r="D985" s="5" t="s">
        <v>32</v>
      </c>
      <c r="E985" s="5" t="s">
        <v>29</v>
      </c>
      <c r="F985" s="5">
        <v>13</v>
      </c>
      <c r="G985" s="5" t="s">
        <v>33</v>
      </c>
      <c r="H985" s="5" t="s">
        <v>38</v>
      </c>
      <c r="I985" s="5" t="s">
        <v>39</v>
      </c>
      <c r="J985" s="5">
        <v>43</v>
      </c>
      <c r="K985" s="5">
        <v>114</v>
      </c>
      <c r="L985" s="5" t="s">
        <v>49</v>
      </c>
      <c r="M985" s="5">
        <v>50</v>
      </c>
      <c r="N985" s="5">
        <v>80</v>
      </c>
      <c r="O985" s="5">
        <v>150</v>
      </c>
      <c r="P985" s="5">
        <v>35</v>
      </c>
      <c r="Q985">
        <f>SUM([1]!Table1[[#This Row],[Sales]])</f>
        <v>114</v>
      </c>
      <c r="R985">
        <f>SUM([1]!Table1[[#This Row],[Profit]])</f>
        <v>43</v>
      </c>
      <c r="S985" s="7">
        <f t="shared" si="120"/>
        <v>0.37719298245614036</v>
      </c>
      <c r="T985">
        <f t="shared" si="121"/>
        <v>13</v>
      </c>
      <c r="U985">
        <f t="shared" si="122"/>
        <v>-36</v>
      </c>
      <c r="V985">
        <f t="shared" si="123"/>
        <v>-7</v>
      </c>
      <c r="W985">
        <f t="shared" si="124"/>
        <v>3.3076923076923075</v>
      </c>
      <c r="X985" t="str">
        <f t="shared" si="125"/>
        <v>Low Profit</v>
      </c>
      <c r="Y985">
        <f t="shared" si="126"/>
        <v>43</v>
      </c>
      <c r="Z985">
        <f t="shared" si="127"/>
        <v>114</v>
      </c>
    </row>
    <row r="986" spans="1:26">
      <c r="A986" s="3">
        <v>435</v>
      </c>
      <c r="B986" s="3">
        <v>79</v>
      </c>
      <c r="C986" s="4">
        <v>41548</v>
      </c>
      <c r="D986" s="3" t="s">
        <v>32</v>
      </c>
      <c r="E986" s="3" t="s">
        <v>29</v>
      </c>
      <c r="F986" s="3">
        <v>30</v>
      </c>
      <c r="G986" s="3" t="s">
        <v>33</v>
      </c>
      <c r="H986" s="3" t="s">
        <v>38</v>
      </c>
      <c r="I986" s="3" t="s">
        <v>39</v>
      </c>
      <c r="J986" s="3">
        <v>50</v>
      </c>
      <c r="K986" s="3">
        <v>189</v>
      </c>
      <c r="L986" s="3" t="s">
        <v>42</v>
      </c>
      <c r="M986" s="3">
        <v>100</v>
      </c>
      <c r="N986" s="3">
        <v>120</v>
      </c>
      <c r="O986" s="3">
        <v>260</v>
      </c>
      <c r="P986" s="3">
        <v>64</v>
      </c>
      <c r="Q986">
        <f>SUM([1]!Table1[[#This Row],[Sales]])</f>
        <v>189</v>
      </c>
      <c r="R986">
        <f>SUM([1]!Table1[[#This Row],[Profit]])</f>
        <v>50</v>
      </c>
      <c r="S986" s="7">
        <f t="shared" si="120"/>
        <v>0.26455026455026454</v>
      </c>
      <c r="T986">
        <f t="shared" si="121"/>
        <v>30</v>
      </c>
      <c r="U986">
        <f t="shared" si="122"/>
        <v>-71</v>
      </c>
      <c r="V986">
        <f t="shared" si="123"/>
        <v>-21</v>
      </c>
      <c r="W986">
        <f t="shared" si="124"/>
        <v>1.6666666666666667</v>
      </c>
      <c r="X986" t="str">
        <f t="shared" si="125"/>
        <v>Low Profit</v>
      </c>
      <c r="Y986">
        <f t="shared" si="126"/>
        <v>79</v>
      </c>
      <c r="Z986">
        <f t="shared" si="127"/>
        <v>189</v>
      </c>
    </row>
    <row r="987" spans="1:26">
      <c r="A987" s="5">
        <v>206</v>
      </c>
      <c r="B987" s="5">
        <v>96</v>
      </c>
      <c r="C987" s="6">
        <v>41548</v>
      </c>
      <c r="D987" s="5" t="s">
        <v>32</v>
      </c>
      <c r="E987" s="5" t="s">
        <v>29</v>
      </c>
      <c r="F987" s="5">
        <v>87</v>
      </c>
      <c r="G987" s="5" t="s">
        <v>33</v>
      </c>
      <c r="H987" s="5" t="s">
        <v>38</v>
      </c>
      <c r="I987" s="5" t="s">
        <v>39</v>
      </c>
      <c r="J987" s="5">
        <v>25</v>
      </c>
      <c r="K987" s="5">
        <v>245</v>
      </c>
      <c r="L987" s="5" t="s">
        <v>53</v>
      </c>
      <c r="M987" s="5">
        <v>140</v>
      </c>
      <c r="N987" s="5">
        <v>100</v>
      </c>
      <c r="O987" s="5">
        <v>330</v>
      </c>
      <c r="P987" s="5">
        <v>117</v>
      </c>
      <c r="Q987">
        <f>SUM([1]!Table1[[#This Row],[Sales]])</f>
        <v>245</v>
      </c>
      <c r="R987">
        <f>SUM([1]!Table1[[#This Row],[Profit]])</f>
        <v>25</v>
      </c>
      <c r="S987" s="7">
        <f t="shared" si="120"/>
        <v>0.10204081632653061</v>
      </c>
      <c r="T987">
        <f t="shared" si="121"/>
        <v>87</v>
      </c>
      <c r="U987">
        <f t="shared" si="122"/>
        <v>-85</v>
      </c>
      <c r="V987">
        <f t="shared" si="123"/>
        <v>-44</v>
      </c>
      <c r="W987">
        <f t="shared" si="124"/>
        <v>0.28735632183908044</v>
      </c>
      <c r="X987" t="str">
        <f t="shared" si="125"/>
        <v>Low Profit</v>
      </c>
      <c r="Y987">
        <f t="shared" si="126"/>
        <v>96</v>
      </c>
      <c r="Z987">
        <f t="shared" si="127"/>
        <v>245</v>
      </c>
    </row>
    <row r="988" spans="1:26">
      <c r="A988" s="3">
        <v>503</v>
      </c>
      <c r="B988" s="3">
        <v>161</v>
      </c>
      <c r="C988" s="4">
        <v>41548</v>
      </c>
      <c r="D988" s="3" t="s">
        <v>32</v>
      </c>
      <c r="E988" s="3" t="s">
        <v>29</v>
      </c>
      <c r="F988" s="3">
        <v>45</v>
      </c>
      <c r="G988" s="3" t="s">
        <v>33</v>
      </c>
      <c r="H988" s="3" t="s">
        <v>34</v>
      </c>
      <c r="I988" s="3" t="s">
        <v>35</v>
      </c>
      <c r="J988" s="3">
        <v>135</v>
      </c>
      <c r="K988" s="3">
        <v>343</v>
      </c>
      <c r="L988" s="3" t="s">
        <v>49</v>
      </c>
      <c r="M988" s="3">
        <v>140</v>
      </c>
      <c r="N988" s="3">
        <v>110</v>
      </c>
      <c r="O988" s="3">
        <v>290</v>
      </c>
      <c r="P988" s="3">
        <v>70</v>
      </c>
      <c r="Q988">
        <f>SUM([1]!Table1[[#This Row],[Sales]])</f>
        <v>343</v>
      </c>
      <c r="R988">
        <f>SUM([1]!Table1[[#This Row],[Profit]])</f>
        <v>135</v>
      </c>
      <c r="S988" s="7">
        <f t="shared" si="120"/>
        <v>0.39358600583090381</v>
      </c>
      <c r="T988">
        <f t="shared" si="121"/>
        <v>45</v>
      </c>
      <c r="U988">
        <f t="shared" si="122"/>
        <v>53</v>
      </c>
      <c r="V988">
        <f t="shared" si="123"/>
        <v>21</v>
      </c>
      <c r="W988">
        <f t="shared" si="124"/>
        <v>3</v>
      </c>
      <c r="X988" t="str">
        <f t="shared" si="125"/>
        <v>High Profit</v>
      </c>
      <c r="Y988">
        <f t="shared" si="126"/>
        <v>161</v>
      </c>
      <c r="Z988">
        <f t="shared" si="127"/>
        <v>343</v>
      </c>
    </row>
    <row r="989" spans="1:26">
      <c r="A989" s="5">
        <v>360</v>
      </c>
      <c r="B989" s="5">
        <v>80</v>
      </c>
      <c r="C989" s="6">
        <v>41548</v>
      </c>
      <c r="D989" s="5" t="s">
        <v>32</v>
      </c>
      <c r="E989" s="5" t="s">
        <v>29</v>
      </c>
      <c r="F989" s="5">
        <v>24</v>
      </c>
      <c r="G989" s="5" t="s">
        <v>33</v>
      </c>
      <c r="H989" s="5" t="s">
        <v>34</v>
      </c>
      <c r="I989" s="5" t="s">
        <v>35</v>
      </c>
      <c r="J989" s="5">
        <v>71</v>
      </c>
      <c r="K989" s="5">
        <v>185</v>
      </c>
      <c r="L989" s="5" t="s">
        <v>53</v>
      </c>
      <c r="M989" s="5">
        <v>60</v>
      </c>
      <c r="N989" s="5">
        <v>80</v>
      </c>
      <c r="O989" s="5">
        <v>150</v>
      </c>
      <c r="P989" s="5">
        <v>46</v>
      </c>
      <c r="Q989">
        <f>SUM([1]!Table1[[#This Row],[Sales]])</f>
        <v>185</v>
      </c>
      <c r="R989">
        <f>SUM([1]!Table1[[#This Row],[Profit]])</f>
        <v>71</v>
      </c>
      <c r="S989" s="7">
        <f t="shared" si="120"/>
        <v>0.38378378378378381</v>
      </c>
      <c r="T989">
        <f t="shared" si="121"/>
        <v>24</v>
      </c>
      <c r="U989">
        <f t="shared" si="122"/>
        <v>35</v>
      </c>
      <c r="V989">
        <f t="shared" si="123"/>
        <v>20</v>
      </c>
      <c r="W989">
        <f t="shared" si="124"/>
        <v>2.9583333333333335</v>
      </c>
      <c r="X989" t="str">
        <f t="shared" si="125"/>
        <v>Low Profit</v>
      </c>
      <c r="Y989">
        <f t="shared" si="126"/>
        <v>80</v>
      </c>
      <c r="Z989">
        <f t="shared" si="127"/>
        <v>185</v>
      </c>
    </row>
    <row r="990" spans="1:26">
      <c r="A990" s="3">
        <v>503</v>
      </c>
      <c r="B990" s="3">
        <v>51</v>
      </c>
      <c r="C990" s="4">
        <v>41548</v>
      </c>
      <c r="D990" s="3" t="s">
        <v>32</v>
      </c>
      <c r="E990" s="3" t="s">
        <v>29</v>
      </c>
      <c r="F990" s="3">
        <v>46</v>
      </c>
      <c r="G990" s="3" t="s">
        <v>33</v>
      </c>
      <c r="H990" s="3" t="s">
        <v>38</v>
      </c>
      <c r="I990" s="3" t="s">
        <v>43</v>
      </c>
      <c r="J990" s="3">
        <v>-7</v>
      </c>
      <c r="K990" s="3">
        <v>130</v>
      </c>
      <c r="L990" s="3" t="s">
        <v>49</v>
      </c>
      <c r="M990" s="3">
        <v>70</v>
      </c>
      <c r="N990" s="3">
        <v>50</v>
      </c>
      <c r="O990" s="3">
        <v>170</v>
      </c>
      <c r="P990" s="3">
        <v>76</v>
      </c>
      <c r="Q990">
        <f>SUM([1]!Table1[[#This Row],[Sales]])</f>
        <v>130</v>
      </c>
      <c r="R990">
        <f>SUM([1]!Table1[[#This Row],[Profit]])</f>
        <v>-7</v>
      </c>
      <c r="S990" s="7">
        <f t="shared" si="120"/>
        <v>-5.3846153846153849E-2</v>
      </c>
      <c r="T990">
        <f t="shared" si="121"/>
        <v>46</v>
      </c>
      <c r="U990">
        <f t="shared" si="122"/>
        <v>-40</v>
      </c>
      <c r="V990">
        <f t="shared" si="123"/>
        <v>-19</v>
      </c>
      <c r="W990">
        <f t="shared" si="124"/>
        <v>-0.15217391304347827</v>
      </c>
      <c r="X990" t="str">
        <f t="shared" si="125"/>
        <v>Low Profit</v>
      </c>
      <c r="Y990">
        <f t="shared" si="126"/>
        <v>51</v>
      </c>
      <c r="Z990">
        <f t="shared" si="127"/>
        <v>130</v>
      </c>
    </row>
    <row r="991" spans="1:26">
      <c r="A991" s="5">
        <v>435</v>
      </c>
      <c r="B991" s="5">
        <v>65</v>
      </c>
      <c r="C991" s="6">
        <v>41548</v>
      </c>
      <c r="D991" s="5" t="s">
        <v>32</v>
      </c>
      <c r="E991" s="5" t="s">
        <v>29</v>
      </c>
      <c r="F991" s="5">
        <v>20</v>
      </c>
      <c r="G991" s="5" t="s">
        <v>33</v>
      </c>
      <c r="H991" s="5" t="s">
        <v>38</v>
      </c>
      <c r="I991" s="5" t="s">
        <v>43</v>
      </c>
      <c r="J991" s="5">
        <v>53</v>
      </c>
      <c r="K991" s="5">
        <v>151</v>
      </c>
      <c r="L991" s="5" t="s">
        <v>42</v>
      </c>
      <c r="M991" s="5">
        <v>90</v>
      </c>
      <c r="N991" s="5">
        <v>90</v>
      </c>
      <c r="O991" s="5">
        <v>200</v>
      </c>
      <c r="P991" s="5">
        <v>41</v>
      </c>
      <c r="Q991">
        <f>SUM([1]!Table1[[#This Row],[Sales]])</f>
        <v>151</v>
      </c>
      <c r="R991">
        <f>SUM([1]!Table1[[#This Row],[Profit]])</f>
        <v>53</v>
      </c>
      <c r="S991" s="7">
        <f t="shared" si="120"/>
        <v>0.35099337748344372</v>
      </c>
      <c r="T991">
        <f t="shared" si="121"/>
        <v>20</v>
      </c>
      <c r="U991">
        <f t="shared" si="122"/>
        <v>-49</v>
      </c>
      <c r="V991">
        <f t="shared" si="123"/>
        <v>-25</v>
      </c>
      <c r="W991">
        <f t="shared" si="124"/>
        <v>2.65</v>
      </c>
      <c r="X991" t="str">
        <f t="shared" si="125"/>
        <v>Low Profit</v>
      </c>
      <c r="Y991">
        <f t="shared" si="126"/>
        <v>65</v>
      </c>
      <c r="Z991">
        <f t="shared" si="127"/>
        <v>151</v>
      </c>
    </row>
    <row r="992" spans="1:26">
      <c r="A992" s="3">
        <v>503</v>
      </c>
      <c r="B992" s="3">
        <v>60</v>
      </c>
      <c r="C992" s="4">
        <v>41548</v>
      </c>
      <c r="D992" s="3" t="s">
        <v>32</v>
      </c>
      <c r="E992" s="3" t="s">
        <v>29</v>
      </c>
      <c r="F992" s="3">
        <v>19</v>
      </c>
      <c r="G992" s="3" t="s">
        <v>33</v>
      </c>
      <c r="H992" s="3" t="s">
        <v>38</v>
      </c>
      <c r="I992" s="3" t="s">
        <v>45</v>
      </c>
      <c r="J992" s="3">
        <v>31</v>
      </c>
      <c r="K992" s="3">
        <v>153</v>
      </c>
      <c r="L992" s="3" t="s">
        <v>49</v>
      </c>
      <c r="M992" s="3">
        <v>80</v>
      </c>
      <c r="N992" s="3">
        <v>90</v>
      </c>
      <c r="O992" s="3">
        <v>210</v>
      </c>
      <c r="P992" s="3">
        <v>63</v>
      </c>
      <c r="Q992">
        <f>SUM([1]!Table1[[#This Row],[Sales]])</f>
        <v>153</v>
      </c>
      <c r="R992">
        <f>SUM([1]!Table1[[#This Row],[Profit]])</f>
        <v>31</v>
      </c>
      <c r="S992" s="7">
        <f t="shared" si="120"/>
        <v>0.20261437908496732</v>
      </c>
      <c r="T992">
        <f t="shared" si="121"/>
        <v>19</v>
      </c>
      <c r="U992">
        <f t="shared" si="122"/>
        <v>-57</v>
      </c>
      <c r="V992">
        <f t="shared" si="123"/>
        <v>-20</v>
      </c>
      <c r="W992">
        <f t="shared" si="124"/>
        <v>1.631578947368421</v>
      </c>
      <c r="X992" t="str">
        <f t="shared" si="125"/>
        <v>Low Profit</v>
      </c>
      <c r="Y992">
        <f t="shared" si="126"/>
        <v>60</v>
      </c>
      <c r="Z992">
        <f t="shared" si="127"/>
        <v>153</v>
      </c>
    </row>
    <row r="993" spans="1:26">
      <c r="A993" s="5">
        <v>435</v>
      </c>
      <c r="B993" s="5">
        <v>47</v>
      </c>
      <c r="C993" s="6">
        <v>41548</v>
      </c>
      <c r="D993" s="5" t="s">
        <v>32</v>
      </c>
      <c r="E993" s="5" t="s">
        <v>29</v>
      </c>
      <c r="F993" s="5">
        <v>15</v>
      </c>
      <c r="G993" s="5" t="s">
        <v>33</v>
      </c>
      <c r="H993" s="5" t="s">
        <v>38</v>
      </c>
      <c r="I993" s="5" t="s">
        <v>45</v>
      </c>
      <c r="J993" s="5">
        <v>33</v>
      </c>
      <c r="K993" s="5">
        <v>118</v>
      </c>
      <c r="L993" s="5" t="s">
        <v>42</v>
      </c>
      <c r="M993" s="5">
        <v>50</v>
      </c>
      <c r="N993" s="5">
        <v>80</v>
      </c>
      <c r="O993" s="5">
        <v>150</v>
      </c>
      <c r="P993" s="5">
        <v>42</v>
      </c>
      <c r="Q993">
        <f>SUM([1]!Table1[[#This Row],[Sales]])</f>
        <v>118</v>
      </c>
      <c r="R993">
        <f>SUM([1]!Table1[[#This Row],[Profit]])</f>
        <v>33</v>
      </c>
      <c r="S993" s="7">
        <f t="shared" si="120"/>
        <v>0.27966101694915252</v>
      </c>
      <c r="T993">
        <f t="shared" si="121"/>
        <v>15</v>
      </c>
      <c r="U993">
        <f t="shared" si="122"/>
        <v>-32</v>
      </c>
      <c r="V993">
        <f t="shared" si="123"/>
        <v>-3</v>
      </c>
      <c r="W993">
        <f t="shared" si="124"/>
        <v>2.2000000000000002</v>
      </c>
      <c r="X993" t="str">
        <f t="shared" si="125"/>
        <v>Low Profit</v>
      </c>
      <c r="Y993">
        <f t="shared" si="126"/>
        <v>47</v>
      </c>
      <c r="Z993">
        <f t="shared" si="127"/>
        <v>118</v>
      </c>
    </row>
    <row r="994" spans="1:26">
      <c r="A994" s="3">
        <v>360</v>
      </c>
      <c r="B994" s="3">
        <v>68</v>
      </c>
      <c r="C994" s="4">
        <v>41548</v>
      </c>
      <c r="D994" s="3" t="s">
        <v>32</v>
      </c>
      <c r="E994" s="3" t="s">
        <v>29</v>
      </c>
      <c r="F994" s="3">
        <v>21</v>
      </c>
      <c r="G994" s="3" t="s">
        <v>33</v>
      </c>
      <c r="H994" s="3" t="s">
        <v>38</v>
      </c>
      <c r="I994" s="3" t="s">
        <v>45</v>
      </c>
      <c r="J994" s="3">
        <v>83</v>
      </c>
      <c r="K994" s="3">
        <v>178</v>
      </c>
      <c r="L994" s="3" t="s">
        <v>53</v>
      </c>
      <c r="M994" s="3">
        <v>90</v>
      </c>
      <c r="N994" s="3">
        <v>110</v>
      </c>
      <c r="O994" s="3">
        <v>230</v>
      </c>
      <c r="P994" s="3">
        <v>43</v>
      </c>
      <c r="Q994">
        <f>SUM([1]!Table1[[#This Row],[Sales]])</f>
        <v>178</v>
      </c>
      <c r="R994">
        <f>SUM([1]!Table1[[#This Row],[Profit]])</f>
        <v>83</v>
      </c>
      <c r="S994" s="7">
        <f t="shared" si="120"/>
        <v>0.46629213483146065</v>
      </c>
      <c r="T994">
        <f t="shared" si="121"/>
        <v>21</v>
      </c>
      <c r="U994">
        <f t="shared" si="122"/>
        <v>-52</v>
      </c>
      <c r="V994">
        <f t="shared" si="123"/>
        <v>-22</v>
      </c>
      <c r="W994">
        <f t="shared" si="124"/>
        <v>3.9523809523809526</v>
      </c>
      <c r="X994" t="str">
        <f t="shared" si="125"/>
        <v>Low Profit</v>
      </c>
      <c r="Y994">
        <f t="shared" si="126"/>
        <v>68</v>
      </c>
      <c r="Z994">
        <f t="shared" si="127"/>
        <v>178</v>
      </c>
    </row>
    <row r="995" spans="1:26">
      <c r="A995" s="5">
        <v>206</v>
      </c>
      <c r="B995" s="5">
        <v>22</v>
      </c>
      <c r="C995" s="6">
        <v>41548</v>
      </c>
      <c r="D995" s="5" t="s">
        <v>32</v>
      </c>
      <c r="E995" s="5" t="s">
        <v>29</v>
      </c>
      <c r="F995" s="5">
        <v>7</v>
      </c>
      <c r="G995" s="5" t="s">
        <v>33</v>
      </c>
      <c r="H995" s="5" t="s">
        <v>34</v>
      </c>
      <c r="I995" s="5" t="s">
        <v>47</v>
      </c>
      <c r="J995" s="5">
        <v>15</v>
      </c>
      <c r="K995" s="5">
        <v>54</v>
      </c>
      <c r="L995" s="5" t="s">
        <v>53</v>
      </c>
      <c r="M995" s="5">
        <v>10</v>
      </c>
      <c r="N995" s="5">
        <v>20</v>
      </c>
      <c r="O995" s="5">
        <v>30</v>
      </c>
      <c r="P995" s="5">
        <v>19</v>
      </c>
      <c r="Q995">
        <f>SUM([1]!Table1[[#This Row],[Sales]])</f>
        <v>54</v>
      </c>
      <c r="R995">
        <f>SUM([1]!Table1[[#This Row],[Profit]])</f>
        <v>15</v>
      </c>
      <c r="S995" s="7">
        <f t="shared" si="120"/>
        <v>0.27777777777777779</v>
      </c>
      <c r="T995">
        <f t="shared" si="121"/>
        <v>7</v>
      </c>
      <c r="U995">
        <f t="shared" si="122"/>
        <v>24</v>
      </c>
      <c r="V995">
        <f t="shared" si="123"/>
        <v>12</v>
      </c>
      <c r="W995">
        <f t="shared" si="124"/>
        <v>2.1428571428571428</v>
      </c>
      <c r="X995" t="str">
        <f t="shared" si="125"/>
        <v>Low Profit</v>
      </c>
      <c r="Y995">
        <f t="shared" si="126"/>
        <v>22</v>
      </c>
      <c r="Z995">
        <f t="shared" si="127"/>
        <v>54</v>
      </c>
    </row>
    <row r="996" spans="1:26">
      <c r="A996" s="3">
        <v>775</v>
      </c>
      <c r="B996" s="3">
        <v>21</v>
      </c>
      <c r="C996" s="4">
        <v>41548</v>
      </c>
      <c r="D996" s="3" t="s">
        <v>32</v>
      </c>
      <c r="E996" s="3" t="s">
        <v>29</v>
      </c>
      <c r="F996" s="3">
        <v>5</v>
      </c>
      <c r="G996" s="3" t="s">
        <v>33</v>
      </c>
      <c r="H996" s="3" t="s">
        <v>34</v>
      </c>
      <c r="I996" s="3" t="s">
        <v>46</v>
      </c>
      <c r="J996" s="3">
        <v>21</v>
      </c>
      <c r="K996" s="3">
        <v>55</v>
      </c>
      <c r="L996" s="3" t="s">
        <v>41</v>
      </c>
      <c r="M996" s="3">
        <v>10</v>
      </c>
      <c r="N996" s="3">
        <v>20</v>
      </c>
      <c r="O996" s="3">
        <v>30</v>
      </c>
      <c r="P996" s="3">
        <v>17</v>
      </c>
      <c r="Q996">
        <f>SUM([1]!Table1[[#This Row],[Sales]])</f>
        <v>55</v>
      </c>
      <c r="R996">
        <f>SUM([1]!Table1[[#This Row],[Profit]])</f>
        <v>21</v>
      </c>
      <c r="S996" s="7">
        <f t="shared" si="120"/>
        <v>0.38181818181818183</v>
      </c>
      <c r="T996">
        <f t="shared" si="121"/>
        <v>5</v>
      </c>
      <c r="U996">
        <f t="shared" si="122"/>
        <v>25</v>
      </c>
      <c r="V996">
        <f t="shared" si="123"/>
        <v>11</v>
      </c>
      <c r="W996">
        <f t="shared" si="124"/>
        <v>4.2</v>
      </c>
      <c r="X996" t="str">
        <f t="shared" si="125"/>
        <v>Low Profit</v>
      </c>
      <c r="Y996">
        <f t="shared" si="126"/>
        <v>21</v>
      </c>
      <c r="Z996">
        <f t="shared" si="127"/>
        <v>55</v>
      </c>
    </row>
    <row r="997" spans="1:26">
      <c r="A997" s="5">
        <v>435</v>
      </c>
      <c r="B997" s="5">
        <v>103</v>
      </c>
      <c r="C997" s="6">
        <v>41548</v>
      </c>
      <c r="D997" s="5" t="s">
        <v>32</v>
      </c>
      <c r="E997" s="5" t="s">
        <v>29</v>
      </c>
      <c r="F997" s="5">
        <v>33</v>
      </c>
      <c r="G997" s="5" t="s">
        <v>33</v>
      </c>
      <c r="H997" s="5" t="s">
        <v>34</v>
      </c>
      <c r="I997" s="5" t="s">
        <v>46</v>
      </c>
      <c r="J997" s="5">
        <v>129</v>
      </c>
      <c r="K997" s="5">
        <v>251</v>
      </c>
      <c r="L997" s="5" t="s">
        <v>42</v>
      </c>
      <c r="M997" s="5">
        <v>80</v>
      </c>
      <c r="N997" s="5">
        <v>110</v>
      </c>
      <c r="O997" s="5">
        <v>210</v>
      </c>
      <c r="P997" s="5">
        <v>46</v>
      </c>
      <c r="Q997">
        <f>SUM([1]!Table1[[#This Row],[Sales]])</f>
        <v>251</v>
      </c>
      <c r="R997">
        <f>SUM([1]!Table1[[#This Row],[Profit]])</f>
        <v>129</v>
      </c>
      <c r="S997" s="7">
        <f t="shared" si="120"/>
        <v>0.51394422310756971</v>
      </c>
      <c r="T997">
        <f t="shared" si="121"/>
        <v>33</v>
      </c>
      <c r="U997">
        <f t="shared" si="122"/>
        <v>41</v>
      </c>
      <c r="V997">
        <f t="shared" si="123"/>
        <v>23</v>
      </c>
      <c r="W997">
        <f t="shared" si="124"/>
        <v>3.9090909090909092</v>
      </c>
      <c r="X997" t="str">
        <f t="shared" si="125"/>
        <v>High Profit</v>
      </c>
      <c r="Y997">
        <f t="shared" si="126"/>
        <v>103</v>
      </c>
      <c r="Z997">
        <f t="shared" si="127"/>
        <v>251</v>
      </c>
    </row>
    <row r="998" spans="1:26">
      <c r="A998" s="3">
        <v>702</v>
      </c>
      <c r="B998" s="3">
        <v>125</v>
      </c>
      <c r="C998" s="4">
        <v>41548</v>
      </c>
      <c r="D998" s="3" t="s">
        <v>32</v>
      </c>
      <c r="E998" s="3" t="s">
        <v>29</v>
      </c>
      <c r="F998" s="3">
        <v>113</v>
      </c>
      <c r="G998" s="3" t="s">
        <v>18</v>
      </c>
      <c r="H998" s="3" t="s">
        <v>19</v>
      </c>
      <c r="I998" s="3" t="s">
        <v>50</v>
      </c>
      <c r="J998" s="3">
        <v>39</v>
      </c>
      <c r="K998" s="3">
        <v>318</v>
      </c>
      <c r="L998" s="3" t="s">
        <v>41</v>
      </c>
      <c r="M998" s="3">
        <v>90</v>
      </c>
      <c r="N998" s="3">
        <v>60</v>
      </c>
      <c r="O998" s="3">
        <v>240</v>
      </c>
      <c r="P998" s="3">
        <v>147</v>
      </c>
      <c r="Q998">
        <f>SUM([1]!Table1[[#This Row],[Sales]])</f>
        <v>318</v>
      </c>
      <c r="R998">
        <f>SUM([1]!Table1[[#This Row],[Profit]])</f>
        <v>39</v>
      </c>
      <c r="S998" s="7">
        <f t="shared" si="120"/>
        <v>0.12264150943396226</v>
      </c>
      <c r="T998">
        <f t="shared" si="121"/>
        <v>113</v>
      </c>
      <c r="U998">
        <f t="shared" si="122"/>
        <v>78</v>
      </c>
      <c r="V998">
        <f t="shared" si="123"/>
        <v>35</v>
      </c>
      <c r="W998">
        <f t="shared" si="124"/>
        <v>0.34513274336283184</v>
      </c>
      <c r="X998" t="str">
        <f t="shared" si="125"/>
        <v>Low Profit</v>
      </c>
      <c r="Y998">
        <f t="shared" si="126"/>
        <v>125</v>
      </c>
      <c r="Z998">
        <f t="shared" si="127"/>
        <v>318</v>
      </c>
    </row>
    <row r="999" spans="1:26">
      <c r="A999" s="5">
        <v>360</v>
      </c>
      <c r="B999" s="5">
        <v>125</v>
      </c>
      <c r="C999" s="6">
        <v>41548</v>
      </c>
      <c r="D999" s="5" t="s">
        <v>32</v>
      </c>
      <c r="E999" s="5" t="s">
        <v>29</v>
      </c>
      <c r="F999" s="5">
        <v>41</v>
      </c>
      <c r="G999" s="5" t="s">
        <v>18</v>
      </c>
      <c r="H999" s="5" t="s">
        <v>19</v>
      </c>
      <c r="I999" s="5" t="s">
        <v>50</v>
      </c>
      <c r="J999" s="5">
        <v>171</v>
      </c>
      <c r="K999" s="5">
        <v>334</v>
      </c>
      <c r="L999" s="5" t="s">
        <v>53</v>
      </c>
      <c r="M999" s="5">
        <v>90</v>
      </c>
      <c r="N999" s="5">
        <v>130</v>
      </c>
      <c r="O999" s="5">
        <v>250</v>
      </c>
      <c r="P999" s="5">
        <v>73</v>
      </c>
      <c r="Q999">
        <f>SUM([1]!Table1[[#This Row],[Sales]])</f>
        <v>334</v>
      </c>
      <c r="R999">
        <f>SUM([1]!Table1[[#This Row],[Profit]])</f>
        <v>171</v>
      </c>
      <c r="S999" s="7">
        <f t="shared" si="120"/>
        <v>0.5119760479041916</v>
      </c>
      <c r="T999">
        <f t="shared" si="121"/>
        <v>41</v>
      </c>
      <c r="U999">
        <f t="shared" si="122"/>
        <v>84</v>
      </c>
      <c r="V999">
        <f t="shared" si="123"/>
        <v>35</v>
      </c>
      <c r="W999">
        <f t="shared" si="124"/>
        <v>4.1707317073170733</v>
      </c>
      <c r="X999" t="str">
        <f t="shared" si="125"/>
        <v>High Profit</v>
      </c>
      <c r="Y999">
        <f t="shared" si="126"/>
        <v>125</v>
      </c>
      <c r="Z999">
        <f t="shared" si="127"/>
        <v>334</v>
      </c>
    </row>
    <row r="1000" spans="1:26">
      <c r="A1000" s="3">
        <v>775</v>
      </c>
      <c r="B1000" s="3">
        <v>154</v>
      </c>
      <c r="C1000" s="4">
        <v>41548</v>
      </c>
      <c r="D1000" s="3" t="s">
        <v>32</v>
      </c>
      <c r="E1000" s="3" t="s">
        <v>29</v>
      </c>
      <c r="F1000" s="3">
        <v>50</v>
      </c>
      <c r="G1000" s="3" t="s">
        <v>18</v>
      </c>
      <c r="H1000" s="3" t="s">
        <v>19</v>
      </c>
      <c r="I1000" s="3" t="s">
        <v>20</v>
      </c>
      <c r="J1000" s="3">
        <v>178</v>
      </c>
      <c r="K1000" s="3">
        <v>391</v>
      </c>
      <c r="L1000" s="3" t="s">
        <v>41</v>
      </c>
      <c r="M1000" s="3">
        <v>120</v>
      </c>
      <c r="N1000" s="3">
        <v>120</v>
      </c>
      <c r="O1000" s="3">
        <v>290</v>
      </c>
      <c r="P1000" s="3">
        <v>93</v>
      </c>
      <c r="Q1000">
        <f>SUM([1]!Table1[[#This Row],[Sales]])</f>
        <v>391</v>
      </c>
      <c r="R1000">
        <f>SUM([1]!Table1[[#This Row],[Profit]])</f>
        <v>178</v>
      </c>
      <c r="S1000" s="7">
        <f t="shared" si="120"/>
        <v>0.45524296675191817</v>
      </c>
      <c r="T1000">
        <f t="shared" si="121"/>
        <v>50</v>
      </c>
      <c r="U1000">
        <f t="shared" si="122"/>
        <v>101</v>
      </c>
      <c r="V1000">
        <f t="shared" si="123"/>
        <v>34</v>
      </c>
      <c r="W1000">
        <f t="shared" si="124"/>
        <v>3.56</v>
      </c>
      <c r="X1000" t="str">
        <f t="shared" si="125"/>
        <v>High Profit</v>
      </c>
      <c r="Y1000">
        <f t="shared" si="126"/>
        <v>154</v>
      </c>
      <c r="Z1000">
        <f t="shared" si="127"/>
        <v>391</v>
      </c>
    </row>
    <row r="1001" spans="1:26">
      <c r="A1001" s="5">
        <v>541</v>
      </c>
      <c r="B1001" s="5">
        <v>90</v>
      </c>
      <c r="C1001" s="6">
        <v>41548</v>
      </c>
      <c r="D1001" s="5" t="s">
        <v>32</v>
      </c>
      <c r="E1001" s="5" t="s">
        <v>29</v>
      </c>
      <c r="F1001" s="5">
        <v>29</v>
      </c>
      <c r="G1001" s="5" t="s">
        <v>18</v>
      </c>
      <c r="H1001" s="5" t="s">
        <v>19</v>
      </c>
      <c r="I1001" s="5" t="s">
        <v>20</v>
      </c>
      <c r="J1001" s="5">
        <v>108</v>
      </c>
      <c r="K1001" s="5">
        <v>218</v>
      </c>
      <c r="L1001" s="5" t="s">
        <v>49</v>
      </c>
      <c r="M1001" s="5">
        <v>60</v>
      </c>
      <c r="N1001" s="5">
        <v>90</v>
      </c>
      <c r="O1001" s="5">
        <v>160</v>
      </c>
      <c r="P1001" s="5">
        <v>42</v>
      </c>
      <c r="Q1001">
        <f>SUM([1]!Table1[[#This Row],[Sales]])</f>
        <v>218</v>
      </c>
      <c r="R1001">
        <f>SUM([1]!Table1[[#This Row],[Profit]])</f>
        <v>108</v>
      </c>
      <c r="S1001" s="7">
        <f t="shared" si="120"/>
        <v>0.49541284403669728</v>
      </c>
      <c r="T1001">
        <f t="shared" si="121"/>
        <v>29</v>
      </c>
      <c r="U1001">
        <f t="shared" si="122"/>
        <v>58</v>
      </c>
      <c r="V1001">
        <f t="shared" si="123"/>
        <v>30</v>
      </c>
      <c r="W1001">
        <f t="shared" si="124"/>
        <v>3.7241379310344827</v>
      </c>
      <c r="X1001" t="str">
        <f t="shared" si="125"/>
        <v>High Profit</v>
      </c>
      <c r="Y1001">
        <f t="shared" si="126"/>
        <v>90</v>
      </c>
      <c r="Z1001">
        <f t="shared" si="127"/>
        <v>218</v>
      </c>
    </row>
    <row r="1002" spans="1:26">
      <c r="A1002" s="3">
        <v>775</v>
      </c>
      <c r="B1002" s="3">
        <v>122</v>
      </c>
      <c r="C1002" s="4">
        <v>41548</v>
      </c>
      <c r="D1002" s="3" t="s">
        <v>32</v>
      </c>
      <c r="E1002" s="3" t="s">
        <v>29</v>
      </c>
      <c r="F1002" s="3">
        <v>39</v>
      </c>
      <c r="G1002" s="3" t="s">
        <v>18</v>
      </c>
      <c r="H1002" s="3" t="s">
        <v>19</v>
      </c>
      <c r="I1002" s="3" t="s">
        <v>22</v>
      </c>
      <c r="J1002" s="3">
        <v>169</v>
      </c>
      <c r="K1002" s="3">
        <v>318</v>
      </c>
      <c r="L1002" s="3" t="s">
        <v>41</v>
      </c>
      <c r="M1002" s="3">
        <v>90</v>
      </c>
      <c r="N1002" s="3">
        <v>130</v>
      </c>
      <c r="O1002" s="3">
        <v>240</v>
      </c>
      <c r="P1002" s="3">
        <v>62</v>
      </c>
      <c r="Q1002">
        <f>SUM([1]!Table1[[#This Row],[Sales]])</f>
        <v>318</v>
      </c>
      <c r="R1002">
        <f>SUM([1]!Table1[[#This Row],[Profit]])</f>
        <v>169</v>
      </c>
      <c r="S1002" s="7">
        <f t="shared" si="120"/>
        <v>0.53144654088050314</v>
      </c>
      <c r="T1002">
        <f t="shared" si="121"/>
        <v>39</v>
      </c>
      <c r="U1002">
        <f t="shared" si="122"/>
        <v>78</v>
      </c>
      <c r="V1002">
        <f t="shared" si="123"/>
        <v>32</v>
      </c>
      <c r="W1002">
        <f t="shared" si="124"/>
        <v>4.333333333333333</v>
      </c>
      <c r="X1002" t="str">
        <f t="shared" si="125"/>
        <v>High Profit</v>
      </c>
      <c r="Y1002">
        <f t="shared" si="126"/>
        <v>122</v>
      </c>
      <c r="Z1002">
        <f t="shared" si="127"/>
        <v>318</v>
      </c>
    </row>
    <row r="1003" spans="1:26">
      <c r="A1003" s="5">
        <v>435</v>
      </c>
      <c r="B1003" s="5">
        <v>86</v>
      </c>
      <c r="C1003" s="6">
        <v>41548</v>
      </c>
      <c r="D1003" s="5" t="s">
        <v>32</v>
      </c>
      <c r="E1003" s="5" t="s">
        <v>29</v>
      </c>
      <c r="F1003" s="5">
        <v>26</v>
      </c>
      <c r="G1003" s="5" t="s">
        <v>18</v>
      </c>
      <c r="H1003" s="5" t="s">
        <v>19</v>
      </c>
      <c r="I1003" s="5" t="s">
        <v>22</v>
      </c>
      <c r="J1003" s="5">
        <v>-40</v>
      </c>
      <c r="K1003" s="5">
        <v>116</v>
      </c>
      <c r="L1003" s="5" t="s">
        <v>42</v>
      </c>
      <c r="M1003" s="5">
        <v>60</v>
      </c>
      <c r="N1003" s="5">
        <v>0</v>
      </c>
      <c r="O1003" s="5">
        <v>80</v>
      </c>
      <c r="P1003" s="5">
        <v>50</v>
      </c>
      <c r="Q1003">
        <f>SUM([1]!Table1[[#This Row],[Sales]])</f>
        <v>116</v>
      </c>
      <c r="R1003">
        <f>SUM([1]!Table1[[#This Row],[Profit]])</f>
        <v>-40</v>
      </c>
      <c r="S1003" s="7">
        <f t="shared" si="120"/>
        <v>-0.34482758620689657</v>
      </c>
      <c r="T1003">
        <f t="shared" si="121"/>
        <v>26</v>
      </c>
      <c r="U1003">
        <f t="shared" si="122"/>
        <v>36</v>
      </c>
      <c r="V1003">
        <f t="shared" si="123"/>
        <v>26</v>
      </c>
      <c r="W1003">
        <f t="shared" si="124"/>
        <v>-1.5384615384615385</v>
      </c>
      <c r="X1003" t="str">
        <f t="shared" si="125"/>
        <v>Low Profit</v>
      </c>
      <c r="Y1003">
        <f t="shared" si="126"/>
        <v>86</v>
      </c>
      <c r="Z1003">
        <f t="shared" si="127"/>
        <v>116</v>
      </c>
    </row>
    <row r="1004" spans="1:26">
      <c r="A1004" s="3">
        <v>775</v>
      </c>
      <c r="B1004" s="3">
        <v>257</v>
      </c>
      <c r="C1004" s="4">
        <v>41548</v>
      </c>
      <c r="D1004" s="3" t="s">
        <v>32</v>
      </c>
      <c r="E1004" s="3" t="s">
        <v>29</v>
      </c>
      <c r="F1004" s="3">
        <v>84</v>
      </c>
      <c r="G1004" s="3" t="s">
        <v>18</v>
      </c>
      <c r="H1004" s="3" t="s">
        <v>26</v>
      </c>
      <c r="I1004" s="3" t="s">
        <v>27</v>
      </c>
      <c r="J1004" s="3">
        <v>332</v>
      </c>
      <c r="K1004" s="3">
        <v>637</v>
      </c>
      <c r="L1004" s="3" t="s">
        <v>41</v>
      </c>
      <c r="M1004" s="3">
        <v>110</v>
      </c>
      <c r="N1004" s="3">
        <v>130</v>
      </c>
      <c r="O1004" s="3">
        <v>290</v>
      </c>
      <c r="P1004" s="3">
        <v>117</v>
      </c>
      <c r="Q1004">
        <f>SUM([1]!Table1[[#This Row],[Sales]])</f>
        <v>637</v>
      </c>
      <c r="R1004">
        <f>SUM([1]!Table1[[#This Row],[Profit]])</f>
        <v>332</v>
      </c>
      <c r="S1004" s="7">
        <f t="shared" si="120"/>
        <v>0.52119309262166402</v>
      </c>
      <c r="T1004">
        <f t="shared" si="121"/>
        <v>84</v>
      </c>
      <c r="U1004">
        <f t="shared" si="122"/>
        <v>347</v>
      </c>
      <c r="V1004">
        <f t="shared" si="123"/>
        <v>147</v>
      </c>
      <c r="W1004">
        <f t="shared" si="124"/>
        <v>3.9523809523809526</v>
      </c>
      <c r="X1004" t="str">
        <f t="shared" si="125"/>
        <v>High Profit</v>
      </c>
      <c r="Y1004">
        <f t="shared" si="126"/>
        <v>257</v>
      </c>
      <c r="Z1004">
        <f t="shared" si="127"/>
        <v>637</v>
      </c>
    </row>
    <row r="1005" spans="1:26">
      <c r="A1005" s="5">
        <v>971</v>
      </c>
      <c r="B1005" s="5">
        <v>21</v>
      </c>
      <c r="C1005" s="6">
        <v>41548</v>
      </c>
      <c r="D1005" s="5" t="s">
        <v>32</v>
      </c>
      <c r="E1005" s="5" t="s">
        <v>29</v>
      </c>
      <c r="F1005" s="5">
        <v>5</v>
      </c>
      <c r="G1005" s="5" t="s">
        <v>18</v>
      </c>
      <c r="H1005" s="5" t="s">
        <v>26</v>
      </c>
      <c r="I1005" s="5" t="s">
        <v>27</v>
      </c>
      <c r="J1005" s="5">
        <v>24</v>
      </c>
      <c r="K1005" s="5">
        <v>56</v>
      </c>
      <c r="L1005" s="5" t="s">
        <v>49</v>
      </c>
      <c r="M1005" s="5">
        <v>0</v>
      </c>
      <c r="N1005" s="5">
        <v>20</v>
      </c>
      <c r="O1005" s="5">
        <v>20</v>
      </c>
      <c r="P1005" s="5">
        <v>16</v>
      </c>
      <c r="Q1005">
        <f>SUM([1]!Table1[[#This Row],[Sales]])</f>
        <v>56</v>
      </c>
      <c r="R1005">
        <f>SUM([1]!Table1[[#This Row],[Profit]])</f>
        <v>24</v>
      </c>
      <c r="S1005" s="7">
        <f t="shared" si="120"/>
        <v>0.42857142857142855</v>
      </c>
      <c r="T1005">
        <f t="shared" si="121"/>
        <v>5</v>
      </c>
      <c r="U1005">
        <f t="shared" si="122"/>
        <v>36</v>
      </c>
      <c r="V1005">
        <f t="shared" si="123"/>
        <v>21</v>
      </c>
      <c r="W1005">
        <f t="shared" si="124"/>
        <v>4.8</v>
      </c>
      <c r="X1005" t="str">
        <f t="shared" si="125"/>
        <v>Low Profit</v>
      </c>
      <c r="Y1005">
        <f t="shared" si="126"/>
        <v>21</v>
      </c>
      <c r="Z1005">
        <f t="shared" si="127"/>
        <v>56</v>
      </c>
    </row>
    <row r="1006" spans="1:26">
      <c r="A1006" s="3">
        <v>775</v>
      </c>
      <c r="B1006" s="3">
        <v>239</v>
      </c>
      <c r="C1006" s="4">
        <v>41548</v>
      </c>
      <c r="D1006" s="3" t="s">
        <v>32</v>
      </c>
      <c r="E1006" s="3" t="s">
        <v>29</v>
      </c>
      <c r="F1006" s="3">
        <v>66</v>
      </c>
      <c r="G1006" s="3" t="s">
        <v>18</v>
      </c>
      <c r="H1006" s="3" t="s">
        <v>26</v>
      </c>
      <c r="I1006" s="3" t="s">
        <v>54</v>
      </c>
      <c r="J1006" s="3">
        <v>221</v>
      </c>
      <c r="K1006" s="3">
        <v>509</v>
      </c>
      <c r="L1006" s="3" t="s">
        <v>41</v>
      </c>
      <c r="M1006" s="3">
        <v>110</v>
      </c>
      <c r="N1006" s="3">
        <v>80</v>
      </c>
      <c r="O1006" s="3">
        <v>230</v>
      </c>
      <c r="P1006" s="3">
        <v>90</v>
      </c>
      <c r="Q1006">
        <f>SUM([1]!Table1[[#This Row],[Sales]])</f>
        <v>509</v>
      </c>
      <c r="R1006">
        <f>SUM([1]!Table1[[#This Row],[Profit]])</f>
        <v>221</v>
      </c>
      <c r="S1006" s="7">
        <f t="shared" si="120"/>
        <v>0.43418467583497056</v>
      </c>
      <c r="T1006">
        <f t="shared" si="121"/>
        <v>66</v>
      </c>
      <c r="U1006">
        <f t="shared" si="122"/>
        <v>279</v>
      </c>
      <c r="V1006">
        <f t="shared" si="123"/>
        <v>129</v>
      </c>
      <c r="W1006">
        <f t="shared" si="124"/>
        <v>3.3484848484848486</v>
      </c>
      <c r="X1006" t="str">
        <f t="shared" si="125"/>
        <v>High Profit</v>
      </c>
      <c r="Y1006">
        <f t="shared" si="126"/>
        <v>239</v>
      </c>
      <c r="Z1006">
        <f t="shared" si="127"/>
        <v>509</v>
      </c>
    </row>
    <row r="1007" spans="1:26">
      <c r="A1007" s="5">
        <v>702</v>
      </c>
      <c r="B1007" s="5">
        <v>255</v>
      </c>
      <c r="C1007" s="6">
        <v>41548</v>
      </c>
      <c r="D1007" s="5" t="s">
        <v>32</v>
      </c>
      <c r="E1007" s="5" t="s">
        <v>29</v>
      </c>
      <c r="F1007" s="5">
        <v>96</v>
      </c>
      <c r="G1007" s="5" t="s">
        <v>18</v>
      </c>
      <c r="H1007" s="5" t="s">
        <v>26</v>
      </c>
      <c r="I1007" s="5" t="s">
        <v>30</v>
      </c>
      <c r="J1007" s="5">
        <v>-539</v>
      </c>
      <c r="K1007" s="5">
        <v>22</v>
      </c>
      <c r="L1007" s="5" t="s">
        <v>41</v>
      </c>
      <c r="M1007" s="5">
        <v>110</v>
      </c>
      <c r="N1007" s="5">
        <v>-170</v>
      </c>
      <c r="O1007" s="5">
        <v>0</v>
      </c>
      <c r="P1007" s="5">
        <v>129</v>
      </c>
      <c r="Q1007">
        <f>SUM([1]!Table1[[#This Row],[Sales]])</f>
        <v>22</v>
      </c>
      <c r="R1007">
        <f>SUM([1]!Table1[[#This Row],[Profit]])</f>
        <v>-539</v>
      </c>
      <c r="S1007" s="7">
        <f t="shared" si="120"/>
        <v>-24.5</v>
      </c>
      <c r="T1007">
        <f t="shared" si="121"/>
        <v>96</v>
      </c>
      <c r="U1007">
        <f t="shared" si="122"/>
        <v>22</v>
      </c>
      <c r="V1007">
        <f t="shared" si="123"/>
        <v>145</v>
      </c>
      <c r="W1007">
        <f t="shared" si="124"/>
        <v>-5.614583333333333</v>
      </c>
      <c r="X1007" t="str">
        <f t="shared" si="125"/>
        <v>Low Profit</v>
      </c>
      <c r="Y1007">
        <f t="shared" si="126"/>
        <v>255</v>
      </c>
      <c r="Z1007">
        <f t="shared" si="127"/>
        <v>22</v>
      </c>
    </row>
    <row r="1008" spans="1:26">
      <c r="A1008" s="3">
        <v>435</v>
      </c>
      <c r="B1008" s="3">
        <v>25</v>
      </c>
      <c r="C1008" s="4">
        <v>41548</v>
      </c>
      <c r="D1008" s="3" t="s">
        <v>32</v>
      </c>
      <c r="E1008" s="3" t="s">
        <v>29</v>
      </c>
      <c r="F1008" s="3">
        <v>9</v>
      </c>
      <c r="G1008" s="3" t="s">
        <v>18</v>
      </c>
      <c r="H1008" s="3" t="s">
        <v>26</v>
      </c>
      <c r="I1008" s="3" t="s">
        <v>30</v>
      </c>
      <c r="J1008" s="3">
        <v>-18</v>
      </c>
      <c r="K1008" s="3">
        <v>60</v>
      </c>
      <c r="L1008" s="3" t="s">
        <v>42</v>
      </c>
      <c r="M1008" s="3">
        <v>0</v>
      </c>
      <c r="N1008" s="3">
        <v>10</v>
      </c>
      <c r="O1008" s="3">
        <v>20</v>
      </c>
      <c r="P1008" s="3">
        <v>43</v>
      </c>
      <c r="Q1008">
        <f>SUM([1]!Table1[[#This Row],[Sales]])</f>
        <v>60</v>
      </c>
      <c r="R1008">
        <f>SUM([1]!Table1[[#This Row],[Profit]])</f>
        <v>-18</v>
      </c>
      <c r="S1008" s="7">
        <f t="shared" si="120"/>
        <v>-0.3</v>
      </c>
      <c r="T1008">
        <f t="shared" si="121"/>
        <v>9</v>
      </c>
      <c r="U1008">
        <f t="shared" si="122"/>
        <v>40</v>
      </c>
      <c r="V1008">
        <f t="shared" si="123"/>
        <v>25</v>
      </c>
      <c r="W1008">
        <f t="shared" si="124"/>
        <v>-2</v>
      </c>
      <c r="X1008" t="str">
        <f t="shared" si="125"/>
        <v>Low Profit</v>
      </c>
      <c r="Y1008">
        <f t="shared" si="126"/>
        <v>25</v>
      </c>
      <c r="Z1008">
        <f t="shared" si="127"/>
        <v>60</v>
      </c>
    </row>
    <row r="1009" spans="1:26">
      <c r="A1009" s="5">
        <v>626</v>
      </c>
      <c r="B1009" s="5">
        <v>173</v>
      </c>
      <c r="C1009" s="6">
        <v>41579</v>
      </c>
      <c r="D1009" s="5" t="s">
        <v>16</v>
      </c>
      <c r="E1009" s="5" t="s">
        <v>29</v>
      </c>
      <c r="F1009" s="5">
        <v>57</v>
      </c>
      <c r="G1009" s="5" t="s">
        <v>33</v>
      </c>
      <c r="H1009" s="5" t="s">
        <v>38</v>
      </c>
      <c r="I1009" s="5" t="s">
        <v>39</v>
      </c>
      <c r="J1009" s="5">
        <v>-188</v>
      </c>
      <c r="K1009" s="5">
        <v>156</v>
      </c>
      <c r="L1009" s="5" t="s">
        <v>31</v>
      </c>
      <c r="M1009" s="5">
        <v>200</v>
      </c>
      <c r="N1009" s="5">
        <v>-130</v>
      </c>
      <c r="O1009" s="5">
        <v>170</v>
      </c>
      <c r="P1009" s="5">
        <v>100</v>
      </c>
      <c r="Q1009">
        <f>SUM([1]!Table1[[#This Row],[Sales]])</f>
        <v>156</v>
      </c>
      <c r="R1009">
        <f>SUM([1]!Table1[[#This Row],[Profit]])</f>
        <v>-188</v>
      </c>
      <c r="S1009" s="7">
        <f t="shared" si="120"/>
        <v>-1.2051282051282051</v>
      </c>
      <c r="T1009">
        <f t="shared" si="121"/>
        <v>57</v>
      </c>
      <c r="U1009">
        <f t="shared" si="122"/>
        <v>-14</v>
      </c>
      <c r="V1009">
        <f t="shared" si="123"/>
        <v>-27</v>
      </c>
      <c r="W1009">
        <f t="shared" si="124"/>
        <v>-3.2982456140350878</v>
      </c>
      <c r="X1009" t="str">
        <f t="shared" si="125"/>
        <v>Low Profit</v>
      </c>
      <c r="Y1009">
        <f t="shared" si="126"/>
        <v>173</v>
      </c>
      <c r="Z1009">
        <f t="shared" si="127"/>
        <v>156</v>
      </c>
    </row>
    <row r="1010" spans="1:26">
      <c r="A1010" s="3">
        <v>213</v>
      </c>
      <c r="B1010" s="3">
        <v>228</v>
      </c>
      <c r="C1010" s="4">
        <v>41579</v>
      </c>
      <c r="D1010" s="3" t="s">
        <v>16</v>
      </c>
      <c r="E1010" s="3" t="s">
        <v>29</v>
      </c>
      <c r="F1010" s="3">
        <v>75</v>
      </c>
      <c r="G1010" s="3" t="s">
        <v>33</v>
      </c>
      <c r="H1010" s="3" t="s">
        <v>34</v>
      </c>
      <c r="I1010" s="3" t="s">
        <v>35</v>
      </c>
      <c r="J1010" s="3">
        <v>292</v>
      </c>
      <c r="K1010" s="3">
        <v>567</v>
      </c>
      <c r="L1010" s="3" t="s">
        <v>31</v>
      </c>
      <c r="M1010" s="3">
        <v>220</v>
      </c>
      <c r="N1010" s="3">
        <v>190</v>
      </c>
      <c r="O1010" s="3">
        <v>510</v>
      </c>
      <c r="P1010" s="3">
        <v>107</v>
      </c>
      <c r="Q1010">
        <f>SUM([1]!Table1[[#This Row],[Sales]])</f>
        <v>567</v>
      </c>
      <c r="R1010">
        <f>SUM([1]!Table1[[#This Row],[Profit]])</f>
        <v>292</v>
      </c>
      <c r="S1010" s="7">
        <f t="shared" si="120"/>
        <v>0.5149911816578483</v>
      </c>
      <c r="T1010">
        <f t="shared" si="121"/>
        <v>75</v>
      </c>
      <c r="U1010">
        <f t="shared" si="122"/>
        <v>57</v>
      </c>
      <c r="V1010">
        <f t="shared" si="123"/>
        <v>8</v>
      </c>
      <c r="W1010">
        <f t="shared" si="124"/>
        <v>3.8933333333333335</v>
      </c>
      <c r="X1010" t="str">
        <f t="shared" si="125"/>
        <v>High Profit</v>
      </c>
      <c r="Y1010">
        <f t="shared" si="126"/>
        <v>228</v>
      </c>
      <c r="Z1010">
        <f t="shared" si="127"/>
        <v>567</v>
      </c>
    </row>
    <row r="1011" spans="1:26">
      <c r="A1011" s="5">
        <v>916</v>
      </c>
      <c r="B1011" s="5">
        <v>113</v>
      </c>
      <c r="C1011" s="6">
        <v>41579</v>
      </c>
      <c r="D1011" s="5" t="s">
        <v>16</v>
      </c>
      <c r="E1011" s="5" t="s">
        <v>29</v>
      </c>
      <c r="F1011" s="5">
        <v>36</v>
      </c>
      <c r="G1011" s="5" t="s">
        <v>33</v>
      </c>
      <c r="H1011" s="5" t="s">
        <v>38</v>
      </c>
      <c r="I1011" s="5" t="s">
        <v>43</v>
      </c>
      <c r="J1011" s="5">
        <v>-83</v>
      </c>
      <c r="K1011" s="5">
        <v>124</v>
      </c>
      <c r="L1011" s="5" t="s">
        <v>31</v>
      </c>
      <c r="M1011" s="5">
        <v>130</v>
      </c>
      <c r="N1011" s="5">
        <v>-50</v>
      </c>
      <c r="O1011" s="5">
        <v>130</v>
      </c>
      <c r="P1011" s="5">
        <v>59</v>
      </c>
      <c r="Q1011">
        <f>SUM([1]!Table1[[#This Row],[Sales]])</f>
        <v>124</v>
      </c>
      <c r="R1011">
        <f>SUM([1]!Table1[[#This Row],[Profit]])</f>
        <v>-83</v>
      </c>
      <c r="S1011" s="7">
        <f t="shared" si="120"/>
        <v>-0.66935483870967738</v>
      </c>
      <c r="T1011">
        <f t="shared" si="121"/>
        <v>36</v>
      </c>
      <c r="U1011">
        <f t="shared" si="122"/>
        <v>-6</v>
      </c>
      <c r="V1011">
        <f t="shared" si="123"/>
        <v>-17</v>
      </c>
      <c r="W1011">
        <f t="shared" si="124"/>
        <v>-2.3055555555555554</v>
      </c>
      <c r="X1011" t="str">
        <f t="shared" si="125"/>
        <v>Low Profit</v>
      </c>
      <c r="Y1011">
        <f t="shared" si="126"/>
        <v>113</v>
      </c>
      <c r="Z1011">
        <f t="shared" si="127"/>
        <v>124</v>
      </c>
    </row>
    <row r="1012" spans="1:26">
      <c r="A1012" s="3">
        <v>213</v>
      </c>
      <c r="B1012" s="3">
        <v>249</v>
      </c>
      <c r="C1012" s="4">
        <v>41579</v>
      </c>
      <c r="D1012" s="3" t="s">
        <v>16</v>
      </c>
      <c r="E1012" s="3" t="s">
        <v>29</v>
      </c>
      <c r="F1012" s="3">
        <v>87</v>
      </c>
      <c r="G1012" s="3" t="s">
        <v>33</v>
      </c>
      <c r="H1012" s="3" t="s">
        <v>38</v>
      </c>
      <c r="I1012" s="3" t="s">
        <v>45</v>
      </c>
      <c r="J1012" s="3">
        <v>349</v>
      </c>
      <c r="K1012" s="3">
        <v>664</v>
      </c>
      <c r="L1012" s="3" t="s">
        <v>31</v>
      </c>
      <c r="M1012" s="3">
        <v>290</v>
      </c>
      <c r="N1012" s="3">
        <v>310</v>
      </c>
      <c r="O1012" s="3">
        <v>740</v>
      </c>
      <c r="P1012" s="3">
        <v>139</v>
      </c>
      <c r="Q1012">
        <f>SUM([1]!Table1[[#This Row],[Sales]])</f>
        <v>664</v>
      </c>
      <c r="R1012">
        <f>SUM([1]!Table1[[#This Row],[Profit]])</f>
        <v>349</v>
      </c>
      <c r="S1012" s="7">
        <f t="shared" si="120"/>
        <v>0.5256024096385542</v>
      </c>
      <c r="T1012">
        <f t="shared" si="121"/>
        <v>87</v>
      </c>
      <c r="U1012">
        <f t="shared" si="122"/>
        <v>-76</v>
      </c>
      <c r="V1012">
        <f t="shared" si="123"/>
        <v>-41</v>
      </c>
      <c r="W1012">
        <f t="shared" si="124"/>
        <v>4.0114942528735629</v>
      </c>
      <c r="X1012" t="str">
        <f t="shared" si="125"/>
        <v>High Profit</v>
      </c>
      <c r="Y1012">
        <f t="shared" si="126"/>
        <v>249</v>
      </c>
      <c r="Z1012">
        <f t="shared" si="127"/>
        <v>664</v>
      </c>
    </row>
    <row r="1013" spans="1:26">
      <c r="A1013" s="5">
        <v>951</v>
      </c>
      <c r="B1013" s="5">
        <v>211</v>
      </c>
      <c r="C1013" s="6">
        <v>41579</v>
      </c>
      <c r="D1013" s="5" t="s">
        <v>16</v>
      </c>
      <c r="E1013" s="5" t="s">
        <v>29</v>
      </c>
      <c r="F1013" s="5">
        <v>59</v>
      </c>
      <c r="G1013" s="5" t="s">
        <v>33</v>
      </c>
      <c r="H1013" s="5" t="s">
        <v>34</v>
      </c>
      <c r="I1013" s="5" t="s">
        <v>47</v>
      </c>
      <c r="J1013" s="5">
        <v>191</v>
      </c>
      <c r="K1013" s="5">
        <v>451</v>
      </c>
      <c r="L1013" s="5" t="s">
        <v>31</v>
      </c>
      <c r="M1013" s="5">
        <v>200</v>
      </c>
      <c r="N1013" s="5">
        <v>140</v>
      </c>
      <c r="O1013" s="5">
        <v>410</v>
      </c>
      <c r="P1013" s="5">
        <v>83</v>
      </c>
      <c r="Q1013">
        <f>SUM([1]!Table1[[#This Row],[Sales]])</f>
        <v>451</v>
      </c>
      <c r="R1013">
        <f>SUM([1]!Table1[[#This Row],[Profit]])</f>
        <v>191</v>
      </c>
      <c r="S1013" s="7">
        <f t="shared" si="120"/>
        <v>0.42350332594235035</v>
      </c>
      <c r="T1013">
        <f t="shared" si="121"/>
        <v>59</v>
      </c>
      <c r="U1013">
        <f t="shared" si="122"/>
        <v>41</v>
      </c>
      <c r="V1013">
        <f t="shared" si="123"/>
        <v>11</v>
      </c>
      <c r="W1013">
        <f t="shared" si="124"/>
        <v>3.2372881355932202</v>
      </c>
      <c r="X1013" t="str">
        <f t="shared" si="125"/>
        <v>High Profit</v>
      </c>
      <c r="Y1013">
        <f t="shared" si="126"/>
        <v>211</v>
      </c>
      <c r="Z1013">
        <f t="shared" si="127"/>
        <v>451</v>
      </c>
    </row>
    <row r="1014" spans="1:26">
      <c r="A1014" s="3">
        <v>916</v>
      </c>
      <c r="B1014" s="3">
        <v>121</v>
      </c>
      <c r="C1014" s="4">
        <v>41579</v>
      </c>
      <c r="D1014" s="3" t="s">
        <v>16</v>
      </c>
      <c r="E1014" s="3" t="s">
        <v>29</v>
      </c>
      <c r="F1014" s="3">
        <v>109</v>
      </c>
      <c r="G1014" s="3" t="s">
        <v>33</v>
      </c>
      <c r="H1014" s="3" t="s">
        <v>34</v>
      </c>
      <c r="I1014" s="3" t="s">
        <v>46</v>
      </c>
      <c r="J1014" s="3">
        <v>39</v>
      </c>
      <c r="K1014" s="3">
        <v>308</v>
      </c>
      <c r="L1014" s="3" t="s">
        <v>31</v>
      </c>
      <c r="M1014" s="3">
        <v>110</v>
      </c>
      <c r="N1014" s="3">
        <v>40</v>
      </c>
      <c r="O1014" s="3">
        <v>280</v>
      </c>
      <c r="P1014" s="3">
        <v>142</v>
      </c>
      <c r="Q1014">
        <f>SUM([1]!Table1[[#This Row],[Sales]])</f>
        <v>308</v>
      </c>
      <c r="R1014">
        <f>SUM([1]!Table1[[#This Row],[Profit]])</f>
        <v>39</v>
      </c>
      <c r="S1014" s="7">
        <f t="shared" si="120"/>
        <v>0.12662337662337661</v>
      </c>
      <c r="T1014">
        <f t="shared" si="121"/>
        <v>109</v>
      </c>
      <c r="U1014">
        <f t="shared" si="122"/>
        <v>28</v>
      </c>
      <c r="V1014">
        <f t="shared" si="123"/>
        <v>11</v>
      </c>
      <c r="W1014">
        <f t="shared" si="124"/>
        <v>0.3577981651376147</v>
      </c>
      <c r="X1014" t="str">
        <f t="shared" si="125"/>
        <v>Low Profit</v>
      </c>
      <c r="Y1014">
        <f t="shared" si="126"/>
        <v>121</v>
      </c>
      <c r="Z1014">
        <f t="shared" si="127"/>
        <v>308</v>
      </c>
    </row>
    <row r="1015" spans="1:26">
      <c r="A1015" s="5">
        <v>760</v>
      </c>
      <c r="B1015" s="5">
        <v>81</v>
      </c>
      <c r="C1015" s="6">
        <v>41579</v>
      </c>
      <c r="D1015" s="5" t="s">
        <v>16</v>
      </c>
      <c r="E1015" s="5" t="s">
        <v>29</v>
      </c>
      <c r="F1015" s="5">
        <v>22</v>
      </c>
      <c r="G1015" s="5" t="s">
        <v>18</v>
      </c>
      <c r="H1015" s="5" t="s">
        <v>19</v>
      </c>
      <c r="I1015" s="5" t="s">
        <v>50</v>
      </c>
      <c r="J1015" s="5">
        <v>125</v>
      </c>
      <c r="K1015" s="5">
        <v>211</v>
      </c>
      <c r="L1015" s="5" t="s">
        <v>31</v>
      </c>
      <c r="M1015" s="5">
        <v>70</v>
      </c>
      <c r="N1015" s="5">
        <v>80</v>
      </c>
      <c r="O1015" s="5">
        <v>180</v>
      </c>
      <c r="P1015" s="5">
        <v>33</v>
      </c>
      <c r="Q1015">
        <f>SUM([1]!Table1[[#This Row],[Sales]])</f>
        <v>211</v>
      </c>
      <c r="R1015">
        <f>SUM([1]!Table1[[#This Row],[Profit]])</f>
        <v>125</v>
      </c>
      <c r="S1015" s="7">
        <f t="shared" si="120"/>
        <v>0.59241706161137442</v>
      </c>
      <c r="T1015">
        <f t="shared" si="121"/>
        <v>22</v>
      </c>
      <c r="U1015">
        <f t="shared" si="122"/>
        <v>31</v>
      </c>
      <c r="V1015">
        <f t="shared" si="123"/>
        <v>11</v>
      </c>
      <c r="W1015">
        <f t="shared" si="124"/>
        <v>5.6818181818181817</v>
      </c>
      <c r="X1015" t="str">
        <f t="shared" si="125"/>
        <v>High Profit</v>
      </c>
      <c r="Y1015">
        <f t="shared" si="126"/>
        <v>81</v>
      </c>
      <c r="Z1015">
        <f t="shared" si="127"/>
        <v>211</v>
      </c>
    </row>
    <row r="1016" spans="1:26">
      <c r="A1016" s="3">
        <v>510</v>
      </c>
      <c r="B1016" s="3">
        <v>225</v>
      </c>
      <c r="C1016" s="4">
        <v>41579</v>
      </c>
      <c r="D1016" s="3" t="s">
        <v>16</v>
      </c>
      <c r="E1016" s="3" t="s">
        <v>29</v>
      </c>
      <c r="F1016" s="3">
        <v>69</v>
      </c>
      <c r="G1016" s="3" t="s">
        <v>18</v>
      </c>
      <c r="H1016" s="3" t="s">
        <v>19</v>
      </c>
      <c r="I1016" s="3" t="s">
        <v>20</v>
      </c>
      <c r="J1016" s="3">
        <v>258</v>
      </c>
      <c r="K1016" s="3">
        <v>522</v>
      </c>
      <c r="L1016" s="3" t="s">
        <v>31</v>
      </c>
      <c r="M1016" s="3">
        <v>210</v>
      </c>
      <c r="N1016" s="3">
        <v>160</v>
      </c>
      <c r="O1016" s="3">
        <v>450</v>
      </c>
      <c r="P1016" s="3">
        <v>91</v>
      </c>
      <c r="Q1016">
        <f>SUM([1]!Table1[[#This Row],[Sales]])</f>
        <v>522</v>
      </c>
      <c r="R1016">
        <f>SUM([1]!Table1[[#This Row],[Profit]])</f>
        <v>258</v>
      </c>
      <c r="S1016" s="7">
        <f t="shared" si="120"/>
        <v>0.4942528735632184</v>
      </c>
      <c r="T1016">
        <f t="shared" si="121"/>
        <v>69</v>
      </c>
      <c r="U1016">
        <f t="shared" si="122"/>
        <v>72</v>
      </c>
      <c r="V1016">
        <f t="shared" si="123"/>
        <v>15</v>
      </c>
      <c r="W1016">
        <f t="shared" si="124"/>
        <v>3.7391304347826089</v>
      </c>
      <c r="X1016" t="str">
        <f t="shared" si="125"/>
        <v>High Profit</v>
      </c>
      <c r="Y1016">
        <f t="shared" si="126"/>
        <v>225</v>
      </c>
      <c r="Z1016">
        <f t="shared" si="127"/>
        <v>522</v>
      </c>
    </row>
    <row r="1017" spans="1:26">
      <c r="A1017" s="5">
        <v>805</v>
      </c>
      <c r="B1017" s="5">
        <v>118</v>
      </c>
      <c r="C1017" s="6">
        <v>41579</v>
      </c>
      <c r="D1017" s="5" t="s">
        <v>16</v>
      </c>
      <c r="E1017" s="5" t="s">
        <v>29</v>
      </c>
      <c r="F1017" s="5">
        <v>33</v>
      </c>
      <c r="G1017" s="5" t="s">
        <v>18</v>
      </c>
      <c r="H1017" s="5" t="s">
        <v>26</v>
      </c>
      <c r="I1017" s="5" t="s">
        <v>27</v>
      </c>
      <c r="J1017" s="5">
        <v>190</v>
      </c>
      <c r="K1017" s="5">
        <v>309</v>
      </c>
      <c r="L1017" s="5" t="s">
        <v>31</v>
      </c>
      <c r="M1017" s="5">
        <v>80</v>
      </c>
      <c r="N1017" s="5">
        <v>110</v>
      </c>
      <c r="O1017" s="5">
        <v>210</v>
      </c>
      <c r="P1017" s="5">
        <v>44</v>
      </c>
      <c r="Q1017">
        <f>SUM([1]!Table1[[#This Row],[Sales]])</f>
        <v>309</v>
      </c>
      <c r="R1017">
        <f>SUM([1]!Table1[[#This Row],[Profit]])</f>
        <v>190</v>
      </c>
      <c r="S1017" s="7">
        <f t="shared" si="120"/>
        <v>0.61488673139158578</v>
      </c>
      <c r="T1017">
        <f t="shared" si="121"/>
        <v>33</v>
      </c>
      <c r="U1017">
        <f t="shared" si="122"/>
        <v>99</v>
      </c>
      <c r="V1017">
        <f t="shared" si="123"/>
        <v>38</v>
      </c>
      <c r="W1017">
        <f t="shared" si="124"/>
        <v>5.7575757575757578</v>
      </c>
      <c r="X1017" t="str">
        <f t="shared" si="125"/>
        <v>High Profit</v>
      </c>
      <c r="Y1017">
        <f t="shared" si="126"/>
        <v>118</v>
      </c>
      <c r="Z1017">
        <f t="shared" si="127"/>
        <v>309</v>
      </c>
    </row>
    <row r="1018" spans="1:26">
      <c r="A1018" s="3">
        <v>435</v>
      </c>
      <c r="B1018" s="3">
        <v>82</v>
      </c>
      <c r="C1018" s="4">
        <v>41579</v>
      </c>
      <c r="D1018" s="3" t="s">
        <v>32</v>
      </c>
      <c r="E1018" s="3" t="s">
        <v>29</v>
      </c>
      <c r="F1018" s="3">
        <v>31</v>
      </c>
      <c r="G1018" s="3" t="s">
        <v>33</v>
      </c>
      <c r="H1018" s="3" t="s">
        <v>38</v>
      </c>
      <c r="I1018" s="3" t="s">
        <v>39</v>
      </c>
      <c r="J1018" s="3">
        <v>56</v>
      </c>
      <c r="K1018" s="3">
        <v>196</v>
      </c>
      <c r="L1018" s="3" t="s">
        <v>42</v>
      </c>
      <c r="M1018" s="3">
        <v>90</v>
      </c>
      <c r="N1018" s="3">
        <v>60</v>
      </c>
      <c r="O1018" s="3">
        <v>210</v>
      </c>
      <c r="P1018" s="3">
        <v>64</v>
      </c>
      <c r="Q1018">
        <f>SUM([1]!Table1[[#This Row],[Sales]])</f>
        <v>196</v>
      </c>
      <c r="R1018">
        <f>SUM([1]!Table1[[#This Row],[Profit]])</f>
        <v>56</v>
      </c>
      <c r="S1018" s="7">
        <f t="shared" si="120"/>
        <v>0.2857142857142857</v>
      </c>
      <c r="T1018">
        <f t="shared" si="121"/>
        <v>31</v>
      </c>
      <c r="U1018">
        <f t="shared" si="122"/>
        <v>-14</v>
      </c>
      <c r="V1018">
        <f t="shared" si="123"/>
        <v>-8</v>
      </c>
      <c r="W1018">
        <f t="shared" si="124"/>
        <v>1.8064516129032258</v>
      </c>
      <c r="X1018" t="str">
        <f t="shared" si="125"/>
        <v>Low Profit</v>
      </c>
      <c r="Y1018">
        <f t="shared" si="126"/>
        <v>82</v>
      </c>
      <c r="Z1018">
        <f t="shared" si="127"/>
        <v>196</v>
      </c>
    </row>
    <row r="1019" spans="1:26">
      <c r="A1019" s="5">
        <v>509</v>
      </c>
      <c r="B1019" s="5">
        <v>94</v>
      </c>
      <c r="C1019" s="6">
        <v>41579</v>
      </c>
      <c r="D1019" s="5" t="s">
        <v>32</v>
      </c>
      <c r="E1019" s="5" t="s">
        <v>29</v>
      </c>
      <c r="F1019" s="5">
        <v>85</v>
      </c>
      <c r="G1019" s="5" t="s">
        <v>33</v>
      </c>
      <c r="H1019" s="5" t="s">
        <v>38</v>
      </c>
      <c r="I1019" s="5" t="s">
        <v>39</v>
      </c>
      <c r="J1019" s="5">
        <v>24</v>
      </c>
      <c r="K1019" s="5">
        <v>239</v>
      </c>
      <c r="L1019" s="5" t="s">
        <v>53</v>
      </c>
      <c r="M1019" s="5">
        <v>110</v>
      </c>
      <c r="N1019" s="5">
        <v>40</v>
      </c>
      <c r="O1019" s="5">
        <v>260</v>
      </c>
      <c r="P1019" s="5">
        <v>114</v>
      </c>
      <c r="Q1019">
        <f>SUM([1]!Table1[[#This Row],[Sales]])</f>
        <v>239</v>
      </c>
      <c r="R1019">
        <f>SUM([1]!Table1[[#This Row],[Profit]])</f>
        <v>24</v>
      </c>
      <c r="S1019" s="7">
        <f t="shared" si="120"/>
        <v>0.100418410041841</v>
      </c>
      <c r="T1019">
        <f t="shared" si="121"/>
        <v>85</v>
      </c>
      <c r="U1019">
        <f t="shared" si="122"/>
        <v>-21</v>
      </c>
      <c r="V1019">
        <f t="shared" si="123"/>
        <v>-16</v>
      </c>
      <c r="W1019">
        <f t="shared" si="124"/>
        <v>0.28235294117647058</v>
      </c>
      <c r="X1019" t="str">
        <f t="shared" si="125"/>
        <v>Low Profit</v>
      </c>
      <c r="Y1019">
        <f t="shared" si="126"/>
        <v>94</v>
      </c>
      <c r="Z1019">
        <f t="shared" si="127"/>
        <v>239</v>
      </c>
    </row>
    <row r="1020" spans="1:26">
      <c r="A1020" s="3">
        <v>971</v>
      </c>
      <c r="B1020" s="3">
        <v>181</v>
      </c>
      <c r="C1020" s="4">
        <v>41579</v>
      </c>
      <c r="D1020" s="3" t="s">
        <v>32</v>
      </c>
      <c r="E1020" s="3" t="s">
        <v>29</v>
      </c>
      <c r="F1020" s="3">
        <v>50</v>
      </c>
      <c r="G1020" s="3" t="s">
        <v>33</v>
      </c>
      <c r="H1020" s="3" t="s">
        <v>34</v>
      </c>
      <c r="I1020" s="3" t="s">
        <v>35</v>
      </c>
      <c r="J1020" s="3">
        <v>160</v>
      </c>
      <c r="K1020" s="3">
        <v>387</v>
      </c>
      <c r="L1020" s="3" t="s">
        <v>49</v>
      </c>
      <c r="M1020" s="3">
        <v>170</v>
      </c>
      <c r="N1020" s="3">
        <v>120</v>
      </c>
      <c r="O1020" s="3">
        <v>350</v>
      </c>
      <c r="P1020" s="3">
        <v>74</v>
      </c>
      <c r="Q1020">
        <f>SUM([1]!Table1[[#This Row],[Sales]])</f>
        <v>387</v>
      </c>
      <c r="R1020">
        <f>SUM([1]!Table1[[#This Row],[Profit]])</f>
        <v>160</v>
      </c>
      <c r="S1020" s="7">
        <f t="shared" si="120"/>
        <v>0.41343669250645992</v>
      </c>
      <c r="T1020">
        <f t="shared" si="121"/>
        <v>50</v>
      </c>
      <c r="U1020">
        <f t="shared" si="122"/>
        <v>37</v>
      </c>
      <c r="V1020">
        <f t="shared" si="123"/>
        <v>11</v>
      </c>
      <c r="W1020">
        <f t="shared" si="124"/>
        <v>3.2</v>
      </c>
      <c r="X1020" t="str">
        <f t="shared" si="125"/>
        <v>High Profit</v>
      </c>
      <c r="Y1020">
        <f t="shared" si="126"/>
        <v>181</v>
      </c>
      <c r="Z1020">
        <f t="shared" si="127"/>
        <v>387</v>
      </c>
    </row>
    <row r="1021" spans="1:26">
      <c r="A1021" s="5">
        <v>435</v>
      </c>
      <c r="B1021" s="5">
        <v>69</v>
      </c>
      <c r="C1021" s="6">
        <v>41579</v>
      </c>
      <c r="D1021" s="5" t="s">
        <v>32</v>
      </c>
      <c r="E1021" s="5" t="s">
        <v>29</v>
      </c>
      <c r="F1021" s="5">
        <v>21</v>
      </c>
      <c r="G1021" s="5" t="s">
        <v>33</v>
      </c>
      <c r="H1021" s="5" t="s">
        <v>38</v>
      </c>
      <c r="I1021" s="5" t="s">
        <v>43</v>
      </c>
      <c r="J1021" s="5">
        <v>58</v>
      </c>
      <c r="K1021" s="5">
        <v>160</v>
      </c>
      <c r="L1021" s="5" t="s">
        <v>42</v>
      </c>
      <c r="M1021" s="5">
        <v>80</v>
      </c>
      <c r="N1021" s="5">
        <v>50</v>
      </c>
      <c r="O1021" s="5">
        <v>170</v>
      </c>
      <c r="P1021" s="5">
        <v>42</v>
      </c>
      <c r="Q1021">
        <f>SUM([1]!Table1[[#This Row],[Sales]])</f>
        <v>160</v>
      </c>
      <c r="R1021">
        <f>SUM([1]!Table1[[#This Row],[Profit]])</f>
        <v>58</v>
      </c>
      <c r="S1021" s="7">
        <f t="shared" si="120"/>
        <v>0.36249999999999999</v>
      </c>
      <c r="T1021">
        <f t="shared" si="121"/>
        <v>21</v>
      </c>
      <c r="U1021">
        <f t="shared" si="122"/>
        <v>-10</v>
      </c>
      <c r="V1021">
        <f t="shared" si="123"/>
        <v>-11</v>
      </c>
      <c r="W1021">
        <f t="shared" si="124"/>
        <v>2.7619047619047619</v>
      </c>
      <c r="X1021" t="str">
        <f t="shared" si="125"/>
        <v>Low Profit</v>
      </c>
      <c r="Y1021">
        <f t="shared" si="126"/>
        <v>69</v>
      </c>
      <c r="Z1021">
        <f t="shared" si="127"/>
        <v>160</v>
      </c>
    </row>
    <row r="1022" spans="1:26">
      <c r="A1022" s="3">
        <v>541</v>
      </c>
      <c r="B1022" s="3">
        <v>53</v>
      </c>
      <c r="C1022" s="4">
        <v>41579</v>
      </c>
      <c r="D1022" s="3" t="s">
        <v>32</v>
      </c>
      <c r="E1022" s="3" t="s">
        <v>29</v>
      </c>
      <c r="F1022" s="3">
        <v>17</v>
      </c>
      <c r="G1022" s="3" t="s">
        <v>33</v>
      </c>
      <c r="H1022" s="3" t="s">
        <v>38</v>
      </c>
      <c r="I1022" s="3" t="s">
        <v>45</v>
      </c>
      <c r="J1022" s="3">
        <v>21</v>
      </c>
      <c r="K1022" s="3">
        <v>136</v>
      </c>
      <c r="L1022" s="3" t="s">
        <v>49</v>
      </c>
      <c r="M1022" s="3">
        <v>60</v>
      </c>
      <c r="N1022" s="3">
        <v>40</v>
      </c>
      <c r="O1022" s="3">
        <v>150</v>
      </c>
      <c r="P1022" s="3">
        <v>61</v>
      </c>
      <c r="Q1022">
        <f>SUM([1]!Table1[[#This Row],[Sales]])</f>
        <v>136</v>
      </c>
      <c r="R1022">
        <f>SUM([1]!Table1[[#This Row],[Profit]])</f>
        <v>21</v>
      </c>
      <c r="S1022" s="7">
        <f t="shared" si="120"/>
        <v>0.15441176470588236</v>
      </c>
      <c r="T1022">
        <f t="shared" si="121"/>
        <v>17</v>
      </c>
      <c r="U1022">
        <f t="shared" si="122"/>
        <v>-14</v>
      </c>
      <c r="V1022">
        <f t="shared" si="123"/>
        <v>-7</v>
      </c>
      <c r="W1022">
        <f t="shared" si="124"/>
        <v>1.2352941176470589</v>
      </c>
      <c r="X1022" t="str">
        <f t="shared" si="125"/>
        <v>Low Profit</v>
      </c>
      <c r="Y1022">
        <f t="shared" si="126"/>
        <v>53</v>
      </c>
      <c r="Z1022">
        <f t="shared" si="127"/>
        <v>136</v>
      </c>
    </row>
    <row r="1023" spans="1:26">
      <c r="A1023" s="5">
        <v>253</v>
      </c>
      <c r="B1023" s="5">
        <v>63</v>
      </c>
      <c r="C1023" s="6">
        <v>41579</v>
      </c>
      <c r="D1023" s="5" t="s">
        <v>32</v>
      </c>
      <c r="E1023" s="5" t="s">
        <v>29</v>
      </c>
      <c r="F1023" s="5">
        <v>20</v>
      </c>
      <c r="G1023" s="5" t="s">
        <v>33</v>
      </c>
      <c r="H1023" s="5" t="s">
        <v>38</v>
      </c>
      <c r="I1023" s="5" t="s">
        <v>45</v>
      </c>
      <c r="J1023" s="5">
        <v>74</v>
      </c>
      <c r="K1023" s="5">
        <v>166</v>
      </c>
      <c r="L1023" s="5" t="s">
        <v>53</v>
      </c>
      <c r="M1023" s="5">
        <v>70</v>
      </c>
      <c r="N1023" s="5">
        <v>70</v>
      </c>
      <c r="O1023" s="5">
        <v>180</v>
      </c>
      <c r="P1023" s="5">
        <v>43</v>
      </c>
      <c r="Q1023">
        <f>SUM([1]!Table1[[#This Row],[Sales]])</f>
        <v>166</v>
      </c>
      <c r="R1023">
        <f>SUM([1]!Table1[[#This Row],[Profit]])</f>
        <v>74</v>
      </c>
      <c r="S1023" s="7">
        <f t="shared" si="120"/>
        <v>0.44578313253012047</v>
      </c>
      <c r="T1023">
        <f t="shared" si="121"/>
        <v>20</v>
      </c>
      <c r="U1023">
        <f t="shared" si="122"/>
        <v>-14</v>
      </c>
      <c r="V1023">
        <f t="shared" si="123"/>
        <v>-7</v>
      </c>
      <c r="W1023">
        <f t="shared" si="124"/>
        <v>3.7</v>
      </c>
      <c r="X1023" t="str">
        <f t="shared" si="125"/>
        <v>Low Profit</v>
      </c>
      <c r="Y1023">
        <f t="shared" si="126"/>
        <v>63</v>
      </c>
      <c r="Z1023">
        <f t="shared" si="127"/>
        <v>166</v>
      </c>
    </row>
    <row r="1024" spans="1:26">
      <c r="A1024" s="3">
        <v>775</v>
      </c>
      <c r="B1024" s="3">
        <v>15</v>
      </c>
      <c r="C1024" s="4">
        <v>41579</v>
      </c>
      <c r="D1024" s="3" t="s">
        <v>32</v>
      </c>
      <c r="E1024" s="3" t="s">
        <v>29</v>
      </c>
      <c r="F1024" s="3">
        <v>4</v>
      </c>
      <c r="G1024" s="3" t="s">
        <v>33</v>
      </c>
      <c r="H1024" s="3" t="s">
        <v>34</v>
      </c>
      <c r="I1024" s="3" t="s">
        <v>46</v>
      </c>
      <c r="J1024" s="3">
        <v>13</v>
      </c>
      <c r="K1024" s="3">
        <v>42</v>
      </c>
      <c r="L1024" s="3" t="s">
        <v>41</v>
      </c>
      <c r="M1024" s="3">
        <v>10</v>
      </c>
      <c r="N1024" s="3">
        <v>10</v>
      </c>
      <c r="O1024" s="3">
        <v>30</v>
      </c>
      <c r="P1024" s="3">
        <v>15</v>
      </c>
      <c r="Q1024">
        <f>SUM([1]!Table1[[#This Row],[Sales]])</f>
        <v>42</v>
      </c>
      <c r="R1024">
        <f>SUM([1]!Table1[[#This Row],[Profit]])</f>
        <v>13</v>
      </c>
      <c r="S1024" s="7">
        <f t="shared" si="120"/>
        <v>0.30952380952380953</v>
      </c>
      <c r="T1024">
        <f t="shared" si="121"/>
        <v>4</v>
      </c>
      <c r="U1024">
        <f t="shared" si="122"/>
        <v>12</v>
      </c>
      <c r="V1024">
        <f t="shared" si="123"/>
        <v>5</v>
      </c>
      <c r="W1024">
        <f t="shared" si="124"/>
        <v>3.25</v>
      </c>
      <c r="X1024" t="str">
        <f t="shared" si="125"/>
        <v>Low Profit</v>
      </c>
      <c r="Y1024">
        <f t="shared" si="126"/>
        <v>15</v>
      </c>
      <c r="Z1024">
        <f t="shared" si="127"/>
        <v>42</v>
      </c>
    </row>
    <row r="1025" spans="1:26">
      <c r="A1025" s="5">
        <v>801</v>
      </c>
      <c r="B1025" s="5">
        <v>101</v>
      </c>
      <c r="C1025" s="6">
        <v>41579</v>
      </c>
      <c r="D1025" s="5" t="s">
        <v>32</v>
      </c>
      <c r="E1025" s="5" t="s">
        <v>29</v>
      </c>
      <c r="F1025" s="5">
        <v>33</v>
      </c>
      <c r="G1025" s="5" t="s">
        <v>33</v>
      </c>
      <c r="H1025" s="5" t="s">
        <v>34</v>
      </c>
      <c r="I1025" s="5" t="s">
        <v>46</v>
      </c>
      <c r="J1025" s="5">
        <v>126</v>
      </c>
      <c r="K1025" s="5">
        <v>246</v>
      </c>
      <c r="L1025" s="5" t="s">
        <v>42</v>
      </c>
      <c r="M1025" s="5">
        <v>90</v>
      </c>
      <c r="N1025" s="5">
        <v>90</v>
      </c>
      <c r="O1025" s="5">
        <v>220</v>
      </c>
      <c r="P1025" s="5">
        <v>45</v>
      </c>
      <c r="Q1025">
        <f>SUM([1]!Table1[[#This Row],[Sales]])</f>
        <v>246</v>
      </c>
      <c r="R1025">
        <f>SUM([1]!Table1[[#This Row],[Profit]])</f>
        <v>126</v>
      </c>
      <c r="S1025" s="7">
        <f t="shared" si="120"/>
        <v>0.51219512195121952</v>
      </c>
      <c r="T1025">
        <f t="shared" si="121"/>
        <v>33</v>
      </c>
      <c r="U1025">
        <f t="shared" si="122"/>
        <v>26</v>
      </c>
      <c r="V1025">
        <f t="shared" si="123"/>
        <v>11</v>
      </c>
      <c r="W1025">
        <f t="shared" si="124"/>
        <v>3.8181818181818183</v>
      </c>
      <c r="X1025" t="str">
        <f t="shared" si="125"/>
        <v>High Profit</v>
      </c>
      <c r="Y1025">
        <f t="shared" si="126"/>
        <v>101</v>
      </c>
      <c r="Z1025">
        <f t="shared" si="127"/>
        <v>246</v>
      </c>
    </row>
    <row r="1026" spans="1:26">
      <c r="A1026" s="3">
        <v>702</v>
      </c>
      <c r="B1026" s="3">
        <v>121</v>
      </c>
      <c r="C1026" s="4">
        <v>41579</v>
      </c>
      <c r="D1026" s="3" t="s">
        <v>32</v>
      </c>
      <c r="E1026" s="3" t="s">
        <v>29</v>
      </c>
      <c r="F1026" s="3">
        <v>109</v>
      </c>
      <c r="G1026" s="3" t="s">
        <v>18</v>
      </c>
      <c r="H1026" s="3" t="s">
        <v>19</v>
      </c>
      <c r="I1026" s="3" t="s">
        <v>50</v>
      </c>
      <c r="J1026" s="3">
        <v>39</v>
      </c>
      <c r="K1026" s="3">
        <v>308</v>
      </c>
      <c r="L1026" s="3" t="s">
        <v>41</v>
      </c>
      <c r="M1026" s="3">
        <v>110</v>
      </c>
      <c r="N1026" s="3">
        <v>20</v>
      </c>
      <c r="O1026" s="3">
        <v>260</v>
      </c>
      <c r="P1026" s="3">
        <v>142</v>
      </c>
      <c r="Q1026">
        <f>SUM([1]!Table1[[#This Row],[Sales]])</f>
        <v>308</v>
      </c>
      <c r="R1026">
        <f>SUM([1]!Table1[[#This Row],[Profit]])</f>
        <v>39</v>
      </c>
      <c r="S1026" s="7">
        <f t="shared" si="120"/>
        <v>0.12662337662337661</v>
      </c>
      <c r="T1026">
        <f t="shared" si="121"/>
        <v>109</v>
      </c>
      <c r="U1026">
        <f t="shared" si="122"/>
        <v>48</v>
      </c>
      <c r="V1026">
        <f t="shared" si="123"/>
        <v>11</v>
      </c>
      <c r="W1026">
        <f t="shared" si="124"/>
        <v>0.3577981651376147</v>
      </c>
      <c r="X1026" t="str">
        <f t="shared" si="125"/>
        <v>Low Profit</v>
      </c>
      <c r="Y1026">
        <f t="shared" si="126"/>
        <v>121</v>
      </c>
      <c r="Z1026">
        <f t="shared" si="127"/>
        <v>308</v>
      </c>
    </row>
    <row r="1027" spans="1:26">
      <c r="A1027" s="5">
        <v>206</v>
      </c>
      <c r="B1027" s="5">
        <v>130</v>
      </c>
      <c r="C1027" s="6">
        <v>41579</v>
      </c>
      <c r="D1027" s="5" t="s">
        <v>32</v>
      </c>
      <c r="E1027" s="5" t="s">
        <v>29</v>
      </c>
      <c r="F1027" s="5">
        <v>42</v>
      </c>
      <c r="G1027" s="5" t="s">
        <v>18</v>
      </c>
      <c r="H1027" s="5" t="s">
        <v>19</v>
      </c>
      <c r="I1027" s="5" t="s">
        <v>50</v>
      </c>
      <c r="J1027" s="5">
        <v>181</v>
      </c>
      <c r="K1027" s="5">
        <v>346</v>
      </c>
      <c r="L1027" s="5" t="s">
        <v>53</v>
      </c>
      <c r="M1027" s="5">
        <v>120</v>
      </c>
      <c r="N1027" s="5">
        <v>120</v>
      </c>
      <c r="O1027" s="5">
        <v>300</v>
      </c>
      <c r="P1027" s="5">
        <v>73</v>
      </c>
      <c r="Q1027">
        <f>SUM([1]!Table1[[#This Row],[Sales]])</f>
        <v>346</v>
      </c>
      <c r="R1027">
        <f>SUM([1]!Table1[[#This Row],[Profit]])</f>
        <v>181</v>
      </c>
      <c r="S1027" s="7">
        <f t="shared" ref="S1027:S1063" si="128">J1027/K1027</f>
        <v>0.52312138728323698</v>
      </c>
      <c r="T1027">
        <f t="shared" ref="T1027:T1063" si="129">SUM(F1027)</f>
        <v>42</v>
      </c>
      <c r="U1027">
        <f t="shared" ref="U1027:U1063" si="130">K1027-O1027</f>
        <v>46</v>
      </c>
      <c r="V1027">
        <f t="shared" ref="V1027:V1063" si="131">B1027-M1027</f>
        <v>10</v>
      </c>
      <c r="W1027">
        <f t="shared" ref="W1027:W1063" si="132">J1027/F1027</f>
        <v>4.3095238095238093</v>
      </c>
      <c r="X1027" t="str">
        <f t="shared" ref="X1027:X1063" si="133">IF(J1027&gt;100,"High Profit","Low Profit")</f>
        <v>High Profit</v>
      </c>
      <c r="Y1027">
        <f t="shared" ref="Y1027:Y1063" si="134">SUM(B1027)</f>
        <v>130</v>
      </c>
      <c r="Z1027">
        <f t="shared" ref="Z1027:Z1063" si="135">SUM(K1027)</f>
        <v>346</v>
      </c>
    </row>
    <row r="1028" spans="1:26">
      <c r="A1028" s="3">
        <v>702</v>
      </c>
      <c r="B1028" s="3">
        <v>173</v>
      </c>
      <c r="C1028" s="4">
        <v>41579</v>
      </c>
      <c r="D1028" s="3" t="s">
        <v>32</v>
      </c>
      <c r="E1028" s="3" t="s">
        <v>29</v>
      </c>
      <c r="F1028" s="3">
        <v>57</v>
      </c>
      <c r="G1028" s="3" t="s">
        <v>18</v>
      </c>
      <c r="H1028" s="3" t="s">
        <v>19</v>
      </c>
      <c r="I1028" s="3" t="s">
        <v>20</v>
      </c>
      <c r="J1028" s="3">
        <v>205</v>
      </c>
      <c r="K1028" s="3">
        <v>439</v>
      </c>
      <c r="L1028" s="3" t="s">
        <v>41</v>
      </c>
      <c r="M1028" s="3">
        <v>160</v>
      </c>
      <c r="N1028" s="3">
        <v>130</v>
      </c>
      <c r="O1028" s="3">
        <v>380</v>
      </c>
      <c r="P1028" s="3">
        <v>101</v>
      </c>
      <c r="Q1028">
        <f>SUM([1]!Table1[[#This Row],[Sales]])</f>
        <v>439</v>
      </c>
      <c r="R1028">
        <f>SUM([1]!Table1[[#This Row],[Profit]])</f>
        <v>205</v>
      </c>
      <c r="S1028" s="7">
        <f t="shared" si="128"/>
        <v>0.46697038724373574</v>
      </c>
      <c r="T1028">
        <f t="shared" si="129"/>
        <v>57</v>
      </c>
      <c r="U1028">
        <f t="shared" si="130"/>
        <v>59</v>
      </c>
      <c r="V1028">
        <f t="shared" si="131"/>
        <v>13</v>
      </c>
      <c r="W1028">
        <f t="shared" si="132"/>
        <v>3.5964912280701755</v>
      </c>
      <c r="X1028" t="str">
        <f t="shared" si="133"/>
        <v>High Profit</v>
      </c>
      <c r="Y1028">
        <f t="shared" si="134"/>
        <v>173</v>
      </c>
      <c r="Z1028">
        <f t="shared" si="135"/>
        <v>439</v>
      </c>
    </row>
    <row r="1029" spans="1:26">
      <c r="A1029" s="5">
        <v>541</v>
      </c>
      <c r="B1029" s="5">
        <v>88</v>
      </c>
      <c r="C1029" s="6">
        <v>41579</v>
      </c>
      <c r="D1029" s="5" t="s">
        <v>32</v>
      </c>
      <c r="E1029" s="5" t="s">
        <v>29</v>
      </c>
      <c r="F1029" s="5">
        <v>29</v>
      </c>
      <c r="G1029" s="5" t="s">
        <v>18</v>
      </c>
      <c r="H1029" s="5" t="s">
        <v>19</v>
      </c>
      <c r="I1029" s="5" t="s">
        <v>20</v>
      </c>
      <c r="J1029" s="5">
        <v>104</v>
      </c>
      <c r="K1029" s="5">
        <v>213</v>
      </c>
      <c r="L1029" s="5" t="s">
        <v>49</v>
      </c>
      <c r="M1029" s="5">
        <v>80</v>
      </c>
      <c r="N1029" s="5">
        <v>70</v>
      </c>
      <c r="O1029" s="5">
        <v>180</v>
      </c>
      <c r="P1029" s="5">
        <v>42</v>
      </c>
      <c r="Q1029">
        <f>SUM([1]!Table1[[#This Row],[Sales]])</f>
        <v>213</v>
      </c>
      <c r="R1029">
        <f>SUM([1]!Table1[[#This Row],[Profit]])</f>
        <v>104</v>
      </c>
      <c r="S1029" s="7">
        <f t="shared" si="128"/>
        <v>0.48826291079812206</v>
      </c>
      <c r="T1029">
        <f t="shared" si="129"/>
        <v>29</v>
      </c>
      <c r="U1029">
        <f t="shared" si="130"/>
        <v>33</v>
      </c>
      <c r="V1029">
        <f t="shared" si="131"/>
        <v>8</v>
      </c>
      <c r="W1029">
        <f t="shared" si="132"/>
        <v>3.5862068965517242</v>
      </c>
      <c r="X1029" t="str">
        <f t="shared" si="133"/>
        <v>High Profit</v>
      </c>
      <c r="Y1029">
        <f t="shared" si="134"/>
        <v>88</v>
      </c>
      <c r="Z1029">
        <f t="shared" si="135"/>
        <v>213</v>
      </c>
    </row>
    <row r="1030" spans="1:26">
      <c r="A1030" s="3">
        <v>775</v>
      </c>
      <c r="B1030" s="3">
        <v>113</v>
      </c>
      <c r="C1030" s="4">
        <v>41579</v>
      </c>
      <c r="D1030" s="3" t="s">
        <v>32</v>
      </c>
      <c r="E1030" s="3" t="s">
        <v>29</v>
      </c>
      <c r="F1030" s="3">
        <v>36</v>
      </c>
      <c r="G1030" s="3" t="s">
        <v>18</v>
      </c>
      <c r="H1030" s="3" t="s">
        <v>19</v>
      </c>
      <c r="I1030" s="3" t="s">
        <v>22</v>
      </c>
      <c r="J1030" s="3">
        <v>159</v>
      </c>
      <c r="K1030" s="3">
        <v>296</v>
      </c>
      <c r="L1030" s="3" t="s">
        <v>41</v>
      </c>
      <c r="M1030" s="3">
        <v>100</v>
      </c>
      <c r="N1030" s="3">
        <v>100</v>
      </c>
      <c r="O1030" s="3">
        <v>250</v>
      </c>
      <c r="P1030" s="3">
        <v>58</v>
      </c>
      <c r="Q1030">
        <f>SUM([1]!Table1[[#This Row],[Sales]])</f>
        <v>296</v>
      </c>
      <c r="R1030">
        <f>SUM([1]!Table1[[#This Row],[Profit]])</f>
        <v>159</v>
      </c>
      <c r="S1030" s="7">
        <f t="shared" si="128"/>
        <v>0.53716216216216217</v>
      </c>
      <c r="T1030">
        <f t="shared" si="129"/>
        <v>36</v>
      </c>
      <c r="U1030">
        <f t="shared" si="130"/>
        <v>46</v>
      </c>
      <c r="V1030">
        <f t="shared" si="131"/>
        <v>13</v>
      </c>
      <c r="W1030">
        <f t="shared" si="132"/>
        <v>4.416666666666667</v>
      </c>
      <c r="X1030" t="str">
        <f t="shared" si="133"/>
        <v>High Profit</v>
      </c>
      <c r="Y1030">
        <f t="shared" si="134"/>
        <v>113</v>
      </c>
      <c r="Z1030">
        <f t="shared" si="135"/>
        <v>296</v>
      </c>
    </row>
    <row r="1031" spans="1:26">
      <c r="A1031" s="5">
        <v>775</v>
      </c>
      <c r="B1031" s="5">
        <v>228</v>
      </c>
      <c r="C1031" s="6">
        <v>41579</v>
      </c>
      <c r="D1031" s="5" t="s">
        <v>32</v>
      </c>
      <c r="E1031" s="5" t="s">
        <v>29</v>
      </c>
      <c r="F1031" s="5">
        <v>75</v>
      </c>
      <c r="G1031" s="5" t="s">
        <v>18</v>
      </c>
      <c r="H1031" s="5" t="s">
        <v>26</v>
      </c>
      <c r="I1031" s="5" t="s">
        <v>27</v>
      </c>
      <c r="J1031" s="5">
        <v>291</v>
      </c>
      <c r="K1031" s="5">
        <v>567</v>
      </c>
      <c r="L1031" s="5" t="s">
        <v>41</v>
      </c>
      <c r="M1031" s="5">
        <v>160</v>
      </c>
      <c r="N1031" s="5">
        <v>140</v>
      </c>
      <c r="O1031" s="5">
        <v>380</v>
      </c>
      <c r="P1031" s="5">
        <v>108</v>
      </c>
      <c r="Q1031">
        <f>SUM([1]!Table1[[#This Row],[Sales]])</f>
        <v>567</v>
      </c>
      <c r="R1031">
        <f>SUM([1]!Table1[[#This Row],[Profit]])</f>
        <v>291</v>
      </c>
      <c r="S1031" s="7">
        <f t="shared" si="128"/>
        <v>0.51322751322751325</v>
      </c>
      <c r="T1031">
        <f t="shared" si="129"/>
        <v>75</v>
      </c>
      <c r="U1031">
        <f t="shared" si="130"/>
        <v>187</v>
      </c>
      <c r="V1031">
        <f t="shared" si="131"/>
        <v>68</v>
      </c>
      <c r="W1031">
        <f t="shared" si="132"/>
        <v>3.88</v>
      </c>
      <c r="X1031" t="str">
        <f t="shared" si="133"/>
        <v>High Profit</v>
      </c>
      <c r="Y1031">
        <f t="shared" si="134"/>
        <v>228</v>
      </c>
      <c r="Z1031">
        <f t="shared" si="135"/>
        <v>567</v>
      </c>
    </row>
    <row r="1032" spans="1:26">
      <c r="A1032" s="3">
        <v>702</v>
      </c>
      <c r="B1032" s="3">
        <v>211</v>
      </c>
      <c r="C1032" s="4">
        <v>41579</v>
      </c>
      <c r="D1032" s="3" t="s">
        <v>32</v>
      </c>
      <c r="E1032" s="3" t="s">
        <v>29</v>
      </c>
      <c r="F1032" s="3">
        <v>59</v>
      </c>
      <c r="G1032" s="3" t="s">
        <v>18</v>
      </c>
      <c r="H1032" s="3" t="s">
        <v>26</v>
      </c>
      <c r="I1032" s="3" t="s">
        <v>54</v>
      </c>
      <c r="J1032" s="3">
        <v>190</v>
      </c>
      <c r="K1032" s="3">
        <v>451</v>
      </c>
      <c r="L1032" s="3" t="s">
        <v>41</v>
      </c>
      <c r="M1032" s="3">
        <v>150</v>
      </c>
      <c r="N1032" s="3">
        <v>80</v>
      </c>
      <c r="O1032" s="3">
        <v>300</v>
      </c>
      <c r="P1032" s="3">
        <v>84</v>
      </c>
      <c r="Q1032">
        <f>SUM([1]!Table1[[#This Row],[Sales]])</f>
        <v>451</v>
      </c>
      <c r="R1032">
        <f>SUM([1]!Table1[[#This Row],[Profit]])</f>
        <v>190</v>
      </c>
      <c r="S1032" s="7">
        <f t="shared" si="128"/>
        <v>0.42128603104212858</v>
      </c>
      <c r="T1032">
        <f t="shared" si="129"/>
        <v>59</v>
      </c>
      <c r="U1032">
        <f t="shared" si="130"/>
        <v>151</v>
      </c>
      <c r="V1032">
        <f t="shared" si="131"/>
        <v>61</v>
      </c>
      <c r="W1032">
        <f t="shared" si="132"/>
        <v>3.2203389830508473</v>
      </c>
      <c r="X1032" t="str">
        <f t="shared" si="133"/>
        <v>High Profit</v>
      </c>
      <c r="Y1032">
        <f t="shared" si="134"/>
        <v>211</v>
      </c>
      <c r="Z1032">
        <f t="shared" si="135"/>
        <v>451</v>
      </c>
    </row>
    <row r="1033" spans="1:26">
      <c r="A1033" s="5">
        <v>503</v>
      </c>
      <c r="B1033" s="5">
        <v>78</v>
      </c>
      <c r="C1033" s="6">
        <v>41579</v>
      </c>
      <c r="D1033" s="5" t="s">
        <v>32</v>
      </c>
      <c r="E1033" s="5" t="s">
        <v>29</v>
      </c>
      <c r="F1033" s="5">
        <v>25</v>
      </c>
      <c r="G1033" s="5" t="s">
        <v>18</v>
      </c>
      <c r="H1033" s="5" t="s">
        <v>26</v>
      </c>
      <c r="I1033" s="5" t="s">
        <v>54</v>
      </c>
      <c r="J1033" s="5">
        <v>92</v>
      </c>
      <c r="K1033" s="5">
        <v>210</v>
      </c>
      <c r="L1033" s="5" t="s">
        <v>49</v>
      </c>
      <c r="M1033" s="5">
        <v>50</v>
      </c>
      <c r="N1033" s="5">
        <v>50</v>
      </c>
      <c r="O1033" s="5">
        <v>140</v>
      </c>
      <c r="P1033" s="5">
        <v>57</v>
      </c>
      <c r="Q1033">
        <f>SUM([1]!Table1[[#This Row],[Sales]])</f>
        <v>210</v>
      </c>
      <c r="R1033">
        <f>SUM([1]!Table1[[#This Row],[Profit]])</f>
        <v>92</v>
      </c>
      <c r="S1033" s="7">
        <f t="shared" si="128"/>
        <v>0.43809523809523809</v>
      </c>
      <c r="T1033">
        <f t="shared" si="129"/>
        <v>25</v>
      </c>
      <c r="U1033">
        <f t="shared" si="130"/>
        <v>70</v>
      </c>
      <c r="V1033">
        <f t="shared" si="131"/>
        <v>28</v>
      </c>
      <c r="W1033">
        <f t="shared" si="132"/>
        <v>3.68</v>
      </c>
      <c r="X1033" t="str">
        <f t="shared" si="133"/>
        <v>Low Profit</v>
      </c>
      <c r="Y1033">
        <f t="shared" si="134"/>
        <v>78</v>
      </c>
      <c r="Z1033">
        <f t="shared" si="135"/>
        <v>210</v>
      </c>
    </row>
    <row r="1034" spans="1:26">
      <c r="A1034" s="3">
        <v>775</v>
      </c>
      <c r="B1034" s="3">
        <v>245</v>
      </c>
      <c r="C1034" s="4">
        <v>41579</v>
      </c>
      <c r="D1034" s="3" t="s">
        <v>32</v>
      </c>
      <c r="E1034" s="3" t="s">
        <v>29</v>
      </c>
      <c r="F1034" s="3">
        <v>93</v>
      </c>
      <c r="G1034" s="3" t="s">
        <v>18</v>
      </c>
      <c r="H1034" s="3" t="s">
        <v>26</v>
      </c>
      <c r="I1034" s="3" t="s">
        <v>30</v>
      </c>
      <c r="J1034" s="3">
        <v>-505</v>
      </c>
      <c r="K1034" s="3">
        <v>34</v>
      </c>
      <c r="L1034" s="3" t="s">
        <v>41</v>
      </c>
      <c r="M1034" s="3">
        <v>180</v>
      </c>
      <c r="N1034" s="3">
        <v>-280</v>
      </c>
      <c r="O1034" s="3">
        <v>0</v>
      </c>
      <c r="P1034" s="3">
        <v>127</v>
      </c>
      <c r="Q1034">
        <f>SUM([1]!Table1[[#This Row],[Sales]])</f>
        <v>34</v>
      </c>
      <c r="R1034">
        <f>SUM([1]!Table1[[#This Row],[Profit]])</f>
        <v>-505</v>
      </c>
      <c r="S1034" s="7">
        <f t="shared" si="128"/>
        <v>-14.852941176470589</v>
      </c>
      <c r="T1034">
        <f t="shared" si="129"/>
        <v>93</v>
      </c>
      <c r="U1034">
        <f t="shared" si="130"/>
        <v>34</v>
      </c>
      <c r="V1034">
        <f t="shared" si="131"/>
        <v>65</v>
      </c>
      <c r="W1034">
        <f t="shared" si="132"/>
        <v>-5.43010752688172</v>
      </c>
      <c r="X1034" t="str">
        <f t="shared" si="133"/>
        <v>Low Profit</v>
      </c>
      <c r="Y1034">
        <f t="shared" si="134"/>
        <v>245</v>
      </c>
      <c r="Z1034">
        <f t="shared" si="135"/>
        <v>34</v>
      </c>
    </row>
    <row r="1035" spans="1:26">
      <c r="A1035" s="5">
        <v>971</v>
      </c>
      <c r="B1035" s="5">
        <v>102</v>
      </c>
      <c r="C1035" s="6">
        <v>41579</v>
      </c>
      <c r="D1035" s="5" t="s">
        <v>32</v>
      </c>
      <c r="E1035" s="5" t="s">
        <v>29</v>
      </c>
      <c r="F1035" s="5">
        <v>31</v>
      </c>
      <c r="G1035" s="5" t="s">
        <v>18</v>
      </c>
      <c r="H1035" s="5" t="s">
        <v>26</v>
      </c>
      <c r="I1035" s="5" t="s">
        <v>30</v>
      </c>
      <c r="J1035" s="5">
        <v>132</v>
      </c>
      <c r="K1035" s="5">
        <v>261</v>
      </c>
      <c r="L1035" s="5" t="s">
        <v>49</v>
      </c>
      <c r="M1035" s="5">
        <v>70</v>
      </c>
      <c r="N1035" s="5">
        <v>70</v>
      </c>
      <c r="O1035" s="5">
        <v>170</v>
      </c>
      <c r="P1035" s="5">
        <v>54</v>
      </c>
      <c r="Q1035">
        <f>SUM([1]!Table1[[#This Row],[Sales]])</f>
        <v>261</v>
      </c>
      <c r="R1035">
        <f>SUM([1]!Table1[[#This Row],[Profit]])</f>
        <v>132</v>
      </c>
      <c r="S1035" s="7">
        <f t="shared" si="128"/>
        <v>0.50574712643678166</v>
      </c>
      <c r="T1035">
        <f t="shared" si="129"/>
        <v>31</v>
      </c>
      <c r="U1035">
        <f t="shared" si="130"/>
        <v>91</v>
      </c>
      <c r="V1035">
        <f t="shared" si="131"/>
        <v>32</v>
      </c>
      <c r="W1035">
        <f t="shared" si="132"/>
        <v>4.258064516129032</v>
      </c>
      <c r="X1035" t="str">
        <f t="shared" si="133"/>
        <v>High Profit</v>
      </c>
      <c r="Y1035">
        <f t="shared" si="134"/>
        <v>102</v>
      </c>
      <c r="Z1035">
        <f t="shared" si="135"/>
        <v>261</v>
      </c>
    </row>
    <row r="1036" spans="1:26">
      <c r="A1036" s="3">
        <v>951</v>
      </c>
      <c r="B1036" s="3">
        <v>224</v>
      </c>
      <c r="C1036" s="4">
        <v>41609</v>
      </c>
      <c r="D1036" s="3" t="s">
        <v>16</v>
      </c>
      <c r="E1036" s="3" t="s">
        <v>29</v>
      </c>
      <c r="F1036" s="3">
        <v>73</v>
      </c>
      <c r="G1036" s="3" t="s">
        <v>33</v>
      </c>
      <c r="H1036" s="3" t="s">
        <v>38</v>
      </c>
      <c r="I1036" s="3" t="s">
        <v>39</v>
      </c>
      <c r="J1036" s="3">
        <v>-221</v>
      </c>
      <c r="K1036" s="3">
        <v>205</v>
      </c>
      <c r="L1036" s="3" t="s">
        <v>31</v>
      </c>
      <c r="M1036" s="3">
        <v>260</v>
      </c>
      <c r="N1036" s="3">
        <v>-150</v>
      </c>
      <c r="O1036" s="3">
        <v>220</v>
      </c>
      <c r="P1036" s="3">
        <v>117</v>
      </c>
      <c r="Q1036">
        <f>SUM([1]!Table1[[#This Row],[Sales]])</f>
        <v>205</v>
      </c>
      <c r="R1036">
        <f>SUM([1]!Table1[[#This Row],[Profit]])</f>
        <v>-221</v>
      </c>
      <c r="S1036" s="7">
        <f t="shared" si="128"/>
        <v>-1.0780487804878049</v>
      </c>
      <c r="T1036">
        <f t="shared" si="129"/>
        <v>73</v>
      </c>
      <c r="U1036">
        <f t="shared" si="130"/>
        <v>-15</v>
      </c>
      <c r="V1036">
        <f t="shared" si="131"/>
        <v>-36</v>
      </c>
      <c r="W1036">
        <f t="shared" si="132"/>
        <v>-3.0273972602739727</v>
      </c>
      <c r="X1036" t="str">
        <f t="shared" si="133"/>
        <v>Low Profit</v>
      </c>
      <c r="Y1036">
        <f t="shared" si="134"/>
        <v>224</v>
      </c>
      <c r="Z1036">
        <f t="shared" si="135"/>
        <v>205</v>
      </c>
    </row>
    <row r="1037" spans="1:26">
      <c r="A1037" s="5">
        <v>209</v>
      </c>
      <c r="B1037" s="5">
        <v>247</v>
      </c>
      <c r="C1037" s="6">
        <v>41609</v>
      </c>
      <c r="D1037" s="5" t="s">
        <v>16</v>
      </c>
      <c r="E1037" s="5" t="s">
        <v>29</v>
      </c>
      <c r="F1037" s="5">
        <v>81</v>
      </c>
      <c r="G1037" s="5" t="s">
        <v>33</v>
      </c>
      <c r="H1037" s="5" t="s">
        <v>34</v>
      </c>
      <c r="I1037" s="5" t="s">
        <v>35</v>
      </c>
      <c r="J1037" s="5">
        <v>321</v>
      </c>
      <c r="K1037" s="5">
        <v>614</v>
      </c>
      <c r="L1037" s="5" t="s">
        <v>31</v>
      </c>
      <c r="M1037" s="5">
        <v>240</v>
      </c>
      <c r="N1037" s="5">
        <v>210</v>
      </c>
      <c r="O1037" s="5">
        <v>550</v>
      </c>
      <c r="P1037" s="5">
        <v>113</v>
      </c>
      <c r="Q1037">
        <f>SUM([1]!Table1[[#This Row],[Sales]])</f>
        <v>614</v>
      </c>
      <c r="R1037">
        <f>SUM([1]!Table1[[#This Row],[Profit]])</f>
        <v>321</v>
      </c>
      <c r="S1037" s="7">
        <f t="shared" si="128"/>
        <v>0.5228013029315961</v>
      </c>
      <c r="T1037">
        <f t="shared" si="129"/>
        <v>81</v>
      </c>
      <c r="U1037">
        <f t="shared" si="130"/>
        <v>64</v>
      </c>
      <c r="V1037">
        <f t="shared" si="131"/>
        <v>7</v>
      </c>
      <c r="W1037">
        <f t="shared" si="132"/>
        <v>3.9629629629629628</v>
      </c>
      <c r="X1037" t="str">
        <f t="shared" si="133"/>
        <v>High Profit</v>
      </c>
      <c r="Y1037">
        <f t="shared" si="134"/>
        <v>247</v>
      </c>
      <c r="Z1037">
        <f t="shared" si="135"/>
        <v>614</v>
      </c>
    </row>
    <row r="1038" spans="1:26">
      <c r="A1038" s="3">
        <v>209</v>
      </c>
      <c r="B1038" s="3">
        <v>127</v>
      </c>
      <c r="C1038" s="4">
        <v>41609</v>
      </c>
      <c r="D1038" s="3" t="s">
        <v>16</v>
      </c>
      <c r="E1038" s="3" t="s">
        <v>29</v>
      </c>
      <c r="F1038" s="3">
        <v>40</v>
      </c>
      <c r="G1038" s="3" t="s">
        <v>33</v>
      </c>
      <c r="H1038" s="3" t="s">
        <v>38</v>
      </c>
      <c r="I1038" s="3" t="s">
        <v>43</v>
      </c>
      <c r="J1038" s="3">
        <v>-131</v>
      </c>
      <c r="K1038" s="3">
        <v>109</v>
      </c>
      <c r="L1038" s="3" t="s">
        <v>31</v>
      </c>
      <c r="M1038" s="3">
        <v>150</v>
      </c>
      <c r="N1038" s="3">
        <v>-90</v>
      </c>
      <c r="O1038" s="3">
        <v>120</v>
      </c>
      <c r="P1038" s="3">
        <v>63</v>
      </c>
      <c r="Q1038">
        <f>SUM([1]!Table1[[#This Row],[Sales]])</f>
        <v>109</v>
      </c>
      <c r="R1038">
        <f>SUM([1]!Table1[[#This Row],[Profit]])</f>
        <v>-131</v>
      </c>
      <c r="S1038" s="7">
        <f t="shared" si="128"/>
        <v>-1.201834862385321</v>
      </c>
      <c r="T1038">
        <f t="shared" si="129"/>
        <v>40</v>
      </c>
      <c r="U1038">
        <f t="shared" si="130"/>
        <v>-11</v>
      </c>
      <c r="V1038">
        <f t="shared" si="131"/>
        <v>-23</v>
      </c>
      <c r="W1038">
        <f t="shared" si="132"/>
        <v>-3.2749999999999999</v>
      </c>
      <c r="X1038" t="str">
        <f t="shared" si="133"/>
        <v>Low Profit</v>
      </c>
      <c r="Y1038">
        <f t="shared" si="134"/>
        <v>127</v>
      </c>
      <c r="Z1038">
        <f t="shared" si="135"/>
        <v>109</v>
      </c>
    </row>
    <row r="1039" spans="1:26">
      <c r="A1039" s="5">
        <v>530</v>
      </c>
      <c r="B1039" s="5">
        <v>279</v>
      </c>
      <c r="C1039" s="6">
        <v>41609</v>
      </c>
      <c r="D1039" s="5" t="s">
        <v>16</v>
      </c>
      <c r="E1039" s="5" t="s">
        <v>29</v>
      </c>
      <c r="F1039" s="5">
        <v>97</v>
      </c>
      <c r="G1039" s="5" t="s">
        <v>33</v>
      </c>
      <c r="H1039" s="5" t="s">
        <v>38</v>
      </c>
      <c r="I1039" s="5" t="s">
        <v>45</v>
      </c>
      <c r="J1039" s="5">
        <v>402</v>
      </c>
      <c r="K1039" s="5">
        <v>745</v>
      </c>
      <c r="L1039" s="5" t="s">
        <v>31</v>
      </c>
      <c r="M1039" s="5">
        <v>330</v>
      </c>
      <c r="N1039" s="5">
        <v>350</v>
      </c>
      <c r="O1039" s="5">
        <v>830</v>
      </c>
      <c r="P1039" s="5">
        <v>149</v>
      </c>
      <c r="Q1039">
        <f>SUM([1]!Table1[[#This Row],[Sales]])</f>
        <v>745</v>
      </c>
      <c r="R1039">
        <f>SUM([1]!Table1[[#This Row],[Profit]])</f>
        <v>402</v>
      </c>
      <c r="S1039" s="7">
        <f t="shared" si="128"/>
        <v>0.53959731543624156</v>
      </c>
      <c r="T1039">
        <f t="shared" si="129"/>
        <v>97</v>
      </c>
      <c r="U1039">
        <f t="shared" si="130"/>
        <v>-85</v>
      </c>
      <c r="V1039">
        <f t="shared" si="131"/>
        <v>-51</v>
      </c>
      <c r="W1039">
        <f t="shared" si="132"/>
        <v>4.1443298969072169</v>
      </c>
      <c r="X1039" t="str">
        <f t="shared" si="133"/>
        <v>High Profit</v>
      </c>
      <c r="Y1039">
        <f t="shared" si="134"/>
        <v>279</v>
      </c>
      <c r="Z1039">
        <f t="shared" si="135"/>
        <v>745</v>
      </c>
    </row>
    <row r="1040" spans="1:26">
      <c r="A1040" s="3">
        <v>949</v>
      </c>
      <c r="B1040" s="3">
        <v>250</v>
      </c>
      <c r="C1040" s="4">
        <v>41609</v>
      </c>
      <c r="D1040" s="3" t="s">
        <v>16</v>
      </c>
      <c r="E1040" s="3" t="s">
        <v>29</v>
      </c>
      <c r="F1040" s="3">
        <v>70</v>
      </c>
      <c r="G1040" s="3" t="s">
        <v>33</v>
      </c>
      <c r="H1040" s="3" t="s">
        <v>34</v>
      </c>
      <c r="I1040" s="3" t="s">
        <v>47</v>
      </c>
      <c r="J1040" s="3">
        <v>233</v>
      </c>
      <c r="K1040" s="3">
        <v>534</v>
      </c>
      <c r="L1040" s="3" t="s">
        <v>31</v>
      </c>
      <c r="M1040" s="3">
        <v>240</v>
      </c>
      <c r="N1040" s="3">
        <v>160</v>
      </c>
      <c r="O1040" s="3">
        <v>480</v>
      </c>
      <c r="P1040" s="3">
        <v>94</v>
      </c>
      <c r="Q1040">
        <f>SUM([1]!Table1[[#This Row],[Sales]])</f>
        <v>534</v>
      </c>
      <c r="R1040">
        <f>SUM([1]!Table1[[#This Row],[Profit]])</f>
        <v>233</v>
      </c>
      <c r="S1040" s="7">
        <f t="shared" si="128"/>
        <v>0.43632958801498128</v>
      </c>
      <c r="T1040">
        <f t="shared" si="129"/>
        <v>70</v>
      </c>
      <c r="U1040">
        <f t="shared" si="130"/>
        <v>54</v>
      </c>
      <c r="V1040">
        <f t="shared" si="131"/>
        <v>10</v>
      </c>
      <c r="W1040">
        <f t="shared" si="132"/>
        <v>3.3285714285714287</v>
      </c>
      <c r="X1040" t="str">
        <f t="shared" si="133"/>
        <v>High Profit</v>
      </c>
      <c r="Y1040">
        <f t="shared" si="134"/>
        <v>250</v>
      </c>
      <c r="Z1040">
        <f t="shared" si="135"/>
        <v>534</v>
      </c>
    </row>
    <row r="1041" spans="1:26">
      <c r="A1041" s="5">
        <v>530</v>
      </c>
      <c r="B1041" s="5">
        <v>135</v>
      </c>
      <c r="C1041" s="6">
        <v>41609</v>
      </c>
      <c r="D1041" s="5" t="s">
        <v>16</v>
      </c>
      <c r="E1041" s="5" t="s">
        <v>29</v>
      </c>
      <c r="F1041" s="5">
        <v>122</v>
      </c>
      <c r="G1041" s="5" t="s">
        <v>33</v>
      </c>
      <c r="H1041" s="5" t="s">
        <v>34</v>
      </c>
      <c r="I1041" s="5" t="s">
        <v>46</v>
      </c>
      <c r="J1041" s="5">
        <v>46</v>
      </c>
      <c r="K1041" s="5">
        <v>343</v>
      </c>
      <c r="L1041" s="5" t="s">
        <v>31</v>
      </c>
      <c r="M1041" s="5">
        <v>130</v>
      </c>
      <c r="N1041" s="5">
        <v>40</v>
      </c>
      <c r="O1041" s="5">
        <v>310</v>
      </c>
      <c r="P1041" s="5">
        <v>156</v>
      </c>
      <c r="Q1041">
        <f>SUM([1]!Table1[[#This Row],[Sales]])</f>
        <v>343</v>
      </c>
      <c r="R1041">
        <f>SUM([1]!Table1[[#This Row],[Profit]])</f>
        <v>46</v>
      </c>
      <c r="S1041" s="7">
        <f t="shared" si="128"/>
        <v>0.13411078717201166</v>
      </c>
      <c r="T1041">
        <f t="shared" si="129"/>
        <v>122</v>
      </c>
      <c r="U1041">
        <f t="shared" si="130"/>
        <v>33</v>
      </c>
      <c r="V1041">
        <f t="shared" si="131"/>
        <v>5</v>
      </c>
      <c r="W1041">
        <f t="shared" si="132"/>
        <v>0.37704918032786883</v>
      </c>
      <c r="X1041" t="str">
        <f t="shared" si="133"/>
        <v>Low Profit</v>
      </c>
      <c r="Y1041">
        <f t="shared" si="134"/>
        <v>135</v>
      </c>
      <c r="Z1041">
        <f t="shared" si="135"/>
        <v>343</v>
      </c>
    </row>
    <row r="1042" spans="1:26">
      <c r="A1042" s="3">
        <v>916</v>
      </c>
      <c r="B1042" s="3">
        <v>86</v>
      </c>
      <c r="C1042" s="4">
        <v>41609</v>
      </c>
      <c r="D1042" s="3" t="s">
        <v>16</v>
      </c>
      <c r="E1042" s="3" t="s">
        <v>29</v>
      </c>
      <c r="F1042" s="3">
        <v>24</v>
      </c>
      <c r="G1042" s="3" t="s">
        <v>18</v>
      </c>
      <c r="H1042" s="3" t="s">
        <v>19</v>
      </c>
      <c r="I1042" s="3" t="s">
        <v>50</v>
      </c>
      <c r="J1042" s="3">
        <v>132</v>
      </c>
      <c r="K1042" s="3">
        <v>224</v>
      </c>
      <c r="L1042" s="3" t="s">
        <v>31</v>
      </c>
      <c r="M1042" s="3">
        <v>80</v>
      </c>
      <c r="N1042" s="3">
        <v>80</v>
      </c>
      <c r="O1042" s="3">
        <v>190</v>
      </c>
      <c r="P1042" s="3">
        <v>35</v>
      </c>
      <c r="Q1042">
        <f>SUM([1]!Table1[[#This Row],[Sales]])</f>
        <v>224</v>
      </c>
      <c r="R1042">
        <f>SUM([1]!Table1[[#This Row],[Profit]])</f>
        <v>132</v>
      </c>
      <c r="S1042" s="7">
        <f t="shared" si="128"/>
        <v>0.5892857142857143</v>
      </c>
      <c r="T1042">
        <f t="shared" si="129"/>
        <v>24</v>
      </c>
      <c r="U1042">
        <f t="shared" si="130"/>
        <v>34</v>
      </c>
      <c r="V1042">
        <f t="shared" si="131"/>
        <v>6</v>
      </c>
      <c r="W1042">
        <f t="shared" si="132"/>
        <v>5.5</v>
      </c>
      <c r="X1042" t="str">
        <f t="shared" si="133"/>
        <v>High Profit</v>
      </c>
      <c r="Y1042">
        <f t="shared" si="134"/>
        <v>86</v>
      </c>
      <c r="Z1042">
        <f t="shared" si="135"/>
        <v>224</v>
      </c>
    </row>
    <row r="1043" spans="1:26">
      <c r="A1043" s="5">
        <v>661</v>
      </c>
      <c r="B1043" s="5">
        <v>241</v>
      </c>
      <c r="C1043" s="6">
        <v>41609</v>
      </c>
      <c r="D1043" s="5" t="s">
        <v>16</v>
      </c>
      <c r="E1043" s="5" t="s">
        <v>29</v>
      </c>
      <c r="F1043" s="5">
        <v>74</v>
      </c>
      <c r="G1043" s="5" t="s">
        <v>18</v>
      </c>
      <c r="H1043" s="5" t="s">
        <v>19</v>
      </c>
      <c r="I1043" s="5" t="s">
        <v>20</v>
      </c>
      <c r="J1043" s="5">
        <v>279</v>
      </c>
      <c r="K1043" s="5">
        <v>559</v>
      </c>
      <c r="L1043" s="5" t="s">
        <v>31</v>
      </c>
      <c r="M1043" s="5">
        <v>220</v>
      </c>
      <c r="N1043" s="5">
        <v>170</v>
      </c>
      <c r="O1043" s="5">
        <v>480</v>
      </c>
      <c r="P1043" s="5">
        <v>96</v>
      </c>
      <c r="Q1043">
        <f>SUM([1]!Table1[[#This Row],[Sales]])</f>
        <v>559</v>
      </c>
      <c r="R1043">
        <f>SUM([1]!Table1[[#This Row],[Profit]])</f>
        <v>279</v>
      </c>
      <c r="S1043" s="7">
        <f t="shared" si="128"/>
        <v>0.49910554561717352</v>
      </c>
      <c r="T1043">
        <f t="shared" si="129"/>
        <v>74</v>
      </c>
      <c r="U1043">
        <f t="shared" si="130"/>
        <v>79</v>
      </c>
      <c r="V1043">
        <f t="shared" si="131"/>
        <v>21</v>
      </c>
      <c r="W1043">
        <f t="shared" si="132"/>
        <v>3.7702702702702702</v>
      </c>
      <c r="X1043" t="str">
        <f t="shared" si="133"/>
        <v>High Profit</v>
      </c>
      <c r="Y1043">
        <f t="shared" si="134"/>
        <v>241</v>
      </c>
      <c r="Z1043">
        <f t="shared" si="135"/>
        <v>559</v>
      </c>
    </row>
    <row r="1044" spans="1:26">
      <c r="A1044" s="3">
        <v>323</v>
      </c>
      <c r="B1044" s="3">
        <v>123</v>
      </c>
      <c r="C1044" s="4">
        <v>41609</v>
      </c>
      <c r="D1044" s="3" t="s">
        <v>16</v>
      </c>
      <c r="E1044" s="3" t="s">
        <v>29</v>
      </c>
      <c r="F1044" s="3">
        <v>34</v>
      </c>
      <c r="G1044" s="3" t="s">
        <v>18</v>
      </c>
      <c r="H1044" s="3" t="s">
        <v>26</v>
      </c>
      <c r="I1044" s="3" t="s">
        <v>27</v>
      </c>
      <c r="J1044" s="3">
        <v>199</v>
      </c>
      <c r="K1044" s="3">
        <v>322</v>
      </c>
      <c r="L1044" s="3" t="s">
        <v>31</v>
      </c>
      <c r="M1044" s="3">
        <v>90</v>
      </c>
      <c r="N1044" s="3">
        <v>110</v>
      </c>
      <c r="O1044" s="3">
        <v>220</v>
      </c>
      <c r="P1044" s="3">
        <v>45</v>
      </c>
      <c r="Q1044">
        <f>SUM([1]!Table1[[#This Row],[Sales]])</f>
        <v>322</v>
      </c>
      <c r="R1044">
        <f>SUM([1]!Table1[[#This Row],[Profit]])</f>
        <v>199</v>
      </c>
      <c r="S1044" s="7">
        <f t="shared" si="128"/>
        <v>0.61801242236024845</v>
      </c>
      <c r="T1044">
        <f t="shared" si="129"/>
        <v>34</v>
      </c>
      <c r="U1044">
        <f t="shared" si="130"/>
        <v>102</v>
      </c>
      <c r="V1044">
        <f t="shared" si="131"/>
        <v>33</v>
      </c>
      <c r="W1044">
        <f t="shared" si="132"/>
        <v>5.8529411764705879</v>
      </c>
      <c r="X1044" t="str">
        <f t="shared" si="133"/>
        <v>High Profit</v>
      </c>
      <c r="Y1044">
        <f t="shared" si="134"/>
        <v>123</v>
      </c>
      <c r="Z1044">
        <f t="shared" si="135"/>
        <v>322</v>
      </c>
    </row>
    <row r="1045" spans="1:26">
      <c r="A1045" s="5">
        <v>801</v>
      </c>
      <c r="B1045" s="5">
        <v>68</v>
      </c>
      <c r="C1045" s="6">
        <v>41609</v>
      </c>
      <c r="D1045" s="5" t="s">
        <v>32</v>
      </c>
      <c r="E1045" s="5" t="s">
        <v>29</v>
      </c>
      <c r="F1045" s="5">
        <v>25</v>
      </c>
      <c r="G1045" s="5" t="s">
        <v>33</v>
      </c>
      <c r="H1045" s="5" t="s">
        <v>38</v>
      </c>
      <c r="I1045" s="5" t="s">
        <v>39</v>
      </c>
      <c r="J1045" s="5">
        <v>39</v>
      </c>
      <c r="K1045" s="5">
        <v>163</v>
      </c>
      <c r="L1045" s="5" t="s">
        <v>42</v>
      </c>
      <c r="M1045" s="5">
        <v>80</v>
      </c>
      <c r="N1045" s="5">
        <v>50</v>
      </c>
      <c r="O1045" s="5">
        <v>180</v>
      </c>
      <c r="P1045" s="5">
        <v>59</v>
      </c>
      <c r="Q1045">
        <f>SUM([1]!Table1[[#This Row],[Sales]])</f>
        <v>163</v>
      </c>
      <c r="R1045">
        <f>SUM([1]!Table1[[#This Row],[Profit]])</f>
        <v>39</v>
      </c>
      <c r="S1045" s="7">
        <f t="shared" si="128"/>
        <v>0.2392638036809816</v>
      </c>
      <c r="T1045">
        <f t="shared" si="129"/>
        <v>25</v>
      </c>
      <c r="U1045">
        <f t="shared" si="130"/>
        <v>-17</v>
      </c>
      <c r="V1045">
        <f t="shared" si="131"/>
        <v>-12</v>
      </c>
      <c r="W1045">
        <f t="shared" si="132"/>
        <v>1.56</v>
      </c>
      <c r="X1045" t="str">
        <f t="shared" si="133"/>
        <v>Low Profit</v>
      </c>
      <c r="Y1045">
        <f t="shared" si="134"/>
        <v>68</v>
      </c>
      <c r="Z1045">
        <f t="shared" si="135"/>
        <v>163</v>
      </c>
    </row>
    <row r="1046" spans="1:26">
      <c r="A1046" s="3">
        <v>206</v>
      </c>
      <c r="B1046" s="3">
        <v>105</v>
      </c>
      <c r="C1046" s="4">
        <v>41609</v>
      </c>
      <c r="D1046" s="3" t="s">
        <v>32</v>
      </c>
      <c r="E1046" s="3" t="s">
        <v>29</v>
      </c>
      <c r="F1046" s="3">
        <v>95</v>
      </c>
      <c r="G1046" s="3" t="s">
        <v>33</v>
      </c>
      <c r="H1046" s="3" t="s">
        <v>38</v>
      </c>
      <c r="I1046" s="3" t="s">
        <v>39</v>
      </c>
      <c r="J1046" s="3">
        <v>30</v>
      </c>
      <c r="K1046" s="3">
        <v>266</v>
      </c>
      <c r="L1046" s="3" t="s">
        <v>53</v>
      </c>
      <c r="M1046" s="3">
        <v>120</v>
      </c>
      <c r="N1046" s="3">
        <v>50</v>
      </c>
      <c r="O1046" s="3">
        <v>290</v>
      </c>
      <c r="P1046" s="3">
        <v>125</v>
      </c>
      <c r="Q1046">
        <f>SUM([1]!Table1[[#This Row],[Sales]])</f>
        <v>266</v>
      </c>
      <c r="R1046">
        <f>SUM([1]!Table1[[#This Row],[Profit]])</f>
        <v>30</v>
      </c>
      <c r="S1046" s="7">
        <f t="shared" si="128"/>
        <v>0.11278195488721804</v>
      </c>
      <c r="T1046">
        <f t="shared" si="129"/>
        <v>95</v>
      </c>
      <c r="U1046">
        <f t="shared" si="130"/>
        <v>-24</v>
      </c>
      <c r="V1046">
        <f t="shared" si="131"/>
        <v>-15</v>
      </c>
      <c r="W1046">
        <f t="shared" si="132"/>
        <v>0.31578947368421051</v>
      </c>
      <c r="X1046" t="str">
        <f t="shared" si="133"/>
        <v>Low Profit</v>
      </c>
      <c r="Y1046">
        <f t="shared" si="134"/>
        <v>105</v>
      </c>
      <c r="Z1046">
        <f t="shared" si="135"/>
        <v>266</v>
      </c>
    </row>
    <row r="1047" spans="1:26">
      <c r="A1047" s="5">
        <v>971</v>
      </c>
      <c r="B1047" s="5">
        <v>153</v>
      </c>
      <c r="C1047" s="6">
        <v>41609</v>
      </c>
      <c r="D1047" s="5" t="s">
        <v>32</v>
      </c>
      <c r="E1047" s="5" t="s">
        <v>29</v>
      </c>
      <c r="F1047" s="5">
        <v>42</v>
      </c>
      <c r="G1047" s="5" t="s">
        <v>33</v>
      </c>
      <c r="H1047" s="5" t="s">
        <v>34</v>
      </c>
      <c r="I1047" s="5" t="s">
        <v>35</v>
      </c>
      <c r="J1047" s="5">
        <v>129</v>
      </c>
      <c r="K1047" s="5">
        <v>326</v>
      </c>
      <c r="L1047" s="5" t="s">
        <v>49</v>
      </c>
      <c r="M1047" s="5">
        <v>150</v>
      </c>
      <c r="N1047" s="5">
        <v>80</v>
      </c>
      <c r="O1047" s="5">
        <v>290</v>
      </c>
      <c r="P1047" s="5">
        <v>66</v>
      </c>
      <c r="Q1047">
        <f>SUM([1]!Table1[[#This Row],[Sales]])</f>
        <v>326</v>
      </c>
      <c r="R1047">
        <f>SUM([1]!Table1[[#This Row],[Profit]])</f>
        <v>129</v>
      </c>
      <c r="S1047" s="7">
        <f t="shared" si="128"/>
        <v>0.39570552147239263</v>
      </c>
      <c r="T1047">
        <f t="shared" si="129"/>
        <v>42</v>
      </c>
      <c r="U1047">
        <f t="shared" si="130"/>
        <v>36</v>
      </c>
      <c r="V1047">
        <f t="shared" si="131"/>
        <v>3</v>
      </c>
      <c r="W1047">
        <f t="shared" si="132"/>
        <v>3.0714285714285716</v>
      </c>
      <c r="X1047" t="str">
        <f t="shared" si="133"/>
        <v>High Profit</v>
      </c>
      <c r="Y1047">
        <f t="shared" si="134"/>
        <v>153</v>
      </c>
      <c r="Z1047">
        <f t="shared" si="135"/>
        <v>326</v>
      </c>
    </row>
    <row r="1048" spans="1:26">
      <c r="A1048" s="3">
        <v>360</v>
      </c>
      <c r="B1048" s="3">
        <v>80</v>
      </c>
      <c r="C1048" s="4">
        <v>41609</v>
      </c>
      <c r="D1048" s="3" t="s">
        <v>32</v>
      </c>
      <c r="E1048" s="3" t="s">
        <v>29</v>
      </c>
      <c r="F1048" s="3">
        <v>24</v>
      </c>
      <c r="G1048" s="3" t="s">
        <v>33</v>
      </c>
      <c r="H1048" s="3" t="s">
        <v>34</v>
      </c>
      <c r="I1048" s="3" t="s">
        <v>35</v>
      </c>
      <c r="J1048" s="3">
        <v>76</v>
      </c>
      <c r="K1048" s="3">
        <v>188</v>
      </c>
      <c r="L1048" s="3" t="s">
        <v>53</v>
      </c>
      <c r="M1048" s="3">
        <v>70</v>
      </c>
      <c r="N1048" s="3">
        <v>60</v>
      </c>
      <c r="O1048" s="3">
        <v>170</v>
      </c>
      <c r="P1048" s="3">
        <v>45</v>
      </c>
      <c r="Q1048">
        <f>SUM([1]!Table1[[#This Row],[Sales]])</f>
        <v>188</v>
      </c>
      <c r="R1048">
        <f>SUM([1]!Table1[[#This Row],[Profit]])</f>
        <v>76</v>
      </c>
      <c r="S1048" s="7">
        <f t="shared" si="128"/>
        <v>0.40425531914893614</v>
      </c>
      <c r="T1048">
        <f t="shared" si="129"/>
        <v>24</v>
      </c>
      <c r="U1048">
        <f t="shared" si="130"/>
        <v>18</v>
      </c>
      <c r="V1048">
        <f t="shared" si="131"/>
        <v>10</v>
      </c>
      <c r="W1048">
        <f t="shared" si="132"/>
        <v>3.1666666666666665</v>
      </c>
      <c r="X1048" t="str">
        <f t="shared" si="133"/>
        <v>Low Profit</v>
      </c>
      <c r="Y1048">
        <f t="shared" si="134"/>
        <v>80</v>
      </c>
      <c r="Z1048">
        <f t="shared" si="135"/>
        <v>188</v>
      </c>
    </row>
    <row r="1049" spans="1:26">
      <c r="A1049" s="5">
        <v>435</v>
      </c>
      <c r="B1049" s="5">
        <v>63</v>
      </c>
      <c r="C1049" s="6">
        <v>41609</v>
      </c>
      <c r="D1049" s="5" t="s">
        <v>32</v>
      </c>
      <c r="E1049" s="5" t="s">
        <v>29</v>
      </c>
      <c r="F1049" s="5">
        <v>19</v>
      </c>
      <c r="G1049" s="5" t="s">
        <v>33</v>
      </c>
      <c r="H1049" s="5" t="s">
        <v>38</v>
      </c>
      <c r="I1049" s="5" t="s">
        <v>43</v>
      </c>
      <c r="J1049" s="5">
        <v>53</v>
      </c>
      <c r="K1049" s="5">
        <v>148</v>
      </c>
      <c r="L1049" s="5" t="s">
        <v>42</v>
      </c>
      <c r="M1049" s="5">
        <v>70</v>
      </c>
      <c r="N1049" s="5">
        <v>50</v>
      </c>
      <c r="O1049" s="5">
        <v>160</v>
      </c>
      <c r="P1049" s="5">
        <v>40</v>
      </c>
      <c r="Q1049">
        <f>SUM([1]!Table1[[#This Row],[Sales]])</f>
        <v>148</v>
      </c>
      <c r="R1049">
        <f>SUM([1]!Table1[[#This Row],[Profit]])</f>
        <v>53</v>
      </c>
      <c r="S1049" s="7">
        <f t="shared" si="128"/>
        <v>0.35810810810810811</v>
      </c>
      <c r="T1049">
        <f t="shared" si="129"/>
        <v>19</v>
      </c>
      <c r="U1049">
        <f t="shared" si="130"/>
        <v>-12</v>
      </c>
      <c r="V1049">
        <f t="shared" si="131"/>
        <v>-7</v>
      </c>
      <c r="W1049">
        <f t="shared" si="132"/>
        <v>2.7894736842105261</v>
      </c>
      <c r="X1049" t="str">
        <f t="shared" si="133"/>
        <v>Low Profit</v>
      </c>
      <c r="Y1049">
        <f t="shared" si="134"/>
        <v>63</v>
      </c>
      <c r="Z1049">
        <f t="shared" si="135"/>
        <v>148</v>
      </c>
    </row>
    <row r="1050" spans="1:26">
      <c r="A1050" s="3">
        <v>360</v>
      </c>
      <c r="B1050" s="3">
        <v>72</v>
      </c>
      <c r="C1050" s="4">
        <v>41609</v>
      </c>
      <c r="D1050" s="3" t="s">
        <v>32</v>
      </c>
      <c r="E1050" s="3" t="s">
        <v>29</v>
      </c>
      <c r="F1050" s="3">
        <v>23</v>
      </c>
      <c r="G1050" s="3" t="s">
        <v>33</v>
      </c>
      <c r="H1050" s="3" t="s">
        <v>38</v>
      </c>
      <c r="I1050" s="3" t="s">
        <v>45</v>
      </c>
      <c r="J1050" s="3">
        <v>86</v>
      </c>
      <c r="K1050" s="3">
        <v>188</v>
      </c>
      <c r="L1050" s="3" t="s">
        <v>53</v>
      </c>
      <c r="M1050" s="3">
        <v>80</v>
      </c>
      <c r="N1050" s="3">
        <v>80</v>
      </c>
      <c r="O1050" s="3">
        <v>200</v>
      </c>
      <c r="P1050" s="3">
        <v>46</v>
      </c>
      <c r="Q1050">
        <f>SUM([1]!Table1[[#This Row],[Sales]])</f>
        <v>188</v>
      </c>
      <c r="R1050">
        <f>SUM([1]!Table1[[#This Row],[Profit]])</f>
        <v>86</v>
      </c>
      <c r="S1050" s="7">
        <f t="shared" si="128"/>
        <v>0.45744680851063829</v>
      </c>
      <c r="T1050">
        <f t="shared" si="129"/>
        <v>23</v>
      </c>
      <c r="U1050">
        <f t="shared" si="130"/>
        <v>-12</v>
      </c>
      <c r="V1050">
        <f t="shared" si="131"/>
        <v>-8</v>
      </c>
      <c r="W1050">
        <f t="shared" si="132"/>
        <v>3.7391304347826089</v>
      </c>
      <c r="X1050" t="str">
        <f t="shared" si="133"/>
        <v>Low Profit</v>
      </c>
      <c r="Y1050">
        <f t="shared" si="134"/>
        <v>72</v>
      </c>
      <c r="Z1050">
        <f t="shared" si="135"/>
        <v>188</v>
      </c>
    </row>
    <row r="1051" spans="1:26">
      <c r="A1051" s="5">
        <v>775</v>
      </c>
      <c r="B1051" s="5">
        <v>16</v>
      </c>
      <c r="C1051" s="6">
        <v>41609</v>
      </c>
      <c r="D1051" s="5" t="s">
        <v>32</v>
      </c>
      <c r="E1051" s="5" t="s">
        <v>29</v>
      </c>
      <c r="F1051" s="5">
        <v>4</v>
      </c>
      <c r="G1051" s="5" t="s">
        <v>33</v>
      </c>
      <c r="H1051" s="5" t="s">
        <v>34</v>
      </c>
      <c r="I1051" s="5" t="s">
        <v>46</v>
      </c>
      <c r="J1051" s="5">
        <v>15</v>
      </c>
      <c r="K1051" s="5">
        <v>44</v>
      </c>
      <c r="L1051" s="5" t="s">
        <v>41</v>
      </c>
      <c r="M1051" s="5">
        <v>10</v>
      </c>
      <c r="N1051" s="5">
        <v>10</v>
      </c>
      <c r="O1051" s="5">
        <v>30</v>
      </c>
      <c r="P1051" s="5">
        <v>15</v>
      </c>
      <c r="Q1051">
        <f>SUM([1]!Table1[[#This Row],[Sales]])</f>
        <v>44</v>
      </c>
      <c r="R1051">
        <f>SUM([1]!Table1[[#This Row],[Profit]])</f>
        <v>15</v>
      </c>
      <c r="S1051" s="7">
        <f t="shared" si="128"/>
        <v>0.34090909090909088</v>
      </c>
      <c r="T1051">
        <f t="shared" si="129"/>
        <v>4</v>
      </c>
      <c r="U1051">
        <f t="shared" si="130"/>
        <v>14</v>
      </c>
      <c r="V1051">
        <f t="shared" si="131"/>
        <v>6</v>
      </c>
      <c r="W1051">
        <f t="shared" si="132"/>
        <v>3.75</v>
      </c>
      <c r="X1051" t="str">
        <f t="shared" si="133"/>
        <v>Low Profit</v>
      </c>
      <c r="Y1051">
        <f t="shared" si="134"/>
        <v>16</v>
      </c>
      <c r="Z1051">
        <f t="shared" si="135"/>
        <v>44</v>
      </c>
    </row>
    <row r="1052" spans="1:26">
      <c r="A1052" s="3">
        <v>435</v>
      </c>
      <c r="B1052" s="3">
        <v>94</v>
      </c>
      <c r="C1052" s="4">
        <v>41609</v>
      </c>
      <c r="D1052" s="3" t="s">
        <v>32</v>
      </c>
      <c r="E1052" s="3" t="s">
        <v>29</v>
      </c>
      <c r="F1052" s="3">
        <v>31</v>
      </c>
      <c r="G1052" s="3" t="s">
        <v>33</v>
      </c>
      <c r="H1052" s="3" t="s">
        <v>34</v>
      </c>
      <c r="I1052" s="3" t="s">
        <v>46</v>
      </c>
      <c r="J1052" s="3">
        <v>114</v>
      </c>
      <c r="K1052" s="3">
        <v>228</v>
      </c>
      <c r="L1052" s="3" t="s">
        <v>42</v>
      </c>
      <c r="M1052" s="3">
        <v>90</v>
      </c>
      <c r="N1052" s="3">
        <v>70</v>
      </c>
      <c r="O1052" s="3">
        <v>200</v>
      </c>
      <c r="P1052" s="3">
        <v>43</v>
      </c>
      <c r="Q1052">
        <f>SUM([1]!Table1[[#This Row],[Sales]])</f>
        <v>228</v>
      </c>
      <c r="R1052">
        <f>SUM([1]!Table1[[#This Row],[Profit]])</f>
        <v>114</v>
      </c>
      <c r="S1052" s="7">
        <f t="shared" si="128"/>
        <v>0.5</v>
      </c>
      <c r="T1052">
        <f t="shared" si="129"/>
        <v>31</v>
      </c>
      <c r="U1052">
        <f t="shared" si="130"/>
        <v>28</v>
      </c>
      <c r="V1052">
        <f t="shared" si="131"/>
        <v>4</v>
      </c>
      <c r="W1052">
        <f t="shared" si="132"/>
        <v>3.6774193548387095</v>
      </c>
      <c r="X1052" t="str">
        <f t="shared" si="133"/>
        <v>High Profit</v>
      </c>
      <c r="Y1052">
        <f t="shared" si="134"/>
        <v>94</v>
      </c>
      <c r="Z1052">
        <f t="shared" si="135"/>
        <v>228</v>
      </c>
    </row>
    <row r="1053" spans="1:26">
      <c r="A1053" s="5">
        <v>702</v>
      </c>
      <c r="B1053" s="5">
        <v>135</v>
      </c>
      <c r="C1053" s="6">
        <v>41609</v>
      </c>
      <c r="D1053" s="5" t="s">
        <v>32</v>
      </c>
      <c r="E1053" s="5" t="s">
        <v>29</v>
      </c>
      <c r="F1053" s="5">
        <v>122</v>
      </c>
      <c r="G1053" s="5" t="s">
        <v>18</v>
      </c>
      <c r="H1053" s="5" t="s">
        <v>19</v>
      </c>
      <c r="I1053" s="5" t="s">
        <v>50</v>
      </c>
      <c r="J1053" s="5">
        <v>47</v>
      </c>
      <c r="K1053" s="5">
        <v>343</v>
      </c>
      <c r="L1053" s="5" t="s">
        <v>41</v>
      </c>
      <c r="M1053" s="5">
        <v>120</v>
      </c>
      <c r="N1053" s="5">
        <v>30</v>
      </c>
      <c r="O1053" s="5">
        <v>290</v>
      </c>
      <c r="P1053" s="5">
        <v>155</v>
      </c>
      <c r="Q1053">
        <f>SUM([1]!Table1[[#This Row],[Sales]])</f>
        <v>343</v>
      </c>
      <c r="R1053">
        <f>SUM([1]!Table1[[#This Row],[Profit]])</f>
        <v>47</v>
      </c>
      <c r="S1053" s="7">
        <f t="shared" si="128"/>
        <v>0.13702623906705538</v>
      </c>
      <c r="T1053">
        <f t="shared" si="129"/>
        <v>122</v>
      </c>
      <c r="U1053">
        <f t="shared" si="130"/>
        <v>53</v>
      </c>
      <c r="V1053">
        <f t="shared" si="131"/>
        <v>15</v>
      </c>
      <c r="W1053">
        <f t="shared" si="132"/>
        <v>0.38524590163934425</v>
      </c>
      <c r="X1053" t="str">
        <f t="shared" si="133"/>
        <v>Low Profit</v>
      </c>
      <c r="Y1053">
        <f t="shared" si="134"/>
        <v>135</v>
      </c>
      <c r="Z1053">
        <f t="shared" si="135"/>
        <v>343</v>
      </c>
    </row>
    <row r="1054" spans="1:26">
      <c r="A1054" s="3">
        <v>253</v>
      </c>
      <c r="B1054" s="3">
        <v>115</v>
      </c>
      <c r="C1054" s="4">
        <v>41609</v>
      </c>
      <c r="D1054" s="3" t="s">
        <v>32</v>
      </c>
      <c r="E1054" s="3" t="s">
        <v>29</v>
      </c>
      <c r="F1054" s="3">
        <v>37</v>
      </c>
      <c r="G1054" s="3" t="s">
        <v>18</v>
      </c>
      <c r="H1054" s="3" t="s">
        <v>19</v>
      </c>
      <c r="I1054" s="3" t="s">
        <v>50</v>
      </c>
      <c r="J1054" s="3">
        <v>156</v>
      </c>
      <c r="K1054" s="3">
        <v>308</v>
      </c>
      <c r="L1054" s="3" t="s">
        <v>53</v>
      </c>
      <c r="M1054" s="3">
        <v>100</v>
      </c>
      <c r="N1054" s="3">
        <v>110</v>
      </c>
      <c r="O1054" s="3">
        <v>260</v>
      </c>
      <c r="P1054" s="3">
        <v>69</v>
      </c>
      <c r="Q1054">
        <f>SUM([1]!Table1[[#This Row],[Sales]])</f>
        <v>308</v>
      </c>
      <c r="R1054">
        <f>SUM([1]!Table1[[#This Row],[Profit]])</f>
        <v>156</v>
      </c>
      <c r="S1054" s="7">
        <f t="shared" si="128"/>
        <v>0.50649350649350644</v>
      </c>
      <c r="T1054">
        <f t="shared" si="129"/>
        <v>37</v>
      </c>
      <c r="U1054">
        <f t="shared" si="130"/>
        <v>48</v>
      </c>
      <c r="V1054">
        <f t="shared" si="131"/>
        <v>15</v>
      </c>
      <c r="W1054">
        <f t="shared" si="132"/>
        <v>4.2162162162162158</v>
      </c>
      <c r="X1054" t="str">
        <f t="shared" si="133"/>
        <v>High Profit</v>
      </c>
      <c r="Y1054">
        <f t="shared" si="134"/>
        <v>115</v>
      </c>
      <c r="Z1054">
        <f t="shared" si="135"/>
        <v>308</v>
      </c>
    </row>
    <row r="1055" spans="1:26">
      <c r="A1055" s="5">
        <v>702</v>
      </c>
      <c r="B1055" s="5">
        <v>224</v>
      </c>
      <c r="C1055" s="6">
        <v>41609</v>
      </c>
      <c r="D1055" s="5" t="s">
        <v>32</v>
      </c>
      <c r="E1055" s="5" t="s">
        <v>29</v>
      </c>
      <c r="F1055" s="5">
        <v>73</v>
      </c>
      <c r="G1055" s="5" t="s">
        <v>18</v>
      </c>
      <c r="H1055" s="5" t="s">
        <v>19</v>
      </c>
      <c r="I1055" s="5" t="s">
        <v>20</v>
      </c>
      <c r="J1055" s="5">
        <v>288</v>
      </c>
      <c r="K1055" s="5">
        <v>569</v>
      </c>
      <c r="L1055" s="5" t="s">
        <v>41</v>
      </c>
      <c r="M1055" s="5">
        <v>210</v>
      </c>
      <c r="N1055" s="5">
        <v>170</v>
      </c>
      <c r="O1055" s="5">
        <v>490</v>
      </c>
      <c r="P1055" s="5">
        <v>116</v>
      </c>
      <c r="Q1055">
        <f>SUM([1]!Table1[[#This Row],[Sales]])</f>
        <v>569</v>
      </c>
      <c r="R1055">
        <f>SUM([1]!Table1[[#This Row],[Profit]])</f>
        <v>288</v>
      </c>
      <c r="S1055" s="7">
        <f t="shared" si="128"/>
        <v>0.5061511423550088</v>
      </c>
      <c r="T1055">
        <f t="shared" si="129"/>
        <v>73</v>
      </c>
      <c r="U1055">
        <f t="shared" si="130"/>
        <v>79</v>
      </c>
      <c r="V1055">
        <f t="shared" si="131"/>
        <v>14</v>
      </c>
      <c r="W1055">
        <f t="shared" si="132"/>
        <v>3.9452054794520546</v>
      </c>
      <c r="X1055" t="str">
        <f t="shared" si="133"/>
        <v>High Profit</v>
      </c>
      <c r="Y1055">
        <f t="shared" si="134"/>
        <v>224</v>
      </c>
      <c r="Z1055">
        <f t="shared" si="135"/>
        <v>569</v>
      </c>
    </row>
    <row r="1056" spans="1:26">
      <c r="A1056" s="3">
        <v>503</v>
      </c>
      <c r="B1056" s="3">
        <v>81</v>
      </c>
      <c r="C1056" s="4">
        <v>41609</v>
      </c>
      <c r="D1056" s="3" t="s">
        <v>32</v>
      </c>
      <c r="E1056" s="3" t="s">
        <v>29</v>
      </c>
      <c r="F1056" s="3">
        <v>26</v>
      </c>
      <c r="G1056" s="3" t="s">
        <v>18</v>
      </c>
      <c r="H1056" s="3" t="s">
        <v>19</v>
      </c>
      <c r="I1056" s="3" t="s">
        <v>20</v>
      </c>
      <c r="J1056" s="3">
        <v>98</v>
      </c>
      <c r="K1056" s="3">
        <v>197</v>
      </c>
      <c r="L1056" s="3" t="s">
        <v>49</v>
      </c>
      <c r="M1056" s="3">
        <v>70</v>
      </c>
      <c r="N1056" s="3">
        <v>70</v>
      </c>
      <c r="O1056" s="3">
        <v>170</v>
      </c>
      <c r="P1056" s="3">
        <v>38</v>
      </c>
      <c r="Q1056">
        <f>SUM([1]!Table1[[#This Row],[Sales]])</f>
        <v>197</v>
      </c>
      <c r="R1056">
        <f>SUM([1]!Table1[[#This Row],[Profit]])</f>
        <v>98</v>
      </c>
      <c r="S1056" s="7">
        <f t="shared" si="128"/>
        <v>0.49746192893401014</v>
      </c>
      <c r="T1056">
        <f t="shared" si="129"/>
        <v>26</v>
      </c>
      <c r="U1056">
        <f t="shared" si="130"/>
        <v>27</v>
      </c>
      <c r="V1056">
        <f t="shared" si="131"/>
        <v>11</v>
      </c>
      <c r="W1056">
        <f t="shared" si="132"/>
        <v>3.7692307692307692</v>
      </c>
      <c r="X1056" t="str">
        <f t="shared" si="133"/>
        <v>Low Profit</v>
      </c>
      <c r="Y1056">
        <f t="shared" si="134"/>
        <v>81</v>
      </c>
      <c r="Z1056">
        <f t="shared" si="135"/>
        <v>197</v>
      </c>
    </row>
    <row r="1057" spans="1:26">
      <c r="A1057" s="5">
        <v>775</v>
      </c>
      <c r="B1057" s="5">
        <v>127</v>
      </c>
      <c r="C1057" s="6">
        <v>41609</v>
      </c>
      <c r="D1057" s="5" t="s">
        <v>32</v>
      </c>
      <c r="E1057" s="5" t="s">
        <v>29</v>
      </c>
      <c r="F1057" s="5">
        <v>40</v>
      </c>
      <c r="G1057" s="5" t="s">
        <v>18</v>
      </c>
      <c r="H1057" s="5" t="s">
        <v>19</v>
      </c>
      <c r="I1057" s="5" t="s">
        <v>22</v>
      </c>
      <c r="J1057" s="5">
        <v>181</v>
      </c>
      <c r="K1057" s="5">
        <v>332</v>
      </c>
      <c r="L1057" s="5" t="s">
        <v>41</v>
      </c>
      <c r="M1057" s="5">
        <v>120</v>
      </c>
      <c r="N1057" s="5">
        <v>120</v>
      </c>
      <c r="O1057" s="5">
        <v>290</v>
      </c>
      <c r="P1057" s="5">
        <v>63</v>
      </c>
      <c r="Q1057">
        <f>SUM([1]!Table1[[#This Row],[Sales]])</f>
        <v>332</v>
      </c>
      <c r="R1057">
        <f>SUM([1]!Table1[[#This Row],[Profit]])</f>
        <v>181</v>
      </c>
      <c r="S1057" s="7">
        <f t="shared" si="128"/>
        <v>0.54518072289156627</v>
      </c>
      <c r="T1057">
        <f t="shared" si="129"/>
        <v>40</v>
      </c>
      <c r="U1057">
        <f t="shared" si="130"/>
        <v>42</v>
      </c>
      <c r="V1057">
        <f t="shared" si="131"/>
        <v>7</v>
      </c>
      <c r="W1057">
        <f t="shared" si="132"/>
        <v>4.5250000000000004</v>
      </c>
      <c r="X1057" t="str">
        <f t="shared" si="133"/>
        <v>High Profit</v>
      </c>
      <c r="Y1057">
        <f t="shared" si="134"/>
        <v>127</v>
      </c>
      <c r="Z1057">
        <f t="shared" si="135"/>
        <v>332</v>
      </c>
    </row>
    <row r="1058" spans="1:26">
      <c r="A1058" s="3">
        <v>775</v>
      </c>
      <c r="B1058" s="3">
        <v>247</v>
      </c>
      <c r="C1058" s="4">
        <v>41609</v>
      </c>
      <c r="D1058" s="3" t="s">
        <v>32</v>
      </c>
      <c r="E1058" s="3" t="s">
        <v>29</v>
      </c>
      <c r="F1058" s="3">
        <v>81</v>
      </c>
      <c r="G1058" s="3" t="s">
        <v>18</v>
      </c>
      <c r="H1058" s="3" t="s">
        <v>26</v>
      </c>
      <c r="I1058" s="3" t="s">
        <v>27</v>
      </c>
      <c r="J1058" s="3">
        <v>319</v>
      </c>
      <c r="K1058" s="3">
        <v>614</v>
      </c>
      <c r="L1058" s="3" t="s">
        <v>41</v>
      </c>
      <c r="M1058" s="3">
        <v>180</v>
      </c>
      <c r="N1058" s="3">
        <v>150</v>
      </c>
      <c r="O1058" s="3">
        <v>420</v>
      </c>
      <c r="P1058" s="3">
        <v>114</v>
      </c>
      <c r="Q1058">
        <f>SUM([1]!Table1[[#This Row],[Sales]])</f>
        <v>614</v>
      </c>
      <c r="R1058">
        <f>SUM([1]!Table1[[#This Row],[Profit]])</f>
        <v>319</v>
      </c>
      <c r="S1058" s="7">
        <f t="shared" si="128"/>
        <v>0.51954397394136809</v>
      </c>
      <c r="T1058">
        <f t="shared" si="129"/>
        <v>81</v>
      </c>
      <c r="U1058">
        <f t="shared" si="130"/>
        <v>194</v>
      </c>
      <c r="V1058">
        <f t="shared" si="131"/>
        <v>67</v>
      </c>
      <c r="W1058">
        <f t="shared" si="132"/>
        <v>3.9382716049382718</v>
      </c>
      <c r="X1058" t="str">
        <f t="shared" si="133"/>
        <v>High Profit</v>
      </c>
      <c r="Y1058">
        <f t="shared" si="134"/>
        <v>247</v>
      </c>
      <c r="Z1058">
        <f t="shared" si="135"/>
        <v>614</v>
      </c>
    </row>
    <row r="1059" spans="1:26">
      <c r="A1059" s="5">
        <v>775</v>
      </c>
      <c r="B1059" s="5">
        <v>250</v>
      </c>
      <c r="C1059" s="6">
        <v>41609</v>
      </c>
      <c r="D1059" s="5" t="s">
        <v>32</v>
      </c>
      <c r="E1059" s="5" t="s">
        <v>29</v>
      </c>
      <c r="F1059" s="5">
        <v>70</v>
      </c>
      <c r="G1059" s="5" t="s">
        <v>18</v>
      </c>
      <c r="H1059" s="5" t="s">
        <v>26</v>
      </c>
      <c r="I1059" s="5" t="s">
        <v>54</v>
      </c>
      <c r="J1059" s="5">
        <v>233</v>
      </c>
      <c r="K1059" s="5">
        <v>534</v>
      </c>
      <c r="L1059" s="5" t="s">
        <v>41</v>
      </c>
      <c r="M1059" s="5">
        <v>180</v>
      </c>
      <c r="N1059" s="5">
        <v>100</v>
      </c>
      <c r="O1059" s="5">
        <v>360</v>
      </c>
      <c r="P1059" s="5">
        <v>94</v>
      </c>
      <c r="Q1059">
        <f>SUM([1]!Table1[[#This Row],[Sales]])</f>
        <v>534</v>
      </c>
      <c r="R1059">
        <f>SUM([1]!Table1[[#This Row],[Profit]])</f>
        <v>233</v>
      </c>
      <c r="S1059" s="7">
        <f t="shared" si="128"/>
        <v>0.43632958801498128</v>
      </c>
      <c r="T1059">
        <f t="shared" si="129"/>
        <v>70</v>
      </c>
      <c r="U1059">
        <f t="shared" si="130"/>
        <v>174</v>
      </c>
      <c r="V1059">
        <f t="shared" si="131"/>
        <v>70</v>
      </c>
      <c r="W1059">
        <f t="shared" si="132"/>
        <v>3.3285714285714287</v>
      </c>
      <c r="X1059" t="str">
        <f t="shared" si="133"/>
        <v>High Profit</v>
      </c>
      <c r="Y1059">
        <f t="shared" si="134"/>
        <v>250</v>
      </c>
      <c r="Z1059">
        <f t="shared" si="135"/>
        <v>534</v>
      </c>
    </row>
    <row r="1060" spans="1:26">
      <c r="A1060" s="3">
        <v>971</v>
      </c>
      <c r="B1060" s="3">
        <v>88</v>
      </c>
      <c r="C1060" s="4">
        <v>41609</v>
      </c>
      <c r="D1060" s="3" t="s">
        <v>32</v>
      </c>
      <c r="E1060" s="3" t="s">
        <v>29</v>
      </c>
      <c r="F1060" s="3">
        <v>29</v>
      </c>
      <c r="G1060" s="3" t="s">
        <v>18</v>
      </c>
      <c r="H1060" s="3" t="s">
        <v>26</v>
      </c>
      <c r="I1060" s="3" t="s">
        <v>54</v>
      </c>
      <c r="J1060" s="3">
        <v>108</v>
      </c>
      <c r="K1060" s="3">
        <v>236</v>
      </c>
      <c r="L1060" s="3" t="s">
        <v>49</v>
      </c>
      <c r="M1060" s="3">
        <v>60</v>
      </c>
      <c r="N1060" s="3">
        <v>60</v>
      </c>
      <c r="O1060" s="3">
        <v>160</v>
      </c>
      <c r="P1060" s="3">
        <v>60</v>
      </c>
      <c r="Q1060">
        <f>SUM([1]!Table1[[#This Row],[Sales]])</f>
        <v>236</v>
      </c>
      <c r="R1060">
        <f>SUM([1]!Table1[[#This Row],[Profit]])</f>
        <v>108</v>
      </c>
      <c r="S1060" s="7">
        <f t="shared" si="128"/>
        <v>0.4576271186440678</v>
      </c>
      <c r="T1060">
        <f t="shared" si="129"/>
        <v>29</v>
      </c>
      <c r="U1060">
        <f t="shared" si="130"/>
        <v>76</v>
      </c>
      <c r="V1060">
        <f t="shared" si="131"/>
        <v>28</v>
      </c>
      <c r="W1060">
        <f t="shared" si="132"/>
        <v>3.7241379310344827</v>
      </c>
      <c r="X1060" t="str">
        <f t="shared" si="133"/>
        <v>High Profit</v>
      </c>
      <c r="Y1060">
        <f t="shared" si="134"/>
        <v>88</v>
      </c>
      <c r="Z1060">
        <f t="shared" si="135"/>
        <v>236</v>
      </c>
    </row>
    <row r="1061" spans="1:26">
      <c r="A1061" s="5">
        <v>775</v>
      </c>
      <c r="B1061" s="5">
        <v>294</v>
      </c>
      <c r="C1061" s="6">
        <v>41609</v>
      </c>
      <c r="D1061" s="5" t="s">
        <v>32</v>
      </c>
      <c r="E1061" s="5" t="s">
        <v>29</v>
      </c>
      <c r="F1061" s="5">
        <v>111</v>
      </c>
      <c r="G1061" s="5" t="s">
        <v>18</v>
      </c>
      <c r="H1061" s="5" t="s">
        <v>26</v>
      </c>
      <c r="I1061" s="5" t="s">
        <v>30</v>
      </c>
      <c r="J1061" s="5">
        <v>-605</v>
      </c>
      <c r="K1061" s="5">
        <v>33</v>
      </c>
      <c r="L1061" s="5" t="s">
        <v>41</v>
      </c>
      <c r="M1061" s="5">
        <v>210</v>
      </c>
      <c r="N1061" s="5">
        <v>-320</v>
      </c>
      <c r="O1061" s="5">
        <v>0</v>
      </c>
      <c r="P1061" s="5">
        <v>145</v>
      </c>
      <c r="Q1061">
        <f>SUM([1]!Table1[[#This Row],[Sales]])</f>
        <v>33</v>
      </c>
      <c r="R1061">
        <f>SUM([1]!Table1[[#This Row],[Profit]])</f>
        <v>-605</v>
      </c>
      <c r="S1061" s="7">
        <f t="shared" si="128"/>
        <v>-18.333333333333332</v>
      </c>
      <c r="T1061">
        <f t="shared" si="129"/>
        <v>111</v>
      </c>
      <c r="U1061">
        <f t="shared" si="130"/>
        <v>33</v>
      </c>
      <c r="V1061">
        <f t="shared" si="131"/>
        <v>84</v>
      </c>
      <c r="W1061">
        <f t="shared" si="132"/>
        <v>-5.4504504504504503</v>
      </c>
      <c r="X1061" t="str">
        <f t="shared" si="133"/>
        <v>Low Profit</v>
      </c>
      <c r="Y1061">
        <f t="shared" si="134"/>
        <v>294</v>
      </c>
      <c r="Z1061">
        <f t="shared" si="135"/>
        <v>33</v>
      </c>
    </row>
    <row r="1062" spans="1:26">
      <c r="A1062" s="3">
        <v>503</v>
      </c>
      <c r="B1062" s="3">
        <v>134</v>
      </c>
      <c r="C1062" s="4">
        <v>41609</v>
      </c>
      <c r="D1062" s="3" t="s">
        <v>32</v>
      </c>
      <c r="E1062" s="3" t="s">
        <v>29</v>
      </c>
      <c r="F1062" s="3">
        <v>41</v>
      </c>
      <c r="G1062" s="3" t="s">
        <v>18</v>
      </c>
      <c r="H1062" s="3" t="s">
        <v>26</v>
      </c>
      <c r="I1062" s="3" t="s">
        <v>30</v>
      </c>
      <c r="J1062" s="3">
        <v>180</v>
      </c>
      <c r="K1062" s="3">
        <v>341</v>
      </c>
      <c r="L1062" s="3" t="s">
        <v>49</v>
      </c>
      <c r="M1062" s="3">
        <v>90</v>
      </c>
      <c r="N1062" s="3">
        <v>100</v>
      </c>
      <c r="O1062" s="3">
        <v>230</v>
      </c>
      <c r="P1062" s="3">
        <v>65</v>
      </c>
      <c r="Q1062">
        <f>SUM([1]!Table1[[#This Row],[Sales]])</f>
        <v>341</v>
      </c>
      <c r="R1062">
        <f>SUM([1]!Table1[[#This Row],[Profit]])</f>
        <v>180</v>
      </c>
      <c r="S1062" s="7">
        <f t="shared" si="128"/>
        <v>0.52785923753665687</v>
      </c>
      <c r="T1062">
        <f t="shared" si="129"/>
        <v>41</v>
      </c>
      <c r="U1062">
        <f t="shared" si="130"/>
        <v>111</v>
      </c>
      <c r="V1062">
        <f t="shared" si="131"/>
        <v>44</v>
      </c>
      <c r="W1062">
        <f t="shared" si="132"/>
        <v>4.3902439024390247</v>
      </c>
      <c r="X1062" t="str">
        <f t="shared" si="133"/>
        <v>High Profit</v>
      </c>
      <c r="Y1062">
        <f t="shared" si="134"/>
        <v>134</v>
      </c>
      <c r="Z1062">
        <f t="shared" si="135"/>
        <v>341</v>
      </c>
    </row>
    <row r="1063" spans="1:26">
      <c r="A1063" s="5">
        <v>435</v>
      </c>
      <c r="B1063" s="5">
        <v>20</v>
      </c>
      <c r="C1063" s="6">
        <v>41609</v>
      </c>
      <c r="D1063" s="5" t="s">
        <v>32</v>
      </c>
      <c r="E1063" s="5" t="s">
        <v>29</v>
      </c>
      <c r="F1063" s="5">
        <v>7</v>
      </c>
      <c r="G1063" s="5" t="s">
        <v>18</v>
      </c>
      <c r="H1063" s="5" t="s">
        <v>26</v>
      </c>
      <c r="I1063" s="5" t="s">
        <v>30</v>
      </c>
      <c r="J1063" s="5">
        <v>-22</v>
      </c>
      <c r="K1063" s="5">
        <v>48</v>
      </c>
      <c r="L1063" s="5" t="s">
        <v>42</v>
      </c>
      <c r="M1063" s="5">
        <v>10</v>
      </c>
      <c r="N1063" s="5">
        <v>0</v>
      </c>
      <c r="O1063" s="5">
        <v>30</v>
      </c>
      <c r="P1063" s="5">
        <v>40</v>
      </c>
      <c r="Q1063">
        <f>SUM([1]!Table1[[#This Row],[Sales]])</f>
        <v>48</v>
      </c>
      <c r="R1063">
        <f>SUM([1]!Table1[[#This Row],[Profit]])</f>
        <v>-22</v>
      </c>
      <c r="S1063" s="7">
        <f t="shared" si="128"/>
        <v>-0.45833333333333331</v>
      </c>
      <c r="T1063">
        <f t="shared" si="129"/>
        <v>7</v>
      </c>
      <c r="U1063">
        <f t="shared" si="130"/>
        <v>18</v>
      </c>
      <c r="V1063">
        <f t="shared" si="131"/>
        <v>10</v>
      </c>
      <c r="W1063">
        <f t="shared" si="132"/>
        <v>-3.1428571428571428</v>
      </c>
      <c r="X1063" t="str">
        <f t="shared" si="133"/>
        <v>Low Profit</v>
      </c>
      <c r="Y1063">
        <f t="shared" si="134"/>
        <v>20</v>
      </c>
      <c r="Z1063">
        <f t="shared" si="135"/>
        <v>48</v>
      </c>
    </row>
    <row r="1065" spans="1:26">
      <c r="A1065" t="s">
        <v>315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8A02C-EFE4-4C7F-B9C3-B71A165730C5}">
  <dimension ref="A1:B15"/>
  <sheetViews>
    <sheetView workbookViewId="0">
      <selection activeCell="I1" sqref="I1:I1048576"/>
    </sheetView>
  </sheetViews>
  <sheetFormatPr defaultRowHeight="14.4"/>
  <cols>
    <col min="1" max="1" width="15.5546875" bestFit="1" customWidth="1"/>
    <col min="2" max="2" width="10.77734375" bestFit="1" customWidth="1"/>
  </cols>
  <sheetData>
    <row r="1" spans="1:2">
      <c r="A1" s="11" t="s">
        <v>72</v>
      </c>
      <c r="B1" s="11" t="s">
        <v>73</v>
      </c>
    </row>
    <row r="2" spans="1:2">
      <c r="A2" s="11" t="s">
        <v>74</v>
      </c>
      <c r="B2" s="11" t="s">
        <v>75</v>
      </c>
    </row>
    <row r="3" spans="1:2">
      <c r="A3" s="11" t="s">
        <v>20</v>
      </c>
      <c r="B3" s="11" t="s">
        <v>76</v>
      </c>
    </row>
    <row r="4" spans="1:2">
      <c r="A4" s="11" t="s">
        <v>22</v>
      </c>
      <c r="B4" s="11" t="s">
        <v>76</v>
      </c>
    </row>
    <row r="5" spans="1:2">
      <c r="A5" s="11" t="s">
        <v>27</v>
      </c>
      <c r="B5" s="11" t="s">
        <v>77</v>
      </c>
    </row>
    <row r="6" spans="1:2">
      <c r="A6" s="11" t="s">
        <v>30</v>
      </c>
      <c r="B6" s="11" t="s">
        <v>77</v>
      </c>
    </row>
    <row r="7" spans="1:2">
      <c r="A7" s="11" t="s">
        <v>35</v>
      </c>
      <c r="B7" s="11" t="s">
        <v>76</v>
      </c>
    </row>
    <row r="8" spans="1:2">
      <c r="A8" s="11" t="s">
        <v>39</v>
      </c>
      <c r="B8" s="11" t="s">
        <v>76</v>
      </c>
    </row>
    <row r="9" spans="1:2">
      <c r="A9" s="11" t="s">
        <v>43</v>
      </c>
      <c r="B9" s="11" t="s">
        <v>77</v>
      </c>
    </row>
    <row r="10" spans="1:2">
      <c r="A10" s="11" t="s">
        <v>45</v>
      </c>
      <c r="B10" s="11" t="s">
        <v>77</v>
      </c>
    </row>
    <row r="11" spans="1:2">
      <c r="A11" s="11" t="s">
        <v>46</v>
      </c>
      <c r="B11" s="11" t="s">
        <v>77</v>
      </c>
    </row>
    <row r="12" spans="1:2">
      <c r="A12" s="11" t="s">
        <v>47</v>
      </c>
      <c r="B12" s="11" t="s">
        <v>77</v>
      </c>
    </row>
    <row r="13" spans="1:2">
      <c r="A13" s="11" t="s">
        <v>50</v>
      </c>
      <c r="B13" s="11" t="s">
        <v>76</v>
      </c>
    </row>
    <row r="14" spans="1:2">
      <c r="A14" s="11" t="s">
        <v>54</v>
      </c>
      <c r="B14" s="11" t="s">
        <v>77</v>
      </c>
    </row>
    <row r="15" spans="1:2">
      <c r="A15" s="11" t="s">
        <v>59</v>
      </c>
      <c r="B15" s="11" t="s">
        <v>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6E576-1231-4CD6-A9DC-5AEBCDEC6F87}">
  <dimension ref="A1:A30"/>
  <sheetViews>
    <sheetView topLeftCell="A7" workbookViewId="0">
      <selection activeCell="C32" sqref="C32"/>
    </sheetView>
  </sheetViews>
  <sheetFormatPr defaultRowHeight="14.4"/>
  <sheetData>
    <row r="1" spans="1:1" ht="17.399999999999999">
      <c r="A1" s="13" t="s">
        <v>78</v>
      </c>
    </row>
    <row r="2" spans="1:1">
      <c r="A2" s="12" t="s">
        <v>79</v>
      </c>
    </row>
    <row r="3" spans="1:1">
      <c r="A3" s="14" t="s">
        <v>80</v>
      </c>
    </row>
    <row r="4" spans="1:1">
      <c r="A4" s="14" t="s">
        <v>81</v>
      </c>
    </row>
    <row r="5" spans="1:1">
      <c r="A5" s="14" t="s">
        <v>82</v>
      </c>
    </row>
    <row r="7" spans="1:1" ht="17.399999999999999">
      <c r="A7" s="13" t="s">
        <v>83</v>
      </c>
    </row>
    <row r="8" spans="1:1">
      <c r="A8" s="12" t="s">
        <v>84</v>
      </c>
    </row>
    <row r="9" spans="1:1">
      <c r="A9" s="14" t="s">
        <v>85</v>
      </c>
    </row>
    <row r="10" spans="1:1">
      <c r="A10" s="14" t="s">
        <v>86</v>
      </c>
    </row>
    <row r="11" spans="1:1">
      <c r="A11" s="16" t="s">
        <v>87</v>
      </c>
    </row>
    <row r="12" spans="1:1">
      <c r="A12" s="14" t="s">
        <v>88</v>
      </c>
    </row>
    <row r="13" spans="1:1">
      <c r="A13" s="15"/>
    </row>
    <row r="16" spans="1:1" ht="17.399999999999999">
      <c r="A16" s="13" t="s">
        <v>89</v>
      </c>
    </row>
    <row r="17" spans="1:1">
      <c r="A17" s="12" t="s">
        <v>90</v>
      </c>
    </row>
    <row r="18" spans="1:1">
      <c r="A18" s="14" t="s">
        <v>91</v>
      </c>
    </row>
    <row r="19" spans="1:1">
      <c r="A19" s="15"/>
    </row>
    <row r="20" spans="1:1">
      <c r="A20" s="16" t="s">
        <v>92</v>
      </c>
    </row>
    <row r="21" spans="1:1">
      <c r="A21" s="16" t="s">
        <v>93</v>
      </c>
    </row>
    <row r="22" spans="1:1">
      <c r="A22" s="14" t="s">
        <v>94</v>
      </c>
    </row>
    <row r="23" spans="1:1">
      <c r="A23" s="14" t="s">
        <v>95</v>
      </c>
    </row>
    <row r="25" spans="1:1" ht="17.399999999999999">
      <c r="A25" s="13" t="s">
        <v>96</v>
      </c>
    </row>
    <row r="26" spans="1:1">
      <c r="A26" s="12" t="s">
        <v>97</v>
      </c>
    </row>
    <row r="27" spans="1:1">
      <c r="A27" s="14" t="s">
        <v>98</v>
      </c>
    </row>
    <row r="28" spans="1:1">
      <c r="A28" s="14" t="s">
        <v>99</v>
      </c>
    </row>
    <row r="29" spans="1:1">
      <c r="A29" s="14" t="s">
        <v>100</v>
      </c>
    </row>
    <row r="30" spans="1:1">
      <c r="A30"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8D1FF-96B9-4DAA-BAFC-16E9C6523567}">
  <dimension ref="B2:N51"/>
  <sheetViews>
    <sheetView topLeftCell="B1" workbookViewId="0">
      <selection activeCell="E16" sqref="E16"/>
    </sheetView>
  </sheetViews>
  <sheetFormatPr defaultRowHeight="14.4"/>
  <cols>
    <col min="2" max="2" width="16.44140625" bestFit="1" customWidth="1"/>
    <col min="3" max="3" width="16.88671875" bestFit="1" customWidth="1"/>
    <col min="4" max="4" width="22" bestFit="1" customWidth="1"/>
    <col min="5" max="5" width="20.44140625" bestFit="1" customWidth="1"/>
    <col min="12" max="12" width="12.5546875" bestFit="1" customWidth="1"/>
    <col min="13" max="13" width="14.88671875" bestFit="1" customWidth="1"/>
    <col min="14" max="14" width="30.21875" bestFit="1" customWidth="1"/>
    <col min="15" max="15" width="24.33203125" bestFit="1" customWidth="1"/>
  </cols>
  <sheetData>
    <row r="2" spans="3:14" ht="21">
      <c r="C2" s="61" t="s">
        <v>101</v>
      </c>
      <c r="D2" s="62"/>
      <c r="M2" s="61" t="s">
        <v>110</v>
      </c>
      <c r="N2" s="61"/>
    </row>
    <row r="3" spans="3:14" ht="18">
      <c r="C3" s="9" t="s">
        <v>70</v>
      </c>
      <c r="M3" s="9" t="s">
        <v>102</v>
      </c>
    </row>
    <row r="4" spans="3:14">
      <c r="C4" t="s">
        <v>324</v>
      </c>
      <c r="M4" t="s">
        <v>325</v>
      </c>
    </row>
    <row r="5" spans="3:14">
      <c r="C5" s="17" t="s">
        <v>115</v>
      </c>
      <c r="D5" t="s">
        <v>326</v>
      </c>
      <c r="L5" s="17" t="s">
        <v>115</v>
      </c>
      <c r="M5" t="s">
        <v>103</v>
      </c>
    </row>
    <row r="6" spans="3:14">
      <c r="C6" s="18" t="s">
        <v>17</v>
      </c>
      <c r="D6">
        <v>1552914</v>
      </c>
      <c r="L6" s="18" t="s">
        <v>38</v>
      </c>
      <c r="M6">
        <v>17485</v>
      </c>
    </row>
    <row r="7" spans="3:14">
      <c r="C7" s="18" t="s">
        <v>25</v>
      </c>
      <c r="D7">
        <v>930459</v>
      </c>
      <c r="L7" s="18" t="s">
        <v>34</v>
      </c>
      <c r="M7">
        <v>17880</v>
      </c>
    </row>
    <row r="8" spans="3:14">
      <c r="C8" s="18" t="s">
        <v>23</v>
      </c>
      <c r="D8">
        <v>434993</v>
      </c>
      <c r="L8" s="18" t="s">
        <v>19</v>
      </c>
      <c r="M8">
        <v>15906</v>
      </c>
    </row>
    <row r="9" spans="3:14">
      <c r="C9" s="18" t="s">
        <v>29</v>
      </c>
      <c r="D9">
        <v>1198668</v>
      </c>
      <c r="L9" s="18" t="s">
        <v>26</v>
      </c>
      <c r="M9">
        <v>13040</v>
      </c>
    </row>
    <row r="10" spans="3:14">
      <c r="C10" s="18" t="s">
        <v>116</v>
      </c>
      <c r="D10">
        <v>4117034</v>
      </c>
      <c r="L10" s="18" t="s">
        <v>116</v>
      </c>
      <c r="M10">
        <v>64311</v>
      </c>
    </row>
    <row r="22" spans="3:14" ht="21">
      <c r="C22" s="61" t="s">
        <v>111</v>
      </c>
      <c r="D22" s="62"/>
      <c r="M22" s="61" t="s">
        <v>114</v>
      </c>
      <c r="N22" s="62"/>
    </row>
    <row r="23" spans="3:14" ht="18">
      <c r="C23" s="9" t="s">
        <v>104</v>
      </c>
      <c r="M23" t="s">
        <v>327</v>
      </c>
    </row>
    <row r="24" spans="3:14">
      <c r="C24" t="s">
        <v>328</v>
      </c>
      <c r="M24" t="s">
        <v>329</v>
      </c>
    </row>
    <row r="25" spans="3:14">
      <c r="C25" s="17" t="s">
        <v>115</v>
      </c>
      <c r="D25" t="s">
        <v>113</v>
      </c>
      <c r="M25" s="17" t="s">
        <v>115</v>
      </c>
      <c r="N25" t="s">
        <v>120</v>
      </c>
    </row>
    <row r="26" spans="3:14">
      <c r="C26" s="18" t="s">
        <v>38</v>
      </c>
      <c r="D26">
        <v>52373</v>
      </c>
      <c r="M26" s="18" t="s">
        <v>38</v>
      </c>
      <c r="N26">
        <v>8036</v>
      </c>
    </row>
    <row r="27" spans="3:14">
      <c r="C27" s="18" t="s">
        <v>34</v>
      </c>
      <c r="D27">
        <v>56013</v>
      </c>
      <c r="M27" s="18" t="s">
        <v>34</v>
      </c>
      <c r="N27">
        <v>9344</v>
      </c>
    </row>
    <row r="28" spans="3:14">
      <c r="C28" s="18" t="s">
        <v>19</v>
      </c>
      <c r="D28">
        <v>51685</v>
      </c>
      <c r="M28" s="18" t="s">
        <v>19</v>
      </c>
      <c r="N28">
        <v>8372</v>
      </c>
    </row>
    <row r="29" spans="3:14">
      <c r="C29" s="18" t="s">
        <v>26</v>
      </c>
      <c r="D29">
        <v>42824</v>
      </c>
      <c r="M29" s="18" t="s">
        <v>26</v>
      </c>
      <c r="N29">
        <v>6568</v>
      </c>
    </row>
    <row r="30" spans="3:14">
      <c r="C30" s="18" t="s">
        <v>116</v>
      </c>
      <c r="D30">
        <v>202895</v>
      </c>
      <c r="M30" s="18" t="s">
        <v>116</v>
      </c>
      <c r="N30">
        <v>32320</v>
      </c>
    </row>
    <row r="43" spans="2:13" ht="21">
      <c r="B43" s="59" t="s">
        <v>117</v>
      </c>
      <c r="C43" s="60"/>
      <c r="L43" s="59" t="s">
        <v>119</v>
      </c>
      <c r="M43" s="60"/>
    </row>
    <row r="44" spans="2:13" ht="18">
      <c r="B44" s="9" t="s">
        <v>105</v>
      </c>
      <c r="L44" s="9" t="s">
        <v>106</v>
      </c>
    </row>
    <row r="45" spans="2:13">
      <c r="L45" t="s">
        <v>330</v>
      </c>
    </row>
    <row r="46" spans="2:13">
      <c r="B46" s="17" t="s">
        <v>115</v>
      </c>
      <c r="C46" s="17" t="s">
        <v>326</v>
      </c>
      <c r="D46" t="s">
        <v>120</v>
      </c>
      <c r="L46" s="17" t="s">
        <v>115</v>
      </c>
      <c r="M46" t="s">
        <v>331</v>
      </c>
    </row>
    <row r="47" spans="2:13">
      <c r="B47" s="18" t="s">
        <v>38</v>
      </c>
      <c r="C47">
        <v>1287335</v>
      </c>
      <c r="D47">
        <v>8036</v>
      </c>
      <c r="L47" s="18" t="s">
        <v>38</v>
      </c>
      <c r="M47">
        <v>-33520</v>
      </c>
    </row>
    <row r="48" spans="2:13">
      <c r="B48" s="18" t="s">
        <v>34</v>
      </c>
      <c r="C48">
        <v>1113215</v>
      </c>
      <c r="D48">
        <v>9344</v>
      </c>
      <c r="L48" s="18" t="s">
        <v>34</v>
      </c>
      <c r="M48">
        <v>-33680</v>
      </c>
    </row>
    <row r="49" spans="2:13">
      <c r="B49" s="18" t="s">
        <v>19</v>
      </c>
      <c r="C49">
        <v>1090570</v>
      </c>
      <c r="D49">
        <v>8372</v>
      </c>
      <c r="L49" s="18" t="s">
        <v>19</v>
      </c>
      <c r="M49">
        <v>-27100</v>
      </c>
    </row>
    <row r="50" spans="2:13">
      <c r="B50" s="18" t="s">
        <v>26</v>
      </c>
      <c r="C50">
        <v>625914</v>
      </c>
      <c r="D50">
        <v>6568</v>
      </c>
      <c r="L50" s="18" t="s">
        <v>26</v>
      </c>
      <c r="M50">
        <v>-20740</v>
      </c>
    </row>
    <row r="51" spans="2:13">
      <c r="B51" s="18" t="s">
        <v>116</v>
      </c>
      <c r="C51">
        <v>4117034</v>
      </c>
      <c r="D51">
        <v>32320</v>
      </c>
      <c r="L51" s="18" t="s">
        <v>116</v>
      </c>
      <c r="M51">
        <v>-115040</v>
      </c>
    </row>
  </sheetData>
  <mergeCells count="6">
    <mergeCell ref="B43:C43"/>
    <mergeCell ref="L43:M43"/>
    <mergeCell ref="M2:N2"/>
    <mergeCell ref="C2:D2"/>
    <mergeCell ref="C22:D22"/>
    <mergeCell ref="M22:N22"/>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01C8-C263-4C37-8ABB-BED3E5936B63}">
  <dimension ref="A1"/>
  <sheetViews>
    <sheetView workbookViewId="0">
      <selection activeCell="V15" sqref="V15"/>
    </sheetView>
  </sheetViews>
  <sheetFormatPr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D79FE-1284-463A-9AEA-CDB25363B898}">
  <dimension ref="A1:N144"/>
  <sheetViews>
    <sheetView topLeftCell="A48" workbookViewId="0">
      <selection activeCell="F52" sqref="F52:F105"/>
    </sheetView>
  </sheetViews>
  <sheetFormatPr defaultRowHeight="14.4"/>
  <cols>
    <col min="1" max="1" width="12.5546875" bestFit="1" customWidth="1"/>
    <col min="2" max="2" width="14" bestFit="1" customWidth="1"/>
    <col min="3" max="3" width="16.21875" bestFit="1" customWidth="1"/>
    <col min="6" max="6" width="21.6640625" bestFit="1" customWidth="1"/>
    <col min="11" max="11" width="17.77734375" bestFit="1" customWidth="1"/>
    <col min="12" max="12" width="12.109375" bestFit="1" customWidth="1"/>
    <col min="13" max="13" width="11.44140625" bestFit="1" customWidth="1"/>
    <col min="14" max="14" width="16.21875" bestFit="1" customWidth="1"/>
  </cols>
  <sheetData>
    <row r="1" spans="1:14" ht="20.399999999999999">
      <c r="A1" s="21" t="s">
        <v>121</v>
      </c>
    </row>
    <row r="2" spans="1:14" ht="18">
      <c r="A2" s="9" t="s">
        <v>122</v>
      </c>
    </row>
    <row r="3" spans="1:14" ht="18">
      <c r="A3" s="9" t="s">
        <v>123</v>
      </c>
      <c r="F3" s="9" t="s">
        <v>124</v>
      </c>
      <c r="K3" s="9" t="s">
        <v>125</v>
      </c>
    </row>
    <row r="5" spans="1:14">
      <c r="A5" s="17" t="s">
        <v>115</v>
      </c>
      <c r="B5" t="s">
        <v>128</v>
      </c>
      <c r="C5" t="s">
        <v>120</v>
      </c>
      <c r="F5" s="17" t="s">
        <v>115</v>
      </c>
      <c r="K5" t="s">
        <v>113</v>
      </c>
      <c r="L5" t="s">
        <v>103</v>
      </c>
      <c r="M5" t="s">
        <v>112</v>
      </c>
      <c r="N5" t="s">
        <v>120</v>
      </c>
    </row>
    <row r="6" spans="1:14">
      <c r="A6" s="22">
        <v>41183</v>
      </c>
      <c r="B6">
        <v>104257</v>
      </c>
      <c r="C6">
        <v>5388</v>
      </c>
      <c r="F6" s="18" t="s">
        <v>33</v>
      </c>
      <c r="K6">
        <v>202895</v>
      </c>
      <c r="L6">
        <v>64311</v>
      </c>
      <c r="M6">
        <v>87508</v>
      </c>
      <c r="N6">
        <v>32320</v>
      </c>
    </row>
    <row r="7" spans="1:14">
      <c r="A7" s="19" t="s">
        <v>16</v>
      </c>
      <c r="B7">
        <v>42207</v>
      </c>
      <c r="C7">
        <v>2607</v>
      </c>
      <c r="F7" s="19" t="s">
        <v>38</v>
      </c>
    </row>
    <row r="8" spans="1:14">
      <c r="A8" s="23" t="s">
        <v>31</v>
      </c>
      <c r="B8">
        <v>6998</v>
      </c>
      <c r="C8">
        <v>637</v>
      </c>
      <c r="F8" s="23" t="s">
        <v>43</v>
      </c>
    </row>
    <row r="9" spans="1:14">
      <c r="A9" s="23" t="s">
        <v>21</v>
      </c>
      <c r="B9">
        <v>6332</v>
      </c>
      <c r="C9">
        <v>293</v>
      </c>
      <c r="F9" s="23" t="s">
        <v>45</v>
      </c>
    </row>
    <row r="10" spans="1:14">
      <c r="A10" s="23" t="s">
        <v>28</v>
      </c>
      <c r="B10">
        <v>4700</v>
      </c>
      <c r="C10">
        <v>245</v>
      </c>
      <c r="F10" s="23" t="s">
        <v>39</v>
      </c>
    </row>
    <row r="11" spans="1:14">
      <c r="A11" s="23" t="s">
        <v>56</v>
      </c>
      <c r="B11">
        <v>5974</v>
      </c>
      <c r="C11">
        <v>359</v>
      </c>
      <c r="F11" s="19" t="s">
        <v>34</v>
      </c>
    </row>
    <row r="12" spans="1:14">
      <c r="A12" s="23" t="s">
        <v>55</v>
      </c>
      <c r="B12">
        <v>4114</v>
      </c>
      <c r="C12">
        <v>146</v>
      </c>
      <c r="F12" s="23" t="s">
        <v>47</v>
      </c>
      <c r="K12" t="s">
        <v>118</v>
      </c>
      <c r="L12" t="s">
        <v>129</v>
      </c>
      <c r="M12" t="s">
        <v>130</v>
      </c>
    </row>
    <row r="13" spans="1:14">
      <c r="A13" s="23" t="s">
        <v>60</v>
      </c>
      <c r="B13">
        <v>4788</v>
      </c>
      <c r="C13">
        <v>525</v>
      </c>
      <c r="F13" s="23" t="s">
        <v>46</v>
      </c>
      <c r="K13">
        <v>178940</v>
      </c>
      <c r="L13">
        <v>63900</v>
      </c>
      <c r="M13">
        <v>76120</v>
      </c>
    </row>
    <row r="14" spans="1:14">
      <c r="A14" s="23" t="s">
        <v>58</v>
      </c>
      <c r="B14">
        <v>5072</v>
      </c>
      <c r="C14">
        <v>208</v>
      </c>
      <c r="F14" s="23" t="s">
        <v>35</v>
      </c>
    </row>
    <row r="15" spans="1:14">
      <c r="A15" s="23" t="s">
        <v>24</v>
      </c>
      <c r="B15">
        <v>4229</v>
      </c>
      <c r="C15">
        <v>194</v>
      </c>
      <c r="F15" s="23" t="s">
        <v>59</v>
      </c>
    </row>
    <row r="16" spans="1:14" ht="18">
      <c r="A16" s="19" t="s">
        <v>32</v>
      </c>
      <c r="B16">
        <v>62050</v>
      </c>
      <c r="C16">
        <v>2781</v>
      </c>
      <c r="F16" s="18" t="s">
        <v>18</v>
      </c>
      <c r="K16" s="9" t="s">
        <v>126</v>
      </c>
    </row>
    <row r="17" spans="1:11" ht="18">
      <c r="A17" s="23" t="s">
        <v>37</v>
      </c>
      <c r="B17">
        <v>5561</v>
      </c>
      <c r="C17">
        <v>177</v>
      </c>
      <c r="F17" s="19" t="s">
        <v>19</v>
      </c>
      <c r="K17" s="9" t="s">
        <v>127</v>
      </c>
    </row>
    <row r="18" spans="1:11">
      <c r="A18" s="23" t="s">
        <v>36</v>
      </c>
      <c r="B18">
        <v>5229</v>
      </c>
      <c r="C18">
        <v>308</v>
      </c>
      <c r="F18" s="23" t="s">
        <v>50</v>
      </c>
    </row>
    <row r="19" spans="1:11">
      <c r="A19" s="23" t="s">
        <v>48</v>
      </c>
      <c r="B19">
        <v>2800</v>
      </c>
      <c r="C19">
        <v>175</v>
      </c>
      <c r="F19" s="23" t="s">
        <v>20</v>
      </c>
      <c r="K19" s="17" t="s">
        <v>115</v>
      </c>
    </row>
    <row r="20" spans="1:11">
      <c r="A20" s="23" t="s">
        <v>51</v>
      </c>
      <c r="B20">
        <v>4963</v>
      </c>
      <c r="C20">
        <v>169</v>
      </c>
      <c r="F20" s="23" t="s">
        <v>22</v>
      </c>
      <c r="K20" s="18" t="s">
        <v>43</v>
      </c>
    </row>
    <row r="21" spans="1:11">
      <c r="A21" s="23" t="s">
        <v>41</v>
      </c>
      <c r="B21">
        <v>8014</v>
      </c>
      <c r="C21">
        <v>480</v>
      </c>
      <c r="F21" s="19" t="s">
        <v>26</v>
      </c>
      <c r="K21" s="19" t="s">
        <v>38</v>
      </c>
    </row>
    <row r="22" spans="1:11">
      <c r="A22" s="23" t="s">
        <v>44</v>
      </c>
      <c r="B22">
        <v>4221</v>
      </c>
      <c r="C22">
        <v>96</v>
      </c>
      <c r="F22" s="23" t="s">
        <v>27</v>
      </c>
      <c r="K22" s="23" t="s">
        <v>131</v>
      </c>
    </row>
    <row r="23" spans="1:11">
      <c r="A23" s="23" t="s">
        <v>57</v>
      </c>
      <c r="B23">
        <v>3535</v>
      </c>
      <c r="C23">
        <v>116</v>
      </c>
      <c r="F23" s="23" t="s">
        <v>54</v>
      </c>
      <c r="K23" s="23" t="s">
        <v>132</v>
      </c>
    </row>
    <row r="24" spans="1:11">
      <c r="A24" s="23" t="s">
        <v>40</v>
      </c>
      <c r="B24">
        <v>3861</v>
      </c>
      <c r="C24">
        <v>204</v>
      </c>
      <c r="F24" s="23" t="s">
        <v>30</v>
      </c>
      <c r="K24" s="18" t="s">
        <v>47</v>
      </c>
    </row>
    <row r="25" spans="1:11">
      <c r="A25" s="23" t="s">
        <v>49</v>
      </c>
      <c r="B25">
        <v>9315</v>
      </c>
      <c r="C25">
        <v>256</v>
      </c>
      <c r="F25" s="18" t="s">
        <v>116</v>
      </c>
      <c r="K25" s="19" t="s">
        <v>34</v>
      </c>
    </row>
    <row r="26" spans="1:11">
      <c r="A26" s="23" t="s">
        <v>42</v>
      </c>
      <c r="B26">
        <v>6684</v>
      </c>
      <c r="C26">
        <v>234</v>
      </c>
      <c r="K26" s="23" t="s">
        <v>131</v>
      </c>
    </row>
    <row r="27" spans="1:11">
      <c r="A27" s="23" t="s">
        <v>53</v>
      </c>
      <c r="B27">
        <v>2746</v>
      </c>
      <c r="C27">
        <v>300</v>
      </c>
      <c r="K27" s="23" t="s">
        <v>132</v>
      </c>
    </row>
    <row r="28" spans="1:11">
      <c r="A28" s="23" t="s">
        <v>52</v>
      </c>
      <c r="B28">
        <v>5121</v>
      </c>
      <c r="C28">
        <v>266</v>
      </c>
      <c r="K28" s="18" t="s">
        <v>46</v>
      </c>
    </row>
    <row r="29" spans="1:11">
      <c r="A29" s="22">
        <v>41214</v>
      </c>
      <c r="B29">
        <v>103599</v>
      </c>
      <c r="C29">
        <v>5263</v>
      </c>
      <c r="K29" s="19" t="s">
        <v>34</v>
      </c>
    </row>
    <row r="30" spans="1:11">
      <c r="A30" s="19" t="s">
        <v>16</v>
      </c>
      <c r="B30">
        <v>44073</v>
      </c>
      <c r="C30">
        <v>2505</v>
      </c>
      <c r="K30" s="23" t="s">
        <v>131</v>
      </c>
    </row>
    <row r="31" spans="1:11">
      <c r="A31" s="23" t="s">
        <v>31</v>
      </c>
      <c r="B31">
        <v>7209</v>
      </c>
      <c r="C31">
        <v>598</v>
      </c>
      <c r="K31" s="23" t="s">
        <v>132</v>
      </c>
    </row>
    <row r="32" spans="1:11">
      <c r="A32" s="23" t="s">
        <v>21</v>
      </c>
      <c r="B32">
        <v>7666</v>
      </c>
      <c r="C32">
        <v>288</v>
      </c>
      <c r="K32" s="18" t="s">
        <v>50</v>
      </c>
    </row>
    <row r="33" spans="1:11">
      <c r="A33" s="23" t="s">
        <v>28</v>
      </c>
      <c r="B33">
        <v>5676</v>
      </c>
      <c r="C33">
        <v>231</v>
      </c>
      <c r="K33" s="19" t="s">
        <v>19</v>
      </c>
    </row>
    <row r="34" spans="1:11">
      <c r="A34" s="23" t="s">
        <v>56</v>
      </c>
      <c r="B34">
        <v>5893</v>
      </c>
      <c r="C34">
        <v>333</v>
      </c>
      <c r="K34" s="23" t="s">
        <v>131</v>
      </c>
    </row>
    <row r="35" spans="1:11">
      <c r="A35" s="23" t="s">
        <v>55</v>
      </c>
      <c r="B35">
        <v>3567</v>
      </c>
      <c r="C35">
        <v>159</v>
      </c>
      <c r="K35" s="23" t="s">
        <v>132</v>
      </c>
    </row>
    <row r="36" spans="1:11">
      <c r="A36" s="23" t="s">
        <v>60</v>
      </c>
      <c r="B36">
        <v>4436</v>
      </c>
      <c r="C36">
        <v>486</v>
      </c>
      <c r="K36" s="18" t="s">
        <v>45</v>
      </c>
    </row>
    <row r="37" spans="1:11">
      <c r="A37" s="23" t="s">
        <v>58</v>
      </c>
      <c r="B37">
        <v>4670</v>
      </c>
      <c r="C37">
        <v>224</v>
      </c>
      <c r="K37" s="19" t="s">
        <v>38</v>
      </c>
    </row>
    <row r="38" spans="1:11">
      <c r="A38" s="23" t="s">
        <v>24</v>
      </c>
      <c r="B38">
        <v>4956</v>
      </c>
      <c r="C38">
        <v>186</v>
      </c>
      <c r="K38" s="23" t="s">
        <v>131</v>
      </c>
    </row>
    <row r="39" spans="1:11">
      <c r="A39" s="19" t="s">
        <v>32</v>
      </c>
      <c r="B39">
        <v>59526</v>
      </c>
      <c r="C39">
        <v>2758</v>
      </c>
      <c r="K39" s="23" t="s">
        <v>132</v>
      </c>
    </row>
    <row r="40" spans="1:11">
      <c r="A40" s="23" t="s">
        <v>37</v>
      </c>
      <c r="B40">
        <v>3763</v>
      </c>
      <c r="C40">
        <v>191</v>
      </c>
      <c r="K40" s="18" t="s">
        <v>27</v>
      </c>
    </row>
    <row r="41" spans="1:11">
      <c r="A41" s="23" t="s">
        <v>36</v>
      </c>
      <c r="B41">
        <v>5449</v>
      </c>
      <c r="C41">
        <v>284</v>
      </c>
      <c r="K41" s="19" t="s">
        <v>26</v>
      </c>
    </row>
    <row r="42" spans="1:11">
      <c r="A42" s="23" t="s">
        <v>48</v>
      </c>
      <c r="B42">
        <v>2357</v>
      </c>
      <c r="C42">
        <v>171</v>
      </c>
      <c r="K42" s="23" t="s">
        <v>131</v>
      </c>
    </row>
    <row r="43" spans="1:11">
      <c r="A43" s="23" t="s">
        <v>51</v>
      </c>
      <c r="B43">
        <v>4028</v>
      </c>
      <c r="C43">
        <v>176</v>
      </c>
      <c r="K43" s="23" t="s">
        <v>132</v>
      </c>
    </row>
    <row r="44" spans="1:11">
      <c r="A44" s="23" t="s">
        <v>41</v>
      </c>
      <c r="B44">
        <v>8160</v>
      </c>
      <c r="C44">
        <v>459</v>
      </c>
      <c r="K44" s="18" t="s">
        <v>35</v>
      </c>
    </row>
    <row r="45" spans="1:11">
      <c r="A45" s="23" t="s">
        <v>44</v>
      </c>
      <c r="B45">
        <v>4221</v>
      </c>
      <c r="C45">
        <v>96</v>
      </c>
      <c r="K45" s="19" t="s">
        <v>34</v>
      </c>
    </row>
    <row r="46" spans="1:11">
      <c r="A46" s="23" t="s">
        <v>57</v>
      </c>
      <c r="B46">
        <v>3535</v>
      </c>
      <c r="C46">
        <v>114</v>
      </c>
      <c r="K46" s="23" t="s">
        <v>131</v>
      </c>
    </row>
    <row r="47" spans="1:11">
      <c r="A47" s="23" t="s">
        <v>40</v>
      </c>
      <c r="B47">
        <v>5750</v>
      </c>
      <c r="C47">
        <v>208</v>
      </c>
      <c r="K47" s="23" t="s">
        <v>132</v>
      </c>
    </row>
    <row r="48" spans="1:11">
      <c r="A48" s="23" t="s">
        <v>49</v>
      </c>
      <c r="B48">
        <v>7519</v>
      </c>
      <c r="C48">
        <v>267</v>
      </c>
      <c r="K48" s="18" t="s">
        <v>39</v>
      </c>
    </row>
    <row r="49" spans="1:11">
      <c r="A49" s="23" t="s">
        <v>42</v>
      </c>
      <c r="B49">
        <v>7050</v>
      </c>
      <c r="C49">
        <v>242</v>
      </c>
      <c r="K49" s="19" t="s">
        <v>38</v>
      </c>
    </row>
    <row r="50" spans="1:11">
      <c r="A50" s="23" t="s">
        <v>53</v>
      </c>
      <c r="B50">
        <v>3114</v>
      </c>
      <c r="C50">
        <v>296</v>
      </c>
      <c r="K50" s="23" t="s">
        <v>131</v>
      </c>
    </row>
    <row r="51" spans="1:11">
      <c r="A51" s="23" t="s">
        <v>52</v>
      </c>
      <c r="B51">
        <v>4580</v>
      </c>
      <c r="C51">
        <v>254</v>
      </c>
      <c r="K51" s="23" t="s">
        <v>132</v>
      </c>
    </row>
    <row r="52" spans="1:11">
      <c r="A52" s="22">
        <v>41244</v>
      </c>
      <c r="B52">
        <v>105947</v>
      </c>
      <c r="C52">
        <v>5509</v>
      </c>
      <c r="K52" s="18" t="s">
        <v>54</v>
      </c>
    </row>
    <row r="53" spans="1:11">
      <c r="A53" s="19" t="s">
        <v>16</v>
      </c>
      <c r="B53">
        <v>44340</v>
      </c>
      <c r="C53">
        <v>2666</v>
      </c>
      <c r="K53" s="19" t="s">
        <v>26</v>
      </c>
    </row>
    <row r="54" spans="1:11">
      <c r="A54" s="23" t="s">
        <v>31</v>
      </c>
      <c r="B54">
        <v>7621</v>
      </c>
      <c r="C54">
        <v>666</v>
      </c>
      <c r="K54" s="23" t="s">
        <v>131</v>
      </c>
    </row>
    <row r="55" spans="1:11">
      <c r="A55" s="23" t="s">
        <v>21</v>
      </c>
      <c r="B55">
        <v>7250</v>
      </c>
      <c r="C55">
        <v>269</v>
      </c>
      <c r="K55" s="23" t="s">
        <v>132</v>
      </c>
    </row>
    <row r="56" spans="1:11">
      <c r="A56" s="23" t="s">
        <v>28</v>
      </c>
      <c r="B56">
        <v>6242</v>
      </c>
      <c r="C56">
        <v>264</v>
      </c>
      <c r="K56" s="18" t="s">
        <v>30</v>
      </c>
    </row>
    <row r="57" spans="1:11">
      <c r="A57" s="23" t="s">
        <v>56</v>
      </c>
      <c r="B57">
        <v>5573</v>
      </c>
      <c r="C57">
        <v>373</v>
      </c>
      <c r="K57" s="19" t="s">
        <v>26</v>
      </c>
    </row>
    <row r="58" spans="1:11">
      <c r="A58" s="23" t="s">
        <v>55</v>
      </c>
      <c r="B58">
        <v>3023</v>
      </c>
      <c r="C58">
        <v>140</v>
      </c>
      <c r="K58" s="23" t="s">
        <v>131</v>
      </c>
    </row>
    <row r="59" spans="1:11">
      <c r="A59" s="23" t="s">
        <v>60</v>
      </c>
      <c r="B59">
        <v>5050</v>
      </c>
      <c r="C59">
        <v>547</v>
      </c>
      <c r="K59" s="23" t="s">
        <v>132</v>
      </c>
    </row>
    <row r="60" spans="1:11">
      <c r="A60" s="23" t="s">
        <v>58</v>
      </c>
      <c r="B60">
        <v>5546</v>
      </c>
      <c r="C60">
        <v>218</v>
      </c>
      <c r="K60" s="18" t="s">
        <v>20</v>
      </c>
    </row>
    <row r="61" spans="1:11">
      <c r="A61" s="23" t="s">
        <v>24</v>
      </c>
      <c r="B61">
        <v>4035</v>
      </c>
      <c r="C61">
        <v>189</v>
      </c>
      <c r="K61" s="19" t="s">
        <v>19</v>
      </c>
    </row>
    <row r="62" spans="1:11">
      <c r="A62" s="19" t="s">
        <v>32</v>
      </c>
      <c r="B62">
        <v>61607</v>
      </c>
      <c r="C62">
        <v>2843</v>
      </c>
      <c r="K62" s="23" t="s">
        <v>131</v>
      </c>
    </row>
    <row r="63" spans="1:11">
      <c r="A63" s="23" t="s">
        <v>37</v>
      </c>
      <c r="B63">
        <v>4406</v>
      </c>
      <c r="C63">
        <v>169</v>
      </c>
      <c r="K63" s="23" t="s">
        <v>132</v>
      </c>
    </row>
    <row r="64" spans="1:11">
      <c r="A64" s="23" t="s">
        <v>36</v>
      </c>
      <c r="B64">
        <v>4921</v>
      </c>
      <c r="C64">
        <v>324</v>
      </c>
      <c r="K64" s="18" t="s">
        <v>22</v>
      </c>
    </row>
    <row r="65" spans="1:11">
      <c r="A65" s="23" t="s">
        <v>48</v>
      </c>
      <c r="B65">
        <v>3948</v>
      </c>
      <c r="C65">
        <v>152</v>
      </c>
      <c r="K65" s="19" t="s">
        <v>19</v>
      </c>
    </row>
    <row r="66" spans="1:11">
      <c r="A66" s="23" t="s">
        <v>51</v>
      </c>
      <c r="B66">
        <v>4789</v>
      </c>
      <c r="C66">
        <v>171</v>
      </c>
      <c r="K66" s="23" t="s">
        <v>131</v>
      </c>
    </row>
    <row r="67" spans="1:11">
      <c r="A67" s="23" t="s">
        <v>41</v>
      </c>
      <c r="B67">
        <v>8087</v>
      </c>
      <c r="C67">
        <v>530</v>
      </c>
      <c r="K67" s="23" t="s">
        <v>132</v>
      </c>
    </row>
    <row r="68" spans="1:11">
      <c r="A68" s="23" t="s">
        <v>44</v>
      </c>
      <c r="B68">
        <v>4221</v>
      </c>
      <c r="C68">
        <v>100</v>
      </c>
      <c r="K68" s="18" t="s">
        <v>59</v>
      </c>
    </row>
    <row r="69" spans="1:11">
      <c r="A69" s="23" t="s">
        <v>57</v>
      </c>
      <c r="B69">
        <v>3535</v>
      </c>
      <c r="C69">
        <v>119</v>
      </c>
      <c r="K69" s="19" t="s">
        <v>34</v>
      </c>
    </row>
    <row r="70" spans="1:11">
      <c r="A70" s="23" t="s">
        <v>40</v>
      </c>
      <c r="B70">
        <v>3873</v>
      </c>
      <c r="C70">
        <v>232</v>
      </c>
      <c r="K70" s="23" t="s">
        <v>131</v>
      </c>
    </row>
    <row r="71" spans="1:11">
      <c r="A71" s="23" t="s">
        <v>49</v>
      </c>
      <c r="B71">
        <v>7481</v>
      </c>
      <c r="C71">
        <v>254</v>
      </c>
      <c r="K71" s="23" t="s">
        <v>132</v>
      </c>
    </row>
    <row r="72" spans="1:11">
      <c r="A72" s="23" t="s">
        <v>42</v>
      </c>
      <c r="B72">
        <v>6318</v>
      </c>
      <c r="C72">
        <v>235</v>
      </c>
      <c r="K72" s="18" t="s">
        <v>116</v>
      </c>
    </row>
    <row r="73" spans="1:11">
      <c r="A73" s="23" t="s">
        <v>53</v>
      </c>
      <c r="B73">
        <v>4089</v>
      </c>
      <c r="C73">
        <v>297</v>
      </c>
    </row>
    <row r="74" spans="1:11">
      <c r="A74" s="23" t="s">
        <v>52</v>
      </c>
      <c r="B74">
        <v>5939</v>
      </c>
      <c r="C74">
        <v>260</v>
      </c>
    </row>
    <row r="75" spans="1:11">
      <c r="A75" s="22">
        <v>41548</v>
      </c>
      <c r="B75">
        <v>103483</v>
      </c>
      <c r="C75">
        <v>5388</v>
      </c>
    </row>
    <row r="76" spans="1:11">
      <c r="A76" s="19" t="s">
        <v>16</v>
      </c>
      <c r="B76">
        <v>48349</v>
      </c>
      <c r="C76">
        <v>2607</v>
      </c>
    </row>
    <row r="77" spans="1:11">
      <c r="A77" s="23" t="s">
        <v>31</v>
      </c>
      <c r="B77">
        <v>8684</v>
      </c>
      <c r="C77">
        <v>637</v>
      </c>
    </row>
    <row r="78" spans="1:11">
      <c r="A78" s="23" t="s">
        <v>21</v>
      </c>
      <c r="B78">
        <v>8751</v>
      </c>
      <c r="C78">
        <v>293</v>
      </c>
    </row>
    <row r="79" spans="1:11">
      <c r="A79" s="23" t="s">
        <v>28</v>
      </c>
      <c r="B79">
        <v>6701</v>
      </c>
      <c r="C79">
        <v>245</v>
      </c>
    </row>
    <row r="80" spans="1:11">
      <c r="A80" s="23" t="s">
        <v>56</v>
      </c>
      <c r="B80">
        <v>6180</v>
      </c>
      <c r="C80">
        <v>359</v>
      </c>
    </row>
    <row r="81" spans="1:3">
      <c r="A81" s="23" t="s">
        <v>55</v>
      </c>
      <c r="B81">
        <v>4237</v>
      </c>
      <c r="C81">
        <v>146</v>
      </c>
    </row>
    <row r="82" spans="1:3">
      <c r="A82" s="23" t="s">
        <v>60</v>
      </c>
      <c r="B82">
        <v>4968</v>
      </c>
      <c r="C82">
        <v>525</v>
      </c>
    </row>
    <row r="83" spans="1:3">
      <c r="A83" s="23" t="s">
        <v>58</v>
      </c>
      <c r="B83">
        <v>5429</v>
      </c>
      <c r="C83">
        <v>208</v>
      </c>
    </row>
    <row r="84" spans="1:3">
      <c r="A84" s="23" t="s">
        <v>24</v>
      </c>
      <c r="B84">
        <v>3399</v>
      </c>
      <c r="C84">
        <v>194</v>
      </c>
    </row>
    <row r="85" spans="1:3">
      <c r="A85" s="19" t="s">
        <v>32</v>
      </c>
      <c r="B85">
        <v>55134</v>
      </c>
      <c r="C85">
        <v>2781</v>
      </c>
    </row>
    <row r="86" spans="1:3">
      <c r="A86" s="23" t="s">
        <v>37</v>
      </c>
      <c r="B86">
        <v>2449</v>
      </c>
      <c r="C86">
        <v>177</v>
      </c>
    </row>
    <row r="87" spans="1:3">
      <c r="A87" s="23" t="s">
        <v>36</v>
      </c>
      <c r="B87">
        <v>4739</v>
      </c>
      <c r="C87">
        <v>308</v>
      </c>
    </row>
    <row r="88" spans="1:3">
      <c r="A88" s="23" t="s">
        <v>48</v>
      </c>
      <c r="B88">
        <v>2912</v>
      </c>
      <c r="C88">
        <v>175</v>
      </c>
    </row>
    <row r="89" spans="1:3">
      <c r="A89" s="23" t="s">
        <v>51</v>
      </c>
      <c r="B89">
        <v>4390</v>
      </c>
      <c r="C89">
        <v>169</v>
      </c>
    </row>
    <row r="90" spans="1:3">
      <c r="A90" s="23" t="s">
        <v>41</v>
      </c>
      <c r="B90">
        <v>8233</v>
      </c>
      <c r="C90">
        <v>480</v>
      </c>
    </row>
    <row r="91" spans="1:3">
      <c r="A91" s="23" t="s">
        <v>44</v>
      </c>
      <c r="B91">
        <v>4221</v>
      </c>
      <c r="C91">
        <v>96</v>
      </c>
    </row>
    <row r="92" spans="1:3">
      <c r="A92" s="23" t="s">
        <v>57</v>
      </c>
      <c r="B92">
        <v>3535</v>
      </c>
      <c r="C92">
        <v>116</v>
      </c>
    </row>
    <row r="93" spans="1:3">
      <c r="A93" s="23" t="s">
        <v>40</v>
      </c>
      <c r="B93">
        <v>4211</v>
      </c>
      <c r="C93">
        <v>204</v>
      </c>
    </row>
    <row r="94" spans="1:3">
      <c r="A94" s="23" t="s">
        <v>49</v>
      </c>
      <c r="B94">
        <v>7519</v>
      </c>
      <c r="C94">
        <v>256</v>
      </c>
    </row>
    <row r="95" spans="1:3">
      <c r="A95" s="23" t="s">
        <v>42</v>
      </c>
      <c r="B95">
        <v>5586</v>
      </c>
      <c r="C95">
        <v>234</v>
      </c>
    </row>
    <row r="96" spans="1:3">
      <c r="A96" s="23" t="s">
        <v>53</v>
      </c>
      <c r="B96">
        <v>3566</v>
      </c>
      <c r="C96">
        <v>300</v>
      </c>
    </row>
    <row r="97" spans="1:3">
      <c r="A97" s="23" t="s">
        <v>52</v>
      </c>
      <c r="B97">
        <v>3773</v>
      </c>
      <c r="C97">
        <v>266</v>
      </c>
    </row>
    <row r="98" spans="1:3">
      <c r="A98" s="22">
        <v>41579</v>
      </c>
      <c r="B98">
        <v>105602</v>
      </c>
      <c r="C98">
        <v>5263</v>
      </c>
    </row>
    <row r="99" spans="1:3">
      <c r="A99" s="19" t="s">
        <v>16</v>
      </c>
      <c r="B99">
        <v>47650</v>
      </c>
      <c r="C99">
        <v>2505</v>
      </c>
    </row>
    <row r="100" spans="1:3">
      <c r="A100" s="23" t="s">
        <v>31</v>
      </c>
      <c r="B100">
        <v>7202</v>
      </c>
      <c r="C100">
        <v>598</v>
      </c>
    </row>
    <row r="101" spans="1:3">
      <c r="A101" s="23" t="s">
        <v>21</v>
      </c>
      <c r="B101">
        <v>8749</v>
      </c>
      <c r="C101">
        <v>288</v>
      </c>
    </row>
    <row r="102" spans="1:3">
      <c r="A102" s="23" t="s">
        <v>28</v>
      </c>
      <c r="B102">
        <v>6380</v>
      </c>
      <c r="C102">
        <v>231</v>
      </c>
    </row>
    <row r="103" spans="1:3">
      <c r="A103" s="23" t="s">
        <v>56</v>
      </c>
      <c r="B103">
        <v>5884</v>
      </c>
      <c r="C103">
        <v>333</v>
      </c>
    </row>
    <row r="104" spans="1:3">
      <c r="A104" s="23" t="s">
        <v>55</v>
      </c>
      <c r="B104">
        <v>3999</v>
      </c>
      <c r="C104">
        <v>159</v>
      </c>
    </row>
    <row r="105" spans="1:3">
      <c r="A105" s="23" t="s">
        <v>60</v>
      </c>
      <c r="B105">
        <v>5885</v>
      </c>
      <c r="C105">
        <v>486</v>
      </c>
    </row>
    <row r="106" spans="1:3">
      <c r="A106" s="23" t="s">
        <v>58</v>
      </c>
      <c r="B106">
        <v>4466</v>
      </c>
      <c r="C106">
        <v>224</v>
      </c>
    </row>
    <row r="107" spans="1:3">
      <c r="A107" s="23" t="s">
        <v>24</v>
      </c>
      <c r="B107">
        <v>5085</v>
      </c>
      <c r="C107">
        <v>186</v>
      </c>
    </row>
    <row r="108" spans="1:3">
      <c r="A108" s="19" t="s">
        <v>32</v>
      </c>
      <c r="B108">
        <v>57952</v>
      </c>
      <c r="C108">
        <v>2758</v>
      </c>
    </row>
    <row r="109" spans="1:3">
      <c r="A109" s="23" t="s">
        <v>37</v>
      </c>
      <c r="B109">
        <v>3378</v>
      </c>
      <c r="C109">
        <v>191</v>
      </c>
    </row>
    <row r="110" spans="1:3">
      <c r="A110" s="23" t="s">
        <v>36</v>
      </c>
      <c r="B110">
        <v>5062</v>
      </c>
      <c r="C110">
        <v>284</v>
      </c>
    </row>
    <row r="111" spans="1:3">
      <c r="A111" s="23" t="s">
        <v>48</v>
      </c>
      <c r="B111">
        <v>3117</v>
      </c>
      <c r="C111">
        <v>171</v>
      </c>
    </row>
    <row r="112" spans="1:3">
      <c r="A112" s="23" t="s">
        <v>51</v>
      </c>
      <c r="B112">
        <v>4350</v>
      </c>
      <c r="C112">
        <v>176</v>
      </c>
    </row>
    <row r="113" spans="1:3">
      <c r="A113" s="23" t="s">
        <v>41</v>
      </c>
      <c r="B113">
        <v>8233</v>
      </c>
      <c r="C113">
        <v>459</v>
      </c>
    </row>
    <row r="114" spans="1:3">
      <c r="A114" s="23" t="s">
        <v>44</v>
      </c>
      <c r="B114">
        <v>4221</v>
      </c>
      <c r="C114">
        <v>96</v>
      </c>
    </row>
    <row r="115" spans="1:3">
      <c r="A115" s="23" t="s">
        <v>57</v>
      </c>
      <c r="B115">
        <v>3535</v>
      </c>
      <c r="C115">
        <v>114</v>
      </c>
    </row>
    <row r="116" spans="1:3">
      <c r="A116" s="23" t="s">
        <v>40</v>
      </c>
      <c r="B116">
        <v>4048</v>
      </c>
      <c r="C116">
        <v>208</v>
      </c>
    </row>
    <row r="117" spans="1:3">
      <c r="A117" s="23" t="s">
        <v>49</v>
      </c>
      <c r="B117">
        <v>7089</v>
      </c>
      <c r="C117">
        <v>267</v>
      </c>
    </row>
    <row r="118" spans="1:3">
      <c r="A118" s="23" t="s">
        <v>42</v>
      </c>
      <c r="B118">
        <v>5586</v>
      </c>
      <c r="C118">
        <v>242</v>
      </c>
    </row>
    <row r="119" spans="1:3">
      <c r="A119" s="23" t="s">
        <v>53</v>
      </c>
      <c r="B119">
        <v>3501</v>
      </c>
      <c r="C119">
        <v>296</v>
      </c>
    </row>
    <row r="120" spans="1:3">
      <c r="A120" s="23" t="s">
        <v>52</v>
      </c>
      <c r="B120">
        <v>5832</v>
      </c>
      <c r="C120">
        <v>254</v>
      </c>
    </row>
    <row r="121" spans="1:3">
      <c r="A121" s="22">
        <v>41609</v>
      </c>
      <c r="B121">
        <v>100538</v>
      </c>
      <c r="C121">
        <v>5509</v>
      </c>
    </row>
    <row r="122" spans="1:3">
      <c r="A122" s="19" t="s">
        <v>16</v>
      </c>
      <c r="B122">
        <v>40857</v>
      </c>
      <c r="C122">
        <v>2666</v>
      </c>
    </row>
    <row r="123" spans="1:3">
      <c r="A123" s="23" t="s">
        <v>31</v>
      </c>
      <c r="B123">
        <v>6519</v>
      </c>
      <c r="C123">
        <v>666</v>
      </c>
    </row>
    <row r="124" spans="1:3">
      <c r="A124" s="23" t="s">
        <v>21</v>
      </c>
      <c r="B124">
        <v>8334</v>
      </c>
      <c r="C124">
        <v>269</v>
      </c>
    </row>
    <row r="125" spans="1:3">
      <c r="A125" s="23" t="s">
        <v>28</v>
      </c>
      <c r="B125">
        <v>4083</v>
      </c>
      <c r="C125">
        <v>264</v>
      </c>
    </row>
    <row r="126" spans="1:3">
      <c r="A126" s="23" t="s">
        <v>56</v>
      </c>
      <c r="B126">
        <v>4685</v>
      </c>
      <c r="C126">
        <v>373</v>
      </c>
    </row>
    <row r="127" spans="1:3">
      <c r="A127" s="23" t="s">
        <v>55</v>
      </c>
      <c r="B127">
        <v>4712</v>
      </c>
      <c r="C127">
        <v>140</v>
      </c>
    </row>
    <row r="128" spans="1:3">
      <c r="A128" s="23" t="s">
        <v>60</v>
      </c>
      <c r="B128">
        <v>4846</v>
      </c>
      <c r="C128">
        <v>547</v>
      </c>
    </row>
    <row r="129" spans="1:3">
      <c r="A129" s="23" t="s">
        <v>58</v>
      </c>
      <c r="B129">
        <v>4513</v>
      </c>
      <c r="C129">
        <v>218</v>
      </c>
    </row>
    <row r="130" spans="1:3">
      <c r="A130" s="23" t="s">
        <v>24</v>
      </c>
      <c r="B130">
        <v>3165</v>
      </c>
      <c r="C130">
        <v>189</v>
      </c>
    </row>
    <row r="131" spans="1:3">
      <c r="A131" s="19" t="s">
        <v>32</v>
      </c>
      <c r="B131">
        <v>59681</v>
      </c>
      <c r="C131">
        <v>2843</v>
      </c>
    </row>
    <row r="132" spans="1:3">
      <c r="A132" s="23" t="s">
        <v>37</v>
      </c>
      <c r="B132">
        <v>4346</v>
      </c>
      <c r="C132">
        <v>169</v>
      </c>
    </row>
    <row r="133" spans="1:3">
      <c r="A133" s="23" t="s">
        <v>36</v>
      </c>
      <c r="B133">
        <v>5228</v>
      </c>
      <c r="C133">
        <v>324</v>
      </c>
    </row>
    <row r="134" spans="1:3">
      <c r="A134" s="23" t="s">
        <v>48</v>
      </c>
      <c r="B134">
        <v>3393</v>
      </c>
      <c r="C134">
        <v>152</v>
      </c>
    </row>
    <row r="135" spans="1:3">
      <c r="A135" s="23" t="s">
        <v>51</v>
      </c>
      <c r="B135">
        <v>5119</v>
      </c>
      <c r="C135">
        <v>171</v>
      </c>
    </row>
    <row r="136" spans="1:3">
      <c r="A136" s="23" t="s">
        <v>41</v>
      </c>
      <c r="B136">
        <v>8306</v>
      </c>
      <c r="C136">
        <v>530</v>
      </c>
    </row>
    <row r="137" spans="1:3">
      <c r="A137" s="23" t="s">
        <v>44</v>
      </c>
      <c r="B137">
        <v>4221</v>
      </c>
      <c r="C137">
        <v>100</v>
      </c>
    </row>
    <row r="138" spans="1:3">
      <c r="A138" s="23" t="s">
        <v>57</v>
      </c>
      <c r="B138">
        <v>3535</v>
      </c>
      <c r="C138">
        <v>119</v>
      </c>
    </row>
    <row r="139" spans="1:3">
      <c r="A139" s="23" t="s">
        <v>40</v>
      </c>
      <c r="B139">
        <v>4899</v>
      </c>
      <c r="C139">
        <v>232</v>
      </c>
    </row>
    <row r="140" spans="1:3">
      <c r="A140" s="23" t="s">
        <v>49</v>
      </c>
      <c r="B140">
        <v>7089</v>
      </c>
      <c r="C140">
        <v>254</v>
      </c>
    </row>
    <row r="141" spans="1:3">
      <c r="A141" s="23" t="s">
        <v>42</v>
      </c>
      <c r="B141">
        <v>5586</v>
      </c>
      <c r="C141">
        <v>235</v>
      </c>
    </row>
    <row r="142" spans="1:3">
      <c r="A142" s="23" t="s">
        <v>53</v>
      </c>
      <c r="B142">
        <v>3334</v>
      </c>
      <c r="C142">
        <v>297</v>
      </c>
    </row>
    <row r="143" spans="1:3">
      <c r="A143" s="23" t="s">
        <v>52</v>
      </c>
      <c r="B143">
        <v>4625</v>
      </c>
      <c r="C143">
        <v>260</v>
      </c>
    </row>
    <row r="144" spans="1:3">
      <c r="A144" s="22" t="s">
        <v>116</v>
      </c>
      <c r="B144">
        <v>623426</v>
      </c>
      <c r="C144">
        <v>32320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AA89C-3254-4410-AFC0-3F22B20CCFB1}">
  <dimension ref="A1:T1063"/>
  <sheetViews>
    <sheetView topLeftCell="A13" workbookViewId="0">
      <selection activeCell="L38" sqref="L38"/>
    </sheetView>
  </sheetViews>
  <sheetFormatPr defaultRowHeight="14.4"/>
  <cols>
    <col min="15" max="15" width="7.88671875" bestFit="1" customWidth="1"/>
    <col min="16" max="16" width="7.44140625" bestFit="1" customWidth="1"/>
    <col min="17" max="17" width="13.21875" bestFit="1" customWidth="1"/>
    <col min="18" max="18" width="14" customWidth="1"/>
    <col min="19" max="19" width="16" customWidth="1"/>
  </cols>
  <sheetData>
    <row r="1" spans="1:20" ht="17.399999999999999">
      <c r="A1" s="24" t="s">
        <v>133</v>
      </c>
      <c r="O1" s="1" t="s">
        <v>9</v>
      </c>
      <c r="P1" s="1" t="s">
        <v>10</v>
      </c>
      <c r="Q1" s="1" t="s">
        <v>14</v>
      </c>
      <c r="R1" s="8" t="s">
        <v>146</v>
      </c>
      <c r="S1" s="8" t="s">
        <v>150</v>
      </c>
      <c r="T1" s="8" t="s">
        <v>151</v>
      </c>
    </row>
    <row r="2" spans="1:20" ht="18">
      <c r="A2" s="9" t="s">
        <v>134</v>
      </c>
      <c r="O2" s="3">
        <v>-5</v>
      </c>
      <c r="P2" s="3">
        <v>122</v>
      </c>
      <c r="Q2" s="3">
        <v>90</v>
      </c>
      <c r="R2" s="7">
        <f t="shared" ref="R2:R65" si="0">O2/P2</f>
        <v>-4.0983606557377046E-2</v>
      </c>
      <c r="S2">
        <f t="shared" ref="S2:S65" si="1">P2-Q2</f>
        <v>32</v>
      </c>
      <c r="T2" s="34" t="str">
        <f t="shared" ref="T2:T65" si="2">TRIM(S:S)</f>
        <v>32</v>
      </c>
    </row>
    <row r="3" spans="1:20">
      <c r="O3" s="5">
        <v>26</v>
      </c>
      <c r="P3" s="5">
        <v>123</v>
      </c>
      <c r="Q3" s="5">
        <v>90</v>
      </c>
      <c r="R3" s="7">
        <f t="shared" si="0"/>
        <v>0.21138211382113822</v>
      </c>
      <c r="S3">
        <f t="shared" si="1"/>
        <v>33</v>
      </c>
      <c r="T3" s="5" t="str">
        <f t="shared" si="2"/>
        <v>33</v>
      </c>
    </row>
    <row r="4" spans="1:20">
      <c r="A4" t="s">
        <v>135</v>
      </c>
      <c r="O4" s="3">
        <v>28</v>
      </c>
      <c r="P4" s="3">
        <v>107</v>
      </c>
      <c r="Q4" s="3">
        <v>90</v>
      </c>
      <c r="R4" s="7">
        <f t="shared" si="0"/>
        <v>0.26168224299065418</v>
      </c>
      <c r="S4">
        <f t="shared" si="1"/>
        <v>17</v>
      </c>
      <c r="T4" s="5" t="str">
        <f t="shared" si="2"/>
        <v>17</v>
      </c>
    </row>
    <row r="5" spans="1:20">
      <c r="A5" s="25"/>
      <c r="O5" s="5">
        <v>35</v>
      </c>
      <c r="P5" s="5">
        <v>94</v>
      </c>
      <c r="Q5" s="5">
        <v>100</v>
      </c>
      <c r="R5" s="7">
        <f t="shared" si="0"/>
        <v>0.37234042553191488</v>
      </c>
      <c r="S5">
        <f t="shared" si="1"/>
        <v>-6</v>
      </c>
      <c r="T5" s="5" t="str">
        <f t="shared" si="2"/>
        <v>-6</v>
      </c>
    </row>
    <row r="6" spans="1:20">
      <c r="A6" s="26" t="s">
        <v>136</v>
      </c>
      <c r="O6" s="3">
        <v>56</v>
      </c>
      <c r="P6" s="3">
        <v>182</v>
      </c>
      <c r="Q6" s="3">
        <v>80</v>
      </c>
      <c r="R6" s="7">
        <f t="shared" si="0"/>
        <v>0.30769230769230771</v>
      </c>
      <c r="S6">
        <f t="shared" si="1"/>
        <v>102</v>
      </c>
      <c r="T6" s="5" t="str">
        <f t="shared" si="2"/>
        <v>102</v>
      </c>
    </row>
    <row r="7" spans="1:20">
      <c r="A7" s="25"/>
      <c r="O7" s="5">
        <v>31</v>
      </c>
      <c r="P7" s="5">
        <v>43</v>
      </c>
      <c r="Q7" s="5">
        <v>60</v>
      </c>
      <c r="R7" s="7">
        <f t="shared" si="0"/>
        <v>0.72093023255813948</v>
      </c>
      <c r="S7">
        <f t="shared" si="1"/>
        <v>-17</v>
      </c>
      <c r="T7" s="5" t="str">
        <f t="shared" si="2"/>
        <v>-17</v>
      </c>
    </row>
    <row r="8" spans="1:20">
      <c r="A8" s="26" t="s">
        <v>137</v>
      </c>
      <c r="O8" s="3">
        <v>21</v>
      </c>
      <c r="P8" s="3">
        <v>111</v>
      </c>
      <c r="Q8" s="3">
        <v>90</v>
      </c>
      <c r="R8" s="7">
        <f t="shared" si="0"/>
        <v>0.1891891891891892</v>
      </c>
      <c r="S8">
        <f t="shared" si="1"/>
        <v>21</v>
      </c>
      <c r="T8" s="5" t="str">
        <f t="shared" si="2"/>
        <v>21</v>
      </c>
    </row>
    <row r="9" spans="1:20">
      <c r="A9" s="25"/>
      <c r="O9" s="5">
        <v>21</v>
      </c>
      <c r="P9" s="5">
        <v>66</v>
      </c>
      <c r="Q9" s="5">
        <v>90</v>
      </c>
      <c r="R9" s="7">
        <f t="shared" si="0"/>
        <v>0.31818181818181818</v>
      </c>
      <c r="S9">
        <f t="shared" si="1"/>
        <v>-24</v>
      </c>
      <c r="T9" s="5" t="str">
        <f t="shared" si="2"/>
        <v>-24</v>
      </c>
    </row>
    <row r="10" spans="1:20">
      <c r="A10" s="26" t="s">
        <v>138</v>
      </c>
      <c r="O10" s="3">
        <v>7</v>
      </c>
      <c r="P10" s="3">
        <v>68</v>
      </c>
      <c r="Q10" s="3">
        <v>90</v>
      </c>
      <c r="R10" s="7">
        <f t="shared" si="0"/>
        <v>0.10294117647058823</v>
      </c>
      <c r="S10">
        <f t="shared" si="1"/>
        <v>-22</v>
      </c>
      <c r="T10" s="5" t="str">
        <f t="shared" si="2"/>
        <v>-22</v>
      </c>
    </row>
    <row r="11" spans="1:20">
      <c r="A11" s="25"/>
      <c r="O11" s="5">
        <v>37</v>
      </c>
      <c r="P11" s="5">
        <v>99</v>
      </c>
      <c r="Q11" s="5">
        <v>80</v>
      </c>
      <c r="R11" s="7">
        <f t="shared" si="0"/>
        <v>0.37373737373737376</v>
      </c>
      <c r="S11">
        <f t="shared" si="1"/>
        <v>19</v>
      </c>
      <c r="T11" s="5" t="str">
        <f t="shared" si="2"/>
        <v>19</v>
      </c>
    </row>
    <row r="12" spans="1:20">
      <c r="A12" s="25"/>
      <c r="B12" cm="1">
        <f t="array" ref="B12">IFERROR(Your_Formula, 0)</f>
        <v>0</v>
      </c>
      <c r="O12" s="3">
        <v>33</v>
      </c>
      <c r="P12" s="3">
        <v>120</v>
      </c>
      <c r="Q12" s="3">
        <v>90</v>
      </c>
      <c r="R12" s="7">
        <f t="shared" si="0"/>
        <v>0.27500000000000002</v>
      </c>
      <c r="S12">
        <f t="shared" si="1"/>
        <v>30</v>
      </c>
      <c r="T12" s="5" t="str">
        <f t="shared" si="2"/>
        <v>30</v>
      </c>
    </row>
    <row r="13" spans="1:20">
      <c r="A13" s="27"/>
      <c r="O13" s="5">
        <v>24</v>
      </c>
      <c r="P13" s="5">
        <v>114</v>
      </c>
      <c r="Q13" s="5">
        <v>90</v>
      </c>
      <c r="R13" s="7">
        <f t="shared" si="0"/>
        <v>0.21052631578947367</v>
      </c>
      <c r="S13">
        <f t="shared" si="1"/>
        <v>24</v>
      </c>
      <c r="T13" s="5" t="str">
        <f t="shared" si="2"/>
        <v>24</v>
      </c>
    </row>
    <row r="14" spans="1:20" ht="18">
      <c r="A14" s="9" t="s">
        <v>139</v>
      </c>
      <c r="O14" s="3">
        <v>-7</v>
      </c>
      <c r="P14" s="3">
        <v>109</v>
      </c>
      <c r="Q14" s="3">
        <v>90</v>
      </c>
      <c r="R14" s="7">
        <f t="shared" si="0"/>
        <v>-6.4220183486238536E-2</v>
      </c>
      <c r="S14">
        <f t="shared" si="1"/>
        <v>19</v>
      </c>
      <c r="T14" s="5" t="str">
        <f t="shared" si="2"/>
        <v>19</v>
      </c>
    </row>
    <row r="15" spans="1:20">
      <c r="O15" s="5">
        <v>1</v>
      </c>
      <c r="P15" s="5">
        <v>144</v>
      </c>
      <c r="Q15" s="5">
        <v>90</v>
      </c>
      <c r="R15" s="7">
        <f t="shared" si="0"/>
        <v>6.9444444444444441E-3</v>
      </c>
      <c r="S15">
        <f t="shared" si="1"/>
        <v>54</v>
      </c>
      <c r="T15" s="5" t="str">
        <f t="shared" si="2"/>
        <v>54</v>
      </c>
    </row>
    <row r="16" spans="1:20">
      <c r="A16" s="28" t="s">
        <v>140</v>
      </c>
      <c r="O16" s="3">
        <v>-2</v>
      </c>
      <c r="P16" s="3">
        <v>77</v>
      </c>
      <c r="Q16" s="3">
        <v>100</v>
      </c>
      <c r="R16" s="7">
        <f t="shared" si="0"/>
        <v>-2.5974025974025976E-2</v>
      </c>
      <c r="S16">
        <f t="shared" si="1"/>
        <v>-23</v>
      </c>
      <c r="T16" s="5" t="str">
        <f t="shared" si="2"/>
        <v>-23</v>
      </c>
    </row>
    <row r="17" spans="1:20">
      <c r="O17" s="5">
        <v>12</v>
      </c>
      <c r="P17" s="5">
        <v>120</v>
      </c>
      <c r="Q17" s="5">
        <v>100</v>
      </c>
      <c r="R17" s="7">
        <f t="shared" si="0"/>
        <v>0.1</v>
      </c>
      <c r="S17">
        <f t="shared" si="1"/>
        <v>20</v>
      </c>
      <c r="T17" s="5" t="str">
        <f t="shared" si="2"/>
        <v>20</v>
      </c>
    </row>
    <row r="18" spans="1:20">
      <c r="A18" s="28" t="s">
        <v>141</v>
      </c>
      <c r="O18" s="3">
        <v>-6</v>
      </c>
      <c r="P18" s="3">
        <v>109</v>
      </c>
      <c r="Q18" s="3">
        <v>80</v>
      </c>
      <c r="R18" s="7">
        <f t="shared" si="0"/>
        <v>-5.5045871559633031E-2</v>
      </c>
      <c r="S18">
        <f t="shared" si="1"/>
        <v>29</v>
      </c>
      <c r="T18" s="5" t="str">
        <f t="shared" si="2"/>
        <v>29</v>
      </c>
    </row>
    <row r="19" spans="1:20">
      <c r="O19" s="5">
        <v>45</v>
      </c>
      <c r="P19" s="5">
        <v>118</v>
      </c>
      <c r="Q19" s="5">
        <v>90</v>
      </c>
      <c r="R19" s="7">
        <f t="shared" si="0"/>
        <v>0.38135593220338981</v>
      </c>
      <c r="S19">
        <f t="shared" si="1"/>
        <v>28</v>
      </c>
      <c r="T19" s="5" t="str">
        <f t="shared" si="2"/>
        <v>28</v>
      </c>
    </row>
    <row r="20" spans="1:20">
      <c r="A20" s="28" t="s">
        <v>142</v>
      </c>
      <c r="O20" s="3">
        <v>33</v>
      </c>
      <c r="P20" s="3">
        <v>120</v>
      </c>
      <c r="Q20" s="3">
        <v>90</v>
      </c>
      <c r="R20" s="7">
        <f t="shared" si="0"/>
        <v>0.27500000000000002</v>
      </c>
      <c r="S20">
        <f t="shared" si="1"/>
        <v>30</v>
      </c>
      <c r="T20" s="5" t="str">
        <f t="shared" si="2"/>
        <v>30</v>
      </c>
    </row>
    <row r="21" spans="1:20">
      <c r="O21" s="5">
        <v>47</v>
      </c>
      <c r="P21" s="5">
        <v>119</v>
      </c>
      <c r="Q21" s="5">
        <v>90</v>
      </c>
      <c r="R21" s="7">
        <f t="shared" si="0"/>
        <v>0.3949579831932773</v>
      </c>
      <c r="S21">
        <f t="shared" si="1"/>
        <v>29</v>
      </c>
      <c r="T21" s="5" t="str">
        <f t="shared" si="2"/>
        <v>29</v>
      </c>
    </row>
    <row r="22" spans="1:20">
      <c r="A22" t="s">
        <v>147</v>
      </c>
      <c r="O22" s="3">
        <v>36</v>
      </c>
      <c r="P22" s="3">
        <v>99</v>
      </c>
      <c r="Q22" s="3">
        <v>100</v>
      </c>
      <c r="R22" s="7">
        <f t="shared" si="0"/>
        <v>0.36363636363636365</v>
      </c>
      <c r="S22">
        <f t="shared" si="1"/>
        <v>-1</v>
      </c>
      <c r="T22" s="5" t="str">
        <f t="shared" si="2"/>
        <v>-1</v>
      </c>
    </row>
    <row r="23" spans="1:20">
      <c r="A23" t="s">
        <v>148</v>
      </c>
      <c r="O23" s="5">
        <v>64</v>
      </c>
      <c r="P23" s="5">
        <v>205</v>
      </c>
      <c r="Q23" s="5">
        <v>90</v>
      </c>
      <c r="R23" s="7">
        <f t="shared" si="0"/>
        <v>0.31219512195121951</v>
      </c>
      <c r="S23">
        <f t="shared" si="1"/>
        <v>115</v>
      </c>
      <c r="T23" s="5" t="str">
        <f t="shared" si="2"/>
        <v>115</v>
      </c>
    </row>
    <row r="24" spans="1:20">
      <c r="A24" t="s">
        <v>149</v>
      </c>
      <c r="O24" s="3">
        <v>76</v>
      </c>
      <c r="P24" s="3">
        <v>218</v>
      </c>
      <c r="Q24" s="3">
        <v>100</v>
      </c>
      <c r="R24" s="7">
        <f t="shared" si="0"/>
        <v>0.34862385321100919</v>
      </c>
      <c r="S24">
        <f t="shared" si="1"/>
        <v>118</v>
      </c>
      <c r="T24" s="5" t="str">
        <f t="shared" si="2"/>
        <v>118</v>
      </c>
    </row>
    <row r="25" spans="1:20">
      <c r="O25" s="5">
        <v>26</v>
      </c>
      <c r="P25" s="5">
        <v>92</v>
      </c>
      <c r="Q25" s="5">
        <v>100</v>
      </c>
      <c r="R25" s="7">
        <f t="shared" si="0"/>
        <v>0.28260869565217389</v>
      </c>
      <c r="S25">
        <f t="shared" si="1"/>
        <v>-8</v>
      </c>
      <c r="T25" s="5" t="str">
        <f t="shared" si="2"/>
        <v>-8</v>
      </c>
    </row>
    <row r="26" spans="1:20">
      <c r="O26" s="3">
        <v>48</v>
      </c>
      <c r="P26" s="3">
        <v>123</v>
      </c>
      <c r="Q26" s="3">
        <v>90</v>
      </c>
      <c r="R26" s="7">
        <f t="shared" si="0"/>
        <v>0.3902439024390244</v>
      </c>
      <c r="S26">
        <f t="shared" si="1"/>
        <v>33</v>
      </c>
      <c r="T26" s="5" t="str">
        <f t="shared" si="2"/>
        <v>33</v>
      </c>
    </row>
    <row r="27" spans="1:20">
      <c r="O27" s="5">
        <v>27</v>
      </c>
      <c r="P27" s="5">
        <v>92</v>
      </c>
      <c r="Q27" s="5">
        <v>90</v>
      </c>
      <c r="R27" s="7">
        <f t="shared" si="0"/>
        <v>0.29347826086956524</v>
      </c>
      <c r="S27">
        <f t="shared" si="1"/>
        <v>2</v>
      </c>
      <c r="T27" s="5" t="str">
        <f t="shared" si="2"/>
        <v>2</v>
      </c>
    </row>
    <row r="28" spans="1:20">
      <c r="O28" s="3">
        <v>-8</v>
      </c>
      <c r="P28" s="3">
        <v>120</v>
      </c>
      <c r="Q28" s="3">
        <v>110</v>
      </c>
      <c r="R28" s="7">
        <f t="shared" si="0"/>
        <v>-6.6666666666666666E-2</v>
      </c>
      <c r="S28">
        <f t="shared" si="1"/>
        <v>10</v>
      </c>
      <c r="T28" s="5" t="str">
        <f t="shared" si="2"/>
        <v>10</v>
      </c>
    </row>
    <row r="29" spans="1:20" ht="18">
      <c r="A29" s="9" t="s">
        <v>143</v>
      </c>
      <c r="H29" t="s">
        <v>146</v>
      </c>
      <c r="O29" s="5">
        <v>44</v>
      </c>
      <c r="P29" s="5">
        <v>164</v>
      </c>
      <c r="Q29" s="5">
        <v>110</v>
      </c>
      <c r="R29" s="7">
        <f t="shared" si="0"/>
        <v>0.26829268292682928</v>
      </c>
      <c r="S29">
        <f t="shared" si="1"/>
        <v>54</v>
      </c>
      <c r="T29" s="5" t="str">
        <f t="shared" si="2"/>
        <v>54</v>
      </c>
    </row>
    <row r="30" spans="1:20" ht="18">
      <c r="A30" s="9" t="s">
        <v>144</v>
      </c>
      <c r="G30" t="s">
        <v>152</v>
      </c>
      <c r="O30" s="3">
        <v>31</v>
      </c>
      <c r="P30" s="3">
        <v>114</v>
      </c>
      <c r="Q30" s="3">
        <v>100</v>
      </c>
      <c r="R30" s="7">
        <f t="shared" si="0"/>
        <v>0.27192982456140352</v>
      </c>
      <c r="S30">
        <f t="shared" si="1"/>
        <v>14</v>
      </c>
      <c r="T30" s="5" t="str">
        <f t="shared" si="2"/>
        <v>14</v>
      </c>
    </row>
    <row r="31" spans="1:20" ht="18">
      <c r="A31" s="9" t="s">
        <v>145</v>
      </c>
      <c r="G31" t="s">
        <v>153</v>
      </c>
      <c r="O31" s="5">
        <v>15</v>
      </c>
      <c r="P31" s="5">
        <v>124</v>
      </c>
      <c r="Q31" s="5">
        <v>100</v>
      </c>
      <c r="R31" s="7">
        <f t="shared" si="0"/>
        <v>0.12096774193548387</v>
      </c>
      <c r="S31">
        <f t="shared" si="1"/>
        <v>24</v>
      </c>
      <c r="T31" s="5" t="str">
        <f t="shared" si="2"/>
        <v>24</v>
      </c>
    </row>
    <row r="32" spans="1:20">
      <c r="O32" s="3">
        <v>48</v>
      </c>
      <c r="P32" s="3">
        <v>123</v>
      </c>
      <c r="Q32" s="3">
        <v>100</v>
      </c>
      <c r="R32" s="7">
        <f t="shared" si="0"/>
        <v>0.3902439024390244</v>
      </c>
      <c r="S32">
        <f t="shared" si="1"/>
        <v>23</v>
      </c>
      <c r="T32" s="5" t="str">
        <f t="shared" si="2"/>
        <v>23</v>
      </c>
    </row>
    <row r="33" spans="1:20">
      <c r="O33" s="5">
        <v>29</v>
      </c>
      <c r="P33" s="5">
        <v>125</v>
      </c>
      <c r="Q33" s="5">
        <v>100</v>
      </c>
      <c r="R33" s="7">
        <f t="shared" si="0"/>
        <v>0.23200000000000001</v>
      </c>
      <c r="S33">
        <f t="shared" si="1"/>
        <v>25</v>
      </c>
      <c r="T33" s="5" t="str">
        <f t="shared" si="2"/>
        <v>25</v>
      </c>
    </row>
    <row r="34" spans="1:20">
      <c r="O34" s="3">
        <v>31</v>
      </c>
      <c r="P34" s="3">
        <v>88</v>
      </c>
      <c r="Q34" s="3">
        <v>90</v>
      </c>
      <c r="R34" s="7">
        <f t="shared" si="0"/>
        <v>0.35227272727272729</v>
      </c>
      <c r="S34">
        <f t="shared" si="1"/>
        <v>-2</v>
      </c>
      <c r="T34" s="5" t="str">
        <f t="shared" si="2"/>
        <v>-2</v>
      </c>
    </row>
    <row r="35" spans="1:20">
      <c r="O35" s="5">
        <v>27</v>
      </c>
      <c r="P35" s="5">
        <v>81</v>
      </c>
      <c r="Q35" s="5">
        <v>100</v>
      </c>
      <c r="R35" s="7">
        <f t="shared" si="0"/>
        <v>0.33333333333333331</v>
      </c>
      <c r="S35">
        <f t="shared" si="1"/>
        <v>-19</v>
      </c>
      <c r="T35" s="5" t="str">
        <f t="shared" si="2"/>
        <v>-19</v>
      </c>
    </row>
    <row r="36" spans="1:20">
      <c r="A36" s="29"/>
      <c r="O36" s="3">
        <v>28</v>
      </c>
      <c r="P36" s="3">
        <v>78</v>
      </c>
      <c r="Q36" s="3">
        <v>90</v>
      </c>
      <c r="R36" s="7">
        <f t="shared" si="0"/>
        <v>0.35897435897435898</v>
      </c>
      <c r="S36">
        <f t="shared" si="1"/>
        <v>-12</v>
      </c>
      <c r="T36" s="5" t="str">
        <f t="shared" si="2"/>
        <v>-12</v>
      </c>
    </row>
    <row r="37" spans="1:20">
      <c r="O37" s="5">
        <v>30</v>
      </c>
      <c r="P37" s="5">
        <v>88</v>
      </c>
      <c r="Q37" s="5">
        <v>100</v>
      </c>
      <c r="R37" s="7">
        <f t="shared" si="0"/>
        <v>0.34090909090909088</v>
      </c>
      <c r="S37">
        <f t="shared" si="1"/>
        <v>-12</v>
      </c>
      <c r="T37" s="5" t="str">
        <f t="shared" si="2"/>
        <v>-12</v>
      </c>
    </row>
    <row r="38" spans="1:20" ht="17.399999999999999">
      <c r="A38" s="30"/>
      <c r="O38" s="3">
        <v>34</v>
      </c>
      <c r="P38" s="3">
        <v>120</v>
      </c>
      <c r="Q38" s="3">
        <v>90</v>
      </c>
      <c r="R38" s="7">
        <f t="shared" si="0"/>
        <v>0.28333333333333333</v>
      </c>
      <c r="S38">
        <f t="shared" si="1"/>
        <v>30</v>
      </c>
      <c r="T38" s="5" t="str">
        <f t="shared" si="2"/>
        <v>30</v>
      </c>
    </row>
    <row r="39" spans="1:20">
      <c r="O39" s="5">
        <v>14</v>
      </c>
      <c r="P39" s="5">
        <v>121</v>
      </c>
      <c r="Q39" s="5">
        <v>110</v>
      </c>
      <c r="R39" s="7">
        <f t="shared" si="0"/>
        <v>0.11570247933884298</v>
      </c>
      <c r="S39">
        <f t="shared" si="1"/>
        <v>11</v>
      </c>
      <c r="T39" s="5" t="str">
        <f t="shared" si="2"/>
        <v>11</v>
      </c>
    </row>
    <row r="40" spans="1:20">
      <c r="A40" s="29"/>
      <c r="O40" s="3">
        <v>30</v>
      </c>
      <c r="P40" s="3">
        <v>113</v>
      </c>
      <c r="Q40" s="3">
        <v>100</v>
      </c>
      <c r="R40" s="7">
        <f t="shared" si="0"/>
        <v>0.26548672566371684</v>
      </c>
      <c r="S40">
        <f t="shared" si="1"/>
        <v>13</v>
      </c>
      <c r="T40" s="5" t="str">
        <f t="shared" si="2"/>
        <v>13</v>
      </c>
    </row>
    <row r="41" spans="1:20">
      <c r="A41" s="20"/>
      <c r="O41" s="5">
        <v>20</v>
      </c>
      <c r="P41" s="5">
        <v>109</v>
      </c>
      <c r="Q41" s="5">
        <v>90</v>
      </c>
      <c r="R41" s="7">
        <f t="shared" si="0"/>
        <v>0.1834862385321101</v>
      </c>
      <c r="S41">
        <f t="shared" si="1"/>
        <v>19</v>
      </c>
      <c r="T41" s="5" t="str">
        <f t="shared" si="2"/>
        <v>19</v>
      </c>
    </row>
    <row r="42" spans="1:20">
      <c r="A42" s="29"/>
      <c r="O42" s="3">
        <v>-8</v>
      </c>
      <c r="P42" s="3">
        <v>106</v>
      </c>
      <c r="Q42" s="3">
        <v>100</v>
      </c>
      <c r="R42" s="7">
        <f t="shared" si="0"/>
        <v>-7.5471698113207544E-2</v>
      </c>
      <c r="S42">
        <f t="shared" si="1"/>
        <v>6</v>
      </c>
      <c r="T42" s="5" t="str">
        <f t="shared" si="2"/>
        <v>6</v>
      </c>
    </row>
    <row r="43" spans="1:20">
      <c r="A43" s="31"/>
      <c r="O43" s="5">
        <v>49</v>
      </c>
      <c r="P43" s="5">
        <v>141</v>
      </c>
      <c r="Q43" s="5">
        <v>100</v>
      </c>
      <c r="R43" s="7">
        <f t="shared" si="0"/>
        <v>0.3475177304964539</v>
      </c>
      <c r="S43">
        <f t="shared" si="1"/>
        <v>41</v>
      </c>
      <c r="T43" s="5" t="str">
        <f t="shared" si="2"/>
        <v>41</v>
      </c>
    </row>
    <row r="44" spans="1:20">
      <c r="O44" s="3">
        <v>13</v>
      </c>
      <c r="P44" s="3">
        <v>121</v>
      </c>
      <c r="Q44" s="3">
        <v>110</v>
      </c>
      <c r="R44" s="7">
        <f t="shared" si="0"/>
        <v>0.10743801652892562</v>
      </c>
      <c r="S44">
        <f t="shared" si="1"/>
        <v>11</v>
      </c>
      <c r="T44" s="5" t="str">
        <f t="shared" si="2"/>
        <v>11</v>
      </c>
    </row>
    <row r="45" spans="1:20">
      <c r="A45" s="32"/>
      <c r="O45" s="5">
        <v>13</v>
      </c>
      <c r="P45" s="5">
        <v>121</v>
      </c>
      <c r="Q45" s="5">
        <v>110</v>
      </c>
      <c r="R45" s="7">
        <f t="shared" si="0"/>
        <v>0.10743801652892562</v>
      </c>
      <c r="S45">
        <f t="shared" si="1"/>
        <v>11</v>
      </c>
      <c r="T45" s="5" t="str">
        <f t="shared" si="2"/>
        <v>11</v>
      </c>
    </row>
    <row r="46" spans="1:20">
      <c r="O46" s="3">
        <v>30</v>
      </c>
      <c r="P46" s="3">
        <v>113</v>
      </c>
      <c r="Q46" s="3">
        <v>100</v>
      </c>
      <c r="R46" s="7">
        <f t="shared" si="0"/>
        <v>0.26548672566371684</v>
      </c>
      <c r="S46">
        <f t="shared" si="1"/>
        <v>13</v>
      </c>
      <c r="T46" s="5" t="str">
        <f t="shared" si="2"/>
        <v>13</v>
      </c>
    </row>
    <row r="47" spans="1:20">
      <c r="A47" s="33"/>
      <c r="O47" s="5">
        <v>20</v>
      </c>
      <c r="P47" s="5">
        <v>109</v>
      </c>
      <c r="Q47" s="5">
        <v>100</v>
      </c>
      <c r="R47" s="7">
        <f t="shared" si="0"/>
        <v>0.1834862385321101</v>
      </c>
      <c r="S47">
        <f t="shared" si="1"/>
        <v>9</v>
      </c>
      <c r="T47" s="5" t="str">
        <f t="shared" si="2"/>
        <v>9</v>
      </c>
    </row>
    <row r="48" spans="1:20">
      <c r="O48" s="3">
        <v>44</v>
      </c>
      <c r="P48" s="3">
        <v>115</v>
      </c>
      <c r="Q48" s="3">
        <v>100</v>
      </c>
      <c r="R48" s="7">
        <f t="shared" si="0"/>
        <v>0.38260869565217392</v>
      </c>
      <c r="S48">
        <f t="shared" si="1"/>
        <v>15</v>
      </c>
      <c r="T48" s="5" t="str">
        <f t="shared" si="2"/>
        <v>15</v>
      </c>
    </row>
    <row r="49" spans="1:20">
      <c r="O49" s="5">
        <v>33</v>
      </c>
      <c r="P49" s="5">
        <v>90</v>
      </c>
      <c r="Q49" s="5">
        <v>90</v>
      </c>
      <c r="R49" s="7">
        <f t="shared" si="0"/>
        <v>0.36666666666666664</v>
      </c>
      <c r="S49">
        <f t="shared" si="1"/>
        <v>0</v>
      </c>
      <c r="T49" s="5" t="str">
        <f t="shared" si="2"/>
        <v>0</v>
      </c>
    </row>
    <row r="50" spans="1:20">
      <c r="O50" s="3">
        <v>1</v>
      </c>
      <c r="P50" s="3">
        <v>147</v>
      </c>
      <c r="Q50" s="3">
        <v>100</v>
      </c>
      <c r="R50" s="7">
        <f t="shared" si="0"/>
        <v>6.8027210884353739E-3</v>
      </c>
      <c r="S50">
        <f t="shared" si="1"/>
        <v>47</v>
      </c>
      <c r="T50" s="5" t="str">
        <f t="shared" si="2"/>
        <v>47</v>
      </c>
    </row>
    <row r="51" spans="1:20" ht="17.399999999999999">
      <c r="A51" s="30"/>
      <c r="O51" s="5">
        <v>30</v>
      </c>
      <c r="P51" s="5">
        <v>99</v>
      </c>
      <c r="Q51" s="5">
        <v>110</v>
      </c>
      <c r="R51" s="7">
        <f t="shared" si="0"/>
        <v>0.30303030303030304</v>
      </c>
      <c r="S51">
        <f t="shared" si="1"/>
        <v>-11</v>
      </c>
      <c r="T51" s="5" t="str">
        <f t="shared" si="2"/>
        <v>-11</v>
      </c>
    </row>
    <row r="52" spans="1:20">
      <c r="O52" s="3">
        <v>52</v>
      </c>
      <c r="P52" s="3">
        <v>133</v>
      </c>
      <c r="Q52" s="3">
        <v>100</v>
      </c>
      <c r="R52" s="7">
        <f t="shared" si="0"/>
        <v>0.39097744360902253</v>
      </c>
      <c r="S52">
        <f t="shared" si="1"/>
        <v>33</v>
      </c>
      <c r="T52" s="5" t="str">
        <f t="shared" si="2"/>
        <v>33</v>
      </c>
    </row>
    <row r="53" spans="1:20">
      <c r="A53" s="29"/>
      <c r="O53" s="5">
        <v>-6</v>
      </c>
      <c r="P53" s="5">
        <v>112</v>
      </c>
      <c r="Q53" s="5">
        <v>100</v>
      </c>
      <c r="R53" s="7">
        <f t="shared" si="0"/>
        <v>-5.3571428571428568E-2</v>
      </c>
      <c r="S53">
        <f t="shared" si="1"/>
        <v>12</v>
      </c>
      <c r="T53" s="5" t="str">
        <f t="shared" si="2"/>
        <v>12</v>
      </c>
    </row>
    <row r="54" spans="1:20">
      <c r="A54" s="20"/>
      <c r="O54" s="3">
        <v>29</v>
      </c>
      <c r="P54" s="3">
        <v>127</v>
      </c>
      <c r="Q54" s="3">
        <v>110</v>
      </c>
      <c r="R54" s="7">
        <f t="shared" si="0"/>
        <v>0.2283464566929134</v>
      </c>
      <c r="S54">
        <f t="shared" si="1"/>
        <v>17</v>
      </c>
      <c r="T54" s="5" t="str">
        <f t="shared" si="2"/>
        <v>17</v>
      </c>
    </row>
    <row r="55" spans="1:20">
      <c r="A55" s="29"/>
      <c r="O55" s="5">
        <v>23</v>
      </c>
      <c r="P55" s="5">
        <v>145</v>
      </c>
      <c r="Q55" s="5">
        <v>100</v>
      </c>
      <c r="R55" s="7">
        <f t="shared" si="0"/>
        <v>0.15862068965517243</v>
      </c>
      <c r="S55">
        <f t="shared" si="1"/>
        <v>45</v>
      </c>
      <c r="T55" s="5" t="str">
        <f t="shared" si="2"/>
        <v>45</v>
      </c>
    </row>
    <row r="56" spans="1:20">
      <c r="A56" s="31"/>
      <c r="O56" s="3">
        <v>50</v>
      </c>
      <c r="P56" s="3">
        <v>176</v>
      </c>
      <c r="Q56" s="3">
        <v>120</v>
      </c>
      <c r="R56" s="7">
        <f t="shared" si="0"/>
        <v>0.28409090909090912</v>
      </c>
      <c r="S56">
        <f t="shared" si="1"/>
        <v>56</v>
      </c>
      <c r="T56" s="5" t="str">
        <f t="shared" si="2"/>
        <v>56</v>
      </c>
    </row>
    <row r="57" spans="1:20">
      <c r="O57" s="5">
        <v>28</v>
      </c>
      <c r="P57" s="5">
        <v>127</v>
      </c>
      <c r="Q57" s="5">
        <v>110</v>
      </c>
      <c r="R57" s="7">
        <f t="shared" si="0"/>
        <v>0.22047244094488189</v>
      </c>
      <c r="S57">
        <f t="shared" si="1"/>
        <v>17</v>
      </c>
      <c r="T57" s="5" t="str">
        <f t="shared" si="2"/>
        <v>17</v>
      </c>
    </row>
    <row r="58" spans="1:20">
      <c r="A58" s="32"/>
      <c r="O58" s="3">
        <v>24</v>
      </c>
      <c r="P58" s="3">
        <v>101</v>
      </c>
      <c r="Q58" s="3">
        <v>90</v>
      </c>
      <c r="R58" s="7">
        <f t="shared" si="0"/>
        <v>0.23762376237623761</v>
      </c>
      <c r="S58">
        <f t="shared" si="1"/>
        <v>11</v>
      </c>
      <c r="T58" s="5" t="str">
        <f t="shared" si="2"/>
        <v>11</v>
      </c>
    </row>
    <row r="59" spans="1:20">
      <c r="O59" s="5">
        <v>53</v>
      </c>
      <c r="P59" s="5">
        <v>133</v>
      </c>
      <c r="Q59" s="5">
        <v>90</v>
      </c>
      <c r="R59" s="7">
        <f t="shared" si="0"/>
        <v>0.39849624060150374</v>
      </c>
      <c r="S59">
        <f t="shared" si="1"/>
        <v>43</v>
      </c>
      <c r="T59" s="5" t="str">
        <f t="shared" si="2"/>
        <v>43</v>
      </c>
    </row>
    <row r="60" spans="1:20">
      <c r="A60" s="31"/>
      <c r="O60" s="3">
        <v>27</v>
      </c>
      <c r="P60" s="3">
        <v>77</v>
      </c>
      <c r="Q60" s="3">
        <v>90</v>
      </c>
      <c r="R60" s="7">
        <f t="shared" si="0"/>
        <v>0.35064935064935066</v>
      </c>
      <c r="S60">
        <f t="shared" si="1"/>
        <v>-13</v>
      </c>
      <c r="T60" s="5" t="str">
        <f t="shared" si="2"/>
        <v>-13</v>
      </c>
    </row>
    <row r="61" spans="1:20">
      <c r="O61" s="5">
        <v>31</v>
      </c>
      <c r="P61" s="5">
        <v>85</v>
      </c>
      <c r="Q61" s="5">
        <v>100</v>
      </c>
      <c r="R61" s="7">
        <f t="shared" si="0"/>
        <v>0.36470588235294116</v>
      </c>
      <c r="S61">
        <f t="shared" si="1"/>
        <v>-15</v>
      </c>
      <c r="T61" s="5" t="str">
        <f t="shared" si="2"/>
        <v>-15</v>
      </c>
    </row>
    <row r="62" spans="1:20">
      <c r="A62" s="29"/>
      <c r="O62" s="3">
        <v>28</v>
      </c>
      <c r="P62" s="3">
        <v>82</v>
      </c>
      <c r="Q62" s="3">
        <v>90</v>
      </c>
      <c r="R62" s="7">
        <f t="shared" si="0"/>
        <v>0.34146341463414637</v>
      </c>
      <c r="S62">
        <f t="shared" si="1"/>
        <v>-8</v>
      </c>
      <c r="T62" s="5" t="str">
        <f t="shared" si="2"/>
        <v>-8</v>
      </c>
    </row>
    <row r="63" spans="1:20">
      <c r="O63" s="5">
        <v>28</v>
      </c>
      <c r="P63" s="5">
        <v>122</v>
      </c>
      <c r="Q63" s="5">
        <v>100</v>
      </c>
      <c r="R63" s="7">
        <f t="shared" si="0"/>
        <v>0.22950819672131148</v>
      </c>
      <c r="S63">
        <f t="shared" si="1"/>
        <v>22</v>
      </c>
      <c r="T63" s="5" t="str">
        <f t="shared" si="2"/>
        <v>22</v>
      </c>
    </row>
    <row r="64" spans="1:20">
      <c r="A64" s="32"/>
      <c r="O64" s="3">
        <v>-3</v>
      </c>
      <c r="P64" s="3">
        <v>131</v>
      </c>
      <c r="Q64" s="3">
        <v>100</v>
      </c>
      <c r="R64" s="7">
        <f t="shared" si="0"/>
        <v>-2.2900763358778626E-2</v>
      </c>
      <c r="S64">
        <f t="shared" si="1"/>
        <v>31</v>
      </c>
      <c r="T64" s="5" t="str">
        <f t="shared" si="2"/>
        <v>31</v>
      </c>
    </row>
    <row r="65" spans="15:20">
      <c r="O65" s="5">
        <v>-5</v>
      </c>
      <c r="P65" s="5">
        <v>118</v>
      </c>
      <c r="Q65" s="5">
        <v>90</v>
      </c>
      <c r="R65" s="7">
        <f t="shared" si="0"/>
        <v>-4.2372881355932202E-2</v>
      </c>
      <c r="S65">
        <f t="shared" si="1"/>
        <v>28</v>
      </c>
      <c r="T65" s="5" t="str">
        <f t="shared" si="2"/>
        <v>28</v>
      </c>
    </row>
    <row r="66" spans="15:20">
      <c r="O66" s="3">
        <v>1</v>
      </c>
      <c r="P66" s="3">
        <v>88</v>
      </c>
      <c r="Q66" s="3">
        <v>100</v>
      </c>
      <c r="R66" s="7">
        <f t="shared" ref="R66:R129" si="3">O66/P66</f>
        <v>1.1363636363636364E-2</v>
      </c>
      <c r="S66">
        <f t="shared" ref="S66:S129" si="4">P66-Q66</f>
        <v>-12</v>
      </c>
      <c r="T66" s="5" t="str">
        <f t="shared" ref="T66:T129" si="5">TRIM(S:S)</f>
        <v>-12</v>
      </c>
    </row>
    <row r="67" spans="15:20">
      <c r="O67" s="5">
        <v>-5</v>
      </c>
      <c r="P67" s="5">
        <v>118</v>
      </c>
      <c r="Q67" s="5">
        <v>100</v>
      </c>
      <c r="R67" s="7">
        <f t="shared" si="3"/>
        <v>-4.2372881355932202E-2</v>
      </c>
      <c r="S67">
        <f t="shared" si="4"/>
        <v>18</v>
      </c>
      <c r="T67" s="5" t="str">
        <f t="shared" si="5"/>
        <v>18</v>
      </c>
    </row>
    <row r="68" spans="15:20">
      <c r="O68" s="3">
        <v>30</v>
      </c>
      <c r="P68" s="3">
        <v>107</v>
      </c>
      <c r="Q68" s="3">
        <v>90</v>
      </c>
      <c r="R68" s="7">
        <f t="shared" si="3"/>
        <v>0.28037383177570091</v>
      </c>
      <c r="S68">
        <f t="shared" si="4"/>
        <v>17</v>
      </c>
      <c r="T68" s="5" t="str">
        <f t="shared" si="5"/>
        <v>17</v>
      </c>
    </row>
    <row r="69" spans="15:20">
      <c r="O69" s="5">
        <v>16</v>
      </c>
      <c r="P69" s="5">
        <v>160</v>
      </c>
      <c r="Q69" s="5">
        <v>140</v>
      </c>
      <c r="R69" s="7">
        <f t="shared" si="3"/>
        <v>0.1</v>
      </c>
      <c r="S69">
        <f t="shared" si="4"/>
        <v>20</v>
      </c>
      <c r="T69" s="5" t="str">
        <f t="shared" si="5"/>
        <v>20</v>
      </c>
    </row>
    <row r="70" spans="15:20">
      <c r="O70" s="3">
        <v>27</v>
      </c>
      <c r="P70" s="3">
        <v>153</v>
      </c>
      <c r="Q70" s="3">
        <v>110</v>
      </c>
      <c r="R70" s="7">
        <f t="shared" si="3"/>
        <v>0.17647058823529413</v>
      </c>
      <c r="S70">
        <f t="shared" si="4"/>
        <v>43</v>
      </c>
      <c r="T70" s="5" t="str">
        <f t="shared" si="5"/>
        <v>43</v>
      </c>
    </row>
    <row r="71" spans="15:20">
      <c r="O71" s="5">
        <v>36</v>
      </c>
      <c r="P71" s="5">
        <v>139</v>
      </c>
      <c r="Q71" s="5">
        <v>100</v>
      </c>
      <c r="R71" s="7">
        <f t="shared" si="3"/>
        <v>0.25899280575539568</v>
      </c>
      <c r="S71">
        <f t="shared" si="4"/>
        <v>39</v>
      </c>
      <c r="T71" s="5" t="str">
        <f t="shared" si="5"/>
        <v>39</v>
      </c>
    </row>
    <row r="72" spans="15:20">
      <c r="O72" s="3">
        <v>17</v>
      </c>
      <c r="P72" s="3">
        <v>160</v>
      </c>
      <c r="Q72" s="3">
        <v>140</v>
      </c>
      <c r="R72" s="7">
        <f t="shared" si="3"/>
        <v>0.10625</v>
      </c>
      <c r="S72">
        <f t="shared" si="4"/>
        <v>20</v>
      </c>
      <c r="T72" s="5" t="str">
        <f t="shared" si="5"/>
        <v>20</v>
      </c>
    </row>
    <row r="73" spans="15:20">
      <c r="O73" s="5">
        <v>-3</v>
      </c>
      <c r="P73" s="5">
        <v>131</v>
      </c>
      <c r="Q73" s="5">
        <v>100</v>
      </c>
      <c r="R73" s="7">
        <f t="shared" si="3"/>
        <v>-2.2900763358778626E-2</v>
      </c>
      <c r="S73">
        <f t="shared" si="4"/>
        <v>31</v>
      </c>
      <c r="T73" s="5" t="str">
        <f t="shared" si="5"/>
        <v>31</v>
      </c>
    </row>
    <row r="74" spans="15:20">
      <c r="O74" s="3">
        <v>-7</v>
      </c>
      <c r="P74" s="3">
        <v>130</v>
      </c>
      <c r="Q74" s="3">
        <v>90</v>
      </c>
      <c r="R74" s="7">
        <f t="shared" si="3"/>
        <v>-5.3846153846153849E-2</v>
      </c>
      <c r="S74">
        <f t="shared" si="4"/>
        <v>40</v>
      </c>
      <c r="T74" s="5" t="str">
        <f t="shared" si="5"/>
        <v>40</v>
      </c>
    </row>
    <row r="75" spans="15:20">
      <c r="O75" s="5">
        <v>39</v>
      </c>
      <c r="P75" s="5">
        <v>131</v>
      </c>
      <c r="Q75" s="5">
        <v>90</v>
      </c>
      <c r="R75" s="7">
        <f t="shared" si="3"/>
        <v>0.29770992366412213</v>
      </c>
      <c r="S75">
        <f t="shared" si="4"/>
        <v>41</v>
      </c>
      <c r="T75" s="5" t="str">
        <f t="shared" si="5"/>
        <v>41</v>
      </c>
    </row>
    <row r="76" spans="15:20">
      <c r="O76" s="3">
        <v>42</v>
      </c>
      <c r="P76" s="3">
        <v>114</v>
      </c>
      <c r="Q76" s="3">
        <v>90</v>
      </c>
      <c r="R76" s="7">
        <f t="shared" si="3"/>
        <v>0.36842105263157893</v>
      </c>
      <c r="S76">
        <f t="shared" si="4"/>
        <v>24</v>
      </c>
      <c r="T76" s="5" t="str">
        <f t="shared" si="5"/>
        <v>24</v>
      </c>
    </row>
    <row r="77" spans="15:20">
      <c r="O77" s="5">
        <v>52</v>
      </c>
      <c r="P77" s="5">
        <v>100</v>
      </c>
      <c r="Q77" s="5">
        <v>100</v>
      </c>
      <c r="R77" s="7">
        <f t="shared" si="3"/>
        <v>0.52</v>
      </c>
      <c r="S77">
        <f t="shared" si="4"/>
        <v>0</v>
      </c>
      <c r="T77" s="5" t="str">
        <f t="shared" si="5"/>
        <v>0</v>
      </c>
    </row>
    <row r="78" spans="15:20">
      <c r="O78" s="3">
        <v>83</v>
      </c>
      <c r="P78" s="3">
        <v>194</v>
      </c>
      <c r="Q78" s="3">
        <v>80</v>
      </c>
      <c r="R78" s="7">
        <f t="shared" si="3"/>
        <v>0.42783505154639173</v>
      </c>
      <c r="S78">
        <f t="shared" si="4"/>
        <v>114</v>
      </c>
      <c r="T78" s="5" t="str">
        <f t="shared" si="5"/>
        <v>114</v>
      </c>
    </row>
    <row r="79" spans="15:20">
      <c r="O79" s="5">
        <v>46</v>
      </c>
      <c r="P79" s="5">
        <v>46</v>
      </c>
      <c r="Q79" s="5">
        <v>60</v>
      </c>
      <c r="R79" s="7">
        <f t="shared" si="3"/>
        <v>1</v>
      </c>
      <c r="S79">
        <f t="shared" si="4"/>
        <v>-14</v>
      </c>
      <c r="T79" s="5" t="str">
        <f t="shared" si="5"/>
        <v>-14</v>
      </c>
    </row>
    <row r="80" spans="15:20">
      <c r="O80" s="3">
        <v>31</v>
      </c>
      <c r="P80" s="3">
        <v>118</v>
      </c>
      <c r="Q80" s="3">
        <v>90</v>
      </c>
      <c r="R80" s="7">
        <f t="shared" si="3"/>
        <v>0.26271186440677968</v>
      </c>
      <c r="S80">
        <f t="shared" si="4"/>
        <v>28</v>
      </c>
      <c r="T80" s="5" t="str">
        <f t="shared" si="5"/>
        <v>28</v>
      </c>
    </row>
    <row r="81" spans="15:20">
      <c r="O81" s="5">
        <v>31</v>
      </c>
      <c r="P81" s="5">
        <v>70</v>
      </c>
      <c r="Q81" s="5">
        <v>90</v>
      </c>
      <c r="R81" s="7">
        <f t="shared" si="3"/>
        <v>0.44285714285714284</v>
      </c>
      <c r="S81">
        <f t="shared" si="4"/>
        <v>-20</v>
      </c>
      <c r="T81" s="5" t="str">
        <f t="shared" si="5"/>
        <v>-20</v>
      </c>
    </row>
    <row r="82" spans="15:20">
      <c r="O82" s="3">
        <v>10</v>
      </c>
      <c r="P82" s="3">
        <v>72</v>
      </c>
      <c r="Q82" s="3">
        <v>90</v>
      </c>
      <c r="R82" s="7">
        <f t="shared" si="3"/>
        <v>0.1388888888888889</v>
      </c>
      <c r="S82">
        <f t="shared" si="4"/>
        <v>-18</v>
      </c>
      <c r="T82" s="5" t="str">
        <f t="shared" si="5"/>
        <v>-18</v>
      </c>
    </row>
    <row r="83" spans="15:20">
      <c r="O83" s="5">
        <v>55</v>
      </c>
      <c r="P83" s="5">
        <v>106</v>
      </c>
      <c r="Q83" s="5">
        <v>80</v>
      </c>
      <c r="R83" s="7">
        <f t="shared" si="3"/>
        <v>0.51886792452830188</v>
      </c>
      <c r="S83">
        <f t="shared" si="4"/>
        <v>26</v>
      </c>
      <c r="T83" s="5" t="str">
        <f t="shared" si="5"/>
        <v>26</v>
      </c>
    </row>
    <row r="84" spans="15:20">
      <c r="O84" s="3">
        <v>49</v>
      </c>
      <c r="P84" s="3">
        <v>128</v>
      </c>
      <c r="Q84" s="3">
        <v>90</v>
      </c>
      <c r="R84" s="7">
        <f t="shared" si="3"/>
        <v>0.3828125</v>
      </c>
      <c r="S84">
        <f t="shared" si="4"/>
        <v>38</v>
      </c>
      <c r="T84" s="5" t="str">
        <f t="shared" si="5"/>
        <v>38</v>
      </c>
    </row>
    <row r="85" spans="15:20">
      <c r="O85" s="5">
        <v>36</v>
      </c>
      <c r="P85" s="5">
        <v>121</v>
      </c>
      <c r="Q85" s="5">
        <v>90</v>
      </c>
      <c r="R85" s="7">
        <f t="shared" si="3"/>
        <v>0.2975206611570248</v>
      </c>
      <c r="S85">
        <f t="shared" si="4"/>
        <v>31</v>
      </c>
      <c r="T85" s="5" t="str">
        <f t="shared" si="5"/>
        <v>31</v>
      </c>
    </row>
    <row r="86" spans="15:20">
      <c r="O86" s="3">
        <v>-10</v>
      </c>
      <c r="P86" s="3">
        <v>116</v>
      </c>
      <c r="Q86" s="3">
        <v>90</v>
      </c>
      <c r="R86" s="7">
        <f t="shared" si="3"/>
        <v>-8.6206896551724144E-2</v>
      </c>
      <c r="S86">
        <f t="shared" si="4"/>
        <v>26</v>
      </c>
      <c r="T86" s="5" t="str">
        <f t="shared" si="5"/>
        <v>26</v>
      </c>
    </row>
    <row r="87" spans="15:20">
      <c r="O87" s="5">
        <v>1</v>
      </c>
      <c r="P87" s="5">
        <v>153</v>
      </c>
      <c r="Q87" s="5">
        <v>90</v>
      </c>
      <c r="R87" s="7">
        <f t="shared" si="3"/>
        <v>6.5359477124183009E-3</v>
      </c>
      <c r="S87">
        <f t="shared" si="4"/>
        <v>63</v>
      </c>
      <c r="T87" s="5" t="str">
        <f t="shared" si="5"/>
        <v>63</v>
      </c>
    </row>
    <row r="88" spans="15:20">
      <c r="O88" s="3">
        <v>-3</v>
      </c>
      <c r="P88" s="3">
        <v>82</v>
      </c>
      <c r="Q88" s="3">
        <v>100</v>
      </c>
      <c r="R88" s="7">
        <f t="shared" si="3"/>
        <v>-3.6585365853658534E-2</v>
      </c>
      <c r="S88">
        <f t="shared" si="4"/>
        <v>-18</v>
      </c>
      <c r="T88" s="5" t="str">
        <f t="shared" si="5"/>
        <v>-18</v>
      </c>
    </row>
    <row r="89" spans="15:20">
      <c r="O89" s="5">
        <v>18</v>
      </c>
      <c r="P89" s="5">
        <v>128</v>
      </c>
      <c r="Q89" s="5">
        <v>100</v>
      </c>
      <c r="R89" s="7">
        <f t="shared" si="3"/>
        <v>0.140625</v>
      </c>
      <c r="S89">
        <f t="shared" si="4"/>
        <v>28</v>
      </c>
      <c r="T89" s="5" t="str">
        <f t="shared" si="5"/>
        <v>28</v>
      </c>
    </row>
    <row r="90" spans="15:20">
      <c r="O90" s="3">
        <v>-9</v>
      </c>
      <c r="P90" s="3">
        <v>116</v>
      </c>
      <c r="Q90" s="3">
        <v>80</v>
      </c>
      <c r="R90" s="7">
        <f t="shared" si="3"/>
        <v>-7.7586206896551727E-2</v>
      </c>
      <c r="S90">
        <f t="shared" si="4"/>
        <v>36</v>
      </c>
      <c r="T90" s="5" t="str">
        <f t="shared" si="5"/>
        <v>36</v>
      </c>
    </row>
    <row r="91" spans="15:20">
      <c r="O91" s="5">
        <v>67</v>
      </c>
      <c r="P91" s="5">
        <v>126</v>
      </c>
      <c r="Q91" s="5">
        <v>90</v>
      </c>
      <c r="R91" s="7">
        <f t="shared" si="3"/>
        <v>0.53174603174603174</v>
      </c>
      <c r="S91">
        <f t="shared" si="4"/>
        <v>36</v>
      </c>
      <c r="T91" s="5" t="str">
        <f t="shared" si="5"/>
        <v>36</v>
      </c>
    </row>
    <row r="92" spans="15:20">
      <c r="O92" s="3">
        <v>49</v>
      </c>
      <c r="P92" s="3">
        <v>128</v>
      </c>
      <c r="Q92" s="3">
        <v>90</v>
      </c>
      <c r="R92" s="7">
        <f t="shared" si="3"/>
        <v>0.3828125</v>
      </c>
      <c r="S92">
        <f t="shared" si="4"/>
        <v>38</v>
      </c>
      <c r="T92" s="5" t="str">
        <f t="shared" si="5"/>
        <v>38</v>
      </c>
    </row>
    <row r="93" spans="15:20">
      <c r="O93" s="5">
        <v>70</v>
      </c>
      <c r="P93" s="5">
        <v>127</v>
      </c>
      <c r="Q93" s="5">
        <v>90</v>
      </c>
      <c r="R93" s="7">
        <f t="shared" si="3"/>
        <v>0.55118110236220474</v>
      </c>
      <c r="S93">
        <f t="shared" si="4"/>
        <v>37</v>
      </c>
      <c r="T93" s="5" t="str">
        <f t="shared" si="5"/>
        <v>37</v>
      </c>
    </row>
    <row r="94" spans="15:20">
      <c r="O94" s="3">
        <v>53</v>
      </c>
      <c r="P94" s="3">
        <v>106</v>
      </c>
      <c r="Q94" s="3">
        <v>100</v>
      </c>
      <c r="R94" s="7">
        <f t="shared" si="3"/>
        <v>0.5</v>
      </c>
      <c r="S94">
        <f t="shared" si="4"/>
        <v>6</v>
      </c>
      <c r="T94" s="5" t="str">
        <f t="shared" si="5"/>
        <v>6</v>
      </c>
    </row>
    <row r="95" spans="15:20">
      <c r="O95" s="5">
        <v>95</v>
      </c>
      <c r="P95" s="5">
        <v>218</v>
      </c>
      <c r="Q95" s="5">
        <v>90</v>
      </c>
      <c r="R95" s="7">
        <f t="shared" si="3"/>
        <v>0.43577981651376146</v>
      </c>
      <c r="S95">
        <f t="shared" si="4"/>
        <v>128</v>
      </c>
      <c r="T95" s="5" t="str">
        <f t="shared" si="5"/>
        <v>128</v>
      </c>
    </row>
    <row r="96" spans="15:20">
      <c r="O96" s="3">
        <v>113</v>
      </c>
      <c r="P96" s="3">
        <v>232</v>
      </c>
      <c r="Q96" s="3">
        <v>100</v>
      </c>
      <c r="R96" s="7">
        <f t="shared" si="3"/>
        <v>0.48706896551724138</v>
      </c>
      <c r="S96">
        <f t="shared" si="4"/>
        <v>132</v>
      </c>
      <c r="T96" s="5" t="str">
        <f t="shared" si="5"/>
        <v>132</v>
      </c>
    </row>
    <row r="97" spans="15:20">
      <c r="O97" s="5">
        <v>39</v>
      </c>
      <c r="P97" s="5">
        <v>98</v>
      </c>
      <c r="Q97" s="5">
        <v>100</v>
      </c>
      <c r="R97" s="7">
        <f t="shared" si="3"/>
        <v>0.39795918367346939</v>
      </c>
      <c r="S97">
        <f t="shared" si="4"/>
        <v>-2</v>
      </c>
      <c r="T97" s="5" t="str">
        <f t="shared" si="5"/>
        <v>-2</v>
      </c>
    </row>
    <row r="98" spans="15:20">
      <c r="O98" s="3">
        <v>71</v>
      </c>
      <c r="P98" s="3">
        <v>131</v>
      </c>
      <c r="Q98" s="3">
        <v>90</v>
      </c>
      <c r="R98" s="7">
        <f t="shared" si="3"/>
        <v>0.5419847328244275</v>
      </c>
      <c r="S98">
        <f t="shared" si="4"/>
        <v>41</v>
      </c>
      <c r="T98" s="5" t="str">
        <f t="shared" si="5"/>
        <v>41</v>
      </c>
    </row>
    <row r="99" spans="15:20">
      <c r="O99" s="5">
        <v>40</v>
      </c>
      <c r="P99" s="5">
        <v>98</v>
      </c>
      <c r="Q99" s="5">
        <v>90</v>
      </c>
      <c r="R99" s="7">
        <f t="shared" si="3"/>
        <v>0.40816326530612246</v>
      </c>
      <c r="S99">
        <f t="shared" si="4"/>
        <v>8</v>
      </c>
      <c r="T99" s="5" t="str">
        <f t="shared" si="5"/>
        <v>8</v>
      </c>
    </row>
    <row r="100" spans="15:20">
      <c r="O100" s="3">
        <v>-12</v>
      </c>
      <c r="P100" s="3">
        <v>128</v>
      </c>
      <c r="Q100" s="3">
        <v>110</v>
      </c>
      <c r="R100" s="7">
        <f t="shared" si="3"/>
        <v>-9.375E-2</v>
      </c>
      <c r="S100">
        <f t="shared" si="4"/>
        <v>18</v>
      </c>
      <c r="T100" s="5" t="str">
        <f t="shared" si="5"/>
        <v>18</v>
      </c>
    </row>
    <row r="101" spans="15:20">
      <c r="O101" s="5">
        <v>65</v>
      </c>
      <c r="P101" s="5">
        <v>175</v>
      </c>
      <c r="Q101" s="5">
        <v>110</v>
      </c>
      <c r="R101" s="7">
        <f t="shared" si="3"/>
        <v>0.37142857142857144</v>
      </c>
      <c r="S101">
        <f t="shared" si="4"/>
        <v>65</v>
      </c>
      <c r="T101" s="5" t="str">
        <f t="shared" si="5"/>
        <v>65</v>
      </c>
    </row>
    <row r="102" spans="15:20">
      <c r="O102" s="3">
        <v>46</v>
      </c>
      <c r="P102" s="3">
        <v>121</v>
      </c>
      <c r="Q102" s="3">
        <v>100</v>
      </c>
      <c r="R102" s="7">
        <f t="shared" si="3"/>
        <v>0.38016528925619836</v>
      </c>
      <c r="S102">
        <f t="shared" si="4"/>
        <v>21</v>
      </c>
      <c r="T102" s="5" t="str">
        <f t="shared" si="5"/>
        <v>21</v>
      </c>
    </row>
    <row r="103" spans="15:20">
      <c r="O103" s="5">
        <v>22</v>
      </c>
      <c r="P103" s="5">
        <v>132</v>
      </c>
      <c r="Q103" s="5">
        <v>100</v>
      </c>
      <c r="R103" s="7">
        <f t="shared" si="3"/>
        <v>0.16666666666666666</v>
      </c>
      <c r="S103">
        <f t="shared" si="4"/>
        <v>32</v>
      </c>
      <c r="T103" s="5" t="str">
        <f t="shared" si="5"/>
        <v>32</v>
      </c>
    </row>
    <row r="104" spans="15:20">
      <c r="O104" s="3">
        <v>71</v>
      </c>
      <c r="P104" s="3">
        <v>131</v>
      </c>
      <c r="Q104" s="3">
        <v>100</v>
      </c>
      <c r="R104" s="7">
        <f t="shared" si="3"/>
        <v>0.5419847328244275</v>
      </c>
      <c r="S104">
        <f t="shared" si="4"/>
        <v>31</v>
      </c>
      <c r="T104" s="5" t="str">
        <f t="shared" si="5"/>
        <v>31</v>
      </c>
    </row>
    <row r="105" spans="15:20">
      <c r="O105" s="5">
        <v>43</v>
      </c>
      <c r="P105" s="5">
        <v>133</v>
      </c>
      <c r="Q105" s="5">
        <v>100</v>
      </c>
      <c r="R105" s="7">
        <f t="shared" si="3"/>
        <v>0.32330827067669171</v>
      </c>
      <c r="S105">
        <f t="shared" si="4"/>
        <v>33</v>
      </c>
      <c r="T105" s="5" t="str">
        <f t="shared" si="5"/>
        <v>33</v>
      </c>
    </row>
    <row r="106" spans="15:20">
      <c r="O106" s="3">
        <v>46</v>
      </c>
      <c r="P106" s="3">
        <v>94</v>
      </c>
      <c r="Q106" s="3">
        <v>90</v>
      </c>
      <c r="R106" s="7">
        <f t="shared" si="3"/>
        <v>0.48936170212765956</v>
      </c>
      <c r="S106">
        <f t="shared" si="4"/>
        <v>4</v>
      </c>
      <c r="T106" s="5" t="str">
        <f t="shared" si="5"/>
        <v>4</v>
      </c>
    </row>
    <row r="107" spans="15:20">
      <c r="O107" s="5">
        <v>40</v>
      </c>
      <c r="P107" s="5">
        <v>86</v>
      </c>
      <c r="Q107" s="5">
        <v>100</v>
      </c>
      <c r="R107" s="7">
        <f t="shared" si="3"/>
        <v>0.46511627906976744</v>
      </c>
      <c r="S107">
        <f t="shared" si="4"/>
        <v>-14</v>
      </c>
      <c r="T107" s="5" t="str">
        <f t="shared" si="5"/>
        <v>-14</v>
      </c>
    </row>
    <row r="108" spans="15:20">
      <c r="O108" s="3">
        <v>42</v>
      </c>
      <c r="P108" s="3">
        <v>83</v>
      </c>
      <c r="Q108" s="3">
        <v>90</v>
      </c>
      <c r="R108" s="7">
        <f t="shared" si="3"/>
        <v>0.50602409638554213</v>
      </c>
      <c r="S108">
        <f t="shared" si="4"/>
        <v>-7</v>
      </c>
      <c r="T108" s="5" t="str">
        <f t="shared" si="5"/>
        <v>-7</v>
      </c>
    </row>
    <row r="109" spans="15:20">
      <c r="O109" s="5">
        <v>45</v>
      </c>
      <c r="P109" s="5">
        <v>94</v>
      </c>
      <c r="Q109" s="5">
        <v>100</v>
      </c>
      <c r="R109" s="7">
        <f t="shared" si="3"/>
        <v>0.47872340425531917</v>
      </c>
      <c r="S109">
        <f t="shared" si="4"/>
        <v>-6</v>
      </c>
      <c r="T109" s="5" t="str">
        <f t="shared" si="5"/>
        <v>-6</v>
      </c>
    </row>
    <row r="110" spans="15:20">
      <c r="O110" s="3">
        <v>50</v>
      </c>
      <c r="P110" s="3">
        <v>128</v>
      </c>
      <c r="Q110" s="3">
        <v>90</v>
      </c>
      <c r="R110" s="7">
        <f t="shared" si="3"/>
        <v>0.390625</v>
      </c>
      <c r="S110">
        <f t="shared" si="4"/>
        <v>38</v>
      </c>
      <c r="T110" s="5" t="str">
        <f t="shared" si="5"/>
        <v>38</v>
      </c>
    </row>
    <row r="111" spans="15:20">
      <c r="O111" s="5">
        <v>21</v>
      </c>
      <c r="P111" s="5">
        <v>129</v>
      </c>
      <c r="Q111" s="5">
        <v>110</v>
      </c>
      <c r="R111" s="7">
        <f t="shared" si="3"/>
        <v>0.16279069767441862</v>
      </c>
      <c r="S111">
        <f t="shared" si="4"/>
        <v>19</v>
      </c>
      <c r="T111" s="5" t="str">
        <f t="shared" si="5"/>
        <v>19</v>
      </c>
    </row>
    <row r="112" spans="15:20">
      <c r="O112" s="3">
        <v>45</v>
      </c>
      <c r="P112" s="3">
        <v>120</v>
      </c>
      <c r="Q112" s="3">
        <v>100</v>
      </c>
      <c r="R112" s="7">
        <f t="shared" si="3"/>
        <v>0.375</v>
      </c>
      <c r="S112">
        <f t="shared" si="4"/>
        <v>20</v>
      </c>
      <c r="T112" s="5" t="str">
        <f t="shared" si="5"/>
        <v>20</v>
      </c>
    </row>
    <row r="113" spans="15:20">
      <c r="O113" s="5">
        <v>30</v>
      </c>
      <c r="P113" s="5">
        <v>116</v>
      </c>
      <c r="Q113" s="5">
        <v>90</v>
      </c>
      <c r="R113" s="7">
        <f t="shared" si="3"/>
        <v>0.25862068965517243</v>
      </c>
      <c r="S113">
        <f t="shared" si="4"/>
        <v>26</v>
      </c>
      <c r="T113" s="5" t="str">
        <f t="shared" si="5"/>
        <v>26</v>
      </c>
    </row>
    <row r="114" spans="15:20">
      <c r="O114" s="3">
        <v>-12</v>
      </c>
      <c r="P114" s="3">
        <v>113</v>
      </c>
      <c r="Q114" s="3">
        <v>100</v>
      </c>
      <c r="R114" s="7">
        <f t="shared" si="3"/>
        <v>-0.10619469026548672</v>
      </c>
      <c r="S114">
        <f t="shared" si="4"/>
        <v>13</v>
      </c>
      <c r="T114" s="5" t="str">
        <f t="shared" si="5"/>
        <v>13</v>
      </c>
    </row>
    <row r="115" spans="15:20">
      <c r="O115" s="5">
        <v>73</v>
      </c>
      <c r="P115" s="5">
        <v>150</v>
      </c>
      <c r="Q115" s="5">
        <v>100</v>
      </c>
      <c r="R115" s="7">
        <f t="shared" si="3"/>
        <v>0.48666666666666669</v>
      </c>
      <c r="S115">
        <f t="shared" si="4"/>
        <v>50</v>
      </c>
      <c r="T115" s="5" t="str">
        <f t="shared" si="5"/>
        <v>50</v>
      </c>
    </row>
    <row r="116" spans="15:20">
      <c r="O116" s="3">
        <v>19</v>
      </c>
      <c r="P116" s="3">
        <v>129</v>
      </c>
      <c r="Q116" s="3">
        <v>110</v>
      </c>
      <c r="R116" s="7">
        <f t="shared" si="3"/>
        <v>0.14728682170542637</v>
      </c>
      <c r="S116">
        <f t="shared" si="4"/>
        <v>19</v>
      </c>
      <c r="T116" s="5" t="str">
        <f t="shared" si="5"/>
        <v>19</v>
      </c>
    </row>
    <row r="117" spans="15:20">
      <c r="O117" s="5">
        <v>19</v>
      </c>
      <c r="P117" s="5">
        <v>129</v>
      </c>
      <c r="Q117" s="5">
        <v>110</v>
      </c>
      <c r="R117" s="7">
        <f t="shared" si="3"/>
        <v>0.14728682170542637</v>
      </c>
      <c r="S117">
        <f t="shared" si="4"/>
        <v>19</v>
      </c>
      <c r="T117" s="5" t="str">
        <f t="shared" si="5"/>
        <v>19</v>
      </c>
    </row>
    <row r="118" spans="15:20">
      <c r="O118" s="3">
        <v>45</v>
      </c>
      <c r="P118" s="3">
        <v>120</v>
      </c>
      <c r="Q118" s="3">
        <v>100</v>
      </c>
      <c r="R118" s="7">
        <f t="shared" si="3"/>
        <v>0.375</v>
      </c>
      <c r="S118">
        <f t="shared" si="4"/>
        <v>20</v>
      </c>
      <c r="T118" s="5" t="str">
        <f t="shared" si="5"/>
        <v>20</v>
      </c>
    </row>
    <row r="119" spans="15:20">
      <c r="O119" s="5">
        <v>30</v>
      </c>
      <c r="P119" s="5">
        <v>116</v>
      </c>
      <c r="Q119" s="5">
        <v>100</v>
      </c>
      <c r="R119" s="7">
        <f t="shared" si="3"/>
        <v>0.25862068965517243</v>
      </c>
      <c r="S119">
        <f t="shared" si="4"/>
        <v>16</v>
      </c>
      <c r="T119" s="5" t="str">
        <f t="shared" si="5"/>
        <v>16</v>
      </c>
    </row>
    <row r="120" spans="15:20">
      <c r="O120" s="3">
        <v>65</v>
      </c>
      <c r="P120" s="3">
        <v>123</v>
      </c>
      <c r="Q120" s="3">
        <v>100</v>
      </c>
      <c r="R120" s="7">
        <f t="shared" si="3"/>
        <v>0.52845528455284552</v>
      </c>
      <c r="S120">
        <f t="shared" si="4"/>
        <v>23</v>
      </c>
      <c r="T120" s="5" t="str">
        <f t="shared" si="5"/>
        <v>23</v>
      </c>
    </row>
    <row r="121" spans="15:20">
      <c r="O121" s="5">
        <v>49</v>
      </c>
      <c r="P121" s="5">
        <v>96</v>
      </c>
      <c r="Q121" s="5">
        <v>90</v>
      </c>
      <c r="R121" s="7">
        <f t="shared" si="3"/>
        <v>0.51041666666666663</v>
      </c>
      <c r="S121">
        <f t="shared" si="4"/>
        <v>6</v>
      </c>
      <c r="T121" s="5" t="str">
        <f t="shared" si="5"/>
        <v>6</v>
      </c>
    </row>
    <row r="122" spans="15:20">
      <c r="O122" s="3">
        <v>1</v>
      </c>
      <c r="P122" s="3">
        <v>157</v>
      </c>
      <c r="Q122" s="3">
        <v>100</v>
      </c>
      <c r="R122" s="7">
        <f t="shared" si="3"/>
        <v>6.369426751592357E-3</v>
      </c>
      <c r="S122">
        <f t="shared" si="4"/>
        <v>57</v>
      </c>
      <c r="T122" s="5" t="str">
        <f t="shared" si="5"/>
        <v>57</v>
      </c>
    </row>
    <row r="123" spans="15:20">
      <c r="O123" s="5">
        <v>45</v>
      </c>
      <c r="P123" s="5">
        <v>106</v>
      </c>
      <c r="Q123" s="5">
        <v>110</v>
      </c>
      <c r="R123" s="7">
        <f t="shared" si="3"/>
        <v>0.42452830188679247</v>
      </c>
      <c r="S123">
        <f t="shared" si="4"/>
        <v>-4</v>
      </c>
      <c r="T123" s="5" t="str">
        <f t="shared" si="5"/>
        <v>-4</v>
      </c>
    </row>
    <row r="124" spans="15:20">
      <c r="O124" s="3">
        <v>77</v>
      </c>
      <c r="P124" s="3">
        <v>142</v>
      </c>
      <c r="Q124" s="3">
        <v>100</v>
      </c>
      <c r="R124" s="7">
        <f t="shared" si="3"/>
        <v>0.54225352112676062</v>
      </c>
      <c r="S124">
        <f t="shared" si="4"/>
        <v>42</v>
      </c>
      <c r="T124" s="5" t="str">
        <f t="shared" si="5"/>
        <v>42</v>
      </c>
    </row>
    <row r="125" spans="15:20">
      <c r="O125" s="5">
        <v>-9</v>
      </c>
      <c r="P125" s="5">
        <v>119</v>
      </c>
      <c r="Q125" s="5">
        <v>100</v>
      </c>
      <c r="R125" s="7">
        <f t="shared" si="3"/>
        <v>-7.5630252100840331E-2</v>
      </c>
      <c r="S125">
        <f t="shared" si="4"/>
        <v>19</v>
      </c>
      <c r="T125" s="5" t="str">
        <f t="shared" si="5"/>
        <v>19</v>
      </c>
    </row>
    <row r="126" spans="15:20">
      <c r="O126" s="3">
        <v>43</v>
      </c>
      <c r="P126" s="3">
        <v>135</v>
      </c>
      <c r="Q126" s="3">
        <v>110</v>
      </c>
      <c r="R126" s="7">
        <f t="shared" si="3"/>
        <v>0.31851851851851853</v>
      </c>
      <c r="S126">
        <f t="shared" si="4"/>
        <v>25</v>
      </c>
      <c r="T126" s="5" t="str">
        <f t="shared" si="5"/>
        <v>25</v>
      </c>
    </row>
    <row r="127" spans="15:20">
      <c r="O127" s="5">
        <v>34</v>
      </c>
      <c r="P127" s="5">
        <v>155</v>
      </c>
      <c r="Q127" s="5">
        <v>100</v>
      </c>
      <c r="R127" s="7">
        <f t="shared" si="3"/>
        <v>0.21935483870967742</v>
      </c>
      <c r="S127">
        <f t="shared" si="4"/>
        <v>55</v>
      </c>
      <c r="T127" s="5" t="str">
        <f t="shared" si="5"/>
        <v>55</v>
      </c>
    </row>
    <row r="128" spans="15:20">
      <c r="O128" s="3">
        <v>74</v>
      </c>
      <c r="P128" s="3">
        <v>188</v>
      </c>
      <c r="Q128" s="3">
        <v>120</v>
      </c>
      <c r="R128" s="7">
        <f t="shared" si="3"/>
        <v>0.39361702127659576</v>
      </c>
      <c r="S128">
        <f t="shared" si="4"/>
        <v>68</v>
      </c>
      <c r="T128" s="5" t="str">
        <f t="shared" si="5"/>
        <v>68</v>
      </c>
    </row>
    <row r="129" spans="15:20">
      <c r="O129" s="5">
        <v>42</v>
      </c>
      <c r="P129" s="5">
        <v>135</v>
      </c>
      <c r="Q129" s="5">
        <v>110</v>
      </c>
      <c r="R129" s="7">
        <f t="shared" si="3"/>
        <v>0.31111111111111112</v>
      </c>
      <c r="S129">
        <f t="shared" si="4"/>
        <v>25</v>
      </c>
      <c r="T129" s="5" t="str">
        <f t="shared" si="5"/>
        <v>25</v>
      </c>
    </row>
    <row r="130" spans="15:20">
      <c r="O130" s="3">
        <v>36</v>
      </c>
      <c r="P130" s="3">
        <v>108</v>
      </c>
      <c r="Q130" s="3">
        <v>90</v>
      </c>
      <c r="R130" s="7">
        <f t="shared" ref="R130:R193" si="6">O130/P130</f>
        <v>0.33333333333333331</v>
      </c>
      <c r="S130">
        <f t="shared" ref="S130:S193" si="7">P130-Q130</f>
        <v>18</v>
      </c>
      <c r="T130" s="5" t="str">
        <f t="shared" ref="T130:T193" si="8">TRIM(S:S)</f>
        <v>18</v>
      </c>
    </row>
    <row r="131" spans="15:20">
      <c r="O131" s="5">
        <v>79</v>
      </c>
      <c r="P131" s="5">
        <v>142</v>
      </c>
      <c r="Q131" s="5">
        <v>90</v>
      </c>
      <c r="R131" s="7">
        <f t="shared" si="6"/>
        <v>0.55633802816901412</v>
      </c>
      <c r="S131">
        <f t="shared" si="7"/>
        <v>52</v>
      </c>
      <c r="T131" s="5" t="str">
        <f t="shared" si="8"/>
        <v>52</v>
      </c>
    </row>
    <row r="132" spans="15:20">
      <c r="O132" s="3">
        <v>40</v>
      </c>
      <c r="P132" s="3">
        <v>82</v>
      </c>
      <c r="Q132" s="3">
        <v>90</v>
      </c>
      <c r="R132" s="7">
        <f t="shared" si="6"/>
        <v>0.48780487804878048</v>
      </c>
      <c r="S132">
        <f t="shared" si="7"/>
        <v>-8</v>
      </c>
      <c r="T132" s="5" t="str">
        <f t="shared" si="8"/>
        <v>-8</v>
      </c>
    </row>
    <row r="133" spans="15:20">
      <c r="O133" s="5">
        <v>46</v>
      </c>
      <c r="P133" s="5">
        <v>91</v>
      </c>
      <c r="Q133" s="5">
        <v>100</v>
      </c>
      <c r="R133" s="7">
        <f t="shared" si="6"/>
        <v>0.50549450549450547</v>
      </c>
      <c r="S133">
        <f t="shared" si="7"/>
        <v>-9</v>
      </c>
      <c r="T133" s="5" t="str">
        <f t="shared" si="8"/>
        <v>-9</v>
      </c>
    </row>
    <row r="134" spans="15:20">
      <c r="O134" s="3">
        <v>42</v>
      </c>
      <c r="P134" s="3">
        <v>87</v>
      </c>
      <c r="Q134" s="3">
        <v>90</v>
      </c>
      <c r="R134" s="7">
        <f t="shared" si="6"/>
        <v>0.48275862068965519</v>
      </c>
      <c r="S134">
        <f t="shared" si="7"/>
        <v>-3</v>
      </c>
      <c r="T134" s="5" t="str">
        <f t="shared" si="8"/>
        <v>-3</v>
      </c>
    </row>
    <row r="135" spans="15:20">
      <c r="O135" s="5">
        <v>42</v>
      </c>
      <c r="P135" s="5">
        <v>130</v>
      </c>
      <c r="Q135" s="5">
        <v>100</v>
      </c>
      <c r="R135" s="7">
        <f t="shared" si="6"/>
        <v>0.32307692307692309</v>
      </c>
      <c r="S135">
        <f t="shared" si="7"/>
        <v>30</v>
      </c>
      <c r="T135" s="5" t="str">
        <f t="shared" si="8"/>
        <v>30</v>
      </c>
    </row>
    <row r="136" spans="15:20">
      <c r="O136" s="3">
        <v>-4</v>
      </c>
      <c r="P136" s="3">
        <v>140</v>
      </c>
      <c r="Q136" s="3">
        <v>100</v>
      </c>
      <c r="R136" s="7">
        <f t="shared" si="6"/>
        <v>-2.8571428571428571E-2</v>
      </c>
      <c r="S136">
        <f t="shared" si="7"/>
        <v>40</v>
      </c>
      <c r="T136" s="5" t="str">
        <f t="shared" si="8"/>
        <v>40</v>
      </c>
    </row>
    <row r="137" spans="15:20">
      <c r="O137" s="5">
        <v>-7</v>
      </c>
      <c r="P137" s="5">
        <v>126</v>
      </c>
      <c r="Q137" s="5">
        <v>90</v>
      </c>
      <c r="R137" s="7">
        <f t="shared" si="6"/>
        <v>-5.5555555555555552E-2</v>
      </c>
      <c r="S137">
        <f t="shared" si="7"/>
        <v>36</v>
      </c>
      <c r="T137" s="5" t="str">
        <f t="shared" si="8"/>
        <v>36</v>
      </c>
    </row>
    <row r="138" spans="15:20">
      <c r="O138" s="3">
        <v>1</v>
      </c>
      <c r="P138" s="3">
        <v>94</v>
      </c>
      <c r="Q138" s="3">
        <v>100</v>
      </c>
      <c r="R138" s="7">
        <f t="shared" si="6"/>
        <v>1.0638297872340425E-2</v>
      </c>
      <c r="S138">
        <f t="shared" si="7"/>
        <v>-6</v>
      </c>
      <c r="T138" s="5" t="str">
        <f t="shared" si="8"/>
        <v>-6</v>
      </c>
    </row>
    <row r="139" spans="15:20">
      <c r="O139" s="5">
        <v>-7</v>
      </c>
      <c r="P139" s="5">
        <v>126</v>
      </c>
      <c r="Q139" s="5">
        <v>100</v>
      </c>
      <c r="R139" s="7">
        <f t="shared" si="6"/>
        <v>-5.5555555555555552E-2</v>
      </c>
      <c r="S139">
        <f t="shared" si="7"/>
        <v>26</v>
      </c>
      <c r="T139" s="5" t="str">
        <f t="shared" si="8"/>
        <v>26</v>
      </c>
    </row>
    <row r="140" spans="15:20">
      <c r="O140" s="3">
        <v>45</v>
      </c>
      <c r="P140" s="3">
        <v>114</v>
      </c>
      <c r="Q140" s="3">
        <v>90</v>
      </c>
      <c r="R140" s="7">
        <f t="shared" si="6"/>
        <v>0.39473684210526316</v>
      </c>
      <c r="S140">
        <f t="shared" si="7"/>
        <v>24</v>
      </c>
      <c r="T140" s="5" t="str">
        <f t="shared" si="8"/>
        <v>24</v>
      </c>
    </row>
    <row r="141" spans="15:20">
      <c r="O141" s="5">
        <v>24</v>
      </c>
      <c r="P141" s="5">
        <v>171</v>
      </c>
      <c r="Q141" s="5">
        <v>140</v>
      </c>
      <c r="R141" s="7">
        <f t="shared" si="6"/>
        <v>0.14035087719298245</v>
      </c>
      <c r="S141">
        <f t="shared" si="7"/>
        <v>31</v>
      </c>
      <c r="T141" s="5" t="str">
        <f t="shared" si="8"/>
        <v>31</v>
      </c>
    </row>
    <row r="142" spans="15:20">
      <c r="O142" s="3">
        <v>40</v>
      </c>
      <c r="P142" s="3">
        <v>163</v>
      </c>
      <c r="Q142" s="3">
        <v>110</v>
      </c>
      <c r="R142" s="7">
        <f t="shared" si="6"/>
        <v>0.24539877300613497</v>
      </c>
      <c r="S142">
        <f t="shared" si="7"/>
        <v>53</v>
      </c>
      <c r="T142" s="5" t="str">
        <f t="shared" si="8"/>
        <v>53</v>
      </c>
    </row>
    <row r="143" spans="15:20">
      <c r="O143" s="5">
        <v>53</v>
      </c>
      <c r="P143" s="5">
        <v>148</v>
      </c>
      <c r="Q143" s="5">
        <v>100</v>
      </c>
      <c r="R143" s="7">
        <f t="shared" si="6"/>
        <v>0.35810810810810811</v>
      </c>
      <c r="S143">
        <f t="shared" si="7"/>
        <v>48</v>
      </c>
      <c r="T143" s="5" t="str">
        <f t="shared" si="8"/>
        <v>48</v>
      </c>
    </row>
    <row r="144" spans="15:20">
      <c r="O144" s="3">
        <v>25</v>
      </c>
      <c r="P144" s="3">
        <v>171</v>
      </c>
      <c r="Q144" s="3">
        <v>140</v>
      </c>
      <c r="R144" s="7">
        <f t="shared" si="6"/>
        <v>0.14619883040935672</v>
      </c>
      <c r="S144">
        <f t="shared" si="7"/>
        <v>31</v>
      </c>
      <c r="T144" s="5" t="str">
        <f t="shared" si="8"/>
        <v>31</v>
      </c>
    </row>
    <row r="145" spans="15:20">
      <c r="O145" s="5">
        <v>-4</v>
      </c>
      <c r="P145" s="5">
        <v>140</v>
      </c>
      <c r="Q145" s="5">
        <v>100</v>
      </c>
      <c r="R145" s="7">
        <f t="shared" si="6"/>
        <v>-2.8571428571428571E-2</v>
      </c>
      <c r="S145">
        <f t="shared" si="7"/>
        <v>40</v>
      </c>
      <c r="T145" s="5" t="str">
        <f t="shared" si="8"/>
        <v>40</v>
      </c>
    </row>
    <row r="146" spans="15:20">
      <c r="O146" s="3">
        <v>27</v>
      </c>
      <c r="P146" s="3">
        <v>90</v>
      </c>
      <c r="Q146" s="3">
        <v>80</v>
      </c>
      <c r="R146" s="7">
        <f t="shared" si="6"/>
        <v>0.3</v>
      </c>
      <c r="S146">
        <f t="shared" si="7"/>
        <v>10</v>
      </c>
      <c r="T146" s="5" t="str">
        <f t="shared" si="8"/>
        <v>10</v>
      </c>
    </row>
    <row r="147" spans="15:20">
      <c r="O147" s="5">
        <v>48</v>
      </c>
      <c r="P147" s="5">
        <v>174</v>
      </c>
      <c r="Q147" s="5">
        <v>90</v>
      </c>
      <c r="R147" s="7">
        <f t="shared" si="6"/>
        <v>0.27586206896551724</v>
      </c>
      <c r="S147">
        <f t="shared" si="7"/>
        <v>84</v>
      </c>
      <c r="T147" s="5" t="str">
        <f t="shared" si="8"/>
        <v>84</v>
      </c>
    </row>
    <row r="148" spans="15:20">
      <c r="O148" s="3">
        <v>13</v>
      </c>
      <c r="P148" s="3">
        <v>120</v>
      </c>
      <c r="Q148" s="3">
        <v>80</v>
      </c>
      <c r="R148" s="7">
        <f t="shared" si="6"/>
        <v>0.10833333333333334</v>
      </c>
      <c r="S148">
        <f t="shared" si="7"/>
        <v>40</v>
      </c>
      <c r="T148" s="5" t="str">
        <f t="shared" si="8"/>
        <v>40</v>
      </c>
    </row>
    <row r="149" spans="15:20">
      <c r="O149" s="5">
        <v>27</v>
      </c>
      <c r="P149" s="5">
        <v>118</v>
      </c>
      <c r="Q149" s="5">
        <v>80</v>
      </c>
      <c r="R149" s="7">
        <f t="shared" si="6"/>
        <v>0.2288135593220339</v>
      </c>
      <c r="S149">
        <f t="shared" si="7"/>
        <v>38</v>
      </c>
      <c r="T149" s="5" t="str">
        <f t="shared" si="8"/>
        <v>38</v>
      </c>
    </row>
    <row r="150" spans="15:20">
      <c r="O150" s="3">
        <v>20</v>
      </c>
      <c r="P150" s="3">
        <v>66</v>
      </c>
      <c r="Q150" s="3">
        <v>70</v>
      </c>
      <c r="R150" s="7">
        <f t="shared" si="6"/>
        <v>0.30303030303030304</v>
      </c>
      <c r="S150">
        <f t="shared" si="7"/>
        <v>-4</v>
      </c>
      <c r="T150" s="5" t="str">
        <f t="shared" si="8"/>
        <v>-4</v>
      </c>
    </row>
    <row r="151" spans="15:20">
      <c r="O151" s="5">
        <v>79</v>
      </c>
      <c r="P151" s="5">
        <v>187</v>
      </c>
      <c r="Q151" s="5">
        <v>80</v>
      </c>
      <c r="R151" s="7">
        <f t="shared" si="6"/>
        <v>0.42245989304812837</v>
      </c>
      <c r="S151">
        <f t="shared" si="7"/>
        <v>107</v>
      </c>
      <c r="T151" s="5" t="str">
        <f t="shared" si="8"/>
        <v>107</v>
      </c>
    </row>
    <row r="152" spans="15:20">
      <c r="O152" s="3">
        <v>10</v>
      </c>
      <c r="P152" s="3">
        <v>51</v>
      </c>
      <c r="Q152" s="3">
        <v>70</v>
      </c>
      <c r="R152" s="7">
        <f t="shared" si="6"/>
        <v>0.19607843137254902</v>
      </c>
      <c r="S152">
        <f t="shared" si="7"/>
        <v>-19</v>
      </c>
      <c r="T152" s="5" t="str">
        <f t="shared" si="8"/>
        <v>-19</v>
      </c>
    </row>
    <row r="153" spans="15:20">
      <c r="O153" s="5">
        <v>18</v>
      </c>
      <c r="P153" s="5">
        <v>58</v>
      </c>
      <c r="Q153" s="5">
        <v>70</v>
      </c>
      <c r="R153" s="7">
        <f t="shared" si="6"/>
        <v>0.31034482758620691</v>
      </c>
      <c r="S153">
        <f t="shared" si="7"/>
        <v>-12</v>
      </c>
      <c r="T153" s="5" t="str">
        <f t="shared" si="8"/>
        <v>-12</v>
      </c>
    </row>
    <row r="154" spans="15:20">
      <c r="O154" s="3">
        <v>34</v>
      </c>
      <c r="P154" s="3">
        <v>177</v>
      </c>
      <c r="Q154" s="3">
        <v>90</v>
      </c>
      <c r="R154" s="7">
        <f t="shared" si="6"/>
        <v>0.19209039548022599</v>
      </c>
      <c r="S154">
        <f t="shared" si="7"/>
        <v>87</v>
      </c>
      <c r="T154" s="5" t="str">
        <f t="shared" si="8"/>
        <v>87</v>
      </c>
    </row>
    <row r="155" spans="15:20">
      <c r="O155" s="5">
        <v>35</v>
      </c>
      <c r="P155" s="5">
        <v>142</v>
      </c>
      <c r="Q155" s="5">
        <v>80</v>
      </c>
      <c r="R155" s="7">
        <f t="shared" si="6"/>
        <v>0.24647887323943662</v>
      </c>
      <c r="S155">
        <f t="shared" si="7"/>
        <v>62</v>
      </c>
      <c r="T155" s="5" t="str">
        <f t="shared" si="8"/>
        <v>62</v>
      </c>
    </row>
    <row r="156" spans="15:20">
      <c r="O156" s="3">
        <v>30</v>
      </c>
      <c r="P156" s="3">
        <v>113</v>
      </c>
      <c r="Q156" s="3">
        <v>70</v>
      </c>
      <c r="R156" s="7">
        <f t="shared" si="6"/>
        <v>0.26548672566371684</v>
      </c>
      <c r="S156">
        <f t="shared" si="7"/>
        <v>43</v>
      </c>
      <c r="T156" s="5" t="str">
        <f t="shared" si="8"/>
        <v>43</v>
      </c>
    </row>
    <row r="157" spans="15:20">
      <c r="O157" s="5">
        <v>0</v>
      </c>
      <c r="P157" s="5">
        <v>144</v>
      </c>
      <c r="Q157" s="5">
        <v>90</v>
      </c>
      <c r="R157" s="7">
        <f t="shared" si="6"/>
        <v>0</v>
      </c>
      <c r="S157">
        <f t="shared" si="7"/>
        <v>54</v>
      </c>
      <c r="T157" s="5" t="str">
        <f t="shared" si="8"/>
        <v>54</v>
      </c>
    </row>
    <row r="158" spans="15:20">
      <c r="O158" s="3">
        <v>57</v>
      </c>
      <c r="P158" s="3">
        <v>159</v>
      </c>
      <c r="Q158" s="3">
        <v>70</v>
      </c>
      <c r="R158" s="7">
        <f t="shared" si="6"/>
        <v>0.35849056603773582</v>
      </c>
      <c r="S158">
        <f t="shared" si="7"/>
        <v>89</v>
      </c>
      <c r="T158" s="5" t="str">
        <f t="shared" si="8"/>
        <v>89</v>
      </c>
    </row>
    <row r="159" spans="15:20">
      <c r="O159" s="5">
        <v>27</v>
      </c>
      <c r="P159" s="5">
        <v>92</v>
      </c>
      <c r="Q159" s="5">
        <v>80</v>
      </c>
      <c r="R159" s="7">
        <f t="shared" si="6"/>
        <v>0.29347826086956524</v>
      </c>
      <c r="S159">
        <f t="shared" si="7"/>
        <v>12</v>
      </c>
      <c r="T159" s="5" t="str">
        <f t="shared" si="8"/>
        <v>12</v>
      </c>
    </row>
    <row r="160" spans="15:20">
      <c r="O160" s="3">
        <v>30</v>
      </c>
      <c r="P160" s="3">
        <v>88</v>
      </c>
      <c r="Q160" s="3">
        <v>80</v>
      </c>
      <c r="R160" s="7">
        <f t="shared" si="6"/>
        <v>0.34090909090909088</v>
      </c>
      <c r="S160">
        <f t="shared" si="7"/>
        <v>8</v>
      </c>
      <c r="T160" s="5" t="str">
        <f t="shared" si="8"/>
        <v>8</v>
      </c>
    </row>
    <row r="161" spans="15:20">
      <c r="O161" s="5">
        <v>15</v>
      </c>
      <c r="P161" s="5">
        <v>124</v>
      </c>
      <c r="Q161" s="5">
        <v>90</v>
      </c>
      <c r="R161" s="7">
        <f t="shared" si="6"/>
        <v>0.12096774193548387</v>
      </c>
      <c r="S161">
        <f t="shared" si="7"/>
        <v>34</v>
      </c>
      <c r="T161" s="5" t="str">
        <f t="shared" si="8"/>
        <v>34</v>
      </c>
    </row>
    <row r="162" spans="15:20">
      <c r="O162" s="3">
        <v>27</v>
      </c>
      <c r="P162" s="3">
        <v>92</v>
      </c>
      <c r="Q162" s="3">
        <v>80</v>
      </c>
      <c r="R162" s="7">
        <f t="shared" si="6"/>
        <v>0.29347826086956524</v>
      </c>
      <c r="S162">
        <f t="shared" si="7"/>
        <v>12</v>
      </c>
      <c r="T162" s="5" t="str">
        <f t="shared" si="8"/>
        <v>12</v>
      </c>
    </row>
    <row r="163" spans="15:20">
      <c r="O163" s="5">
        <v>23</v>
      </c>
      <c r="P163" s="5">
        <v>70</v>
      </c>
      <c r="Q163" s="5">
        <v>70</v>
      </c>
      <c r="R163" s="7">
        <f t="shared" si="6"/>
        <v>0.32857142857142857</v>
      </c>
      <c r="S163">
        <f t="shared" si="7"/>
        <v>0</v>
      </c>
      <c r="T163" s="5" t="str">
        <f t="shared" si="8"/>
        <v>0</v>
      </c>
    </row>
    <row r="164" spans="15:20">
      <c r="O164" s="3">
        <v>28</v>
      </c>
      <c r="P164" s="3">
        <v>78</v>
      </c>
      <c r="Q164" s="3">
        <v>80</v>
      </c>
      <c r="R164" s="7">
        <f t="shared" si="6"/>
        <v>0.35897435897435898</v>
      </c>
      <c r="S164">
        <f t="shared" si="7"/>
        <v>-2</v>
      </c>
      <c r="T164" s="5" t="str">
        <f t="shared" si="8"/>
        <v>-2</v>
      </c>
    </row>
    <row r="165" spans="15:20">
      <c r="O165" s="5">
        <v>29</v>
      </c>
      <c r="P165" s="5">
        <v>80</v>
      </c>
      <c r="Q165" s="5">
        <v>80</v>
      </c>
      <c r="R165" s="7">
        <f t="shared" si="6"/>
        <v>0.36249999999999999</v>
      </c>
      <c r="S165">
        <f t="shared" si="7"/>
        <v>0</v>
      </c>
      <c r="T165" s="5" t="str">
        <f t="shared" si="8"/>
        <v>0</v>
      </c>
    </row>
    <row r="166" spans="15:20">
      <c r="O166" s="3">
        <v>47</v>
      </c>
      <c r="P166" s="3">
        <v>123</v>
      </c>
      <c r="Q166" s="3">
        <v>80</v>
      </c>
      <c r="R166" s="7">
        <f t="shared" si="6"/>
        <v>0.38211382113821141</v>
      </c>
      <c r="S166">
        <f t="shared" si="7"/>
        <v>43</v>
      </c>
      <c r="T166" s="5" t="str">
        <f t="shared" si="8"/>
        <v>43</v>
      </c>
    </row>
    <row r="167" spans="15:20">
      <c r="O167" s="5">
        <v>31</v>
      </c>
      <c r="P167" s="5">
        <v>43</v>
      </c>
      <c r="Q167" s="5">
        <v>50</v>
      </c>
      <c r="R167" s="7">
        <f t="shared" si="6"/>
        <v>0.72093023255813948</v>
      </c>
      <c r="S167">
        <f t="shared" si="7"/>
        <v>-7</v>
      </c>
      <c r="T167" s="5" t="str">
        <f t="shared" si="8"/>
        <v>-7</v>
      </c>
    </row>
    <row r="168" spans="15:20">
      <c r="O168" s="3">
        <v>-8</v>
      </c>
      <c r="P168" s="3">
        <v>122</v>
      </c>
      <c r="Q168" s="3">
        <v>140</v>
      </c>
      <c r="R168" s="7">
        <f t="shared" si="6"/>
        <v>-6.5573770491803282E-2</v>
      </c>
      <c r="S168">
        <f t="shared" si="7"/>
        <v>-18</v>
      </c>
      <c r="T168" s="5" t="str">
        <f t="shared" si="8"/>
        <v>-18</v>
      </c>
    </row>
    <row r="169" spans="15:20">
      <c r="O169" s="5">
        <v>16</v>
      </c>
      <c r="P169" s="5">
        <v>56</v>
      </c>
      <c r="Q169" s="5">
        <v>70</v>
      </c>
      <c r="R169" s="7">
        <f t="shared" si="6"/>
        <v>0.2857142857142857</v>
      </c>
      <c r="S169">
        <f t="shared" si="7"/>
        <v>-14</v>
      </c>
      <c r="T169" s="5" t="str">
        <f t="shared" si="8"/>
        <v>-14</v>
      </c>
    </row>
    <row r="170" spans="15:20">
      <c r="O170" s="3">
        <v>-7</v>
      </c>
      <c r="P170" s="3">
        <v>106</v>
      </c>
      <c r="Q170" s="3">
        <v>80</v>
      </c>
      <c r="R170" s="7">
        <f t="shared" si="6"/>
        <v>-6.6037735849056603E-2</v>
      </c>
      <c r="S170">
        <f t="shared" si="7"/>
        <v>26</v>
      </c>
      <c r="T170" s="5" t="str">
        <f t="shared" si="8"/>
        <v>26</v>
      </c>
    </row>
    <row r="171" spans="15:20">
      <c r="O171" s="5">
        <v>-4</v>
      </c>
      <c r="P171" s="5">
        <v>74</v>
      </c>
      <c r="Q171" s="5">
        <v>80</v>
      </c>
      <c r="R171" s="7">
        <f t="shared" si="6"/>
        <v>-5.4054054054054057E-2</v>
      </c>
      <c r="S171">
        <f t="shared" si="7"/>
        <v>-6</v>
      </c>
      <c r="T171" s="5" t="str">
        <f t="shared" si="8"/>
        <v>-6</v>
      </c>
    </row>
    <row r="172" spans="15:20">
      <c r="O172" s="3">
        <v>-8</v>
      </c>
      <c r="P172" s="3">
        <v>106</v>
      </c>
      <c r="Q172" s="3">
        <v>90</v>
      </c>
      <c r="R172" s="7">
        <f t="shared" si="6"/>
        <v>-7.5471698113207544E-2</v>
      </c>
      <c r="S172">
        <f t="shared" si="7"/>
        <v>16</v>
      </c>
      <c r="T172" s="5" t="str">
        <f t="shared" si="8"/>
        <v>16</v>
      </c>
    </row>
    <row r="173" spans="15:20">
      <c r="O173" s="5">
        <v>27</v>
      </c>
      <c r="P173" s="5">
        <v>78</v>
      </c>
      <c r="Q173" s="5">
        <v>70</v>
      </c>
      <c r="R173" s="7">
        <f t="shared" si="6"/>
        <v>0.34615384615384615</v>
      </c>
      <c r="S173">
        <f t="shared" si="7"/>
        <v>8</v>
      </c>
      <c r="T173" s="5" t="str">
        <f t="shared" si="8"/>
        <v>8</v>
      </c>
    </row>
    <row r="174" spans="15:20">
      <c r="O174" s="3">
        <v>38</v>
      </c>
      <c r="P174" s="3">
        <v>150</v>
      </c>
      <c r="Q174" s="3">
        <v>100</v>
      </c>
      <c r="R174" s="7">
        <f t="shared" si="6"/>
        <v>0.25333333333333335</v>
      </c>
      <c r="S174">
        <f t="shared" si="7"/>
        <v>50</v>
      </c>
      <c r="T174" s="5" t="str">
        <f t="shared" si="8"/>
        <v>50</v>
      </c>
    </row>
    <row r="175" spans="15:20">
      <c r="O175" s="5">
        <v>33</v>
      </c>
      <c r="P175" s="5">
        <v>120</v>
      </c>
      <c r="Q175" s="5">
        <v>90</v>
      </c>
      <c r="R175" s="7">
        <f t="shared" si="6"/>
        <v>0.27500000000000002</v>
      </c>
      <c r="S175">
        <f t="shared" si="7"/>
        <v>30</v>
      </c>
      <c r="T175" s="5" t="str">
        <f t="shared" si="8"/>
        <v>30</v>
      </c>
    </row>
    <row r="176" spans="15:20">
      <c r="O176" s="3">
        <v>34</v>
      </c>
      <c r="P176" s="3">
        <v>120</v>
      </c>
      <c r="Q176" s="3">
        <v>80</v>
      </c>
      <c r="R176" s="7">
        <f t="shared" si="6"/>
        <v>0.28333333333333333</v>
      </c>
      <c r="S176">
        <f t="shared" si="7"/>
        <v>40</v>
      </c>
      <c r="T176" s="5" t="str">
        <f t="shared" si="8"/>
        <v>40</v>
      </c>
    </row>
    <row r="177" spans="15:20">
      <c r="O177" s="5">
        <v>29</v>
      </c>
      <c r="P177" s="5">
        <v>99</v>
      </c>
      <c r="Q177" s="5">
        <v>90</v>
      </c>
      <c r="R177" s="7">
        <f t="shared" si="6"/>
        <v>0.29292929292929293</v>
      </c>
      <c r="S177">
        <f t="shared" si="7"/>
        <v>9</v>
      </c>
      <c r="T177" s="5" t="str">
        <f t="shared" si="8"/>
        <v>9</v>
      </c>
    </row>
    <row r="178" spans="15:20">
      <c r="O178" s="3">
        <v>24</v>
      </c>
      <c r="P178" s="3">
        <v>101</v>
      </c>
      <c r="Q178" s="3">
        <v>90</v>
      </c>
      <c r="R178" s="7">
        <f t="shared" si="6"/>
        <v>0.23762376237623761</v>
      </c>
      <c r="S178">
        <f t="shared" si="7"/>
        <v>11</v>
      </c>
      <c r="T178" s="5" t="str">
        <f t="shared" si="8"/>
        <v>11</v>
      </c>
    </row>
    <row r="179" spans="15:20">
      <c r="O179" s="5">
        <v>-20</v>
      </c>
      <c r="P179" s="5">
        <v>99</v>
      </c>
      <c r="Q179" s="5">
        <v>90</v>
      </c>
      <c r="R179" s="7">
        <f t="shared" si="6"/>
        <v>-0.20202020202020202</v>
      </c>
      <c r="S179">
        <f t="shared" si="7"/>
        <v>9</v>
      </c>
      <c r="T179" s="5" t="str">
        <f t="shared" si="8"/>
        <v>9</v>
      </c>
    </row>
    <row r="180" spans="15:20">
      <c r="O180" s="3">
        <v>29</v>
      </c>
      <c r="P180" s="3">
        <v>99</v>
      </c>
      <c r="Q180" s="3">
        <v>90</v>
      </c>
      <c r="R180" s="7">
        <f t="shared" si="6"/>
        <v>0.29292929292929293</v>
      </c>
      <c r="S180">
        <f t="shared" si="7"/>
        <v>9</v>
      </c>
      <c r="T180" s="5" t="str">
        <f t="shared" si="8"/>
        <v>9</v>
      </c>
    </row>
    <row r="181" spans="15:20">
      <c r="O181" s="5">
        <v>29</v>
      </c>
      <c r="P181" s="5">
        <v>99</v>
      </c>
      <c r="Q181" s="5">
        <v>90</v>
      </c>
      <c r="R181" s="7">
        <f t="shared" si="6"/>
        <v>0.29292929292929293</v>
      </c>
      <c r="S181">
        <f t="shared" si="7"/>
        <v>9</v>
      </c>
      <c r="T181" s="5" t="str">
        <f t="shared" si="8"/>
        <v>9</v>
      </c>
    </row>
    <row r="182" spans="15:20">
      <c r="O182" s="3">
        <v>6</v>
      </c>
      <c r="P182" s="3">
        <v>103</v>
      </c>
      <c r="Q182" s="3">
        <v>80</v>
      </c>
      <c r="R182" s="7">
        <f t="shared" si="6"/>
        <v>5.8252427184466021E-2</v>
      </c>
      <c r="S182">
        <f t="shared" si="7"/>
        <v>23</v>
      </c>
      <c r="T182" s="5" t="str">
        <f t="shared" si="8"/>
        <v>23</v>
      </c>
    </row>
    <row r="183" spans="15:20">
      <c r="O183" s="5">
        <v>26</v>
      </c>
      <c r="P183" s="5">
        <v>116</v>
      </c>
      <c r="Q183" s="5">
        <v>90</v>
      </c>
      <c r="R183" s="7">
        <f t="shared" si="6"/>
        <v>0.22413793103448276</v>
      </c>
      <c r="S183">
        <f t="shared" si="7"/>
        <v>26</v>
      </c>
      <c r="T183" s="5" t="str">
        <f t="shared" si="8"/>
        <v>26</v>
      </c>
    </row>
    <row r="184" spans="15:20">
      <c r="O184" s="3">
        <v>29</v>
      </c>
      <c r="P184" s="3">
        <v>82</v>
      </c>
      <c r="Q184" s="3">
        <v>80</v>
      </c>
      <c r="R184" s="7">
        <f t="shared" si="6"/>
        <v>0.35365853658536583</v>
      </c>
      <c r="S184">
        <f t="shared" si="7"/>
        <v>2</v>
      </c>
      <c r="T184" s="5" t="str">
        <f t="shared" si="8"/>
        <v>2</v>
      </c>
    </row>
    <row r="185" spans="15:20">
      <c r="O185" s="5">
        <v>30</v>
      </c>
      <c r="P185" s="5">
        <v>85</v>
      </c>
      <c r="Q185" s="5">
        <v>80</v>
      </c>
      <c r="R185" s="7">
        <f t="shared" si="6"/>
        <v>0.35294117647058826</v>
      </c>
      <c r="S185">
        <f t="shared" si="7"/>
        <v>5</v>
      </c>
      <c r="T185" s="5" t="str">
        <f t="shared" si="8"/>
        <v>5</v>
      </c>
    </row>
    <row r="186" spans="15:20">
      <c r="O186" s="3">
        <v>32</v>
      </c>
      <c r="P186" s="3">
        <v>43</v>
      </c>
      <c r="Q186" s="3">
        <v>50</v>
      </c>
      <c r="R186" s="7">
        <f t="shared" si="6"/>
        <v>0.7441860465116279</v>
      </c>
      <c r="S186">
        <f t="shared" si="7"/>
        <v>-7</v>
      </c>
      <c r="T186" s="5" t="str">
        <f t="shared" si="8"/>
        <v>-7</v>
      </c>
    </row>
    <row r="187" spans="15:20">
      <c r="O187" s="5">
        <v>27</v>
      </c>
      <c r="P187" s="5">
        <v>106</v>
      </c>
      <c r="Q187" s="5">
        <v>80</v>
      </c>
      <c r="R187" s="7">
        <f t="shared" si="6"/>
        <v>0.25471698113207547</v>
      </c>
      <c r="S187">
        <f t="shared" si="7"/>
        <v>26</v>
      </c>
      <c r="T187" s="5" t="str">
        <f t="shared" si="8"/>
        <v>26</v>
      </c>
    </row>
    <row r="188" spans="15:20">
      <c r="O188" s="3">
        <v>8</v>
      </c>
      <c r="P188" s="3">
        <v>69</v>
      </c>
      <c r="Q188" s="3">
        <v>80</v>
      </c>
      <c r="R188" s="7">
        <f t="shared" si="6"/>
        <v>0.11594202898550725</v>
      </c>
      <c r="S188">
        <f t="shared" si="7"/>
        <v>-11</v>
      </c>
      <c r="T188" s="5" t="str">
        <f t="shared" si="8"/>
        <v>-11</v>
      </c>
    </row>
    <row r="189" spans="15:20">
      <c r="O189" s="5">
        <v>17</v>
      </c>
      <c r="P189" s="5">
        <v>58</v>
      </c>
      <c r="Q189" s="5">
        <v>70</v>
      </c>
      <c r="R189" s="7">
        <f t="shared" si="6"/>
        <v>0.29310344827586204</v>
      </c>
      <c r="S189">
        <f t="shared" si="7"/>
        <v>-12</v>
      </c>
      <c r="T189" s="5" t="str">
        <f t="shared" si="8"/>
        <v>-12</v>
      </c>
    </row>
    <row r="190" spans="15:20">
      <c r="O190" s="3">
        <v>31</v>
      </c>
      <c r="P190" s="3">
        <v>107</v>
      </c>
      <c r="Q190" s="3">
        <v>80</v>
      </c>
      <c r="R190" s="7">
        <f t="shared" si="6"/>
        <v>0.28971962616822428</v>
      </c>
      <c r="S190">
        <f t="shared" si="7"/>
        <v>27</v>
      </c>
      <c r="T190" s="5" t="str">
        <f t="shared" si="8"/>
        <v>27</v>
      </c>
    </row>
    <row r="191" spans="15:20">
      <c r="O191" s="5">
        <v>6</v>
      </c>
      <c r="P191" s="5">
        <v>103</v>
      </c>
      <c r="Q191" s="5">
        <v>90</v>
      </c>
      <c r="R191" s="7">
        <f t="shared" si="6"/>
        <v>5.8252427184466021E-2</v>
      </c>
      <c r="S191">
        <f t="shared" si="7"/>
        <v>13</v>
      </c>
      <c r="T191" s="5" t="str">
        <f t="shared" si="8"/>
        <v>13</v>
      </c>
    </row>
    <row r="192" spans="15:20">
      <c r="O192" s="3">
        <v>28</v>
      </c>
      <c r="P192" s="3">
        <v>106</v>
      </c>
      <c r="Q192" s="3">
        <v>80</v>
      </c>
      <c r="R192" s="7">
        <f t="shared" si="6"/>
        <v>0.26415094339622641</v>
      </c>
      <c r="S192">
        <f t="shared" si="7"/>
        <v>26</v>
      </c>
      <c r="T192" s="5" t="str">
        <f t="shared" si="8"/>
        <v>26</v>
      </c>
    </row>
    <row r="193" spans="15:20">
      <c r="O193" s="5">
        <v>28</v>
      </c>
      <c r="P193" s="5">
        <v>82</v>
      </c>
      <c r="Q193" s="5">
        <v>80</v>
      </c>
      <c r="R193" s="7">
        <f t="shared" si="6"/>
        <v>0.34146341463414637</v>
      </c>
      <c r="S193">
        <f t="shared" si="7"/>
        <v>2</v>
      </c>
      <c r="T193" s="5" t="str">
        <f t="shared" si="8"/>
        <v>2</v>
      </c>
    </row>
    <row r="194" spans="15:20">
      <c r="O194" s="3">
        <v>-4</v>
      </c>
      <c r="P194" s="3">
        <v>118</v>
      </c>
      <c r="Q194" s="3">
        <v>80</v>
      </c>
      <c r="R194" s="7">
        <f t="shared" ref="R194:R257" si="9">O194/P194</f>
        <v>-3.3898305084745763E-2</v>
      </c>
      <c r="S194">
        <f t="shared" ref="S194:S257" si="10">P194-Q194</f>
        <v>38</v>
      </c>
      <c r="T194" s="5" t="str">
        <f t="shared" ref="T194:T257" si="11">TRIM(S:S)</f>
        <v>38</v>
      </c>
    </row>
    <row r="195" spans="15:20">
      <c r="O195" s="5">
        <v>-3</v>
      </c>
      <c r="P195" s="5">
        <v>131</v>
      </c>
      <c r="Q195" s="5">
        <v>90</v>
      </c>
      <c r="R195" s="7">
        <f t="shared" si="9"/>
        <v>-2.2900763358778626E-2</v>
      </c>
      <c r="S195">
        <f t="shared" si="10"/>
        <v>41</v>
      </c>
      <c r="T195" s="5" t="str">
        <f t="shared" si="11"/>
        <v>41</v>
      </c>
    </row>
    <row r="196" spans="15:20">
      <c r="O196" s="3">
        <v>40</v>
      </c>
      <c r="P196" s="3">
        <v>96</v>
      </c>
      <c r="Q196" s="3">
        <v>80</v>
      </c>
      <c r="R196" s="7">
        <f t="shared" si="9"/>
        <v>0.41666666666666669</v>
      </c>
      <c r="S196">
        <f t="shared" si="10"/>
        <v>16</v>
      </c>
      <c r="T196" s="5" t="str">
        <f t="shared" si="11"/>
        <v>16</v>
      </c>
    </row>
    <row r="197" spans="15:20">
      <c r="O197" s="5">
        <v>71</v>
      </c>
      <c r="P197" s="5">
        <v>185</v>
      </c>
      <c r="Q197" s="5">
        <v>90</v>
      </c>
      <c r="R197" s="7">
        <f t="shared" si="9"/>
        <v>0.38378378378378381</v>
      </c>
      <c r="S197">
        <f t="shared" si="10"/>
        <v>95</v>
      </c>
      <c r="T197" s="5" t="str">
        <f t="shared" si="11"/>
        <v>95</v>
      </c>
    </row>
    <row r="198" spans="15:20">
      <c r="O198" s="3">
        <v>19</v>
      </c>
      <c r="P198" s="3">
        <v>128</v>
      </c>
      <c r="Q198" s="3">
        <v>80</v>
      </c>
      <c r="R198" s="7">
        <f t="shared" si="9"/>
        <v>0.1484375</v>
      </c>
      <c r="S198">
        <f t="shared" si="10"/>
        <v>48</v>
      </c>
      <c r="T198" s="5" t="str">
        <f t="shared" si="11"/>
        <v>48</v>
      </c>
    </row>
    <row r="199" spans="15:20">
      <c r="O199" s="5">
        <v>40</v>
      </c>
      <c r="P199" s="5">
        <v>126</v>
      </c>
      <c r="Q199" s="5">
        <v>80</v>
      </c>
      <c r="R199" s="7">
        <f t="shared" si="9"/>
        <v>0.31746031746031744</v>
      </c>
      <c r="S199">
        <f t="shared" si="10"/>
        <v>46</v>
      </c>
      <c r="T199" s="5" t="str">
        <f t="shared" si="11"/>
        <v>46</v>
      </c>
    </row>
    <row r="200" spans="15:20">
      <c r="O200" s="3">
        <v>30</v>
      </c>
      <c r="P200" s="3">
        <v>70</v>
      </c>
      <c r="Q200" s="3">
        <v>70</v>
      </c>
      <c r="R200" s="7">
        <f t="shared" si="9"/>
        <v>0.42857142857142855</v>
      </c>
      <c r="S200">
        <f t="shared" si="10"/>
        <v>0</v>
      </c>
      <c r="T200" s="5" t="str">
        <f t="shared" si="11"/>
        <v>0</v>
      </c>
    </row>
    <row r="201" spans="15:20">
      <c r="O201" s="5">
        <v>117</v>
      </c>
      <c r="P201" s="5">
        <v>199</v>
      </c>
      <c r="Q201" s="5">
        <v>80</v>
      </c>
      <c r="R201" s="7">
        <f t="shared" si="9"/>
        <v>0.5879396984924623</v>
      </c>
      <c r="S201">
        <f t="shared" si="10"/>
        <v>119</v>
      </c>
      <c r="T201" s="5" t="str">
        <f t="shared" si="11"/>
        <v>119</v>
      </c>
    </row>
    <row r="202" spans="15:20">
      <c r="O202" s="3">
        <v>15</v>
      </c>
      <c r="P202" s="3">
        <v>54</v>
      </c>
      <c r="Q202" s="3">
        <v>70</v>
      </c>
      <c r="R202" s="7">
        <f t="shared" si="9"/>
        <v>0.27777777777777779</v>
      </c>
      <c r="S202">
        <f t="shared" si="10"/>
        <v>-16</v>
      </c>
      <c r="T202" s="5" t="str">
        <f t="shared" si="11"/>
        <v>-16</v>
      </c>
    </row>
    <row r="203" spans="15:20">
      <c r="O203" s="5">
        <v>27</v>
      </c>
      <c r="P203" s="5">
        <v>62</v>
      </c>
      <c r="Q203" s="5">
        <v>70</v>
      </c>
      <c r="R203" s="7">
        <f t="shared" si="9"/>
        <v>0.43548387096774194</v>
      </c>
      <c r="S203">
        <f t="shared" si="10"/>
        <v>-8</v>
      </c>
      <c r="T203" s="5" t="str">
        <f t="shared" si="11"/>
        <v>-8</v>
      </c>
    </row>
    <row r="204" spans="15:20">
      <c r="O204" s="3">
        <v>50</v>
      </c>
      <c r="P204" s="3">
        <v>189</v>
      </c>
      <c r="Q204" s="3">
        <v>90</v>
      </c>
      <c r="R204" s="7">
        <f t="shared" si="9"/>
        <v>0.26455026455026454</v>
      </c>
      <c r="S204">
        <f t="shared" si="10"/>
        <v>99</v>
      </c>
      <c r="T204" s="5" t="str">
        <f t="shared" si="11"/>
        <v>99</v>
      </c>
    </row>
    <row r="205" spans="15:20">
      <c r="O205" s="5">
        <v>52</v>
      </c>
      <c r="P205" s="5">
        <v>151</v>
      </c>
      <c r="Q205" s="5">
        <v>80</v>
      </c>
      <c r="R205" s="7">
        <f t="shared" si="9"/>
        <v>0.3443708609271523</v>
      </c>
      <c r="S205">
        <f t="shared" si="10"/>
        <v>71</v>
      </c>
      <c r="T205" s="5" t="str">
        <f t="shared" si="11"/>
        <v>71</v>
      </c>
    </row>
    <row r="206" spans="15:20">
      <c r="O206" s="3">
        <v>45</v>
      </c>
      <c r="P206" s="3">
        <v>120</v>
      </c>
      <c r="Q206" s="3">
        <v>70</v>
      </c>
      <c r="R206" s="7">
        <f t="shared" si="9"/>
        <v>0.375</v>
      </c>
      <c r="S206">
        <f t="shared" si="10"/>
        <v>50</v>
      </c>
      <c r="T206" s="5" t="str">
        <f t="shared" si="11"/>
        <v>50</v>
      </c>
    </row>
    <row r="207" spans="15:20">
      <c r="O207" s="5">
        <v>0</v>
      </c>
      <c r="P207" s="5">
        <v>153</v>
      </c>
      <c r="Q207" s="5">
        <v>90</v>
      </c>
      <c r="R207" s="7">
        <f t="shared" si="9"/>
        <v>0</v>
      </c>
      <c r="S207">
        <f t="shared" si="10"/>
        <v>63</v>
      </c>
      <c r="T207" s="5" t="str">
        <f t="shared" si="11"/>
        <v>63</v>
      </c>
    </row>
    <row r="208" spans="15:20">
      <c r="O208" s="3">
        <v>85</v>
      </c>
      <c r="P208" s="3">
        <v>169</v>
      </c>
      <c r="Q208" s="3">
        <v>70</v>
      </c>
      <c r="R208" s="7">
        <f t="shared" si="9"/>
        <v>0.50295857988165682</v>
      </c>
      <c r="S208">
        <f t="shared" si="10"/>
        <v>99</v>
      </c>
      <c r="T208" s="5" t="str">
        <f t="shared" si="11"/>
        <v>99</v>
      </c>
    </row>
    <row r="209" spans="15:20">
      <c r="O209" s="5">
        <v>40</v>
      </c>
      <c r="P209" s="5">
        <v>98</v>
      </c>
      <c r="Q209" s="5">
        <v>80</v>
      </c>
      <c r="R209" s="7">
        <f t="shared" si="9"/>
        <v>0.40816326530612246</v>
      </c>
      <c r="S209">
        <f t="shared" si="10"/>
        <v>18</v>
      </c>
      <c r="T209" s="5" t="str">
        <f t="shared" si="11"/>
        <v>18</v>
      </c>
    </row>
    <row r="210" spans="15:20">
      <c r="O210" s="3">
        <v>45</v>
      </c>
      <c r="P210" s="3">
        <v>94</v>
      </c>
      <c r="Q210" s="3">
        <v>80</v>
      </c>
      <c r="R210" s="7">
        <f t="shared" si="9"/>
        <v>0.47872340425531917</v>
      </c>
      <c r="S210">
        <f t="shared" si="10"/>
        <v>14</v>
      </c>
      <c r="T210" s="5" t="str">
        <f t="shared" si="11"/>
        <v>14</v>
      </c>
    </row>
    <row r="211" spans="15:20">
      <c r="O211" s="5">
        <v>22</v>
      </c>
      <c r="P211" s="5">
        <v>132</v>
      </c>
      <c r="Q211" s="5">
        <v>90</v>
      </c>
      <c r="R211" s="7">
        <f t="shared" si="9"/>
        <v>0.16666666666666666</v>
      </c>
      <c r="S211">
        <f t="shared" si="10"/>
        <v>42</v>
      </c>
      <c r="T211" s="5" t="str">
        <f t="shared" si="11"/>
        <v>42</v>
      </c>
    </row>
    <row r="212" spans="15:20">
      <c r="O212" s="3">
        <v>40</v>
      </c>
      <c r="P212" s="3">
        <v>98</v>
      </c>
      <c r="Q212" s="3">
        <v>80</v>
      </c>
      <c r="R212" s="7">
        <f t="shared" si="9"/>
        <v>0.40816326530612246</v>
      </c>
      <c r="S212">
        <f t="shared" si="10"/>
        <v>18</v>
      </c>
      <c r="T212" s="5" t="str">
        <f t="shared" si="11"/>
        <v>18</v>
      </c>
    </row>
    <row r="213" spans="15:20">
      <c r="O213" s="5">
        <v>34</v>
      </c>
      <c r="P213" s="5">
        <v>75</v>
      </c>
      <c r="Q213" s="5">
        <v>70</v>
      </c>
      <c r="R213" s="7">
        <f t="shared" si="9"/>
        <v>0.45333333333333331</v>
      </c>
      <c r="S213">
        <f t="shared" si="10"/>
        <v>5</v>
      </c>
      <c r="T213" s="5" t="str">
        <f t="shared" si="11"/>
        <v>5</v>
      </c>
    </row>
    <row r="214" spans="15:20">
      <c r="O214" s="3">
        <v>42</v>
      </c>
      <c r="P214" s="3">
        <v>83</v>
      </c>
      <c r="Q214" s="3">
        <v>80</v>
      </c>
      <c r="R214" s="7">
        <f t="shared" si="9"/>
        <v>0.50602409638554213</v>
      </c>
      <c r="S214">
        <f t="shared" si="10"/>
        <v>3</v>
      </c>
      <c r="T214" s="5" t="str">
        <f t="shared" si="11"/>
        <v>3</v>
      </c>
    </row>
    <row r="215" spans="15:20">
      <c r="O215" s="5">
        <v>43</v>
      </c>
      <c r="P215" s="5">
        <v>85</v>
      </c>
      <c r="Q215" s="5">
        <v>80</v>
      </c>
      <c r="R215" s="7">
        <f t="shared" si="9"/>
        <v>0.50588235294117645</v>
      </c>
      <c r="S215">
        <f t="shared" si="10"/>
        <v>5</v>
      </c>
      <c r="T215" s="5" t="str">
        <f t="shared" si="11"/>
        <v>5</v>
      </c>
    </row>
    <row r="216" spans="15:20">
      <c r="O216" s="3">
        <v>70</v>
      </c>
      <c r="P216" s="3">
        <v>131</v>
      </c>
      <c r="Q216" s="3">
        <v>80</v>
      </c>
      <c r="R216" s="7">
        <f t="shared" si="9"/>
        <v>0.53435114503816794</v>
      </c>
      <c r="S216">
        <f t="shared" si="10"/>
        <v>51</v>
      </c>
      <c r="T216" s="5" t="str">
        <f t="shared" si="11"/>
        <v>51</v>
      </c>
    </row>
    <row r="217" spans="15:20">
      <c r="O217" s="5">
        <v>46</v>
      </c>
      <c r="P217" s="5">
        <v>46</v>
      </c>
      <c r="Q217" s="5">
        <v>50</v>
      </c>
      <c r="R217" s="7">
        <f t="shared" si="9"/>
        <v>1</v>
      </c>
      <c r="S217">
        <f t="shared" si="10"/>
        <v>-4</v>
      </c>
      <c r="T217" s="5" t="str">
        <f t="shared" si="11"/>
        <v>-4</v>
      </c>
    </row>
    <row r="218" spans="15:20">
      <c r="O218" s="3">
        <v>-12</v>
      </c>
      <c r="P218" s="3">
        <v>130</v>
      </c>
      <c r="Q218" s="3">
        <v>140</v>
      </c>
      <c r="R218" s="7">
        <f t="shared" si="9"/>
        <v>-9.2307692307692313E-2</v>
      </c>
      <c r="S218">
        <f t="shared" si="10"/>
        <v>-10</v>
      </c>
      <c r="T218" s="5" t="str">
        <f t="shared" si="11"/>
        <v>-10</v>
      </c>
    </row>
    <row r="219" spans="15:20">
      <c r="O219" s="5">
        <v>24</v>
      </c>
      <c r="P219" s="5">
        <v>60</v>
      </c>
      <c r="Q219" s="5">
        <v>70</v>
      </c>
      <c r="R219" s="7">
        <f t="shared" si="9"/>
        <v>0.4</v>
      </c>
      <c r="S219">
        <f t="shared" si="10"/>
        <v>-10</v>
      </c>
      <c r="T219" s="5" t="str">
        <f t="shared" si="11"/>
        <v>-10</v>
      </c>
    </row>
    <row r="220" spans="15:20">
      <c r="O220" s="3">
        <v>-10</v>
      </c>
      <c r="P220" s="3">
        <v>113</v>
      </c>
      <c r="Q220" s="3">
        <v>80</v>
      </c>
      <c r="R220" s="7">
        <f t="shared" si="9"/>
        <v>-8.8495575221238937E-2</v>
      </c>
      <c r="S220">
        <f t="shared" si="10"/>
        <v>33</v>
      </c>
      <c r="T220" s="5" t="str">
        <f t="shared" si="11"/>
        <v>33</v>
      </c>
    </row>
    <row r="221" spans="15:20">
      <c r="O221" s="5">
        <v>-6</v>
      </c>
      <c r="P221" s="5">
        <v>79</v>
      </c>
      <c r="Q221" s="5">
        <v>80</v>
      </c>
      <c r="R221" s="7">
        <f t="shared" si="9"/>
        <v>-7.5949367088607597E-2</v>
      </c>
      <c r="S221">
        <f t="shared" si="10"/>
        <v>-1</v>
      </c>
      <c r="T221" s="5" t="str">
        <f t="shared" si="11"/>
        <v>-1</v>
      </c>
    </row>
    <row r="222" spans="15:20">
      <c r="O222" s="3">
        <v>-12</v>
      </c>
      <c r="P222" s="3">
        <v>113</v>
      </c>
      <c r="Q222" s="3">
        <v>90</v>
      </c>
      <c r="R222" s="7">
        <f t="shared" si="9"/>
        <v>-0.10619469026548672</v>
      </c>
      <c r="S222">
        <f t="shared" si="10"/>
        <v>23</v>
      </c>
      <c r="T222" s="5" t="str">
        <f t="shared" si="11"/>
        <v>23</v>
      </c>
    </row>
    <row r="223" spans="15:20">
      <c r="O223" s="5">
        <v>40</v>
      </c>
      <c r="P223" s="5">
        <v>83</v>
      </c>
      <c r="Q223" s="5">
        <v>70</v>
      </c>
      <c r="R223" s="7">
        <f t="shared" si="9"/>
        <v>0.48192771084337349</v>
      </c>
      <c r="S223">
        <f t="shared" si="10"/>
        <v>13</v>
      </c>
      <c r="T223" s="5" t="str">
        <f t="shared" si="11"/>
        <v>13</v>
      </c>
    </row>
    <row r="224" spans="15:20">
      <c r="O224" s="3">
        <v>56</v>
      </c>
      <c r="P224" s="3">
        <v>160</v>
      </c>
      <c r="Q224" s="3">
        <v>100</v>
      </c>
      <c r="R224" s="7">
        <f t="shared" si="9"/>
        <v>0.35</v>
      </c>
      <c r="S224">
        <f t="shared" si="10"/>
        <v>60</v>
      </c>
      <c r="T224" s="5" t="str">
        <f t="shared" si="11"/>
        <v>60</v>
      </c>
    </row>
    <row r="225" spans="15:20">
      <c r="O225" s="5">
        <v>49</v>
      </c>
      <c r="P225" s="5">
        <v>128</v>
      </c>
      <c r="Q225" s="5">
        <v>90</v>
      </c>
      <c r="R225" s="7">
        <f t="shared" si="9"/>
        <v>0.3828125</v>
      </c>
      <c r="S225">
        <f t="shared" si="10"/>
        <v>38</v>
      </c>
      <c r="T225" s="5" t="str">
        <f t="shared" si="11"/>
        <v>38</v>
      </c>
    </row>
    <row r="226" spans="15:20">
      <c r="O226" s="3">
        <v>50</v>
      </c>
      <c r="P226" s="3">
        <v>128</v>
      </c>
      <c r="Q226" s="3">
        <v>80</v>
      </c>
      <c r="R226" s="7">
        <f t="shared" si="9"/>
        <v>0.390625</v>
      </c>
      <c r="S226">
        <f t="shared" si="10"/>
        <v>48</v>
      </c>
      <c r="T226" s="5" t="str">
        <f t="shared" si="11"/>
        <v>48</v>
      </c>
    </row>
    <row r="227" spans="15:20">
      <c r="O227" s="5">
        <v>43</v>
      </c>
      <c r="P227" s="5">
        <v>106</v>
      </c>
      <c r="Q227" s="5">
        <v>90</v>
      </c>
      <c r="R227" s="7">
        <f t="shared" si="9"/>
        <v>0.40566037735849059</v>
      </c>
      <c r="S227">
        <f t="shared" si="10"/>
        <v>16</v>
      </c>
      <c r="T227" s="5" t="str">
        <f t="shared" si="11"/>
        <v>16</v>
      </c>
    </row>
    <row r="228" spans="15:20">
      <c r="O228" s="3">
        <v>36</v>
      </c>
      <c r="P228" s="3">
        <v>108</v>
      </c>
      <c r="Q228" s="3">
        <v>90</v>
      </c>
      <c r="R228" s="7">
        <f t="shared" si="9"/>
        <v>0.33333333333333331</v>
      </c>
      <c r="S228">
        <f t="shared" si="10"/>
        <v>18</v>
      </c>
      <c r="T228" s="5" t="str">
        <f t="shared" si="11"/>
        <v>18</v>
      </c>
    </row>
    <row r="229" spans="15:20">
      <c r="O229" s="5">
        <v>-30</v>
      </c>
      <c r="P229" s="5">
        <v>106</v>
      </c>
      <c r="Q229" s="5">
        <v>90</v>
      </c>
      <c r="R229" s="7">
        <f t="shared" si="9"/>
        <v>-0.28301886792452829</v>
      </c>
      <c r="S229">
        <f t="shared" si="10"/>
        <v>16</v>
      </c>
      <c r="T229" s="5" t="str">
        <f t="shared" si="11"/>
        <v>16</v>
      </c>
    </row>
    <row r="230" spans="15:20">
      <c r="O230" s="3">
        <v>43</v>
      </c>
      <c r="P230" s="3">
        <v>106</v>
      </c>
      <c r="Q230" s="3">
        <v>90</v>
      </c>
      <c r="R230" s="7">
        <f t="shared" si="9"/>
        <v>0.40566037735849059</v>
      </c>
      <c r="S230">
        <f t="shared" si="10"/>
        <v>16</v>
      </c>
      <c r="T230" s="5" t="str">
        <f t="shared" si="11"/>
        <v>16</v>
      </c>
    </row>
    <row r="231" spans="15:20">
      <c r="O231" s="5">
        <v>43</v>
      </c>
      <c r="P231" s="5">
        <v>106</v>
      </c>
      <c r="Q231" s="5">
        <v>90</v>
      </c>
      <c r="R231" s="7">
        <f t="shared" si="9"/>
        <v>0.40566037735849059</v>
      </c>
      <c r="S231">
        <f t="shared" si="10"/>
        <v>16</v>
      </c>
      <c r="T231" s="5" t="str">
        <f t="shared" si="11"/>
        <v>16</v>
      </c>
    </row>
    <row r="232" spans="15:20">
      <c r="O232" s="3">
        <v>9</v>
      </c>
      <c r="P232" s="3">
        <v>110</v>
      </c>
      <c r="Q232" s="3">
        <v>80</v>
      </c>
      <c r="R232" s="7">
        <f t="shared" si="9"/>
        <v>8.1818181818181818E-2</v>
      </c>
      <c r="S232">
        <f t="shared" si="10"/>
        <v>30</v>
      </c>
      <c r="T232" s="5" t="str">
        <f t="shared" si="11"/>
        <v>30</v>
      </c>
    </row>
    <row r="233" spans="15:20">
      <c r="O233" s="5">
        <v>39</v>
      </c>
      <c r="P233" s="5">
        <v>124</v>
      </c>
      <c r="Q233" s="5">
        <v>90</v>
      </c>
      <c r="R233" s="7">
        <f t="shared" si="9"/>
        <v>0.31451612903225806</v>
      </c>
      <c r="S233">
        <f t="shared" si="10"/>
        <v>34</v>
      </c>
      <c r="T233" s="5" t="str">
        <f t="shared" si="11"/>
        <v>34</v>
      </c>
    </row>
    <row r="234" spans="15:20">
      <c r="O234" s="3">
        <v>43</v>
      </c>
      <c r="P234" s="3">
        <v>87</v>
      </c>
      <c r="Q234" s="3">
        <v>80</v>
      </c>
      <c r="R234" s="7">
        <f t="shared" si="9"/>
        <v>0.4942528735632184</v>
      </c>
      <c r="S234">
        <f t="shared" si="10"/>
        <v>7</v>
      </c>
      <c r="T234" s="5" t="str">
        <f t="shared" si="11"/>
        <v>7</v>
      </c>
    </row>
    <row r="235" spans="15:20">
      <c r="O235" s="5">
        <v>45</v>
      </c>
      <c r="P235" s="5">
        <v>91</v>
      </c>
      <c r="Q235" s="5">
        <v>80</v>
      </c>
      <c r="R235" s="7">
        <f t="shared" si="9"/>
        <v>0.49450549450549453</v>
      </c>
      <c r="S235">
        <f t="shared" si="10"/>
        <v>11</v>
      </c>
      <c r="T235" s="5" t="str">
        <f t="shared" si="11"/>
        <v>11</v>
      </c>
    </row>
    <row r="236" spans="15:20">
      <c r="O236" s="3">
        <v>47</v>
      </c>
      <c r="P236" s="3">
        <v>46</v>
      </c>
      <c r="Q236" s="3">
        <v>50</v>
      </c>
      <c r="R236" s="7">
        <f t="shared" si="9"/>
        <v>1.0217391304347827</v>
      </c>
      <c r="S236">
        <f t="shared" si="10"/>
        <v>-4</v>
      </c>
      <c r="T236" s="5" t="str">
        <f t="shared" si="11"/>
        <v>-4</v>
      </c>
    </row>
    <row r="237" spans="15:20">
      <c r="O237" s="5">
        <v>40</v>
      </c>
      <c r="P237" s="5">
        <v>113</v>
      </c>
      <c r="Q237" s="5">
        <v>80</v>
      </c>
      <c r="R237" s="7">
        <f t="shared" si="9"/>
        <v>0.35398230088495575</v>
      </c>
      <c r="S237">
        <f t="shared" si="10"/>
        <v>33</v>
      </c>
      <c r="T237" s="5" t="str">
        <f t="shared" si="11"/>
        <v>33</v>
      </c>
    </row>
    <row r="238" spans="15:20">
      <c r="O238" s="3">
        <v>12</v>
      </c>
      <c r="P238" s="3">
        <v>74</v>
      </c>
      <c r="Q238" s="3">
        <v>80</v>
      </c>
      <c r="R238" s="7">
        <f t="shared" si="9"/>
        <v>0.16216216216216217</v>
      </c>
      <c r="S238">
        <f t="shared" si="10"/>
        <v>-6</v>
      </c>
      <c r="T238" s="5" t="str">
        <f t="shared" si="11"/>
        <v>-6</v>
      </c>
    </row>
    <row r="239" spans="15:20">
      <c r="O239" s="5">
        <v>25</v>
      </c>
      <c r="P239" s="5">
        <v>62</v>
      </c>
      <c r="Q239" s="5">
        <v>70</v>
      </c>
      <c r="R239" s="7">
        <f t="shared" si="9"/>
        <v>0.40322580645161288</v>
      </c>
      <c r="S239">
        <f t="shared" si="10"/>
        <v>-8</v>
      </c>
      <c r="T239" s="5" t="str">
        <f t="shared" si="11"/>
        <v>-8</v>
      </c>
    </row>
    <row r="240" spans="15:20">
      <c r="O240" s="3">
        <v>46</v>
      </c>
      <c r="P240" s="3">
        <v>114</v>
      </c>
      <c r="Q240" s="3">
        <v>80</v>
      </c>
      <c r="R240" s="7">
        <f t="shared" si="9"/>
        <v>0.40350877192982454</v>
      </c>
      <c r="S240">
        <f t="shared" si="10"/>
        <v>34</v>
      </c>
      <c r="T240" s="5" t="str">
        <f t="shared" si="11"/>
        <v>34</v>
      </c>
    </row>
    <row r="241" spans="15:20">
      <c r="O241" s="5">
        <v>9</v>
      </c>
      <c r="P241" s="5">
        <v>110</v>
      </c>
      <c r="Q241" s="5">
        <v>90</v>
      </c>
      <c r="R241" s="7">
        <f t="shared" si="9"/>
        <v>8.1818181818181818E-2</v>
      </c>
      <c r="S241">
        <f t="shared" si="10"/>
        <v>20</v>
      </c>
      <c r="T241" s="5" t="str">
        <f t="shared" si="11"/>
        <v>20</v>
      </c>
    </row>
    <row r="242" spans="15:20">
      <c r="O242" s="3">
        <v>42</v>
      </c>
      <c r="P242" s="3">
        <v>113</v>
      </c>
      <c r="Q242" s="3">
        <v>80</v>
      </c>
      <c r="R242" s="7">
        <f t="shared" si="9"/>
        <v>0.37168141592920356</v>
      </c>
      <c r="S242">
        <f t="shared" si="10"/>
        <v>33</v>
      </c>
      <c r="T242" s="5" t="str">
        <f t="shared" si="11"/>
        <v>33</v>
      </c>
    </row>
    <row r="243" spans="15:20">
      <c r="O243" s="5">
        <v>42</v>
      </c>
      <c r="P243" s="5">
        <v>87</v>
      </c>
      <c r="Q243" s="5">
        <v>80</v>
      </c>
      <c r="R243" s="7">
        <f t="shared" si="9"/>
        <v>0.48275862068965519</v>
      </c>
      <c r="S243">
        <f t="shared" si="10"/>
        <v>7</v>
      </c>
      <c r="T243" s="5" t="str">
        <f t="shared" si="11"/>
        <v>7</v>
      </c>
    </row>
    <row r="244" spans="15:20">
      <c r="O244" s="3">
        <v>-6</v>
      </c>
      <c r="P244" s="3">
        <v>126</v>
      </c>
      <c r="Q244" s="3">
        <v>80</v>
      </c>
      <c r="R244" s="7">
        <f t="shared" si="9"/>
        <v>-4.7619047619047616E-2</v>
      </c>
      <c r="S244">
        <f t="shared" si="10"/>
        <v>46</v>
      </c>
      <c r="T244" s="5" t="str">
        <f t="shared" si="11"/>
        <v>46</v>
      </c>
    </row>
    <row r="245" spans="15:20">
      <c r="O245" s="5">
        <v>-4</v>
      </c>
      <c r="P245" s="5">
        <v>140</v>
      </c>
      <c r="Q245" s="5">
        <v>90</v>
      </c>
      <c r="R245" s="7">
        <f t="shared" si="9"/>
        <v>-2.8571428571428571E-2</v>
      </c>
      <c r="S245">
        <f t="shared" si="10"/>
        <v>50</v>
      </c>
      <c r="T245" s="5" t="str">
        <f t="shared" si="11"/>
        <v>50</v>
      </c>
    </row>
    <row r="246" spans="15:20">
      <c r="O246" s="3">
        <v>27</v>
      </c>
      <c r="P246" s="3">
        <v>90</v>
      </c>
      <c r="Q246" s="3">
        <v>60</v>
      </c>
      <c r="R246" s="7">
        <f t="shared" si="9"/>
        <v>0.3</v>
      </c>
      <c r="S246">
        <f t="shared" si="10"/>
        <v>30</v>
      </c>
      <c r="T246" s="5" t="str">
        <f t="shared" si="11"/>
        <v>30</v>
      </c>
    </row>
    <row r="247" spans="15:20">
      <c r="O247" s="5">
        <v>26</v>
      </c>
      <c r="P247" s="5">
        <v>90</v>
      </c>
      <c r="Q247" s="5">
        <v>60</v>
      </c>
      <c r="R247" s="7">
        <f t="shared" si="9"/>
        <v>0.28888888888888886</v>
      </c>
      <c r="S247">
        <f t="shared" si="10"/>
        <v>30</v>
      </c>
      <c r="T247" s="5" t="str">
        <f t="shared" si="11"/>
        <v>30</v>
      </c>
    </row>
    <row r="248" spans="15:20">
      <c r="O248" s="3">
        <v>-26</v>
      </c>
      <c r="P248" s="3">
        <v>109</v>
      </c>
      <c r="Q248" s="3">
        <v>150</v>
      </c>
      <c r="R248" s="7">
        <f t="shared" si="9"/>
        <v>-0.23853211009174313</v>
      </c>
      <c r="S248">
        <f t="shared" si="10"/>
        <v>-41</v>
      </c>
      <c r="T248" s="5" t="str">
        <f t="shared" si="11"/>
        <v>-41</v>
      </c>
    </row>
    <row r="249" spans="15:20">
      <c r="O249" s="5">
        <v>30</v>
      </c>
      <c r="P249" s="5">
        <v>113</v>
      </c>
      <c r="Q249" s="5">
        <v>60</v>
      </c>
      <c r="R249" s="7">
        <f t="shared" si="9"/>
        <v>0.26548672566371684</v>
      </c>
      <c r="S249">
        <f t="shared" si="10"/>
        <v>53</v>
      </c>
      <c r="T249" s="5" t="str">
        <f t="shared" si="11"/>
        <v>53</v>
      </c>
    </row>
    <row r="250" spans="15:20">
      <c r="O250" s="3">
        <v>7</v>
      </c>
      <c r="P250" s="3">
        <v>68</v>
      </c>
      <c r="Q250" s="3">
        <v>60</v>
      </c>
      <c r="R250" s="7">
        <f t="shared" si="9"/>
        <v>0.10294117647058823</v>
      </c>
      <c r="S250">
        <f t="shared" si="10"/>
        <v>8</v>
      </c>
      <c r="T250" s="5" t="str">
        <f t="shared" si="11"/>
        <v>8</v>
      </c>
    </row>
    <row r="251" spans="15:20">
      <c r="O251" s="5">
        <v>-6</v>
      </c>
      <c r="P251" s="5">
        <v>109</v>
      </c>
      <c r="Q251" s="5">
        <v>60</v>
      </c>
      <c r="R251" s="7">
        <f t="shared" si="9"/>
        <v>-5.5045871559633031E-2</v>
      </c>
      <c r="S251">
        <f t="shared" si="10"/>
        <v>49</v>
      </c>
      <c r="T251" s="5" t="str">
        <f t="shared" si="11"/>
        <v>49</v>
      </c>
    </row>
    <row r="252" spans="15:20">
      <c r="O252" s="3">
        <v>28</v>
      </c>
      <c r="P252" s="3">
        <v>79</v>
      </c>
      <c r="Q252" s="3">
        <v>60</v>
      </c>
      <c r="R252" s="7">
        <f t="shared" si="9"/>
        <v>0.35443037974683544</v>
      </c>
      <c r="S252">
        <f t="shared" si="10"/>
        <v>19</v>
      </c>
      <c r="T252" s="5" t="str">
        <f t="shared" si="11"/>
        <v>19</v>
      </c>
    </row>
    <row r="253" spans="15:20">
      <c r="O253" s="5">
        <v>6</v>
      </c>
      <c r="P253" s="5">
        <v>68</v>
      </c>
      <c r="Q253" s="5">
        <v>50</v>
      </c>
      <c r="R253" s="7">
        <f t="shared" si="9"/>
        <v>8.8235294117647065E-2</v>
      </c>
      <c r="S253">
        <f t="shared" si="10"/>
        <v>18</v>
      </c>
      <c r="T253" s="5" t="str">
        <f t="shared" si="11"/>
        <v>18</v>
      </c>
    </row>
    <row r="254" spans="15:20">
      <c r="O254" s="3">
        <v>13</v>
      </c>
      <c r="P254" s="3">
        <v>92</v>
      </c>
      <c r="Q254" s="3">
        <v>60</v>
      </c>
      <c r="R254" s="7">
        <f t="shared" si="9"/>
        <v>0.14130434782608695</v>
      </c>
      <c r="S254">
        <f t="shared" si="10"/>
        <v>32</v>
      </c>
      <c r="T254" s="5" t="str">
        <f t="shared" si="11"/>
        <v>32</v>
      </c>
    </row>
    <row r="255" spans="15:20">
      <c r="O255" s="5">
        <v>18</v>
      </c>
      <c r="P255" s="5">
        <v>60</v>
      </c>
      <c r="Q255" s="5">
        <v>60</v>
      </c>
      <c r="R255" s="7">
        <f t="shared" si="9"/>
        <v>0.3</v>
      </c>
      <c r="S255">
        <f t="shared" si="10"/>
        <v>0</v>
      </c>
      <c r="T255" s="5" t="str">
        <f t="shared" si="11"/>
        <v>0</v>
      </c>
    </row>
    <row r="256" spans="15:20">
      <c r="O256" s="3">
        <v>32</v>
      </c>
      <c r="P256" s="3">
        <v>43</v>
      </c>
      <c r="Q256" s="3">
        <v>40</v>
      </c>
      <c r="R256" s="7">
        <f t="shared" si="9"/>
        <v>0.7441860465116279</v>
      </c>
      <c r="S256">
        <f t="shared" si="10"/>
        <v>3</v>
      </c>
      <c r="T256" s="5" t="str">
        <f t="shared" si="11"/>
        <v>3</v>
      </c>
    </row>
    <row r="257" spans="15:20">
      <c r="O257" s="5">
        <v>-6</v>
      </c>
      <c r="P257" s="5">
        <v>109</v>
      </c>
      <c r="Q257" s="5">
        <v>50</v>
      </c>
      <c r="R257" s="7">
        <f t="shared" si="9"/>
        <v>-5.5045871559633031E-2</v>
      </c>
      <c r="S257">
        <f t="shared" si="10"/>
        <v>59</v>
      </c>
      <c r="T257" s="5" t="str">
        <f t="shared" si="11"/>
        <v>59</v>
      </c>
    </row>
    <row r="258" spans="15:20">
      <c r="O258" s="3">
        <v>0</v>
      </c>
      <c r="P258" s="3">
        <v>144</v>
      </c>
      <c r="Q258" s="3">
        <v>60</v>
      </c>
      <c r="R258" s="7">
        <f t="shared" ref="R258:R321" si="12">O258/P258</f>
        <v>0</v>
      </c>
      <c r="S258">
        <f t="shared" ref="S258:S321" si="13">P258-Q258</f>
        <v>84</v>
      </c>
      <c r="T258" s="5" t="str">
        <f t="shared" ref="T258:T321" si="14">TRIM(S:S)</f>
        <v>84</v>
      </c>
    </row>
    <row r="259" spans="15:20">
      <c r="O259" s="5">
        <v>29</v>
      </c>
      <c r="P259" s="5">
        <v>80</v>
      </c>
      <c r="Q259" s="5">
        <v>70</v>
      </c>
      <c r="R259" s="7">
        <f t="shared" si="12"/>
        <v>0.36249999999999999</v>
      </c>
      <c r="S259">
        <f t="shared" si="13"/>
        <v>10</v>
      </c>
      <c r="T259" s="5" t="str">
        <f t="shared" si="14"/>
        <v>10</v>
      </c>
    </row>
    <row r="260" spans="15:20">
      <c r="O260" s="3">
        <v>13</v>
      </c>
      <c r="P260" s="3">
        <v>121</v>
      </c>
      <c r="Q260" s="3">
        <v>80</v>
      </c>
      <c r="R260" s="7">
        <f t="shared" si="12"/>
        <v>0.10743801652892562</v>
      </c>
      <c r="S260">
        <f t="shared" si="13"/>
        <v>41</v>
      </c>
      <c r="T260" s="5" t="str">
        <f t="shared" si="14"/>
        <v>41</v>
      </c>
    </row>
    <row r="261" spans="15:20">
      <c r="O261" s="5">
        <v>11</v>
      </c>
      <c r="P261" s="5">
        <v>52</v>
      </c>
      <c r="Q261" s="5">
        <v>60</v>
      </c>
      <c r="R261" s="7">
        <f t="shared" si="12"/>
        <v>0.21153846153846154</v>
      </c>
      <c r="S261">
        <f t="shared" si="13"/>
        <v>-8</v>
      </c>
      <c r="T261" s="5" t="str">
        <f t="shared" si="14"/>
        <v>-8</v>
      </c>
    </row>
    <row r="262" spans="15:20">
      <c r="O262" s="3">
        <v>8</v>
      </c>
      <c r="P262" s="3">
        <v>82</v>
      </c>
      <c r="Q262" s="3">
        <v>60</v>
      </c>
      <c r="R262" s="7">
        <f t="shared" si="12"/>
        <v>9.7560975609756101E-2</v>
      </c>
      <c r="S262">
        <f t="shared" si="13"/>
        <v>22</v>
      </c>
      <c r="T262" s="5" t="str">
        <f t="shared" si="14"/>
        <v>22</v>
      </c>
    </row>
    <row r="263" spans="15:20">
      <c r="O263" s="5">
        <v>5</v>
      </c>
      <c r="P263" s="5">
        <v>64</v>
      </c>
      <c r="Q263" s="5">
        <v>70</v>
      </c>
      <c r="R263" s="7">
        <f t="shared" si="12"/>
        <v>7.8125E-2</v>
      </c>
      <c r="S263">
        <f t="shared" si="13"/>
        <v>-6</v>
      </c>
      <c r="T263" s="5" t="str">
        <f t="shared" si="14"/>
        <v>-6</v>
      </c>
    </row>
    <row r="264" spans="15:20">
      <c r="O264" s="3">
        <v>5</v>
      </c>
      <c r="P264" s="3">
        <v>64</v>
      </c>
      <c r="Q264" s="3">
        <v>60</v>
      </c>
      <c r="R264" s="7">
        <f t="shared" si="12"/>
        <v>7.8125E-2</v>
      </c>
      <c r="S264">
        <f t="shared" si="13"/>
        <v>4</v>
      </c>
      <c r="T264" s="5" t="str">
        <f t="shared" si="14"/>
        <v>4</v>
      </c>
    </row>
    <row r="265" spans="15:20">
      <c r="O265" s="5">
        <v>-3</v>
      </c>
      <c r="P265" s="5">
        <v>76</v>
      </c>
      <c r="Q265" s="5">
        <v>70</v>
      </c>
      <c r="R265" s="7">
        <f t="shared" si="12"/>
        <v>-3.9473684210526314E-2</v>
      </c>
      <c r="S265">
        <f t="shared" si="13"/>
        <v>6</v>
      </c>
      <c r="T265" s="5" t="str">
        <f t="shared" si="14"/>
        <v>6</v>
      </c>
    </row>
    <row r="266" spans="15:20">
      <c r="O266" s="3">
        <v>29</v>
      </c>
      <c r="P266" s="3">
        <v>80</v>
      </c>
      <c r="Q266" s="3">
        <v>60</v>
      </c>
      <c r="R266" s="7">
        <f t="shared" si="12"/>
        <v>0.36249999999999999</v>
      </c>
      <c r="S266">
        <f t="shared" si="13"/>
        <v>20</v>
      </c>
      <c r="T266" s="5" t="str">
        <f t="shared" si="14"/>
        <v>20</v>
      </c>
    </row>
    <row r="267" spans="15:20">
      <c r="O267" s="5">
        <v>31</v>
      </c>
      <c r="P267" s="5">
        <v>43</v>
      </c>
      <c r="Q267" s="5">
        <v>40</v>
      </c>
      <c r="R267" s="7">
        <f t="shared" si="12"/>
        <v>0.72093023255813948</v>
      </c>
      <c r="S267">
        <f t="shared" si="13"/>
        <v>3</v>
      </c>
      <c r="T267" s="5" t="str">
        <f t="shared" si="14"/>
        <v>3</v>
      </c>
    </row>
    <row r="268" spans="15:20">
      <c r="O268" s="3">
        <v>27</v>
      </c>
      <c r="P268" s="3">
        <v>81</v>
      </c>
      <c r="Q268" s="3">
        <v>70</v>
      </c>
      <c r="R268" s="7">
        <f t="shared" si="12"/>
        <v>0.33333333333333331</v>
      </c>
      <c r="S268">
        <f t="shared" si="13"/>
        <v>11</v>
      </c>
      <c r="T268" s="5" t="str">
        <f t="shared" si="14"/>
        <v>11</v>
      </c>
    </row>
    <row r="269" spans="15:20">
      <c r="O269" s="5">
        <v>-9</v>
      </c>
      <c r="P269" s="5">
        <v>122</v>
      </c>
      <c r="Q269" s="5">
        <v>110</v>
      </c>
      <c r="R269" s="7">
        <f t="shared" si="12"/>
        <v>-7.3770491803278687E-2</v>
      </c>
      <c r="S269">
        <f t="shared" si="13"/>
        <v>12</v>
      </c>
      <c r="T269" s="5" t="str">
        <f t="shared" si="14"/>
        <v>12</v>
      </c>
    </row>
    <row r="270" spans="15:20">
      <c r="O270" s="3">
        <v>-8</v>
      </c>
      <c r="P270" s="3">
        <v>122</v>
      </c>
      <c r="Q270" s="3">
        <v>110</v>
      </c>
      <c r="R270" s="7">
        <f t="shared" si="12"/>
        <v>-6.5573770491803282E-2</v>
      </c>
      <c r="S270">
        <f t="shared" si="13"/>
        <v>12</v>
      </c>
      <c r="T270" s="5" t="str">
        <f t="shared" si="14"/>
        <v>12</v>
      </c>
    </row>
    <row r="271" spans="15:20">
      <c r="O271" s="5">
        <v>9</v>
      </c>
      <c r="P271" s="5">
        <v>82</v>
      </c>
      <c r="Q271" s="5">
        <v>60</v>
      </c>
      <c r="R271" s="7">
        <f t="shared" si="12"/>
        <v>0.10975609756097561</v>
      </c>
      <c r="S271">
        <f t="shared" si="13"/>
        <v>22</v>
      </c>
      <c r="T271" s="5" t="str">
        <f t="shared" si="14"/>
        <v>22</v>
      </c>
    </row>
    <row r="272" spans="15:20">
      <c r="O272" s="3">
        <v>-3</v>
      </c>
      <c r="P272" s="3">
        <v>76</v>
      </c>
      <c r="Q272" s="3">
        <v>60</v>
      </c>
      <c r="R272" s="7">
        <f t="shared" si="12"/>
        <v>-3.9473684210526314E-2</v>
      </c>
      <c r="S272">
        <f t="shared" si="13"/>
        <v>16</v>
      </c>
      <c r="T272" s="5" t="str">
        <f t="shared" si="14"/>
        <v>16</v>
      </c>
    </row>
    <row r="273" spans="15:20">
      <c r="O273" s="5">
        <v>-4</v>
      </c>
      <c r="P273" s="5">
        <v>74</v>
      </c>
      <c r="Q273" s="5">
        <v>60</v>
      </c>
      <c r="R273" s="7">
        <f t="shared" si="12"/>
        <v>-5.4054054054054057E-2</v>
      </c>
      <c r="S273">
        <f t="shared" si="13"/>
        <v>14</v>
      </c>
      <c r="T273" s="5" t="str">
        <f t="shared" si="14"/>
        <v>14</v>
      </c>
    </row>
    <row r="274" spans="15:20">
      <c r="O274" s="3">
        <v>32</v>
      </c>
      <c r="P274" s="3">
        <v>43</v>
      </c>
      <c r="Q274" s="3">
        <v>40</v>
      </c>
      <c r="R274" s="7">
        <f t="shared" si="12"/>
        <v>0.7441860465116279</v>
      </c>
      <c r="S274">
        <f t="shared" si="13"/>
        <v>3</v>
      </c>
      <c r="T274" s="5" t="str">
        <f t="shared" si="14"/>
        <v>3</v>
      </c>
    </row>
    <row r="275" spans="15:20">
      <c r="O275" s="5">
        <v>-7</v>
      </c>
      <c r="P275" s="5">
        <v>106</v>
      </c>
      <c r="Q275" s="5">
        <v>70</v>
      </c>
      <c r="R275" s="7">
        <f t="shared" si="12"/>
        <v>-6.6037735849056603E-2</v>
      </c>
      <c r="S275">
        <f t="shared" si="13"/>
        <v>36</v>
      </c>
      <c r="T275" s="5" t="str">
        <f t="shared" si="14"/>
        <v>36</v>
      </c>
    </row>
    <row r="276" spans="15:20">
      <c r="O276" s="3">
        <v>25</v>
      </c>
      <c r="P276" s="3">
        <v>73</v>
      </c>
      <c r="Q276" s="3">
        <v>60</v>
      </c>
      <c r="R276" s="7">
        <f t="shared" si="12"/>
        <v>0.34246575342465752</v>
      </c>
      <c r="S276">
        <f t="shared" si="13"/>
        <v>13</v>
      </c>
      <c r="T276" s="5" t="str">
        <f t="shared" si="14"/>
        <v>13</v>
      </c>
    </row>
    <row r="277" spans="15:20">
      <c r="O277" s="5">
        <v>29</v>
      </c>
      <c r="P277" s="5">
        <v>82</v>
      </c>
      <c r="Q277" s="5">
        <v>70</v>
      </c>
      <c r="R277" s="7">
        <f t="shared" si="12"/>
        <v>0.35365853658536583</v>
      </c>
      <c r="S277">
        <f t="shared" si="13"/>
        <v>12</v>
      </c>
      <c r="T277" s="5" t="str">
        <f t="shared" si="14"/>
        <v>12</v>
      </c>
    </row>
    <row r="278" spans="15:20">
      <c r="O278" s="3">
        <v>7</v>
      </c>
      <c r="P278" s="3">
        <v>103</v>
      </c>
      <c r="Q278" s="3">
        <v>70</v>
      </c>
      <c r="R278" s="7">
        <f t="shared" si="12"/>
        <v>6.7961165048543687E-2</v>
      </c>
      <c r="S278">
        <f t="shared" si="13"/>
        <v>33</v>
      </c>
      <c r="T278" s="5" t="str">
        <f t="shared" si="14"/>
        <v>33</v>
      </c>
    </row>
    <row r="279" spans="15:20">
      <c r="O279" s="5">
        <v>26</v>
      </c>
      <c r="P279" s="5">
        <v>75</v>
      </c>
      <c r="Q279" s="5">
        <v>70</v>
      </c>
      <c r="R279" s="7">
        <f t="shared" si="12"/>
        <v>0.34666666666666668</v>
      </c>
      <c r="S279">
        <f t="shared" si="13"/>
        <v>5</v>
      </c>
      <c r="T279" s="5" t="str">
        <f t="shared" si="14"/>
        <v>5</v>
      </c>
    </row>
    <row r="280" spans="15:20">
      <c r="O280" s="3">
        <v>25</v>
      </c>
      <c r="P280" s="3">
        <v>73</v>
      </c>
      <c r="Q280" s="3">
        <v>70</v>
      </c>
      <c r="R280" s="7">
        <f t="shared" si="12"/>
        <v>0.34246575342465752</v>
      </c>
      <c r="S280">
        <f t="shared" si="13"/>
        <v>3</v>
      </c>
      <c r="T280" s="5" t="str">
        <f t="shared" si="14"/>
        <v>3</v>
      </c>
    </row>
    <row r="281" spans="15:20">
      <c r="O281" s="5">
        <v>13</v>
      </c>
      <c r="P281" s="5">
        <v>56</v>
      </c>
      <c r="Q281" s="5">
        <v>70</v>
      </c>
      <c r="R281" s="7">
        <f t="shared" si="12"/>
        <v>0.23214285714285715</v>
      </c>
      <c r="S281">
        <f t="shared" si="13"/>
        <v>-14</v>
      </c>
      <c r="T281" s="5" t="str">
        <f t="shared" si="14"/>
        <v>-14</v>
      </c>
    </row>
    <row r="282" spans="15:20">
      <c r="O282" s="3">
        <v>31</v>
      </c>
      <c r="P282" s="3">
        <v>43</v>
      </c>
      <c r="Q282" s="3">
        <v>40</v>
      </c>
      <c r="R282" s="7">
        <f t="shared" si="12"/>
        <v>0.72093023255813948</v>
      </c>
      <c r="S282">
        <f t="shared" si="13"/>
        <v>3</v>
      </c>
      <c r="T282" s="5" t="str">
        <f t="shared" si="14"/>
        <v>3</v>
      </c>
    </row>
    <row r="283" spans="15:20">
      <c r="O283" s="5">
        <v>26</v>
      </c>
      <c r="P283" s="5">
        <v>77</v>
      </c>
      <c r="Q283" s="5">
        <v>70</v>
      </c>
      <c r="R283" s="7">
        <f t="shared" si="12"/>
        <v>0.33766233766233766</v>
      </c>
      <c r="S283">
        <f t="shared" si="13"/>
        <v>7</v>
      </c>
      <c r="T283" s="5" t="str">
        <f t="shared" si="14"/>
        <v>7</v>
      </c>
    </row>
    <row r="284" spans="15:20">
      <c r="O284" s="3">
        <v>30</v>
      </c>
      <c r="P284" s="3">
        <v>85</v>
      </c>
      <c r="Q284" s="3">
        <v>70</v>
      </c>
      <c r="R284" s="7">
        <f t="shared" si="12"/>
        <v>0.35294117647058826</v>
      </c>
      <c r="S284">
        <f t="shared" si="13"/>
        <v>15</v>
      </c>
      <c r="T284" s="5" t="str">
        <f t="shared" si="14"/>
        <v>15</v>
      </c>
    </row>
    <row r="285" spans="15:20">
      <c r="O285" s="5">
        <v>2</v>
      </c>
      <c r="P285" s="5">
        <v>88</v>
      </c>
      <c r="Q285" s="5">
        <v>60</v>
      </c>
      <c r="R285" s="7">
        <f t="shared" si="12"/>
        <v>2.2727272727272728E-2</v>
      </c>
      <c r="S285">
        <f t="shared" si="13"/>
        <v>28</v>
      </c>
      <c r="T285" s="5" t="str">
        <f t="shared" si="14"/>
        <v>28</v>
      </c>
    </row>
    <row r="286" spans="15:20">
      <c r="O286" s="3">
        <v>7</v>
      </c>
      <c r="P286" s="3">
        <v>69</v>
      </c>
      <c r="Q286" s="3">
        <v>60</v>
      </c>
      <c r="R286" s="7">
        <f t="shared" si="12"/>
        <v>0.10144927536231885</v>
      </c>
      <c r="S286">
        <f t="shared" si="13"/>
        <v>9</v>
      </c>
      <c r="T286" s="5" t="str">
        <f t="shared" si="14"/>
        <v>9</v>
      </c>
    </row>
    <row r="287" spans="15:20">
      <c r="O287" s="5">
        <v>11</v>
      </c>
      <c r="P287" s="5">
        <v>89</v>
      </c>
      <c r="Q287" s="5">
        <v>70</v>
      </c>
      <c r="R287" s="7">
        <f t="shared" si="12"/>
        <v>0.12359550561797752</v>
      </c>
      <c r="S287">
        <f t="shared" si="13"/>
        <v>19</v>
      </c>
      <c r="T287" s="5" t="str">
        <f t="shared" si="14"/>
        <v>19</v>
      </c>
    </row>
    <row r="288" spans="15:20">
      <c r="O288" s="3">
        <v>2</v>
      </c>
      <c r="P288" s="3">
        <v>88</v>
      </c>
      <c r="Q288" s="3">
        <v>70</v>
      </c>
      <c r="R288" s="7">
        <f t="shared" si="12"/>
        <v>2.2727272727272728E-2</v>
      </c>
      <c r="S288">
        <f t="shared" si="13"/>
        <v>18</v>
      </c>
      <c r="T288" s="5" t="str">
        <f t="shared" si="14"/>
        <v>18</v>
      </c>
    </row>
    <row r="289" spans="15:20">
      <c r="O289" s="5">
        <v>32</v>
      </c>
      <c r="P289" s="5">
        <v>43</v>
      </c>
      <c r="Q289" s="5">
        <v>40</v>
      </c>
      <c r="R289" s="7">
        <f t="shared" si="12"/>
        <v>0.7441860465116279</v>
      </c>
      <c r="S289">
        <f t="shared" si="13"/>
        <v>3</v>
      </c>
      <c r="T289" s="5" t="str">
        <f t="shared" si="14"/>
        <v>3</v>
      </c>
    </row>
    <row r="290" spans="15:20">
      <c r="O290" s="3">
        <v>30</v>
      </c>
      <c r="P290" s="3">
        <v>107</v>
      </c>
      <c r="Q290" s="3">
        <v>70</v>
      </c>
      <c r="R290" s="7">
        <f t="shared" si="12"/>
        <v>0.28037383177570091</v>
      </c>
      <c r="S290">
        <f t="shared" si="13"/>
        <v>37</v>
      </c>
      <c r="T290" s="5" t="str">
        <f t="shared" si="14"/>
        <v>37</v>
      </c>
    </row>
    <row r="291" spans="15:20">
      <c r="O291" s="5">
        <v>12</v>
      </c>
      <c r="P291" s="5">
        <v>89</v>
      </c>
      <c r="Q291" s="5">
        <v>60</v>
      </c>
      <c r="R291" s="7">
        <f t="shared" si="12"/>
        <v>0.1348314606741573</v>
      </c>
      <c r="S291">
        <f t="shared" si="13"/>
        <v>29</v>
      </c>
      <c r="T291" s="5" t="str">
        <f t="shared" si="14"/>
        <v>29</v>
      </c>
    </row>
    <row r="292" spans="15:20">
      <c r="O292" s="3">
        <v>28</v>
      </c>
      <c r="P292" s="3">
        <v>106</v>
      </c>
      <c r="Q292" s="3">
        <v>70</v>
      </c>
      <c r="R292" s="7">
        <f t="shared" si="12"/>
        <v>0.26415094339622641</v>
      </c>
      <c r="S292">
        <f t="shared" si="13"/>
        <v>36</v>
      </c>
      <c r="T292" s="5" t="str">
        <f t="shared" si="14"/>
        <v>36</v>
      </c>
    </row>
    <row r="293" spans="15:20">
      <c r="O293" s="5">
        <v>40</v>
      </c>
      <c r="P293" s="5">
        <v>96</v>
      </c>
      <c r="Q293" s="5">
        <v>60</v>
      </c>
      <c r="R293" s="7">
        <f t="shared" si="12"/>
        <v>0.41666666666666669</v>
      </c>
      <c r="S293">
        <f t="shared" si="13"/>
        <v>36</v>
      </c>
      <c r="T293" s="5" t="str">
        <f t="shared" si="14"/>
        <v>36</v>
      </c>
    </row>
    <row r="294" spans="15:20">
      <c r="O294" s="3">
        <v>39</v>
      </c>
      <c r="P294" s="3">
        <v>96</v>
      </c>
      <c r="Q294" s="3">
        <v>60</v>
      </c>
      <c r="R294" s="7">
        <f t="shared" si="12"/>
        <v>0.40625</v>
      </c>
      <c r="S294">
        <f t="shared" si="13"/>
        <v>36</v>
      </c>
      <c r="T294" s="5" t="str">
        <f t="shared" si="14"/>
        <v>36</v>
      </c>
    </row>
    <row r="295" spans="15:20">
      <c r="O295" s="5">
        <v>-39</v>
      </c>
      <c r="P295" s="5">
        <v>116</v>
      </c>
      <c r="Q295" s="5">
        <v>150</v>
      </c>
      <c r="R295" s="7">
        <f t="shared" si="12"/>
        <v>-0.33620689655172414</v>
      </c>
      <c r="S295">
        <f t="shared" si="13"/>
        <v>-34</v>
      </c>
      <c r="T295" s="5" t="str">
        <f t="shared" si="14"/>
        <v>-34</v>
      </c>
    </row>
    <row r="296" spans="15:20">
      <c r="O296" s="3">
        <v>45</v>
      </c>
      <c r="P296" s="3">
        <v>120</v>
      </c>
      <c r="Q296" s="3">
        <v>60</v>
      </c>
      <c r="R296" s="7">
        <f t="shared" si="12"/>
        <v>0.375</v>
      </c>
      <c r="S296">
        <f t="shared" si="13"/>
        <v>60</v>
      </c>
      <c r="T296" s="5" t="str">
        <f t="shared" si="14"/>
        <v>60</v>
      </c>
    </row>
    <row r="297" spans="15:20">
      <c r="O297" s="5">
        <v>10</v>
      </c>
      <c r="P297" s="5">
        <v>72</v>
      </c>
      <c r="Q297" s="5">
        <v>60</v>
      </c>
      <c r="R297" s="7">
        <f t="shared" si="12"/>
        <v>0.1388888888888889</v>
      </c>
      <c r="S297">
        <f t="shared" si="13"/>
        <v>12</v>
      </c>
      <c r="T297" s="5" t="str">
        <f t="shared" si="14"/>
        <v>12</v>
      </c>
    </row>
    <row r="298" spans="15:20">
      <c r="O298" s="3">
        <v>-9</v>
      </c>
      <c r="P298" s="3">
        <v>116</v>
      </c>
      <c r="Q298" s="3">
        <v>60</v>
      </c>
      <c r="R298" s="7">
        <f t="shared" si="12"/>
        <v>-7.7586206896551727E-2</v>
      </c>
      <c r="S298">
        <f t="shared" si="13"/>
        <v>56</v>
      </c>
      <c r="T298" s="5" t="str">
        <f t="shared" si="14"/>
        <v>56</v>
      </c>
    </row>
    <row r="299" spans="15:20">
      <c r="O299" s="5">
        <v>42</v>
      </c>
      <c r="P299" s="5">
        <v>84</v>
      </c>
      <c r="Q299" s="5">
        <v>60</v>
      </c>
      <c r="R299" s="7">
        <f t="shared" si="12"/>
        <v>0.5</v>
      </c>
      <c r="S299">
        <f t="shared" si="13"/>
        <v>24</v>
      </c>
      <c r="T299" s="5" t="str">
        <f t="shared" si="14"/>
        <v>24</v>
      </c>
    </row>
    <row r="300" spans="15:20">
      <c r="O300" s="3">
        <v>9</v>
      </c>
      <c r="P300" s="3">
        <v>72</v>
      </c>
      <c r="Q300" s="3">
        <v>50</v>
      </c>
      <c r="R300" s="7">
        <f t="shared" si="12"/>
        <v>0.125</v>
      </c>
      <c r="S300">
        <f t="shared" si="13"/>
        <v>22</v>
      </c>
      <c r="T300" s="5" t="str">
        <f t="shared" si="14"/>
        <v>22</v>
      </c>
    </row>
    <row r="301" spans="15:20">
      <c r="O301" s="5">
        <v>19</v>
      </c>
      <c r="P301" s="5">
        <v>98</v>
      </c>
      <c r="Q301" s="5">
        <v>60</v>
      </c>
      <c r="R301" s="7">
        <f t="shared" si="12"/>
        <v>0.19387755102040816</v>
      </c>
      <c r="S301">
        <f t="shared" si="13"/>
        <v>38</v>
      </c>
      <c r="T301" s="5" t="str">
        <f t="shared" si="14"/>
        <v>38</v>
      </c>
    </row>
    <row r="302" spans="15:20">
      <c r="O302" s="3">
        <v>27</v>
      </c>
      <c r="P302" s="3">
        <v>64</v>
      </c>
      <c r="Q302" s="3">
        <v>60</v>
      </c>
      <c r="R302" s="7">
        <f t="shared" si="12"/>
        <v>0.421875</v>
      </c>
      <c r="S302">
        <f t="shared" si="13"/>
        <v>4</v>
      </c>
      <c r="T302" s="5" t="str">
        <f t="shared" si="14"/>
        <v>4</v>
      </c>
    </row>
    <row r="303" spans="15:20">
      <c r="O303" s="5">
        <v>47</v>
      </c>
      <c r="P303" s="5">
        <v>46</v>
      </c>
      <c r="Q303" s="5">
        <v>40</v>
      </c>
      <c r="R303" s="7">
        <f t="shared" si="12"/>
        <v>1.0217391304347827</v>
      </c>
      <c r="S303">
        <f t="shared" si="13"/>
        <v>6</v>
      </c>
      <c r="T303" s="5" t="str">
        <f t="shared" si="14"/>
        <v>6</v>
      </c>
    </row>
    <row r="304" spans="15:20">
      <c r="O304" s="3">
        <v>-9</v>
      </c>
      <c r="P304" s="3">
        <v>116</v>
      </c>
      <c r="Q304" s="3">
        <v>50</v>
      </c>
      <c r="R304" s="7">
        <f t="shared" si="12"/>
        <v>-7.7586206896551727E-2</v>
      </c>
      <c r="S304">
        <f t="shared" si="13"/>
        <v>66</v>
      </c>
      <c r="T304" s="5" t="str">
        <f t="shared" si="14"/>
        <v>66</v>
      </c>
    </row>
    <row r="305" spans="15:20">
      <c r="O305" s="5">
        <v>0</v>
      </c>
      <c r="P305" s="5">
        <v>153</v>
      </c>
      <c r="Q305" s="5">
        <v>60</v>
      </c>
      <c r="R305" s="7">
        <f t="shared" si="12"/>
        <v>0</v>
      </c>
      <c r="S305">
        <f t="shared" si="13"/>
        <v>93</v>
      </c>
      <c r="T305" s="5" t="str">
        <f t="shared" si="14"/>
        <v>93</v>
      </c>
    </row>
    <row r="306" spans="15:20">
      <c r="O306" s="3">
        <v>43</v>
      </c>
      <c r="P306" s="3">
        <v>85</v>
      </c>
      <c r="Q306" s="3">
        <v>70</v>
      </c>
      <c r="R306" s="7">
        <f t="shared" si="12"/>
        <v>0.50588235294117645</v>
      </c>
      <c r="S306">
        <f t="shared" si="13"/>
        <v>15</v>
      </c>
      <c r="T306" s="5" t="str">
        <f t="shared" si="14"/>
        <v>15</v>
      </c>
    </row>
    <row r="307" spans="15:20">
      <c r="O307" s="5">
        <v>19</v>
      </c>
      <c r="P307" s="5">
        <v>129</v>
      </c>
      <c r="Q307" s="5">
        <v>80</v>
      </c>
      <c r="R307" s="7">
        <f t="shared" si="12"/>
        <v>0.14728682170542637</v>
      </c>
      <c r="S307">
        <f t="shared" si="13"/>
        <v>49</v>
      </c>
      <c r="T307" s="5" t="str">
        <f t="shared" si="14"/>
        <v>49</v>
      </c>
    </row>
    <row r="308" spans="15:20">
      <c r="O308" s="3">
        <v>16</v>
      </c>
      <c r="P308" s="3">
        <v>55</v>
      </c>
      <c r="Q308" s="3">
        <v>60</v>
      </c>
      <c r="R308" s="7">
        <f t="shared" si="12"/>
        <v>0.29090909090909089</v>
      </c>
      <c r="S308">
        <f t="shared" si="13"/>
        <v>-5</v>
      </c>
      <c r="T308" s="5" t="str">
        <f t="shared" si="14"/>
        <v>-5</v>
      </c>
    </row>
    <row r="309" spans="15:20">
      <c r="O309" s="5">
        <v>12</v>
      </c>
      <c r="P309" s="5">
        <v>87</v>
      </c>
      <c r="Q309" s="5">
        <v>60</v>
      </c>
      <c r="R309" s="7">
        <f t="shared" si="12"/>
        <v>0.13793103448275862</v>
      </c>
      <c r="S309">
        <f t="shared" si="13"/>
        <v>27</v>
      </c>
      <c r="T309" s="5" t="str">
        <f t="shared" si="14"/>
        <v>27</v>
      </c>
    </row>
    <row r="310" spans="15:20">
      <c r="O310" s="3">
        <v>7</v>
      </c>
      <c r="P310" s="3">
        <v>68</v>
      </c>
      <c r="Q310" s="3">
        <v>70</v>
      </c>
      <c r="R310" s="7">
        <f t="shared" si="12"/>
        <v>0.10294117647058823</v>
      </c>
      <c r="S310">
        <f t="shared" si="13"/>
        <v>-2</v>
      </c>
      <c r="T310" s="5" t="str">
        <f t="shared" si="14"/>
        <v>-2</v>
      </c>
    </row>
    <row r="311" spans="15:20">
      <c r="O311" s="5">
        <v>7</v>
      </c>
      <c r="P311" s="5">
        <v>68</v>
      </c>
      <c r="Q311" s="5">
        <v>60</v>
      </c>
      <c r="R311" s="7">
        <f t="shared" si="12"/>
        <v>0.10294117647058823</v>
      </c>
      <c r="S311">
        <f t="shared" si="13"/>
        <v>8</v>
      </c>
      <c r="T311" s="5" t="str">
        <f t="shared" si="14"/>
        <v>8</v>
      </c>
    </row>
    <row r="312" spans="15:20">
      <c r="O312" s="3">
        <v>-4</v>
      </c>
      <c r="P312" s="3">
        <v>81</v>
      </c>
      <c r="Q312" s="3">
        <v>70</v>
      </c>
      <c r="R312" s="7">
        <f t="shared" si="12"/>
        <v>-4.9382716049382713E-2</v>
      </c>
      <c r="S312">
        <f t="shared" si="13"/>
        <v>11</v>
      </c>
      <c r="T312" s="5" t="str">
        <f t="shared" si="14"/>
        <v>11</v>
      </c>
    </row>
    <row r="313" spans="15:20">
      <c r="O313" s="5">
        <v>43</v>
      </c>
      <c r="P313" s="5">
        <v>85</v>
      </c>
      <c r="Q313" s="5">
        <v>60</v>
      </c>
      <c r="R313" s="7">
        <f t="shared" si="12"/>
        <v>0.50588235294117645</v>
      </c>
      <c r="S313">
        <f t="shared" si="13"/>
        <v>25</v>
      </c>
      <c r="T313" s="5" t="str">
        <f t="shared" si="14"/>
        <v>25</v>
      </c>
    </row>
    <row r="314" spans="15:20">
      <c r="O314" s="3">
        <v>46</v>
      </c>
      <c r="P314" s="3">
        <v>46</v>
      </c>
      <c r="Q314" s="3">
        <v>40</v>
      </c>
      <c r="R314" s="7">
        <f t="shared" si="12"/>
        <v>1</v>
      </c>
      <c r="S314">
        <f t="shared" si="13"/>
        <v>6</v>
      </c>
      <c r="T314" s="5" t="str">
        <f t="shared" si="14"/>
        <v>6</v>
      </c>
    </row>
    <row r="315" spans="15:20">
      <c r="O315" s="5">
        <v>40</v>
      </c>
      <c r="P315" s="5">
        <v>86</v>
      </c>
      <c r="Q315" s="5">
        <v>70</v>
      </c>
      <c r="R315" s="7">
        <f t="shared" si="12"/>
        <v>0.46511627906976744</v>
      </c>
      <c r="S315">
        <f t="shared" si="13"/>
        <v>16</v>
      </c>
      <c r="T315" s="5" t="str">
        <f t="shared" si="14"/>
        <v>16</v>
      </c>
    </row>
    <row r="316" spans="15:20">
      <c r="O316" s="3">
        <v>-13</v>
      </c>
      <c r="P316" s="3">
        <v>130</v>
      </c>
      <c r="Q316" s="3">
        <v>110</v>
      </c>
      <c r="R316" s="7">
        <f t="shared" si="12"/>
        <v>-0.1</v>
      </c>
      <c r="S316">
        <f t="shared" si="13"/>
        <v>20</v>
      </c>
      <c r="T316" s="5" t="str">
        <f t="shared" si="14"/>
        <v>20</v>
      </c>
    </row>
    <row r="317" spans="15:20">
      <c r="O317" s="5">
        <v>-12</v>
      </c>
      <c r="P317" s="5">
        <v>130</v>
      </c>
      <c r="Q317" s="5">
        <v>110</v>
      </c>
      <c r="R317" s="7">
        <f t="shared" si="12"/>
        <v>-9.2307692307692313E-2</v>
      </c>
      <c r="S317">
        <f t="shared" si="13"/>
        <v>20</v>
      </c>
      <c r="T317" s="5" t="str">
        <f t="shared" si="14"/>
        <v>20</v>
      </c>
    </row>
    <row r="318" spans="15:20">
      <c r="O318" s="3">
        <v>13</v>
      </c>
      <c r="P318" s="3">
        <v>87</v>
      </c>
      <c r="Q318" s="3">
        <v>60</v>
      </c>
      <c r="R318" s="7">
        <f t="shared" si="12"/>
        <v>0.14942528735632185</v>
      </c>
      <c r="S318">
        <f t="shared" si="13"/>
        <v>27</v>
      </c>
      <c r="T318" s="5" t="str">
        <f t="shared" si="14"/>
        <v>27</v>
      </c>
    </row>
    <row r="319" spans="15:20">
      <c r="O319" s="5">
        <v>-4</v>
      </c>
      <c r="P319" s="5">
        <v>81</v>
      </c>
      <c r="Q319" s="5">
        <v>60</v>
      </c>
      <c r="R319" s="7">
        <f t="shared" si="12"/>
        <v>-4.9382716049382713E-2</v>
      </c>
      <c r="S319">
        <f t="shared" si="13"/>
        <v>21</v>
      </c>
      <c r="T319" s="5" t="str">
        <f t="shared" si="14"/>
        <v>21</v>
      </c>
    </row>
    <row r="320" spans="15:20">
      <c r="O320" s="3">
        <v>-6</v>
      </c>
      <c r="P320" s="3">
        <v>79</v>
      </c>
      <c r="Q320" s="3">
        <v>60</v>
      </c>
      <c r="R320" s="7">
        <f t="shared" si="12"/>
        <v>-7.5949367088607597E-2</v>
      </c>
      <c r="S320">
        <f t="shared" si="13"/>
        <v>19</v>
      </c>
      <c r="T320" s="5" t="str">
        <f t="shared" si="14"/>
        <v>19</v>
      </c>
    </row>
    <row r="321" spans="15:20">
      <c r="O321" s="5">
        <v>47</v>
      </c>
      <c r="P321" s="5">
        <v>46</v>
      </c>
      <c r="Q321" s="5">
        <v>40</v>
      </c>
      <c r="R321" s="7">
        <f t="shared" si="12"/>
        <v>1.0217391304347827</v>
      </c>
      <c r="S321">
        <f t="shared" si="13"/>
        <v>6</v>
      </c>
      <c r="T321" s="5" t="str">
        <f t="shared" si="14"/>
        <v>6</v>
      </c>
    </row>
    <row r="322" spans="15:20">
      <c r="O322" s="3">
        <v>-10</v>
      </c>
      <c r="P322" s="3">
        <v>113</v>
      </c>
      <c r="Q322" s="3">
        <v>70</v>
      </c>
      <c r="R322" s="7">
        <f t="shared" ref="R322:R385" si="15">O322/P322</f>
        <v>-8.8495575221238937E-2</v>
      </c>
      <c r="S322">
        <f t="shared" ref="S322:S385" si="16">P322-Q322</f>
        <v>43</v>
      </c>
      <c r="T322" s="5" t="str">
        <f t="shared" ref="T322:T385" si="17">TRIM(S:S)</f>
        <v>43</v>
      </c>
    </row>
    <row r="323" spans="15:20">
      <c r="O323" s="5">
        <v>37</v>
      </c>
      <c r="P323" s="5">
        <v>78</v>
      </c>
      <c r="Q323" s="5">
        <v>60</v>
      </c>
      <c r="R323" s="7">
        <f t="shared" si="15"/>
        <v>0.47435897435897434</v>
      </c>
      <c r="S323">
        <f t="shared" si="16"/>
        <v>18</v>
      </c>
      <c r="T323" s="5" t="str">
        <f t="shared" si="17"/>
        <v>18</v>
      </c>
    </row>
    <row r="324" spans="15:20">
      <c r="O324" s="3">
        <v>43</v>
      </c>
      <c r="P324" s="3">
        <v>87</v>
      </c>
      <c r="Q324" s="3">
        <v>70</v>
      </c>
      <c r="R324" s="7">
        <f t="shared" si="15"/>
        <v>0.4942528735632184</v>
      </c>
      <c r="S324">
        <f t="shared" si="16"/>
        <v>17</v>
      </c>
      <c r="T324" s="5" t="str">
        <f t="shared" si="17"/>
        <v>17</v>
      </c>
    </row>
    <row r="325" spans="15:20">
      <c r="O325" s="5">
        <v>10</v>
      </c>
      <c r="P325" s="5">
        <v>110</v>
      </c>
      <c r="Q325" s="5">
        <v>70</v>
      </c>
      <c r="R325" s="7">
        <f t="shared" si="15"/>
        <v>9.0909090909090912E-2</v>
      </c>
      <c r="S325">
        <f t="shared" si="16"/>
        <v>40</v>
      </c>
      <c r="T325" s="5" t="str">
        <f t="shared" si="17"/>
        <v>40</v>
      </c>
    </row>
    <row r="326" spans="15:20">
      <c r="O326" s="3">
        <v>39</v>
      </c>
      <c r="P326" s="3">
        <v>80</v>
      </c>
      <c r="Q326" s="3">
        <v>70</v>
      </c>
      <c r="R326" s="7">
        <f t="shared" si="15"/>
        <v>0.48749999999999999</v>
      </c>
      <c r="S326">
        <f t="shared" si="16"/>
        <v>10</v>
      </c>
      <c r="T326" s="5" t="str">
        <f t="shared" si="17"/>
        <v>10</v>
      </c>
    </row>
    <row r="327" spans="15:20">
      <c r="O327" s="5">
        <v>37</v>
      </c>
      <c r="P327" s="5">
        <v>78</v>
      </c>
      <c r="Q327" s="5">
        <v>70</v>
      </c>
      <c r="R327" s="7">
        <f t="shared" si="15"/>
        <v>0.47435897435897434</v>
      </c>
      <c r="S327">
        <f t="shared" si="16"/>
        <v>8</v>
      </c>
      <c r="T327" s="5" t="str">
        <f t="shared" si="17"/>
        <v>8</v>
      </c>
    </row>
    <row r="328" spans="15:20">
      <c r="O328" s="3">
        <v>19</v>
      </c>
      <c r="P328" s="3">
        <v>60</v>
      </c>
      <c r="Q328" s="3">
        <v>70</v>
      </c>
      <c r="R328" s="7">
        <f t="shared" si="15"/>
        <v>0.31666666666666665</v>
      </c>
      <c r="S328">
        <f t="shared" si="16"/>
        <v>-10</v>
      </c>
      <c r="T328" s="5" t="str">
        <f t="shared" si="17"/>
        <v>-10</v>
      </c>
    </row>
    <row r="329" spans="15:20">
      <c r="O329" s="5">
        <v>46</v>
      </c>
      <c r="P329" s="5">
        <v>46</v>
      </c>
      <c r="Q329" s="5">
        <v>40</v>
      </c>
      <c r="R329" s="7">
        <f t="shared" si="15"/>
        <v>1</v>
      </c>
      <c r="S329">
        <f t="shared" si="16"/>
        <v>6</v>
      </c>
      <c r="T329" s="5" t="str">
        <f t="shared" si="17"/>
        <v>6</v>
      </c>
    </row>
    <row r="330" spans="15:20">
      <c r="O330" s="3">
        <v>39</v>
      </c>
      <c r="P330" s="3">
        <v>82</v>
      </c>
      <c r="Q330" s="3">
        <v>70</v>
      </c>
      <c r="R330" s="7">
        <f t="shared" si="15"/>
        <v>0.47560975609756095</v>
      </c>
      <c r="S330">
        <f t="shared" si="16"/>
        <v>12</v>
      </c>
      <c r="T330" s="5" t="str">
        <f t="shared" si="17"/>
        <v>12</v>
      </c>
    </row>
    <row r="331" spans="15:20">
      <c r="O331" s="5">
        <v>45</v>
      </c>
      <c r="P331" s="5">
        <v>91</v>
      </c>
      <c r="Q331" s="5">
        <v>70</v>
      </c>
      <c r="R331" s="7">
        <f t="shared" si="15"/>
        <v>0.49450549450549453</v>
      </c>
      <c r="S331">
        <f t="shared" si="16"/>
        <v>21</v>
      </c>
      <c r="T331" s="5" t="str">
        <f t="shared" si="17"/>
        <v>21</v>
      </c>
    </row>
    <row r="332" spans="15:20">
      <c r="O332" s="3">
        <v>3</v>
      </c>
      <c r="P332" s="3">
        <v>94</v>
      </c>
      <c r="Q332" s="3">
        <v>60</v>
      </c>
      <c r="R332" s="7">
        <f t="shared" si="15"/>
        <v>3.1914893617021274E-2</v>
      </c>
      <c r="S332">
        <f t="shared" si="16"/>
        <v>34</v>
      </c>
      <c r="T332" s="5" t="str">
        <f t="shared" si="17"/>
        <v>34</v>
      </c>
    </row>
    <row r="333" spans="15:20">
      <c r="O333" s="5">
        <v>10</v>
      </c>
      <c r="P333" s="5">
        <v>74</v>
      </c>
      <c r="Q333" s="5">
        <v>60</v>
      </c>
      <c r="R333" s="7">
        <f t="shared" si="15"/>
        <v>0.13513513513513514</v>
      </c>
      <c r="S333">
        <f t="shared" si="16"/>
        <v>14</v>
      </c>
      <c r="T333" s="5" t="str">
        <f t="shared" si="17"/>
        <v>14</v>
      </c>
    </row>
    <row r="334" spans="15:20">
      <c r="O334" s="3">
        <v>16</v>
      </c>
      <c r="P334" s="3">
        <v>95</v>
      </c>
      <c r="Q334" s="3">
        <v>70</v>
      </c>
      <c r="R334" s="7">
        <f t="shared" si="15"/>
        <v>0.16842105263157894</v>
      </c>
      <c r="S334">
        <f t="shared" si="16"/>
        <v>25</v>
      </c>
      <c r="T334" s="5" t="str">
        <f t="shared" si="17"/>
        <v>25</v>
      </c>
    </row>
    <row r="335" spans="15:20">
      <c r="O335" s="5">
        <v>3</v>
      </c>
      <c r="P335" s="5">
        <v>94</v>
      </c>
      <c r="Q335" s="5">
        <v>70</v>
      </c>
      <c r="R335" s="7">
        <f t="shared" si="15"/>
        <v>3.1914893617021274E-2</v>
      </c>
      <c r="S335">
        <f t="shared" si="16"/>
        <v>24</v>
      </c>
      <c r="T335" s="5" t="str">
        <f t="shared" si="17"/>
        <v>24</v>
      </c>
    </row>
    <row r="336" spans="15:20">
      <c r="O336" s="3">
        <v>47</v>
      </c>
      <c r="P336" s="3">
        <v>46</v>
      </c>
      <c r="Q336" s="3">
        <v>40</v>
      </c>
      <c r="R336" s="7">
        <f t="shared" si="15"/>
        <v>1.0217391304347827</v>
      </c>
      <c r="S336">
        <f t="shared" si="16"/>
        <v>6</v>
      </c>
      <c r="T336" s="5" t="str">
        <f t="shared" si="17"/>
        <v>6</v>
      </c>
    </row>
    <row r="337" spans="15:20">
      <c r="O337" s="5">
        <v>45</v>
      </c>
      <c r="P337" s="5">
        <v>114</v>
      </c>
      <c r="Q337" s="5">
        <v>70</v>
      </c>
      <c r="R337" s="7">
        <f t="shared" si="15"/>
        <v>0.39473684210526316</v>
      </c>
      <c r="S337">
        <f t="shared" si="16"/>
        <v>44</v>
      </c>
      <c r="T337" s="5" t="str">
        <f t="shared" si="17"/>
        <v>44</v>
      </c>
    </row>
    <row r="338" spans="15:20">
      <c r="O338" s="3">
        <v>18</v>
      </c>
      <c r="P338" s="3">
        <v>95</v>
      </c>
      <c r="Q338" s="3">
        <v>60</v>
      </c>
      <c r="R338" s="7">
        <f t="shared" si="15"/>
        <v>0.18947368421052632</v>
      </c>
      <c r="S338">
        <f t="shared" si="16"/>
        <v>35</v>
      </c>
      <c r="T338" s="5" t="str">
        <f t="shared" si="17"/>
        <v>35</v>
      </c>
    </row>
    <row r="339" spans="15:20">
      <c r="O339" s="5">
        <v>42</v>
      </c>
      <c r="P339" s="5">
        <v>113</v>
      </c>
      <c r="Q339" s="5">
        <v>70</v>
      </c>
      <c r="R339" s="7">
        <f t="shared" si="15"/>
        <v>0.37168141592920356</v>
      </c>
      <c r="S339">
        <f t="shared" si="16"/>
        <v>43</v>
      </c>
      <c r="T339" s="5" t="str">
        <f t="shared" si="17"/>
        <v>43</v>
      </c>
    </row>
    <row r="340" spans="15:20">
      <c r="O340" s="3">
        <v>-5</v>
      </c>
      <c r="P340" s="3">
        <v>122</v>
      </c>
      <c r="Q340" s="3">
        <v>110</v>
      </c>
      <c r="R340" s="7">
        <f t="shared" si="15"/>
        <v>-4.0983606557377046E-2</v>
      </c>
      <c r="S340">
        <f t="shared" si="16"/>
        <v>12</v>
      </c>
      <c r="T340" s="5" t="str">
        <f t="shared" si="17"/>
        <v>12</v>
      </c>
    </row>
    <row r="341" spans="15:20">
      <c r="O341" s="5">
        <v>26</v>
      </c>
      <c r="P341" s="5">
        <v>123</v>
      </c>
      <c r="Q341" s="5">
        <v>110</v>
      </c>
      <c r="R341" s="7">
        <f t="shared" si="15"/>
        <v>0.21138211382113822</v>
      </c>
      <c r="S341">
        <f t="shared" si="16"/>
        <v>13</v>
      </c>
      <c r="T341" s="5" t="str">
        <f t="shared" si="17"/>
        <v>13</v>
      </c>
    </row>
    <row r="342" spans="15:20">
      <c r="O342" s="3">
        <v>28</v>
      </c>
      <c r="P342" s="3">
        <v>107</v>
      </c>
      <c r="Q342" s="3">
        <v>100</v>
      </c>
      <c r="R342" s="7">
        <f t="shared" si="15"/>
        <v>0.26168224299065418</v>
      </c>
      <c r="S342">
        <f t="shared" si="16"/>
        <v>7</v>
      </c>
      <c r="T342" s="5" t="str">
        <f t="shared" si="17"/>
        <v>7</v>
      </c>
    </row>
    <row r="343" spans="15:20">
      <c r="O343" s="5">
        <v>-11</v>
      </c>
      <c r="P343" s="5">
        <v>116</v>
      </c>
      <c r="Q343" s="5">
        <v>100</v>
      </c>
      <c r="R343" s="7">
        <f t="shared" si="15"/>
        <v>-9.4827586206896547E-2</v>
      </c>
      <c r="S343">
        <f t="shared" si="16"/>
        <v>16</v>
      </c>
      <c r="T343" s="5" t="str">
        <f t="shared" si="17"/>
        <v>16</v>
      </c>
    </row>
    <row r="344" spans="15:20">
      <c r="O344" s="3">
        <v>55</v>
      </c>
      <c r="P344" s="3">
        <v>182</v>
      </c>
      <c r="Q344" s="3">
        <v>110</v>
      </c>
      <c r="R344" s="7">
        <f t="shared" si="15"/>
        <v>0.30219780219780218</v>
      </c>
      <c r="S344">
        <f t="shared" si="16"/>
        <v>72</v>
      </c>
      <c r="T344" s="5" t="str">
        <f t="shared" si="17"/>
        <v>72</v>
      </c>
    </row>
    <row r="345" spans="15:20">
      <c r="O345" s="5">
        <v>46</v>
      </c>
      <c r="P345" s="5">
        <v>118</v>
      </c>
      <c r="Q345" s="5">
        <v>120</v>
      </c>
      <c r="R345" s="7">
        <f t="shared" si="15"/>
        <v>0.38983050847457629</v>
      </c>
      <c r="S345">
        <f t="shared" si="16"/>
        <v>-2</v>
      </c>
      <c r="T345" s="5" t="str">
        <f t="shared" si="17"/>
        <v>-2</v>
      </c>
    </row>
    <row r="346" spans="15:20">
      <c r="O346" s="3">
        <v>58</v>
      </c>
      <c r="P346" s="3">
        <v>159</v>
      </c>
      <c r="Q346" s="3">
        <v>100</v>
      </c>
      <c r="R346" s="7">
        <f t="shared" si="15"/>
        <v>0.36477987421383645</v>
      </c>
      <c r="S346">
        <f t="shared" si="16"/>
        <v>59</v>
      </c>
      <c r="T346" s="5" t="str">
        <f t="shared" si="17"/>
        <v>59</v>
      </c>
    </row>
    <row r="347" spans="15:20">
      <c r="O347" s="5">
        <v>27</v>
      </c>
      <c r="P347" s="5">
        <v>123</v>
      </c>
      <c r="Q347" s="5">
        <v>100</v>
      </c>
      <c r="R347" s="7">
        <f t="shared" si="15"/>
        <v>0.21951219512195122</v>
      </c>
      <c r="S347">
        <f t="shared" si="16"/>
        <v>23</v>
      </c>
      <c r="T347" s="5" t="str">
        <f t="shared" si="17"/>
        <v>23</v>
      </c>
    </row>
    <row r="348" spans="15:20">
      <c r="O348" s="3">
        <v>16</v>
      </c>
      <c r="P348" s="3">
        <v>126</v>
      </c>
      <c r="Q348" s="3">
        <v>110</v>
      </c>
      <c r="R348" s="7">
        <f t="shared" si="15"/>
        <v>0.12698412698412698</v>
      </c>
      <c r="S348">
        <f t="shared" si="16"/>
        <v>16</v>
      </c>
      <c r="T348" s="5" t="str">
        <f t="shared" si="17"/>
        <v>16</v>
      </c>
    </row>
    <row r="349" spans="15:20">
      <c r="O349" s="5">
        <v>16</v>
      </c>
      <c r="P349" s="5">
        <v>126</v>
      </c>
      <c r="Q349" s="5">
        <v>110</v>
      </c>
      <c r="R349" s="7">
        <f t="shared" si="15"/>
        <v>0.12698412698412698</v>
      </c>
      <c r="S349">
        <f t="shared" si="16"/>
        <v>16</v>
      </c>
      <c r="T349" s="5" t="str">
        <f t="shared" si="17"/>
        <v>16</v>
      </c>
    </row>
    <row r="350" spans="15:20">
      <c r="O350" s="3">
        <v>23</v>
      </c>
      <c r="P350" s="3">
        <v>114</v>
      </c>
      <c r="Q350" s="3">
        <v>90</v>
      </c>
      <c r="R350" s="7">
        <f t="shared" si="15"/>
        <v>0.20175438596491227</v>
      </c>
      <c r="S350">
        <f t="shared" si="16"/>
        <v>24</v>
      </c>
      <c r="T350" s="5" t="str">
        <f t="shared" si="17"/>
        <v>24</v>
      </c>
    </row>
    <row r="351" spans="15:20">
      <c r="O351" s="5">
        <v>-3</v>
      </c>
      <c r="P351" s="5">
        <v>125</v>
      </c>
      <c r="Q351" s="5">
        <v>120</v>
      </c>
      <c r="R351" s="7">
        <f t="shared" si="15"/>
        <v>-2.4E-2</v>
      </c>
      <c r="S351">
        <f t="shared" si="16"/>
        <v>5</v>
      </c>
      <c r="T351" s="5" t="str">
        <f t="shared" si="17"/>
        <v>5</v>
      </c>
    </row>
    <row r="352" spans="15:20">
      <c r="O352" s="3">
        <v>32</v>
      </c>
      <c r="P352" s="3">
        <v>114</v>
      </c>
      <c r="Q352" s="3">
        <v>110</v>
      </c>
      <c r="R352" s="7">
        <f t="shared" si="15"/>
        <v>0.2807017543859649</v>
      </c>
      <c r="S352">
        <f t="shared" si="16"/>
        <v>4</v>
      </c>
      <c r="T352" s="5" t="str">
        <f t="shared" si="17"/>
        <v>4</v>
      </c>
    </row>
    <row r="353" spans="15:20">
      <c r="O353" s="5">
        <v>-4</v>
      </c>
      <c r="P353" s="5">
        <v>125</v>
      </c>
      <c r="Q353" s="5">
        <v>110</v>
      </c>
      <c r="R353" s="7">
        <f t="shared" si="15"/>
        <v>-3.2000000000000001E-2</v>
      </c>
      <c r="S353">
        <f t="shared" si="16"/>
        <v>15</v>
      </c>
      <c r="T353" s="5" t="str">
        <f t="shared" si="17"/>
        <v>15</v>
      </c>
    </row>
    <row r="354" spans="15:20">
      <c r="O354" s="3">
        <v>32</v>
      </c>
      <c r="P354" s="3">
        <v>138</v>
      </c>
      <c r="Q354" s="3">
        <v>120</v>
      </c>
      <c r="R354" s="7">
        <f t="shared" si="15"/>
        <v>0.2318840579710145</v>
      </c>
      <c r="S354">
        <f t="shared" si="16"/>
        <v>18</v>
      </c>
      <c r="T354" s="5" t="str">
        <f t="shared" si="17"/>
        <v>18</v>
      </c>
    </row>
    <row r="355" spans="15:20">
      <c r="O355" s="5">
        <v>32</v>
      </c>
      <c r="P355" s="5">
        <v>138</v>
      </c>
      <c r="Q355" s="5">
        <v>120</v>
      </c>
      <c r="R355" s="7">
        <f t="shared" si="15"/>
        <v>0.2318840579710145</v>
      </c>
      <c r="S355">
        <f t="shared" si="16"/>
        <v>18</v>
      </c>
      <c r="T355" s="5" t="str">
        <f t="shared" si="17"/>
        <v>18</v>
      </c>
    </row>
    <row r="356" spans="15:20">
      <c r="O356" s="3">
        <v>47</v>
      </c>
      <c r="P356" s="3">
        <v>123</v>
      </c>
      <c r="Q356" s="3">
        <v>120</v>
      </c>
      <c r="R356" s="7">
        <f t="shared" si="15"/>
        <v>0.38211382113821141</v>
      </c>
      <c r="S356">
        <f t="shared" si="16"/>
        <v>3</v>
      </c>
      <c r="T356" s="5" t="str">
        <f t="shared" si="17"/>
        <v>3</v>
      </c>
    </row>
    <row r="357" spans="15:20">
      <c r="O357" s="5">
        <v>26</v>
      </c>
      <c r="P357" s="5">
        <v>124</v>
      </c>
      <c r="Q357" s="5">
        <v>120</v>
      </c>
      <c r="R357" s="7">
        <f t="shared" si="15"/>
        <v>0.20967741935483872</v>
      </c>
      <c r="S357">
        <f t="shared" si="16"/>
        <v>4</v>
      </c>
      <c r="T357" s="5" t="str">
        <f t="shared" si="17"/>
        <v>4</v>
      </c>
    </row>
    <row r="358" spans="15:20">
      <c r="O358" s="3">
        <v>52</v>
      </c>
      <c r="P358" s="3">
        <v>132</v>
      </c>
      <c r="Q358" s="3">
        <v>120</v>
      </c>
      <c r="R358" s="7">
        <f t="shared" si="15"/>
        <v>0.39393939393939392</v>
      </c>
      <c r="S358">
        <f t="shared" si="16"/>
        <v>12</v>
      </c>
      <c r="T358" s="5" t="str">
        <f t="shared" si="17"/>
        <v>12</v>
      </c>
    </row>
    <row r="359" spans="15:20">
      <c r="O359" s="5">
        <v>20</v>
      </c>
      <c r="P359" s="5">
        <v>109</v>
      </c>
      <c r="Q359" s="5">
        <v>120</v>
      </c>
      <c r="R359" s="7">
        <f t="shared" si="15"/>
        <v>0.1834862385321101</v>
      </c>
      <c r="S359">
        <f t="shared" si="16"/>
        <v>-11</v>
      </c>
      <c r="T359" s="5" t="str">
        <f t="shared" si="17"/>
        <v>-11</v>
      </c>
    </row>
    <row r="360" spans="15:20">
      <c r="O360" s="3">
        <v>1</v>
      </c>
      <c r="P360" s="3">
        <v>147</v>
      </c>
      <c r="Q360" s="3">
        <v>110</v>
      </c>
      <c r="R360" s="7">
        <f t="shared" si="15"/>
        <v>6.8027210884353739E-3</v>
      </c>
      <c r="S360">
        <f t="shared" si="16"/>
        <v>37</v>
      </c>
      <c r="T360" s="5" t="str">
        <f t="shared" si="17"/>
        <v>37</v>
      </c>
    </row>
    <row r="361" spans="15:20">
      <c r="O361" s="5">
        <v>16</v>
      </c>
      <c r="P361" s="5">
        <v>124</v>
      </c>
      <c r="Q361" s="5">
        <v>120</v>
      </c>
      <c r="R361" s="7">
        <f t="shared" si="15"/>
        <v>0.12903225806451613</v>
      </c>
      <c r="S361">
        <f t="shared" si="16"/>
        <v>4</v>
      </c>
      <c r="T361" s="5" t="str">
        <f t="shared" si="17"/>
        <v>4</v>
      </c>
    </row>
    <row r="362" spans="15:20">
      <c r="O362" s="3">
        <v>38</v>
      </c>
      <c r="P362" s="3">
        <v>184</v>
      </c>
      <c r="Q362" s="3">
        <v>130</v>
      </c>
      <c r="R362" s="7">
        <f t="shared" si="15"/>
        <v>0.20652173913043478</v>
      </c>
      <c r="S362">
        <f t="shared" si="16"/>
        <v>54</v>
      </c>
      <c r="T362" s="5" t="str">
        <f t="shared" si="17"/>
        <v>54</v>
      </c>
    </row>
    <row r="363" spans="15:20">
      <c r="O363" s="5">
        <v>2</v>
      </c>
      <c r="P363" s="5">
        <v>147</v>
      </c>
      <c r="Q363" s="5">
        <v>120</v>
      </c>
      <c r="R363" s="7">
        <f t="shared" si="15"/>
        <v>1.3605442176870748E-2</v>
      </c>
      <c r="S363">
        <f t="shared" si="16"/>
        <v>27</v>
      </c>
      <c r="T363" s="5" t="str">
        <f t="shared" si="17"/>
        <v>27</v>
      </c>
    </row>
    <row r="364" spans="15:20">
      <c r="O364" s="3">
        <v>49</v>
      </c>
      <c r="P364" s="3">
        <v>141</v>
      </c>
      <c r="Q364" s="3">
        <v>100</v>
      </c>
      <c r="R364" s="7">
        <f t="shared" si="15"/>
        <v>0.3475177304964539</v>
      </c>
      <c r="S364">
        <f t="shared" si="16"/>
        <v>41</v>
      </c>
      <c r="T364" s="5" t="str">
        <f t="shared" si="17"/>
        <v>41</v>
      </c>
    </row>
    <row r="365" spans="15:20">
      <c r="O365" s="5">
        <v>-6</v>
      </c>
      <c r="P365" s="5">
        <v>112</v>
      </c>
      <c r="Q365" s="5">
        <v>110</v>
      </c>
      <c r="R365" s="7">
        <f t="shared" si="15"/>
        <v>-5.3571428571428568E-2</v>
      </c>
      <c r="S365">
        <f t="shared" si="16"/>
        <v>2</v>
      </c>
      <c r="T365" s="5" t="str">
        <f t="shared" si="17"/>
        <v>2</v>
      </c>
    </row>
    <row r="366" spans="15:20">
      <c r="O366" s="3">
        <v>29</v>
      </c>
      <c r="P366" s="3">
        <v>127</v>
      </c>
      <c r="Q366" s="3">
        <v>120</v>
      </c>
      <c r="R366" s="7">
        <f t="shared" si="15"/>
        <v>0.2283464566929134</v>
      </c>
      <c r="S366">
        <f t="shared" si="16"/>
        <v>7</v>
      </c>
      <c r="T366" s="5" t="str">
        <f t="shared" si="17"/>
        <v>7</v>
      </c>
    </row>
    <row r="367" spans="15:20">
      <c r="O367" s="5">
        <v>47</v>
      </c>
      <c r="P367" s="5">
        <v>168</v>
      </c>
      <c r="Q367" s="5">
        <v>120</v>
      </c>
      <c r="R367" s="7">
        <f t="shared" si="15"/>
        <v>0.27976190476190477</v>
      </c>
      <c r="S367">
        <f t="shared" si="16"/>
        <v>48</v>
      </c>
      <c r="T367" s="5" t="str">
        <f t="shared" si="17"/>
        <v>48</v>
      </c>
    </row>
    <row r="368" spans="15:20">
      <c r="O368" s="3">
        <v>53</v>
      </c>
      <c r="P368" s="3">
        <v>133</v>
      </c>
      <c r="Q368" s="3">
        <v>110</v>
      </c>
      <c r="R368" s="7">
        <f t="shared" si="15"/>
        <v>0.39849624060150374</v>
      </c>
      <c r="S368">
        <f t="shared" si="16"/>
        <v>23</v>
      </c>
      <c r="T368" s="5" t="str">
        <f t="shared" si="17"/>
        <v>23</v>
      </c>
    </row>
    <row r="369" spans="15:20">
      <c r="O369" s="5">
        <v>36</v>
      </c>
      <c r="P369" s="5">
        <v>139</v>
      </c>
      <c r="Q369" s="5">
        <v>130</v>
      </c>
      <c r="R369" s="7">
        <f t="shared" si="15"/>
        <v>0.25899280575539568</v>
      </c>
      <c r="S369">
        <f t="shared" si="16"/>
        <v>9</v>
      </c>
      <c r="T369" s="5" t="str">
        <f t="shared" si="17"/>
        <v>9</v>
      </c>
    </row>
    <row r="370" spans="15:20">
      <c r="O370" s="3">
        <v>21</v>
      </c>
      <c r="P370" s="3">
        <v>114</v>
      </c>
      <c r="Q370" s="3">
        <v>110</v>
      </c>
      <c r="R370" s="7">
        <f t="shared" si="15"/>
        <v>0.18421052631578946</v>
      </c>
      <c r="S370">
        <f t="shared" si="16"/>
        <v>4</v>
      </c>
      <c r="T370" s="5" t="str">
        <f t="shared" si="17"/>
        <v>4</v>
      </c>
    </row>
    <row r="371" spans="15:20">
      <c r="O371" s="5">
        <v>47</v>
      </c>
      <c r="P371" s="5">
        <v>123</v>
      </c>
      <c r="Q371" s="5">
        <v>110</v>
      </c>
      <c r="R371" s="7">
        <f t="shared" si="15"/>
        <v>0.38211382113821141</v>
      </c>
      <c r="S371">
        <f t="shared" si="16"/>
        <v>13</v>
      </c>
      <c r="T371" s="5" t="str">
        <f t="shared" si="17"/>
        <v>13</v>
      </c>
    </row>
    <row r="372" spans="15:20">
      <c r="O372" s="3">
        <v>37</v>
      </c>
      <c r="P372" s="3">
        <v>127</v>
      </c>
      <c r="Q372" s="3">
        <v>110</v>
      </c>
      <c r="R372" s="7">
        <f t="shared" si="15"/>
        <v>0.29133858267716534</v>
      </c>
      <c r="S372">
        <f t="shared" si="16"/>
        <v>17</v>
      </c>
      <c r="T372" s="5" t="str">
        <f t="shared" si="17"/>
        <v>17</v>
      </c>
    </row>
    <row r="373" spans="15:20">
      <c r="O373" s="5">
        <v>-2</v>
      </c>
      <c r="P373" s="5">
        <v>131</v>
      </c>
      <c r="Q373" s="5">
        <v>120</v>
      </c>
      <c r="R373" s="7">
        <f t="shared" si="15"/>
        <v>-1.5267175572519083E-2</v>
      </c>
      <c r="S373">
        <f t="shared" si="16"/>
        <v>11</v>
      </c>
      <c r="T373" s="5" t="str">
        <f t="shared" si="17"/>
        <v>11</v>
      </c>
    </row>
    <row r="374" spans="15:20">
      <c r="O374" s="3">
        <v>-4</v>
      </c>
      <c r="P374" s="3">
        <v>118</v>
      </c>
      <c r="Q374" s="3">
        <v>110</v>
      </c>
      <c r="R374" s="7">
        <f t="shared" si="15"/>
        <v>-3.3898305084745763E-2</v>
      </c>
      <c r="S374">
        <f t="shared" si="16"/>
        <v>8</v>
      </c>
      <c r="T374" s="5" t="str">
        <f t="shared" si="17"/>
        <v>8</v>
      </c>
    </row>
    <row r="375" spans="15:20">
      <c r="O375" s="5">
        <v>1</v>
      </c>
      <c r="P375" s="5">
        <v>98</v>
      </c>
      <c r="Q375" s="5">
        <v>110</v>
      </c>
      <c r="R375" s="7">
        <f t="shared" si="15"/>
        <v>1.020408163265306E-2</v>
      </c>
      <c r="S375">
        <f t="shared" si="16"/>
        <v>-12</v>
      </c>
      <c r="T375" s="5" t="str">
        <f t="shared" si="17"/>
        <v>-12</v>
      </c>
    </row>
    <row r="376" spans="15:20">
      <c r="O376" s="3">
        <v>28</v>
      </c>
      <c r="P376" s="3">
        <v>127</v>
      </c>
      <c r="Q376" s="3">
        <v>120</v>
      </c>
      <c r="R376" s="7">
        <f t="shared" si="15"/>
        <v>0.22047244094488189</v>
      </c>
      <c r="S376">
        <f t="shared" si="16"/>
        <v>7</v>
      </c>
      <c r="T376" s="5" t="str">
        <f t="shared" si="17"/>
        <v>7</v>
      </c>
    </row>
    <row r="377" spans="15:20">
      <c r="O377" s="5">
        <v>22</v>
      </c>
      <c r="P377" s="5">
        <v>145</v>
      </c>
      <c r="Q377" s="5">
        <v>130</v>
      </c>
      <c r="R377" s="7">
        <f t="shared" si="15"/>
        <v>0.15172413793103448</v>
      </c>
      <c r="S377">
        <f t="shared" si="16"/>
        <v>15</v>
      </c>
      <c r="T377" s="5" t="str">
        <f t="shared" si="17"/>
        <v>15</v>
      </c>
    </row>
    <row r="378" spans="15:20">
      <c r="O378" s="3">
        <v>36</v>
      </c>
      <c r="P378" s="3">
        <v>127</v>
      </c>
      <c r="Q378" s="3">
        <v>110</v>
      </c>
      <c r="R378" s="7">
        <f t="shared" si="15"/>
        <v>0.28346456692913385</v>
      </c>
      <c r="S378">
        <f t="shared" si="16"/>
        <v>17</v>
      </c>
      <c r="T378" s="5" t="str">
        <f t="shared" si="17"/>
        <v>17</v>
      </c>
    </row>
    <row r="379" spans="15:20">
      <c r="O379" s="5">
        <v>28</v>
      </c>
      <c r="P379" s="5">
        <v>122</v>
      </c>
      <c r="Q379" s="5">
        <v>110</v>
      </c>
      <c r="R379" s="7">
        <f t="shared" si="15"/>
        <v>0.22950819672131148</v>
      </c>
      <c r="S379">
        <f t="shared" si="16"/>
        <v>12</v>
      </c>
      <c r="T379" s="5" t="str">
        <f t="shared" si="17"/>
        <v>12</v>
      </c>
    </row>
    <row r="380" spans="15:20">
      <c r="O380" s="3">
        <v>46</v>
      </c>
      <c r="P380" s="3">
        <v>120</v>
      </c>
      <c r="Q380" s="3">
        <v>110</v>
      </c>
      <c r="R380" s="7">
        <f t="shared" si="15"/>
        <v>0.38333333333333336</v>
      </c>
      <c r="S380">
        <f t="shared" si="16"/>
        <v>10</v>
      </c>
      <c r="T380" s="5" t="str">
        <f t="shared" si="17"/>
        <v>10</v>
      </c>
    </row>
    <row r="381" spans="15:20">
      <c r="O381" s="5">
        <v>47</v>
      </c>
      <c r="P381" s="5">
        <v>123</v>
      </c>
      <c r="Q381" s="5">
        <v>120</v>
      </c>
      <c r="R381" s="7">
        <f t="shared" si="15"/>
        <v>0.38211382113821141</v>
      </c>
      <c r="S381">
        <f t="shared" si="16"/>
        <v>3</v>
      </c>
      <c r="T381" s="5" t="str">
        <f t="shared" si="17"/>
        <v>3</v>
      </c>
    </row>
    <row r="382" spans="15:20">
      <c r="O382" s="3">
        <v>-7</v>
      </c>
      <c r="P382" s="3">
        <v>130</v>
      </c>
      <c r="Q382" s="3">
        <v>110</v>
      </c>
      <c r="R382" s="7">
        <f t="shared" si="15"/>
        <v>-5.3846153846153849E-2</v>
      </c>
      <c r="S382">
        <f t="shared" si="16"/>
        <v>20</v>
      </c>
      <c r="T382" s="5" t="str">
        <f t="shared" si="17"/>
        <v>20</v>
      </c>
    </row>
    <row r="383" spans="15:20">
      <c r="O383" s="5">
        <v>39</v>
      </c>
      <c r="P383" s="5">
        <v>131</v>
      </c>
      <c r="Q383" s="5">
        <v>110</v>
      </c>
      <c r="R383" s="7">
        <f t="shared" si="15"/>
        <v>0.29770992366412213</v>
      </c>
      <c r="S383">
        <f t="shared" si="16"/>
        <v>21</v>
      </c>
      <c r="T383" s="5" t="str">
        <f t="shared" si="17"/>
        <v>21</v>
      </c>
    </row>
    <row r="384" spans="15:20">
      <c r="O384" s="3">
        <v>42</v>
      </c>
      <c r="P384" s="3">
        <v>114</v>
      </c>
      <c r="Q384" s="3">
        <v>100</v>
      </c>
      <c r="R384" s="7">
        <f t="shared" si="15"/>
        <v>0.36842105263157893</v>
      </c>
      <c r="S384">
        <f t="shared" si="16"/>
        <v>14</v>
      </c>
      <c r="T384" s="5" t="str">
        <f t="shared" si="17"/>
        <v>14</v>
      </c>
    </row>
    <row r="385" spans="15:20">
      <c r="O385" s="5">
        <v>-16</v>
      </c>
      <c r="P385" s="5">
        <v>124</v>
      </c>
      <c r="Q385" s="5">
        <v>100</v>
      </c>
      <c r="R385" s="7">
        <f t="shared" si="15"/>
        <v>-0.12903225806451613</v>
      </c>
      <c r="S385">
        <f t="shared" si="16"/>
        <v>24</v>
      </c>
      <c r="T385" s="5" t="str">
        <f t="shared" si="17"/>
        <v>24</v>
      </c>
    </row>
    <row r="386" spans="15:20">
      <c r="O386" s="3">
        <v>82</v>
      </c>
      <c r="P386" s="3">
        <v>194</v>
      </c>
      <c r="Q386" s="3">
        <v>110</v>
      </c>
      <c r="R386" s="7">
        <f t="shared" ref="R386:R449" si="18">O386/P386</f>
        <v>0.42268041237113402</v>
      </c>
      <c r="S386">
        <f t="shared" ref="S386:S449" si="19">P386-Q386</f>
        <v>84</v>
      </c>
      <c r="T386" s="5" t="str">
        <f t="shared" ref="T386:T449" si="20">TRIM(S:S)</f>
        <v>84</v>
      </c>
    </row>
    <row r="387" spans="15:20">
      <c r="O387" s="5">
        <v>68</v>
      </c>
      <c r="P387" s="5">
        <v>126</v>
      </c>
      <c r="Q387" s="5">
        <v>120</v>
      </c>
      <c r="R387" s="7">
        <f t="shared" si="18"/>
        <v>0.53968253968253965</v>
      </c>
      <c r="S387">
        <f t="shared" si="19"/>
        <v>6</v>
      </c>
      <c r="T387" s="5" t="str">
        <f t="shared" si="20"/>
        <v>6</v>
      </c>
    </row>
    <row r="388" spans="15:20">
      <c r="O388" s="3">
        <v>86</v>
      </c>
      <c r="P388" s="3">
        <v>169</v>
      </c>
      <c r="Q388" s="3">
        <v>100</v>
      </c>
      <c r="R388" s="7">
        <f t="shared" si="18"/>
        <v>0.50887573964497046</v>
      </c>
      <c r="S388">
        <f t="shared" si="19"/>
        <v>69</v>
      </c>
      <c r="T388" s="5" t="str">
        <f t="shared" si="20"/>
        <v>69</v>
      </c>
    </row>
    <row r="389" spans="15:20">
      <c r="O389" s="5">
        <v>40</v>
      </c>
      <c r="P389" s="5">
        <v>131</v>
      </c>
      <c r="Q389" s="5">
        <v>100</v>
      </c>
      <c r="R389" s="7">
        <f t="shared" si="18"/>
        <v>0.30534351145038169</v>
      </c>
      <c r="S389">
        <f t="shared" si="19"/>
        <v>31</v>
      </c>
      <c r="T389" s="5" t="str">
        <f t="shared" si="20"/>
        <v>31</v>
      </c>
    </row>
    <row r="390" spans="15:20">
      <c r="O390" s="3">
        <v>24</v>
      </c>
      <c r="P390" s="3">
        <v>134</v>
      </c>
      <c r="Q390" s="3">
        <v>110</v>
      </c>
      <c r="R390" s="7">
        <f t="shared" si="18"/>
        <v>0.17910447761194029</v>
      </c>
      <c r="S390">
        <f t="shared" si="19"/>
        <v>24</v>
      </c>
      <c r="T390" s="5" t="str">
        <f t="shared" si="20"/>
        <v>24</v>
      </c>
    </row>
    <row r="391" spans="15:20">
      <c r="O391" s="5">
        <v>24</v>
      </c>
      <c r="P391" s="5">
        <v>134</v>
      </c>
      <c r="Q391" s="5">
        <v>110</v>
      </c>
      <c r="R391" s="7">
        <f t="shared" si="18"/>
        <v>0.17910447761194029</v>
      </c>
      <c r="S391">
        <f t="shared" si="19"/>
        <v>24</v>
      </c>
      <c r="T391" s="5" t="str">
        <f t="shared" si="20"/>
        <v>24</v>
      </c>
    </row>
    <row r="392" spans="15:20">
      <c r="O392" s="3">
        <v>34</v>
      </c>
      <c r="P392" s="3">
        <v>121</v>
      </c>
      <c r="Q392" s="3">
        <v>90</v>
      </c>
      <c r="R392" s="7">
        <f t="shared" si="18"/>
        <v>0.28099173553719009</v>
      </c>
      <c r="S392">
        <f t="shared" si="19"/>
        <v>31</v>
      </c>
      <c r="T392" s="5" t="str">
        <f t="shared" si="20"/>
        <v>31</v>
      </c>
    </row>
    <row r="393" spans="15:20">
      <c r="O393" s="5">
        <v>-4</v>
      </c>
      <c r="P393" s="5">
        <v>133</v>
      </c>
      <c r="Q393" s="5">
        <v>120</v>
      </c>
      <c r="R393" s="7">
        <f t="shared" si="18"/>
        <v>-3.007518796992481E-2</v>
      </c>
      <c r="S393">
        <f t="shared" si="19"/>
        <v>13</v>
      </c>
      <c r="T393" s="5" t="str">
        <f t="shared" si="20"/>
        <v>13</v>
      </c>
    </row>
    <row r="394" spans="15:20">
      <c r="O394" s="3">
        <v>47</v>
      </c>
      <c r="P394" s="3">
        <v>121</v>
      </c>
      <c r="Q394" s="3">
        <v>110</v>
      </c>
      <c r="R394" s="7">
        <f t="shared" si="18"/>
        <v>0.38842975206611569</v>
      </c>
      <c r="S394">
        <f t="shared" si="19"/>
        <v>11</v>
      </c>
      <c r="T394" s="5" t="str">
        <f t="shared" si="20"/>
        <v>11</v>
      </c>
    </row>
    <row r="395" spans="15:20">
      <c r="O395" s="5">
        <v>-6</v>
      </c>
      <c r="P395" s="5">
        <v>133</v>
      </c>
      <c r="Q395" s="5">
        <v>110</v>
      </c>
      <c r="R395" s="7">
        <f t="shared" si="18"/>
        <v>-4.5112781954887216E-2</v>
      </c>
      <c r="S395">
        <f t="shared" si="19"/>
        <v>23</v>
      </c>
      <c r="T395" s="5" t="str">
        <f t="shared" si="20"/>
        <v>23</v>
      </c>
    </row>
    <row r="396" spans="15:20">
      <c r="O396" s="3">
        <v>47</v>
      </c>
      <c r="P396" s="3">
        <v>147</v>
      </c>
      <c r="Q396" s="3">
        <v>120</v>
      </c>
      <c r="R396" s="7">
        <f t="shared" si="18"/>
        <v>0.31972789115646261</v>
      </c>
      <c r="S396">
        <f t="shared" si="19"/>
        <v>27</v>
      </c>
      <c r="T396" s="5" t="str">
        <f t="shared" si="20"/>
        <v>27</v>
      </c>
    </row>
    <row r="397" spans="15:20">
      <c r="O397" s="5">
        <v>47</v>
      </c>
      <c r="P397" s="5">
        <v>147</v>
      </c>
      <c r="Q397" s="5">
        <v>120</v>
      </c>
      <c r="R397" s="7">
        <f t="shared" si="18"/>
        <v>0.31972789115646261</v>
      </c>
      <c r="S397">
        <f t="shared" si="19"/>
        <v>27</v>
      </c>
      <c r="T397" s="5" t="str">
        <f t="shared" si="20"/>
        <v>27</v>
      </c>
    </row>
    <row r="398" spans="15:20">
      <c r="O398" s="3">
        <v>70</v>
      </c>
      <c r="P398" s="3">
        <v>131</v>
      </c>
      <c r="Q398" s="3">
        <v>120</v>
      </c>
      <c r="R398" s="7">
        <f t="shared" si="18"/>
        <v>0.53435114503816794</v>
      </c>
      <c r="S398">
        <f t="shared" si="19"/>
        <v>11</v>
      </c>
      <c r="T398" s="5" t="str">
        <f t="shared" si="20"/>
        <v>11</v>
      </c>
    </row>
    <row r="399" spans="15:20">
      <c r="O399" s="5">
        <v>39</v>
      </c>
      <c r="P399" s="5">
        <v>132</v>
      </c>
      <c r="Q399" s="5">
        <v>120</v>
      </c>
      <c r="R399" s="7">
        <f t="shared" si="18"/>
        <v>0.29545454545454547</v>
      </c>
      <c r="S399">
        <f t="shared" si="19"/>
        <v>12</v>
      </c>
      <c r="T399" s="5" t="str">
        <f t="shared" si="20"/>
        <v>12</v>
      </c>
    </row>
    <row r="400" spans="15:20">
      <c r="O400" s="3">
        <v>77</v>
      </c>
      <c r="P400" s="3">
        <v>141</v>
      </c>
      <c r="Q400" s="3">
        <v>120</v>
      </c>
      <c r="R400" s="7">
        <f t="shared" si="18"/>
        <v>0.54609929078014185</v>
      </c>
      <c r="S400">
        <f t="shared" si="19"/>
        <v>21</v>
      </c>
      <c r="T400" s="5" t="str">
        <f t="shared" si="20"/>
        <v>21</v>
      </c>
    </row>
    <row r="401" spans="15:20">
      <c r="O401" s="5">
        <v>30</v>
      </c>
      <c r="P401" s="5">
        <v>116</v>
      </c>
      <c r="Q401" s="5">
        <v>120</v>
      </c>
      <c r="R401" s="7">
        <f t="shared" si="18"/>
        <v>0.25862068965517243</v>
      </c>
      <c r="S401">
        <f t="shared" si="19"/>
        <v>-4</v>
      </c>
      <c r="T401" s="5" t="str">
        <f t="shared" si="20"/>
        <v>-4</v>
      </c>
    </row>
    <row r="402" spans="15:20">
      <c r="O402" s="3">
        <v>1</v>
      </c>
      <c r="P402" s="3">
        <v>157</v>
      </c>
      <c r="Q402" s="3">
        <v>110</v>
      </c>
      <c r="R402" s="7">
        <f t="shared" si="18"/>
        <v>6.369426751592357E-3</v>
      </c>
      <c r="S402">
        <f t="shared" si="19"/>
        <v>47</v>
      </c>
      <c r="T402" s="5" t="str">
        <f t="shared" si="20"/>
        <v>47</v>
      </c>
    </row>
    <row r="403" spans="15:20">
      <c r="O403" s="5">
        <v>24</v>
      </c>
      <c r="P403" s="5">
        <v>132</v>
      </c>
      <c r="Q403" s="5">
        <v>120</v>
      </c>
      <c r="R403" s="7">
        <f t="shared" si="18"/>
        <v>0.18181818181818182</v>
      </c>
      <c r="S403">
        <f t="shared" si="19"/>
        <v>12</v>
      </c>
      <c r="T403" s="5" t="str">
        <f t="shared" si="20"/>
        <v>12</v>
      </c>
    </row>
    <row r="404" spans="15:20">
      <c r="O404" s="3">
        <v>56</v>
      </c>
      <c r="P404" s="3">
        <v>196</v>
      </c>
      <c r="Q404" s="3">
        <v>130</v>
      </c>
      <c r="R404" s="7">
        <f t="shared" si="18"/>
        <v>0.2857142857142857</v>
      </c>
      <c r="S404">
        <f t="shared" si="19"/>
        <v>66</v>
      </c>
      <c r="T404" s="5" t="str">
        <f t="shared" si="20"/>
        <v>66</v>
      </c>
    </row>
    <row r="405" spans="15:20">
      <c r="O405" s="5">
        <v>3</v>
      </c>
      <c r="P405" s="5">
        <v>157</v>
      </c>
      <c r="Q405" s="5">
        <v>120</v>
      </c>
      <c r="R405" s="7">
        <f t="shared" si="18"/>
        <v>1.9108280254777069E-2</v>
      </c>
      <c r="S405">
        <f t="shared" si="19"/>
        <v>37</v>
      </c>
      <c r="T405" s="5" t="str">
        <f t="shared" si="20"/>
        <v>37</v>
      </c>
    </row>
    <row r="406" spans="15:20">
      <c r="O406" s="3">
        <v>73</v>
      </c>
      <c r="P406" s="3">
        <v>150</v>
      </c>
      <c r="Q406" s="3">
        <v>100</v>
      </c>
      <c r="R406" s="7">
        <f t="shared" si="18"/>
        <v>0.48666666666666669</v>
      </c>
      <c r="S406">
        <f t="shared" si="19"/>
        <v>50</v>
      </c>
      <c r="T406" s="5" t="str">
        <f t="shared" si="20"/>
        <v>50</v>
      </c>
    </row>
    <row r="407" spans="15:20">
      <c r="O407" s="5">
        <v>-9</v>
      </c>
      <c r="P407" s="5">
        <v>119</v>
      </c>
      <c r="Q407" s="5">
        <v>110</v>
      </c>
      <c r="R407" s="7">
        <f t="shared" si="18"/>
        <v>-7.5630252100840331E-2</v>
      </c>
      <c r="S407">
        <f t="shared" si="19"/>
        <v>9</v>
      </c>
      <c r="T407" s="5" t="str">
        <f t="shared" si="20"/>
        <v>9</v>
      </c>
    </row>
    <row r="408" spans="15:20">
      <c r="O408" s="3">
        <v>43</v>
      </c>
      <c r="P408" s="3">
        <v>135</v>
      </c>
      <c r="Q408" s="3">
        <v>120</v>
      </c>
      <c r="R408" s="7">
        <f t="shared" si="18"/>
        <v>0.31851851851851853</v>
      </c>
      <c r="S408">
        <f t="shared" si="19"/>
        <v>15</v>
      </c>
      <c r="T408" s="5" t="str">
        <f t="shared" si="20"/>
        <v>15</v>
      </c>
    </row>
    <row r="409" spans="15:20">
      <c r="O409" s="5">
        <v>70</v>
      </c>
      <c r="P409" s="5">
        <v>179</v>
      </c>
      <c r="Q409" s="5">
        <v>120</v>
      </c>
      <c r="R409" s="7">
        <f t="shared" si="18"/>
        <v>0.39106145251396646</v>
      </c>
      <c r="S409">
        <f t="shared" si="19"/>
        <v>59</v>
      </c>
      <c r="T409" s="5" t="str">
        <f t="shared" si="20"/>
        <v>59</v>
      </c>
    </row>
    <row r="410" spans="15:20">
      <c r="O410" s="3">
        <v>79</v>
      </c>
      <c r="P410" s="3">
        <v>142</v>
      </c>
      <c r="Q410" s="3">
        <v>110</v>
      </c>
      <c r="R410" s="7">
        <f t="shared" si="18"/>
        <v>0.55633802816901412</v>
      </c>
      <c r="S410">
        <f t="shared" si="19"/>
        <v>32</v>
      </c>
      <c r="T410" s="5" t="str">
        <f t="shared" si="20"/>
        <v>32</v>
      </c>
    </row>
    <row r="411" spans="15:20">
      <c r="O411" s="5">
        <v>53</v>
      </c>
      <c r="P411" s="5">
        <v>148</v>
      </c>
      <c r="Q411" s="5">
        <v>130</v>
      </c>
      <c r="R411" s="7">
        <f t="shared" si="18"/>
        <v>0.35810810810810811</v>
      </c>
      <c r="S411">
        <f t="shared" si="19"/>
        <v>18</v>
      </c>
      <c r="T411" s="5" t="str">
        <f t="shared" si="20"/>
        <v>18</v>
      </c>
    </row>
    <row r="412" spans="15:20">
      <c r="O412" s="3">
        <v>31</v>
      </c>
      <c r="P412" s="3">
        <v>121</v>
      </c>
      <c r="Q412" s="3">
        <v>110</v>
      </c>
      <c r="R412" s="7">
        <f t="shared" si="18"/>
        <v>0.256198347107438</v>
      </c>
      <c r="S412">
        <f t="shared" si="19"/>
        <v>11</v>
      </c>
      <c r="T412" s="5" t="str">
        <f t="shared" si="20"/>
        <v>11</v>
      </c>
    </row>
    <row r="413" spans="15:20">
      <c r="O413" s="5">
        <v>70</v>
      </c>
      <c r="P413" s="5">
        <v>131</v>
      </c>
      <c r="Q413" s="5">
        <v>110</v>
      </c>
      <c r="R413" s="7">
        <f t="shared" si="18"/>
        <v>0.53435114503816794</v>
      </c>
      <c r="S413">
        <f t="shared" si="19"/>
        <v>21</v>
      </c>
      <c r="T413" s="5" t="str">
        <f t="shared" si="20"/>
        <v>21</v>
      </c>
    </row>
    <row r="414" spans="15:20">
      <c r="O414" s="3">
        <v>55</v>
      </c>
      <c r="P414" s="3">
        <v>135</v>
      </c>
      <c r="Q414" s="3">
        <v>110</v>
      </c>
      <c r="R414" s="7">
        <f t="shared" si="18"/>
        <v>0.40740740740740738</v>
      </c>
      <c r="S414">
        <f t="shared" si="19"/>
        <v>25</v>
      </c>
      <c r="T414" s="5" t="str">
        <f t="shared" si="20"/>
        <v>25</v>
      </c>
    </row>
    <row r="415" spans="15:20">
      <c r="O415" s="5">
        <v>-3</v>
      </c>
      <c r="P415" s="5">
        <v>140</v>
      </c>
      <c r="Q415" s="5">
        <v>120</v>
      </c>
      <c r="R415" s="7">
        <f t="shared" si="18"/>
        <v>-2.1428571428571429E-2</v>
      </c>
      <c r="S415">
        <f t="shared" si="19"/>
        <v>20</v>
      </c>
      <c r="T415" s="5" t="str">
        <f t="shared" si="20"/>
        <v>20</v>
      </c>
    </row>
    <row r="416" spans="15:20">
      <c r="O416" s="3">
        <v>-6</v>
      </c>
      <c r="P416" s="3">
        <v>126</v>
      </c>
      <c r="Q416" s="3">
        <v>110</v>
      </c>
      <c r="R416" s="7">
        <f t="shared" si="18"/>
        <v>-4.7619047619047616E-2</v>
      </c>
      <c r="S416">
        <f t="shared" si="19"/>
        <v>16</v>
      </c>
      <c r="T416" s="5" t="str">
        <f t="shared" si="20"/>
        <v>16</v>
      </c>
    </row>
    <row r="417" spans="15:20">
      <c r="O417" s="5">
        <v>1</v>
      </c>
      <c r="P417" s="5">
        <v>104</v>
      </c>
      <c r="Q417" s="5">
        <v>110</v>
      </c>
      <c r="R417" s="7">
        <f t="shared" si="18"/>
        <v>9.6153846153846159E-3</v>
      </c>
      <c r="S417">
        <f t="shared" si="19"/>
        <v>-6</v>
      </c>
      <c r="T417" s="5" t="str">
        <f t="shared" si="20"/>
        <v>-6</v>
      </c>
    </row>
    <row r="418" spans="15:20">
      <c r="O418" s="3">
        <v>42</v>
      </c>
      <c r="P418" s="3">
        <v>135</v>
      </c>
      <c r="Q418" s="3">
        <v>120</v>
      </c>
      <c r="R418" s="7">
        <f t="shared" si="18"/>
        <v>0.31111111111111112</v>
      </c>
      <c r="S418">
        <f t="shared" si="19"/>
        <v>15</v>
      </c>
      <c r="T418" s="5" t="str">
        <f t="shared" si="20"/>
        <v>15</v>
      </c>
    </row>
    <row r="419" spans="15:20">
      <c r="O419" s="5">
        <v>33</v>
      </c>
      <c r="P419" s="5">
        <v>155</v>
      </c>
      <c r="Q419" s="5">
        <v>130</v>
      </c>
      <c r="R419" s="7">
        <f t="shared" si="18"/>
        <v>0.2129032258064516</v>
      </c>
      <c r="S419">
        <f t="shared" si="19"/>
        <v>25</v>
      </c>
      <c r="T419" s="5" t="str">
        <f t="shared" si="20"/>
        <v>25</v>
      </c>
    </row>
    <row r="420" spans="15:20">
      <c r="O420" s="3">
        <v>53</v>
      </c>
      <c r="P420" s="3">
        <v>135</v>
      </c>
      <c r="Q420" s="3">
        <v>110</v>
      </c>
      <c r="R420" s="7">
        <f t="shared" si="18"/>
        <v>0.3925925925925926</v>
      </c>
      <c r="S420">
        <f t="shared" si="19"/>
        <v>25</v>
      </c>
      <c r="T420" s="5" t="str">
        <f t="shared" si="20"/>
        <v>25</v>
      </c>
    </row>
    <row r="421" spans="15:20">
      <c r="O421" s="5">
        <v>42</v>
      </c>
      <c r="P421" s="5">
        <v>130</v>
      </c>
      <c r="Q421" s="5">
        <v>110</v>
      </c>
      <c r="R421" s="7">
        <f t="shared" si="18"/>
        <v>0.32307692307692309</v>
      </c>
      <c r="S421">
        <f t="shared" si="19"/>
        <v>20</v>
      </c>
      <c r="T421" s="5" t="str">
        <f t="shared" si="20"/>
        <v>20</v>
      </c>
    </row>
    <row r="422" spans="15:20">
      <c r="O422" s="3">
        <v>68</v>
      </c>
      <c r="P422" s="3">
        <v>128</v>
      </c>
      <c r="Q422" s="3">
        <v>110</v>
      </c>
      <c r="R422" s="7">
        <f t="shared" si="18"/>
        <v>0.53125</v>
      </c>
      <c r="S422">
        <f t="shared" si="19"/>
        <v>18</v>
      </c>
      <c r="T422" s="5" t="str">
        <f t="shared" si="20"/>
        <v>18</v>
      </c>
    </row>
    <row r="423" spans="15:20">
      <c r="O423" s="5">
        <v>70</v>
      </c>
      <c r="P423" s="5">
        <v>131</v>
      </c>
      <c r="Q423" s="5">
        <v>120</v>
      </c>
      <c r="R423" s="7">
        <f t="shared" si="18"/>
        <v>0.53435114503816794</v>
      </c>
      <c r="S423">
        <f t="shared" si="19"/>
        <v>11</v>
      </c>
      <c r="T423" s="5" t="str">
        <f t="shared" si="20"/>
        <v>11</v>
      </c>
    </row>
    <row r="424" spans="15:20">
      <c r="O424" s="3">
        <v>16</v>
      </c>
      <c r="P424" s="3">
        <v>53</v>
      </c>
      <c r="Q424" s="3">
        <v>30</v>
      </c>
      <c r="R424" s="7">
        <f t="shared" si="18"/>
        <v>0.30188679245283018</v>
      </c>
      <c r="S424">
        <f t="shared" si="19"/>
        <v>23</v>
      </c>
      <c r="T424" s="5" t="str">
        <f t="shared" si="20"/>
        <v>23</v>
      </c>
    </row>
    <row r="425" spans="15:20">
      <c r="O425" s="5">
        <v>20</v>
      </c>
      <c r="P425" s="5">
        <v>66</v>
      </c>
      <c r="Q425" s="5">
        <v>40</v>
      </c>
      <c r="R425" s="7">
        <f t="shared" si="18"/>
        <v>0.30303030303030304</v>
      </c>
      <c r="S425">
        <f t="shared" si="19"/>
        <v>26</v>
      </c>
      <c r="T425" s="5" t="str">
        <f t="shared" si="20"/>
        <v>26</v>
      </c>
    </row>
    <row r="426" spans="15:20">
      <c r="O426" s="3">
        <v>16</v>
      </c>
      <c r="P426" s="3">
        <v>126</v>
      </c>
      <c r="Q426" s="3">
        <v>60</v>
      </c>
      <c r="R426" s="7">
        <f t="shared" si="18"/>
        <v>0.12698412698412698</v>
      </c>
      <c r="S426">
        <f t="shared" si="19"/>
        <v>66</v>
      </c>
      <c r="T426" s="5" t="str">
        <f t="shared" si="20"/>
        <v>66</v>
      </c>
    </row>
    <row r="427" spans="15:20">
      <c r="O427" s="5">
        <v>13</v>
      </c>
      <c r="P427" s="5">
        <v>120</v>
      </c>
      <c r="Q427" s="5">
        <v>60</v>
      </c>
      <c r="R427" s="7">
        <f t="shared" si="18"/>
        <v>0.10833333333333334</v>
      </c>
      <c r="S427">
        <f t="shared" si="19"/>
        <v>60</v>
      </c>
      <c r="T427" s="5" t="str">
        <f t="shared" si="20"/>
        <v>60</v>
      </c>
    </row>
    <row r="428" spans="15:20">
      <c r="O428" s="3">
        <v>15</v>
      </c>
      <c r="P428" s="3">
        <v>53</v>
      </c>
      <c r="Q428" s="3">
        <v>50</v>
      </c>
      <c r="R428" s="7">
        <f t="shared" si="18"/>
        <v>0.28301886792452829</v>
      </c>
      <c r="S428">
        <f t="shared" si="19"/>
        <v>3</v>
      </c>
      <c r="T428" s="5" t="str">
        <f t="shared" si="20"/>
        <v>3</v>
      </c>
    </row>
    <row r="429" spans="15:20">
      <c r="O429" s="5">
        <v>14</v>
      </c>
      <c r="P429" s="5">
        <v>92</v>
      </c>
      <c r="Q429" s="5">
        <v>50</v>
      </c>
      <c r="R429" s="7">
        <f t="shared" si="18"/>
        <v>0.15217391304347827</v>
      </c>
      <c r="S429">
        <f t="shared" si="19"/>
        <v>42</v>
      </c>
      <c r="T429" s="5" t="str">
        <f t="shared" si="20"/>
        <v>42</v>
      </c>
    </row>
    <row r="430" spans="15:20">
      <c r="O430" s="3">
        <v>17</v>
      </c>
      <c r="P430" s="3">
        <v>58</v>
      </c>
      <c r="Q430" s="3">
        <v>40</v>
      </c>
      <c r="R430" s="7">
        <f t="shared" si="18"/>
        <v>0.29310344827586204</v>
      </c>
      <c r="S430">
        <f t="shared" si="19"/>
        <v>18</v>
      </c>
      <c r="T430" s="5" t="str">
        <f t="shared" si="20"/>
        <v>18</v>
      </c>
    </row>
    <row r="431" spans="15:20">
      <c r="O431" s="5">
        <v>15</v>
      </c>
      <c r="P431" s="5">
        <v>52</v>
      </c>
      <c r="Q431" s="5">
        <v>40</v>
      </c>
      <c r="R431" s="7">
        <f t="shared" si="18"/>
        <v>0.28846153846153844</v>
      </c>
      <c r="S431">
        <f t="shared" si="19"/>
        <v>12</v>
      </c>
      <c r="T431" s="5" t="str">
        <f t="shared" si="20"/>
        <v>12</v>
      </c>
    </row>
    <row r="432" spans="15:20">
      <c r="O432" s="3">
        <v>-12</v>
      </c>
      <c r="P432" s="3">
        <v>56</v>
      </c>
      <c r="Q432" s="3">
        <v>40</v>
      </c>
      <c r="R432" s="7">
        <f t="shared" si="18"/>
        <v>-0.21428571428571427</v>
      </c>
      <c r="S432">
        <f t="shared" si="19"/>
        <v>16</v>
      </c>
      <c r="T432" s="5" t="str">
        <f t="shared" si="20"/>
        <v>16</v>
      </c>
    </row>
    <row r="433" spans="15:20">
      <c r="O433" s="5">
        <v>15</v>
      </c>
      <c r="P433" s="5">
        <v>53</v>
      </c>
      <c r="Q433" s="5">
        <v>30</v>
      </c>
      <c r="R433" s="7">
        <f t="shared" si="18"/>
        <v>0.28301886792452829</v>
      </c>
      <c r="S433">
        <f t="shared" si="19"/>
        <v>23</v>
      </c>
      <c r="T433" s="5" t="str">
        <f t="shared" si="20"/>
        <v>23</v>
      </c>
    </row>
    <row r="434" spans="15:20">
      <c r="O434" s="3">
        <v>32</v>
      </c>
      <c r="P434" s="3">
        <v>43</v>
      </c>
      <c r="Q434" s="3">
        <v>30</v>
      </c>
      <c r="R434" s="7">
        <f t="shared" si="18"/>
        <v>0.7441860465116279</v>
      </c>
      <c r="S434">
        <f t="shared" si="19"/>
        <v>13</v>
      </c>
      <c r="T434" s="5" t="str">
        <f t="shared" si="20"/>
        <v>13</v>
      </c>
    </row>
    <row r="435" spans="15:20">
      <c r="O435" s="5">
        <v>-3</v>
      </c>
      <c r="P435" s="5">
        <v>77</v>
      </c>
      <c r="Q435" s="5">
        <v>40</v>
      </c>
      <c r="R435" s="7">
        <f t="shared" si="18"/>
        <v>-3.896103896103896E-2</v>
      </c>
      <c r="S435">
        <f t="shared" si="19"/>
        <v>37</v>
      </c>
      <c r="T435" s="5" t="str">
        <f t="shared" si="20"/>
        <v>37</v>
      </c>
    </row>
    <row r="436" spans="15:20">
      <c r="O436" s="3">
        <v>14</v>
      </c>
      <c r="P436" s="3">
        <v>52</v>
      </c>
      <c r="Q436" s="3">
        <v>40</v>
      </c>
      <c r="R436" s="7">
        <f t="shared" si="18"/>
        <v>0.26923076923076922</v>
      </c>
      <c r="S436">
        <f t="shared" si="19"/>
        <v>12</v>
      </c>
      <c r="T436" s="5" t="str">
        <f t="shared" si="20"/>
        <v>12</v>
      </c>
    </row>
    <row r="437" spans="15:20">
      <c r="O437" s="5">
        <v>17</v>
      </c>
      <c r="P437" s="5">
        <v>61</v>
      </c>
      <c r="Q437" s="5">
        <v>40</v>
      </c>
      <c r="R437" s="7">
        <f t="shared" si="18"/>
        <v>0.27868852459016391</v>
      </c>
      <c r="S437">
        <f t="shared" si="19"/>
        <v>21</v>
      </c>
      <c r="T437" s="5" t="str">
        <f t="shared" si="20"/>
        <v>21</v>
      </c>
    </row>
    <row r="438" spans="15:20">
      <c r="O438" s="3">
        <v>-3</v>
      </c>
      <c r="P438" s="3">
        <v>77</v>
      </c>
      <c r="Q438" s="3">
        <v>40</v>
      </c>
      <c r="R438" s="7">
        <f t="shared" si="18"/>
        <v>-3.896103896103896E-2</v>
      </c>
      <c r="S438">
        <f t="shared" si="19"/>
        <v>37</v>
      </c>
      <c r="T438" s="5" t="str">
        <f t="shared" si="20"/>
        <v>37</v>
      </c>
    </row>
    <row r="439" spans="15:20">
      <c r="O439" s="5">
        <v>14</v>
      </c>
      <c r="P439" s="5">
        <v>52</v>
      </c>
      <c r="Q439" s="5">
        <v>50</v>
      </c>
      <c r="R439" s="7">
        <f t="shared" si="18"/>
        <v>0.26923076923076922</v>
      </c>
      <c r="S439">
        <f t="shared" si="19"/>
        <v>2</v>
      </c>
      <c r="T439" s="5" t="str">
        <f t="shared" si="20"/>
        <v>2</v>
      </c>
    </row>
    <row r="440" spans="15:20">
      <c r="O440" s="3">
        <v>14</v>
      </c>
      <c r="P440" s="3">
        <v>92</v>
      </c>
      <c r="Q440" s="3">
        <v>40</v>
      </c>
      <c r="R440" s="7">
        <f t="shared" si="18"/>
        <v>0.15217391304347827</v>
      </c>
      <c r="S440">
        <f t="shared" si="19"/>
        <v>52</v>
      </c>
      <c r="T440" s="5" t="str">
        <f t="shared" si="20"/>
        <v>52</v>
      </c>
    </row>
    <row r="441" spans="15:20">
      <c r="O441" s="5">
        <v>31</v>
      </c>
      <c r="P441" s="5">
        <v>113</v>
      </c>
      <c r="Q441" s="5">
        <v>50</v>
      </c>
      <c r="R441" s="7">
        <f t="shared" si="18"/>
        <v>0.27433628318584069</v>
      </c>
      <c r="S441">
        <f t="shared" si="19"/>
        <v>63</v>
      </c>
      <c r="T441" s="5" t="str">
        <f t="shared" si="20"/>
        <v>63</v>
      </c>
    </row>
    <row r="442" spans="15:20">
      <c r="O442" s="3">
        <v>17</v>
      </c>
      <c r="P442" s="3">
        <v>56</v>
      </c>
      <c r="Q442" s="3">
        <v>50</v>
      </c>
      <c r="R442" s="7">
        <f t="shared" si="18"/>
        <v>0.30357142857142855</v>
      </c>
      <c r="S442">
        <f t="shared" si="19"/>
        <v>6</v>
      </c>
      <c r="T442" s="5" t="str">
        <f t="shared" si="20"/>
        <v>6</v>
      </c>
    </row>
    <row r="443" spans="15:20">
      <c r="O443" s="5">
        <v>-4</v>
      </c>
      <c r="P443" s="5">
        <v>76</v>
      </c>
      <c r="Q443" s="5">
        <v>50</v>
      </c>
      <c r="R443" s="7">
        <f t="shared" si="18"/>
        <v>-5.2631578947368418E-2</v>
      </c>
      <c r="S443">
        <f t="shared" si="19"/>
        <v>26</v>
      </c>
      <c r="T443" s="5" t="str">
        <f t="shared" si="20"/>
        <v>26</v>
      </c>
    </row>
    <row r="444" spans="15:20">
      <c r="O444" s="3">
        <v>11</v>
      </c>
      <c r="P444" s="3">
        <v>52</v>
      </c>
      <c r="Q444" s="3">
        <v>50</v>
      </c>
      <c r="R444" s="7">
        <f t="shared" si="18"/>
        <v>0.21153846153846154</v>
      </c>
      <c r="S444">
        <f t="shared" si="19"/>
        <v>2</v>
      </c>
      <c r="T444" s="5" t="str">
        <f t="shared" si="20"/>
        <v>2</v>
      </c>
    </row>
    <row r="445" spans="15:20">
      <c r="O445" s="5">
        <v>-4</v>
      </c>
      <c r="P445" s="5">
        <v>74</v>
      </c>
      <c r="Q445" s="5">
        <v>50</v>
      </c>
      <c r="R445" s="7">
        <f t="shared" si="18"/>
        <v>-5.4054054054054057E-2</v>
      </c>
      <c r="S445">
        <f t="shared" si="19"/>
        <v>24</v>
      </c>
      <c r="T445" s="5" t="str">
        <f t="shared" si="20"/>
        <v>24</v>
      </c>
    </row>
    <row r="446" spans="15:20">
      <c r="O446" s="3">
        <v>5</v>
      </c>
      <c r="P446" s="3">
        <v>64</v>
      </c>
      <c r="Q446" s="3">
        <v>50</v>
      </c>
      <c r="R446" s="7">
        <f t="shared" si="18"/>
        <v>7.8125E-2</v>
      </c>
      <c r="S446">
        <f t="shared" si="19"/>
        <v>14</v>
      </c>
      <c r="T446" s="5" t="str">
        <f t="shared" si="20"/>
        <v>14</v>
      </c>
    </row>
    <row r="447" spans="15:20">
      <c r="O447" s="5">
        <v>19</v>
      </c>
      <c r="P447" s="5">
        <v>63</v>
      </c>
      <c r="Q447" s="5">
        <v>50</v>
      </c>
      <c r="R447" s="7">
        <f t="shared" si="18"/>
        <v>0.30158730158730157</v>
      </c>
      <c r="S447">
        <f t="shared" si="19"/>
        <v>13</v>
      </c>
      <c r="T447" s="5" t="str">
        <f t="shared" si="20"/>
        <v>13</v>
      </c>
    </row>
    <row r="448" spans="15:20">
      <c r="O448" s="3">
        <v>8</v>
      </c>
      <c r="P448" s="3">
        <v>39</v>
      </c>
      <c r="Q448" s="3">
        <v>40</v>
      </c>
      <c r="R448" s="7">
        <f t="shared" si="18"/>
        <v>0.20512820512820512</v>
      </c>
      <c r="S448">
        <f t="shared" si="19"/>
        <v>-1</v>
      </c>
      <c r="T448" s="5" t="str">
        <f t="shared" si="20"/>
        <v>-1</v>
      </c>
    </row>
    <row r="449" spans="15:20">
      <c r="O449" s="5">
        <v>28</v>
      </c>
      <c r="P449" s="5">
        <v>80</v>
      </c>
      <c r="Q449" s="5">
        <v>50</v>
      </c>
      <c r="R449" s="7">
        <f t="shared" si="18"/>
        <v>0.35</v>
      </c>
      <c r="S449">
        <f t="shared" si="19"/>
        <v>30</v>
      </c>
      <c r="T449" s="5" t="str">
        <f t="shared" si="20"/>
        <v>30</v>
      </c>
    </row>
    <row r="450" spans="15:20">
      <c r="O450" s="3">
        <v>9</v>
      </c>
      <c r="P450" s="3">
        <v>82</v>
      </c>
      <c r="Q450" s="3">
        <v>50</v>
      </c>
      <c r="R450" s="7">
        <f t="shared" ref="R450:R513" si="21">O450/P450</f>
        <v>0.10975609756097561</v>
      </c>
      <c r="S450">
        <f t="shared" ref="S450:S513" si="22">P450-Q450</f>
        <v>32</v>
      </c>
      <c r="T450" s="5" t="str">
        <f t="shared" ref="T450:T513" si="23">TRIM(S:S)</f>
        <v>32</v>
      </c>
    </row>
    <row r="451" spans="15:20">
      <c r="O451" s="5">
        <v>-3</v>
      </c>
      <c r="P451" s="5">
        <v>76</v>
      </c>
      <c r="Q451" s="5">
        <v>50</v>
      </c>
      <c r="R451" s="7">
        <f t="shared" si="21"/>
        <v>-3.9473684210526314E-2</v>
      </c>
      <c r="S451">
        <f t="shared" si="22"/>
        <v>26</v>
      </c>
      <c r="T451" s="5" t="str">
        <f t="shared" si="23"/>
        <v>26</v>
      </c>
    </row>
    <row r="452" spans="15:20">
      <c r="O452" s="3">
        <v>12</v>
      </c>
      <c r="P452" s="3">
        <v>56</v>
      </c>
      <c r="Q452" s="3">
        <v>40</v>
      </c>
      <c r="R452" s="7">
        <f t="shared" si="21"/>
        <v>0.21428571428571427</v>
      </c>
      <c r="S452">
        <f t="shared" si="22"/>
        <v>16</v>
      </c>
      <c r="T452" s="5" t="str">
        <f t="shared" si="23"/>
        <v>16</v>
      </c>
    </row>
    <row r="453" spans="15:20">
      <c r="O453" s="5">
        <v>12</v>
      </c>
      <c r="P453" s="5">
        <v>89</v>
      </c>
      <c r="Q453" s="5">
        <v>60</v>
      </c>
      <c r="R453" s="7">
        <f t="shared" si="21"/>
        <v>0.1348314606741573</v>
      </c>
      <c r="S453">
        <f t="shared" si="22"/>
        <v>29</v>
      </c>
      <c r="T453" s="5" t="str">
        <f t="shared" si="23"/>
        <v>29</v>
      </c>
    </row>
    <row r="454" spans="15:20">
      <c r="O454" s="3">
        <v>17</v>
      </c>
      <c r="P454" s="3">
        <v>58</v>
      </c>
      <c r="Q454" s="3">
        <v>50</v>
      </c>
      <c r="R454" s="7">
        <f t="shared" si="21"/>
        <v>0.29310344827586204</v>
      </c>
      <c r="S454">
        <f t="shared" si="22"/>
        <v>8</v>
      </c>
      <c r="T454" s="5" t="str">
        <f t="shared" si="23"/>
        <v>8</v>
      </c>
    </row>
    <row r="455" spans="15:20">
      <c r="O455" s="5">
        <v>10</v>
      </c>
      <c r="P455" s="5">
        <v>41</v>
      </c>
      <c r="Q455" s="5">
        <v>40</v>
      </c>
      <c r="R455" s="7">
        <f t="shared" si="21"/>
        <v>0.24390243902439024</v>
      </c>
      <c r="S455">
        <f t="shared" si="22"/>
        <v>1</v>
      </c>
      <c r="T455" s="5" t="str">
        <f t="shared" si="23"/>
        <v>1</v>
      </c>
    </row>
    <row r="456" spans="15:20">
      <c r="O456" s="3">
        <v>8</v>
      </c>
      <c r="P456" s="3">
        <v>69</v>
      </c>
      <c r="Q456" s="3">
        <v>60</v>
      </c>
      <c r="R456" s="7">
        <f t="shared" si="21"/>
        <v>0.11594202898550725</v>
      </c>
      <c r="S456">
        <f t="shared" si="22"/>
        <v>9</v>
      </c>
      <c r="T456" s="5" t="str">
        <f t="shared" si="23"/>
        <v>9</v>
      </c>
    </row>
    <row r="457" spans="15:20">
      <c r="O457" s="5">
        <v>-16</v>
      </c>
      <c r="P457" s="5">
        <v>45</v>
      </c>
      <c r="Q457" s="5">
        <v>40</v>
      </c>
      <c r="R457" s="7">
        <f t="shared" si="21"/>
        <v>-0.35555555555555557</v>
      </c>
      <c r="S457">
        <f t="shared" si="22"/>
        <v>5</v>
      </c>
      <c r="T457" s="5" t="str">
        <f t="shared" si="23"/>
        <v>5</v>
      </c>
    </row>
    <row r="458" spans="15:20">
      <c r="O458" s="3">
        <v>24</v>
      </c>
      <c r="P458" s="3">
        <v>73</v>
      </c>
      <c r="Q458" s="3">
        <v>50</v>
      </c>
      <c r="R458" s="7">
        <f t="shared" si="21"/>
        <v>0.32876712328767121</v>
      </c>
      <c r="S458">
        <f t="shared" si="22"/>
        <v>23</v>
      </c>
      <c r="T458" s="5" t="str">
        <f t="shared" si="23"/>
        <v>23</v>
      </c>
    </row>
    <row r="459" spans="15:20">
      <c r="O459" s="5">
        <v>13</v>
      </c>
      <c r="P459" s="5">
        <v>56</v>
      </c>
      <c r="Q459" s="5">
        <v>50</v>
      </c>
      <c r="R459" s="7">
        <f t="shared" si="21"/>
        <v>0.23214285714285715</v>
      </c>
      <c r="S459">
        <f t="shared" si="22"/>
        <v>6</v>
      </c>
      <c r="T459" s="5" t="str">
        <f t="shared" si="23"/>
        <v>6</v>
      </c>
    </row>
    <row r="460" spans="15:20">
      <c r="O460" s="3">
        <v>19</v>
      </c>
      <c r="P460" s="3">
        <v>60</v>
      </c>
      <c r="Q460" s="3">
        <v>50</v>
      </c>
      <c r="R460" s="7">
        <f t="shared" si="21"/>
        <v>0.31666666666666665</v>
      </c>
      <c r="S460">
        <f t="shared" si="22"/>
        <v>10</v>
      </c>
      <c r="T460" s="5" t="str">
        <f t="shared" si="23"/>
        <v>10</v>
      </c>
    </row>
    <row r="461" spans="15:20">
      <c r="O461" s="5">
        <v>10</v>
      </c>
      <c r="P461" s="5">
        <v>41</v>
      </c>
      <c r="Q461" s="5">
        <v>40</v>
      </c>
      <c r="R461" s="7">
        <f t="shared" si="21"/>
        <v>0.24390243902439024</v>
      </c>
      <c r="S461">
        <f t="shared" si="22"/>
        <v>1</v>
      </c>
      <c r="T461" s="5" t="str">
        <f t="shared" si="23"/>
        <v>1</v>
      </c>
    </row>
    <row r="462" spans="15:20">
      <c r="O462" s="3">
        <v>25</v>
      </c>
      <c r="P462" s="3">
        <v>73</v>
      </c>
      <c r="Q462" s="3">
        <v>50</v>
      </c>
      <c r="R462" s="7">
        <f t="shared" si="21"/>
        <v>0.34246575342465752</v>
      </c>
      <c r="S462">
        <f t="shared" si="22"/>
        <v>23</v>
      </c>
      <c r="T462" s="5" t="str">
        <f t="shared" si="23"/>
        <v>23</v>
      </c>
    </row>
    <row r="463" spans="15:20">
      <c r="O463" s="5">
        <v>24</v>
      </c>
      <c r="P463" s="5">
        <v>56</v>
      </c>
      <c r="Q463" s="5">
        <v>30</v>
      </c>
      <c r="R463" s="7">
        <f t="shared" si="21"/>
        <v>0.42857142857142855</v>
      </c>
      <c r="S463">
        <f t="shared" si="22"/>
        <v>26</v>
      </c>
      <c r="T463" s="5" t="str">
        <f t="shared" si="23"/>
        <v>26</v>
      </c>
    </row>
    <row r="464" spans="15:20">
      <c r="O464" s="3">
        <v>30</v>
      </c>
      <c r="P464" s="3">
        <v>70</v>
      </c>
      <c r="Q464" s="3">
        <v>40</v>
      </c>
      <c r="R464" s="7">
        <f t="shared" si="21"/>
        <v>0.42857142857142855</v>
      </c>
      <c r="S464">
        <f t="shared" si="22"/>
        <v>30</v>
      </c>
      <c r="T464" s="5" t="str">
        <f t="shared" si="23"/>
        <v>30</v>
      </c>
    </row>
    <row r="465" spans="15:20">
      <c r="O465" s="5">
        <v>24</v>
      </c>
      <c r="P465" s="5">
        <v>134</v>
      </c>
      <c r="Q465" s="5">
        <v>60</v>
      </c>
      <c r="R465" s="7">
        <f t="shared" si="21"/>
        <v>0.17910447761194029</v>
      </c>
      <c r="S465">
        <f t="shared" si="22"/>
        <v>74</v>
      </c>
      <c r="T465" s="5" t="str">
        <f t="shared" si="23"/>
        <v>74</v>
      </c>
    </row>
    <row r="466" spans="15:20">
      <c r="O466" s="3">
        <v>19</v>
      </c>
      <c r="P466" s="3">
        <v>128</v>
      </c>
      <c r="Q466" s="3">
        <v>60</v>
      </c>
      <c r="R466" s="7">
        <f t="shared" si="21"/>
        <v>0.1484375</v>
      </c>
      <c r="S466">
        <f t="shared" si="22"/>
        <v>68</v>
      </c>
      <c r="T466" s="5" t="str">
        <f t="shared" si="23"/>
        <v>68</v>
      </c>
    </row>
    <row r="467" spans="15:20">
      <c r="O467" s="5">
        <v>22</v>
      </c>
      <c r="P467" s="5">
        <v>56</v>
      </c>
      <c r="Q467" s="5">
        <v>50</v>
      </c>
      <c r="R467" s="7">
        <f t="shared" si="21"/>
        <v>0.39285714285714285</v>
      </c>
      <c r="S467">
        <f t="shared" si="22"/>
        <v>6</v>
      </c>
      <c r="T467" s="5" t="str">
        <f t="shared" si="23"/>
        <v>6</v>
      </c>
    </row>
    <row r="468" spans="15:20">
      <c r="O468" s="3">
        <v>21</v>
      </c>
      <c r="P468" s="3">
        <v>98</v>
      </c>
      <c r="Q468" s="3">
        <v>50</v>
      </c>
      <c r="R468" s="7">
        <f t="shared" si="21"/>
        <v>0.21428571428571427</v>
      </c>
      <c r="S468">
        <f t="shared" si="22"/>
        <v>48</v>
      </c>
      <c r="T468" s="5" t="str">
        <f t="shared" si="23"/>
        <v>48</v>
      </c>
    </row>
    <row r="469" spans="15:20">
      <c r="O469" s="5">
        <v>25</v>
      </c>
      <c r="P469" s="5">
        <v>62</v>
      </c>
      <c r="Q469" s="5">
        <v>40</v>
      </c>
      <c r="R469" s="7">
        <f t="shared" si="21"/>
        <v>0.40322580645161288</v>
      </c>
      <c r="S469">
        <f t="shared" si="22"/>
        <v>22</v>
      </c>
      <c r="T469" s="5" t="str">
        <f t="shared" si="23"/>
        <v>22</v>
      </c>
    </row>
    <row r="470" spans="15:20">
      <c r="O470" s="3">
        <v>22</v>
      </c>
      <c r="P470" s="3">
        <v>55</v>
      </c>
      <c r="Q470" s="3">
        <v>40</v>
      </c>
      <c r="R470" s="7">
        <f t="shared" si="21"/>
        <v>0.4</v>
      </c>
      <c r="S470">
        <f t="shared" si="22"/>
        <v>15</v>
      </c>
      <c r="T470" s="5" t="str">
        <f t="shared" si="23"/>
        <v>15</v>
      </c>
    </row>
    <row r="471" spans="15:20">
      <c r="O471" s="5">
        <v>-18</v>
      </c>
      <c r="P471" s="5">
        <v>60</v>
      </c>
      <c r="Q471" s="5">
        <v>40</v>
      </c>
      <c r="R471" s="7">
        <f t="shared" si="21"/>
        <v>-0.3</v>
      </c>
      <c r="S471">
        <f t="shared" si="22"/>
        <v>20</v>
      </c>
      <c r="T471" s="5" t="str">
        <f t="shared" si="23"/>
        <v>20</v>
      </c>
    </row>
    <row r="472" spans="15:20">
      <c r="O472" s="3">
        <v>22</v>
      </c>
      <c r="P472" s="3">
        <v>56</v>
      </c>
      <c r="Q472" s="3">
        <v>30</v>
      </c>
      <c r="R472" s="7">
        <f t="shared" si="21"/>
        <v>0.39285714285714285</v>
      </c>
      <c r="S472">
        <f t="shared" si="22"/>
        <v>26</v>
      </c>
      <c r="T472" s="5" t="str">
        <f t="shared" si="23"/>
        <v>26</v>
      </c>
    </row>
    <row r="473" spans="15:20">
      <c r="O473" s="5">
        <v>47</v>
      </c>
      <c r="P473" s="5">
        <v>46</v>
      </c>
      <c r="Q473" s="5">
        <v>30</v>
      </c>
      <c r="R473" s="7">
        <f t="shared" si="21"/>
        <v>1.0217391304347827</v>
      </c>
      <c r="S473">
        <f t="shared" si="22"/>
        <v>16</v>
      </c>
      <c r="T473" s="5" t="str">
        <f t="shared" si="23"/>
        <v>16</v>
      </c>
    </row>
    <row r="474" spans="15:20">
      <c r="O474" s="3">
        <v>-4</v>
      </c>
      <c r="P474" s="3">
        <v>82</v>
      </c>
      <c r="Q474" s="3">
        <v>40</v>
      </c>
      <c r="R474" s="7">
        <f t="shared" si="21"/>
        <v>-4.878048780487805E-2</v>
      </c>
      <c r="S474">
        <f t="shared" si="22"/>
        <v>42</v>
      </c>
      <c r="T474" s="5" t="str">
        <f t="shared" si="23"/>
        <v>42</v>
      </c>
    </row>
    <row r="475" spans="15:20">
      <c r="O475" s="5">
        <v>21</v>
      </c>
      <c r="P475" s="5">
        <v>55</v>
      </c>
      <c r="Q475" s="5">
        <v>40</v>
      </c>
      <c r="R475" s="7">
        <f t="shared" si="21"/>
        <v>0.38181818181818183</v>
      </c>
      <c r="S475">
        <f t="shared" si="22"/>
        <v>15</v>
      </c>
      <c r="T475" s="5" t="str">
        <f t="shared" si="23"/>
        <v>15</v>
      </c>
    </row>
    <row r="476" spans="15:20">
      <c r="O476" s="3">
        <v>25</v>
      </c>
      <c r="P476" s="3">
        <v>65</v>
      </c>
      <c r="Q476" s="3">
        <v>40</v>
      </c>
      <c r="R476" s="7">
        <f t="shared" si="21"/>
        <v>0.38461538461538464</v>
      </c>
      <c r="S476">
        <f t="shared" si="22"/>
        <v>25</v>
      </c>
      <c r="T476" s="5" t="str">
        <f t="shared" si="23"/>
        <v>25</v>
      </c>
    </row>
    <row r="477" spans="15:20">
      <c r="O477" s="5">
        <v>-4</v>
      </c>
      <c r="P477" s="5">
        <v>82</v>
      </c>
      <c r="Q477" s="5">
        <v>40</v>
      </c>
      <c r="R477" s="7">
        <f t="shared" si="21"/>
        <v>-4.878048780487805E-2</v>
      </c>
      <c r="S477">
        <f t="shared" si="22"/>
        <v>42</v>
      </c>
      <c r="T477" s="5" t="str">
        <f t="shared" si="23"/>
        <v>42</v>
      </c>
    </row>
    <row r="478" spans="15:20">
      <c r="O478" s="3">
        <v>21</v>
      </c>
      <c r="P478" s="3">
        <v>55</v>
      </c>
      <c r="Q478" s="3">
        <v>50</v>
      </c>
      <c r="R478" s="7">
        <f t="shared" si="21"/>
        <v>0.38181818181818183</v>
      </c>
      <c r="S478">
        <f t="shared" si="22"/>
        <v>5</v>
      </c>
      <c r="T478" s="5" t="str">
        <f t="shared" si="23"/>
        <v>5</v>
      </c>
    </row>
    <row r="479" spans="15:20">
      <c r="O479" s="5">
        <v>21</v>
      </c>
      <c r="P479" s="5">
        <v>98</v>
      </c>
      <c r="Q479" s="5">
        <v>40</v>
      </c>
      <c r="R479" s="7">
        <f t="shared" si="21"/>
        <v>0.21428571428571427</v>
      </c>
      <c r="S479">
        <f t="shared" si="22"/>
        <v>58</v>
      </c>
      <c r="T479" s="5" t="str">
        <f t="shared" si="23"/>
        <v>58</v>
      </c>
    </row>
    <row r="480" spans="15:20">
      <c r="O480" s="3">
        <v>46</v>
      </c>
      <c r="P480" s="3">
        <v>120</v>
      </c>
      <c r="Q480" s="3">
        <v>50</v>
      </c>
      <c r="R480" s="7">
        <f t="shared" si="21"/>
        <v>0.38333333333333336</v>
      </c>
      <c r="S480">
        <f t="shared" si="22"/>
        <v>70</v>
      </c>
      <c r="T480" s="5" t="str">
        <f t="shared" si="23"/>
        <v>70</v>
      </c>
    </row>
    <row r="481" spans="15:20">
      <c r="O481" s="5">
        <v>25</v>
      </c>
      <c r="P481" s="5">
        <v>60</v>
      </c>
      <c r="Q481" s="5">
        <v>50</v>
      </c>
      <c r="R481" s="7">
        <f t="shared" si="21"/>
        <v>0.41666666666666669</v>
      </c>
      <c r="S481">
        <f t="shared" si="22"/>
        <v>10</v>
      </c>
      <c r="T481" s="5" t="str">
        <f t="shared" si="23"/>
        <v>10</v>
      </c>
    </row>
    <row r="482" spans="15:20">
      <c r="O482" s="3">
        <v>-6</v>
      </c>
      <c r="P482" s="3">
        <v>81</v>
      </c>
      <c r="Q482" s="3">
        <v>50</v>
      </c>
      <c r="R482" s="7">
        <f t="shared" si="21"/>
        <v>-7.407407407407407E-2</v>
      </c>
      <c r="S482">
        <f t="shared" si="22"/>
        <v>31</v>
      </c>
      <c r="T482" s="5" t="str">
        <f t="shared" si="23"/>
        <v>31</v>
      </c>
    </row>
    <row r="483" spans="15:20">
      <c r="O483" s="5">
        <v>16</v>
      </c>
      <c r="P483" s="5">
        <v>55</v>
      </c>
      <c r="Q483" s="5">
        <v>50</v>
      </c>
      <c r="R483" s="7">
        <f t="shared" si="21"/>
        <v>0.29090909090909089</v>
      </c>
      <c r="S483">
        <f t="shared" si="22"/>
        <v>5</v>
      </c>
      <c r="T483" s="5" t="str">
        <f t="shared" si="23"/>
        <v>5</v>
      </c>
    </row>
    <row r="484" spans="15:20">
      <c r="O484" s="3">
        <v>-6</v>
      </c>
      <c r="P484" s="3">
        <v>79</v>
      </c>
      <c r="Q484" s="3">
        <v>50</v>
      </c>
      <c r="R484" s="7">
        <f t="shared" si="21"/>
        <v>-7.5949367088607597E-2</v>
      </c>
      <c r="S484">
        <f t="shared" si="22"/>
        <v>29</v>
      </c>
      <c r="T484" s="5" t="str">
        <f t="shared" si="23"/>
        <v>29</v>
      </c>
    </row>
    <row r="485" spans="15:20">
      <c r="O485" s="5">
        <v>7</v>
      </c>
      <c r="P485" s="5">
        <v>68</v>
      </c>
      <c r="Q485" s="5">
        <v>50</v>
      </c>
      <c r="R485" s="7">
        <f t="shared" si="21"/>
        <v>0.10294117647058823</v>
      </c>
      <c r="S485">
        <f t="shared" si="22"/>
        <v>18</v>
      </c>
      <c r="T485" s="5" t="str">
        <f t="shared" si="23"/>
        <v>18</v>
      </c>
    </row>
    <row r="486" spans="15:20">
      <c r="O486" s="3">
        <v>28</v>
      </c>
      <c r="P486" s="3">
        <v>67</v>
      </c>
      <c r="Q486" s="3">
        <v>50</v>
      </c>
      <c r="R486" s="7">
        <f t="shared" si="21"/>
        <v>0.41791044776119401</v>
      </c>
      <c r="S486">
        <f t="shared" si="22"/>
        <v>17</v>
      </c>
      <c r="T486" s="5" t="str">
        <f t="shared" si="23"/>
        <v>17</v>
      </c>
    </row>
    <row r="487" spans="15:20">
      <c r="O487" s="5">
        <v>12</v>
      </c>
      <c r="P487" s="5">
        <v>42</v>
      </c>
      <c r="Q487" s="5">
        <v>40</v>
      </c>
      <c r="R487" s="7">
        <f t="shared" si="21"/>
        <v>0.2857142857142857</v>
      </c>
      <c r="S487">
        <f t="shared" si="22"/>
        <v>2</v>
      </c>
      <c r="T487" s="5" t="str">
        <f t="shared" si="23"/>
        <v>2</v>
      </c>
    </row>
    <row r="488" spans="15:20">
      <c r="O488" s="3">
        <v>42</v>
      </c>
      <c r="P488" s="3">
        <v>85</v>
      </c>
      <c r="Q488" s="3">
        <v>50</v>
      </c>
      <c r="R488" s="7">
        <f t="shared" si="21"/>
        <v>0.49411764705882355</v>
      </c>
      <c r="S488">
        <f t="shared" si="22"/>
        <v>35</v>
      </c>
      <c r="T488" s="5" t="str">
        <f t="shared" si="23"/>
        <v>35</v>
      </c>
    </row>
    <row r="489" spans="15:20">
      <c r="O489" s="5">
        <v>13</v>
      </c>
      <c r="P489" s="5">
        <v>87</v>
      </c>
      <c r="Q489" s="5">
        <v>50</v>
      </c>
      <c r="R489" s="7">
        <f t="shared" si="21"/>
        <v>0.14942528735632185</v>
      </c>
      <c r="S489">
        <f t="shared" si="22"/>
        <v>37</v>
      </c>
      <c r="T489" s="5" t="str">
        <f t="shared" si="23"/>
        <v>37</v>
      </c>
    </row>
    <row r="490" spans="15:20">
      <c r="O490" s="3">
        <v>-4</v>
      </c>
      <c r="P490" s="3">
        <v>81</v>
      </c>
      <c r="Q490" s="3">
        <v>50</v>
      </c>
      <c r="R490" s="7">
        <f t="shared" si="21"/>
        <v>-4.9382716049382713E-2</v>
      </c>
      <c r="S490">
        <f t="shared" si="22"/>
        <v>31</v>
      </c>
      <c r="T490" s="5" t="str">
        <f t="shared" si="23"/>
        <v>31</v>
      </c>
    </row>
    <row r="491" spans="15:20">
      <c r="O491" s="5">
        <v>18</v>
      </c>
      <c r="P491" s="5">
        <v>60</v>
      </c>
      <c r="Q491" s="5">
        <v>40</v>
      </c>
      <c r="R491" s="7">
        <f t="shared" si="21"/>
        <v>0.3</v>
      </c>
      <c r="S491">
        <f t="shared" si="22"/>
        <v>20</v>
      </c>
      <c r="T491" s="5" t="str">
        <f t="shared" si="23"/>
        <v>20</v>
      </c>
    </row>
    <row r="492" spans="15:20">
      <c r="O492" s="3">
        <v>18</v>
      </c>
      <c r="P492" s="3">
        <v>95</v>
      </c>
      <c r="Q492" s="3">
        <v>60</v>
      </c>
      <c r="R492" s="7">
        <f t="shared" si="21"/>
        <v>0.18947368421052632</v>
      </c>
      <c r="S492">
        <f t="shared" si="22"/>
        <v>35</v>
      </c>
      <c r="T492" s="5" t="str">
        <f t="shared" si="23"/>
        <v>35</v>
      </c>
    </row>
    <row r="493" spans="15:20">
      <c r="O493" s="5">
        <v>25</v>
      </c>
      <c r="P493" s="5">
        <v>62</v>
      </c>
      <c r="Q493" s="5">
        <v>50</v>
      </c>
      <c r="R493" s="7">
        <f t="shared" si="21"/>
        <v>0.40322580645161288</v>
      </c>
      <c r="S493">
        <f t="shared" si="22"/>
        <v>12</v>
      </c>
      <c r="T493" s="5" t="str">
        <f t="shared" si="23"/>
        <v>12</v>
      </c>
    </row>
    <row r="494" spans="15:20">
      <c r="O494" s="3">
        <v>15</v>
      </c>
      <c r="P494" s="3">
        <v>44</v>
      </c>
      <c r="Q494" s="3">
        <v>40</v>
      </c>
      <c r="R494" s="7">
        <f t="shared" si="21"/>
        <v>0.34090909090909088</v>
      </c>
      <c r="S494">
        <f t="shared" si="22"/>
        <v>4</v>
      </c>
      <c r="T494" s="5" t="str">
        <f t="shared" si="23"/>
        <v>4</v>
      </c>
    </row>
    <row r="495" spans="15:20">
      <c r="O495" s="5">
        <v>12</v>
      </c>
      <c r="P495" s="5">
        <v>74</v>
      </c>
      <c r="Q495" s="5">
        <v>60</v>
      </c>
      <c r="R495" s="7">
        <f t="shared" si="21"/>
        <v>0.16216216216216217</v>
      </c>
      <c r="S495">
        <f t="shared" si="22"/>
        <v>14</v>
      </c>
      <c r="T495" s="5" t="str">
        <f t="shared" si="23"/>
        <v>14</v>
      </c>
    </row>
    <row r="496" spans="15:20">
      <c r="O496" s="3">
        <v>-24</v>
      </c>
      <c r="P496" s="3">
        <v>48</v>
      </c>
      <c r="Q496" s="3">
        <v>40</v>
      </c>
      <c r="R496" s="7">
        <f t="shared" si="21"/>
        <v>-0.5</v>
      </c>
      <c r="S496">
        <f t="shared" si="22"/>
        <v>8</v>
      </c>
      <c r="T496" s="5" t="str">
        <f t="shared" si="23"/>
        <v>8</v>
      </c>
    </row>
    <row r="497" spans="15:20">
      <c r="O497" s="5">
        <v>36</v>
      </c>
      <c r="P497" s="5">
        <v>78</v>
      </c>
      <c r="Q497" s="5">
        <v>50</v>
      </c>
      <c r="R497" s="7">
        <f t="shared" si="21"/>
        <v>0.46153846153846156</v>
      </c>
      <c r="S497">
        <f t="shared" si="22"/>
        <v>28</v>
      </c>
      <c r="T497" s="5" t="str">
        <f t="shared" si="23"/>
        <v>28</v>
      </c>
    </row>
    <row r="498" spans="15:20">
      <c r="O498" s="3">
        <v>19</v>
      </c>
      <c r="P498" s="3">
        <v>60</v>
      </c>
      <c r="Q498" s="3">
        <v>50</v>
      </c>
      <c r="R498" s="7">
        <f t="shared" si="21"/>
        <v>0.31666666666666665</v>
      </c>
      <c r="S498">
        <f t="shared" si="22"/>
        <v>10</v>
      </c>
      <c r="T498" s="5" t="str">
        <f t="shared" si="23"/>
        <v>10</v>
      </c>
    </row>
    <row r="499" spans="15:20">
      <c r="O499" s="5">
        <v>28</v>
      </c>
      <c r="P499" s="5">
        <v>64</v>
      </c>
      <c r="Q499" s="5">
        <v>50</v>
      </c>
      <c r="R499" s="7">
        <f t="shared" si="21"/>
        <v>0.4375</v>
      </c>
      <c r="S499">
        <f t="shared" si="22"/>
        <v>14</v>
      </c>
      <c r="T499" s="5" t="str">
        <f t="shared" si="23"/>
        <v>14</v>
      </c>
    </row>
    <row r="500" spans="15:20">
      <c r="O500" s="3">
        <v>15</v>
      </c>
      <c r="P500" s="3">
        <v>44</v>
      </c>
      <c r="Q500" s="3">
        <v>40</v>
      </c>
      <c r="R500" s="7">
        <f t="shared" si="21"/>
        <v>0.34090909090909088</v>
      </c>
      <c r="S500">
        <f t="shared" si="22"/>
        <v>4</v>
      </c>
      <c r="T500" s="5" t="str">
        <f t="shared" si="23"/>
        <v>4</v>
      </c>
    </row>
    <row r="501" spans="15:20">
      <c r="O501" s="5">
        <v>37</v>
      </c>
      <c r="P501" s="5">
        <v>78</v>
      </c>
      <c r="Q501" s="5">
        <v>50</v>
      </c>
      <c r="R501" s="7">
        <f t="shared" si="21"/>
        <v>0.47435897435897434</v>
      </c>
      <c r="S501">
        <f t="shared" si="22"/>
        <v>28</v>
      </c>
      <c r="T501" s="5" t="str">
        <f t="shared" si="23"/>
        <v>28</v>
      </c>
    </row>
    <row r="502" spans="15:20">
      <c r="O502" s="3">
        <v>78</v>
      </c>
      <c r="P502" s="3">
        <v>187</v>
      </c>
      <c r="Q502" s="3">
        <v>120</v>
      </c>
      <c r="R502" s="7">
        <f t="shared" si="21"/>
        <v>0.41711229946524064</v>
      </c>
      <c r="S502">
        <f t="shared" si="22"/>
        <v>67</v>
      </c>
      <c r="T502" s="5" t="str">
        <f t="shared" si="23"/>
        <v>67</v>
      </c>
    </row>
    <row r="503" spans="15:20">
      <c r="O503" s="5">
        <v>26</v>
      </c>
      <c r="P503" s="5">
        <v>123</v>
      </c>
      <c r="Q503" s="5">
        <v>110</v>
      </c>
      <c r="R503" s="7">
        <f t="shared" si="21"/>
        <v>0.21138211382113822</v>
      </c>
      <c r="S503">
        <f t="shared" si="22"/>
        <v>13</v>
      </c>
      <c r="T503" s="5" t="str">
        <f t="shared" si="23"/>
        <v>13</v>
      </c>
    </row>
    <row r="504" spans="15:20">
      <c r="O504" s="3">
        <v>78</v>
      </c>
      <c r="P504" s="3">
        <v>187</v>
      </c>
      <c r="Q504" s="3">
        <v>130</v>
      </c>
      <c r="R504" s="7">
        <f t="shared" si="21"/>
        <v>0.41711229946524064</v>
      </c>
      <c r="S504">
        <f t="shared" si="22"/>
        <v>57</v>
      </c>
      <c r="T504" s="5" t="str">
        <f t="shared" si="23"/>
        <v>57</v>
      </c>
    </row>
    <row r="505" spans="15:20">
      <c r="O505" s="5">
        <v>55</v>
      </c>
      <c r="P505" s="5">
        <v>182</v>
      </c>
      <c r="Q505" s="5">
        <v>130</v>
      </c>
      <c r="R505" s="7">
        <f t="shared" si="21"/>
        <v>0.30219780219780218</v>
      </c>
      <c r="S505">
        <f t="shared" si="22"/>
        <v>52</v>
      </c>
      <c r="T505" s="5" t="str">
        <f t="shared" si="23"/>
        <v>52</v>
      </c>
    </row>
    <row r="506" spans="15:20">
      <c r="O506" s="3">
        <v>35</v>
      </c>
      <c r="P506" s="3">
        <v>142</v>
      </c>
      <c r="Q506" s="3">
        <v>130</v>
      </c>
      <c r="R506" s="7">
        <f t="shared" si="21"/>
        <v>0.24647887323943662</v>
      </c>
      <c r="S506">
        <f t="shared" si="22"/>
        <v>12</v>
      </c>
      <c r="T506" s="5" t="str">
        <f t="shared" si="23"/>
        <v>12</v>
      </c>
    </row>
    <row r="507" spans="15:20">
      <c r="O507" s="5">
        <v>28</v>
      </c>
      <c r="P507" s="5">
        <v>79</v>
      </c>
      <c r="Q507" s="5">
        <v>110</v>
      </c>
      <c r="R507" s="7">
        <f t="shared" si="21"/>
        <v>0.35443037974683544</v>
      </c>
      <c r="S507">
        <f t="shared" si="22"/>
        <v>-31</v>
      </c>
      <c r="T507" s="5" t="str">
        <f t="shared" si="23"/>
        <v>-31</v>
      </c>
    </row>
    <row r="508" spans="15:20">
      <c r="O508" s="3">
        <v>65</v>
      </c>
      <c r="P508" s="3">
        <v>205</v>
      </c>
      <c r="Q508" s="3">
        <v>130</v>
      </c>
      <c r="R508" s="7">
        <f t="shared" si="21"/>
        <v>0.31707317073170732</v>
      </c>
      <c r="S508">
        <f t="shared" si="22"/>
        <v>75</v>
      </c>
      <c r="T508" s="5" t="str">
        <f t="shared" si="23"/>
        <v>75</v>
      </c>
    </row>
    <row r="509" spans="15:20">
      <c r="O509" s="5">
        <v>15</v>
      </c>
      <c r="P509" s="5">
        <v>126</v>
      </c>
      <c r="Q509" s="5">
        <v>120</v>
      </c>
      <c r="R509" s="7">
        <f t="shared" si="21"/>
        <v>0.11904761904761904</v>
      </c>
      <c r="S509">
        <f t="shared" si="22"/>
        <v>6</v>
      </c>
      <c r="T509" s="5" t="str">
        <f t="shared" si="23"/>
        <v>6</v>
      </c>
    </row>
    <row r="510" spans="15:20">
      <c r="O510" s="3">
        <v>76</v>
      </c>
      <c r="P510" s="3">
        <v>218</v>
      </c>
      <c r="Q510" s="3">
        <v>130</v>
      </c>
      <c r="R510" s="7">
        <f t="shared" si="21"/>
        <v>0.34862385321100919</v>
      </c>
      <c r="S510">
        <f t="shared" si="22"/>
        <v>88</v>
      </c>
      <c r="T510" s="5" t="str">
        <f t="shared" si="23"/>
        <v>88</v>
      </c>
    </row>
    <row r="511" spans="15:20">
      <c r="O511" s="5">
        <v>57</v>
      </c>
      <c r="P511" s="5">
        <v>159</v>
      </c>
      <c r="Q511" s="5">
        <v>120</v>
      </c>
      <c r="R511" s="7">
        <f t="shared" si="21"/>
        <v>0.35849056603773582</v>
      </c>
      <c r="S511">
        <f t="shared" si="22"/>
        <v>39</v>
      </c>
      <c r="T511" s="5" t="str">
        <f t="shared" si="23"/>
        <v>39</v>
      </c>
    </row>
    <row r="512" spans="15:20">
      <c r="O512" s="3">
        <v>16</v>
      </c>
      <c r="P512" s="3">
        <v>124</v>
      </c>
      <c r="Q512" s="3">
        <v>150</v>
      </c>
      <c r="R512" s="7">
        <f t="shared" si="21"/>
        <v>0.12903225806451613</v>
      </c>
      <c r="S512">
        <f t="shared" si="22"/>
        <v>-26</v>
      </c>
      <c r="T512" s="5" t="str">
        <f t="shared" si="23"/>
        <v>-26</v>
      </c>
    </row>
    <row r="513" spans="15:20">
      <c r="O513" s="5">
        <v>33</v>
      </c>
      <c r="P513" s="5">
        <v>138</v>
      </c>
      <c r="Q513" s="5">
        <v>130</v>
      </c>
      <c r="R513" s="7">
        <f t="shared" si="21"/>
        <v>0.2391304347826087</v>
      </c>
      <c r="S513">
        <f t="shared" si="22"/>
        <v>8</v>
      </c>
      <c r="T513" s="5" t="str">
        <f t="shared" si="23"/>
        <v>8</v>
      </c>
    </row>
    <row r="514" spans="15:20">
      <c r="O514" s="3">
        <v>59</v>
      </c>
      <c r="P514" s="3">
        <v>189</v>
      </c>
      <c r="Q514" s="3">
        <v>130</v>
      </c>
      <c r="R514" s="7">
        <f t="shared" ref="R514:R577" si="24">O514/P514</f>
        <v>0.31216931216931215</v>
      </c>
      <c r="S514">
        <f t="shared" ref="S514:S577" si="25">P514-Q514</f>
        <v>59</v>
      </c>
      <c r="T514" s="5" t="str">
        <f t="shared" ref="T514:T577" si="26">TRIM(S:S)</f>
        <v>59</v>
      </c>
    </row>
    <row r="515" spans="15:20">
      <c r="O515" s="5">
        <v>38</v>
      </c>
      <c r="P515" s="5">
        <v>150</v>
      </c>
      <c r="Q515" s="5">
        <v>140</v>
      </c>
      <c r="R515" s="7">
        <f t="shared" si="24"/>
        <v>0.25333333333333335</v>
      </c>
      <c r="S515">
        <f t="shared" si="25"/>
        <v>10</v>
      </c>
      <c r="T515" s="5" t="str">
        <f t="shared" si="26"/>
        <v>10</v>
      </c>
    </row>
    <row r="516" spans="15:20">
      <c r="O516" s="3">
        <v>32</v>
      </c>
      <c r="P516" s="3">
        <v>114</v>
      </c>
      <c r="Q516" s="3">
        <v>130</v>
      </c>
      <c r="R516" s="7">
        <f t="shared" si="24"/>
        <v>0.2807017543859649</v>
      </c>
      <c r="S516">
        <f t="shared" si="25"/>
        <v>-16</v>
      </c>
      <c r="T516" s="5" t="str">
        <f t="shared" si="26"/>
        <v>-16</v>
      </c>
    </row>
    <row r="517" spans="15:20">
      <c r="O517" s="5">
        <v>45</v>
      </c>
      <c r="P517" s="5">
        <v>164</v>
      </c>
      <c r="Q517" s="5">
        <v>150</v>
      </c>
      <c r="R517" s="7">
        <f t="shared" si="24"/>
        <v>0.27439024390243905</v>
      </c>
      <c r="S517">
        <f t="shared" si="25"/>
        <v>14</v>
      </c>
      <c r="T517" s="5" t="str">
        <f t="shared" si="26"/>
        <v>14</v>
      </c>
    </row>
    <row r="518" spans="15:20">
      <c r="O518" s="3">
        <v>2</v>
      </c>
      <c r="P518" s="3">
        <v>147</v>
      </c>
      <c r="Q518" s="3">
        <v>140</v>
      </c>
      <c r="R518" s="7">
        <f t="shared" si="24"/>
        <v>1.3605442176870748E-2</v>
      </c>
      <c r="S518">
        <f t="shared" si="25"/>
        <v>7</v>
      </c>
      <c r="T518" s="5" t="str">
        <f t="shared" si="26"/>
        <v>7</v>
      </c>
    </row>
    <row r="519" spans="15:20">
      <c r="O519" s="5">
        <v>44</v>
      </c>
      <c r="P519" s="5">
        <v>115</v>
      </c>
      <c r="Q519" s="5">
        <v>130</v>
      </c>
      <c r="R519" s="7">
        <f t="shared" si="24"/>
        <v>0.38260869565217392</v>
      </c>
      <c r="S519">
        <f t="shared" si="25"/>
        <v>-15</v>
      </c>
      <c r="T519" s="5" t="str">
        <f t="shared" si="26"/>
        <v>-15</v>
      </c>
    </row>
    <row r="520" spans="15:20">
      <c r="O520" s="3">
        <v>-4</v>
      </c>
      <c r="P520" s="3">
        <v>125</v>
      </c>
      <c r="Q520" s="3">
        <v>140</v>
      </c>
      <c r="R520" s="7">
        <f t="shared" si="24"/>
        <v>-3.2000000000000001E-2</v>
      </c>
      <c r="S520">
        <f t="shared" si="25"/>
        <v>-15</v>
      </c>
      <c r="T520" s="5" t="str">
        <f t="shared" si="26"/>
        <v>-15</v>
      </c>
    </row>
    <row r="521" spans="15:20">
      <c r="O521" s="5">
        <v>27</v>
      </c>
      <c r="P521" s="5">
        <v>124</v>
      </c>
      <c r="Q521" s="5">
        <v>140</v>
      </c>
      <c r="R521" s="7">
        <f t="shared" si="24"/>
        <v>0.21774193548387097</v>
      </c>
      <c r="S521">
        <f t="shared" si="25"/>
        <v>-16</v>
      </c>
      <c r="T521" s="5" t="str">
        <f t="shared" si="26"/>
        <v>-16</v>
      </c>
    </row>
    <row r="522" spans="15:20">
      <c r="O522" s="3">
        <v>33</v>
      </c>
      <c r="P522" s="3">
        <v>138</v>
      </c>
      <c r="Q522" s="3">
        <v>130</v>
      </c>
      <c r="R522" s="7">
        <f t="shared" si="24"/>
        <v>0.2391304347826087</v>
      </c>
      <c r="S522">
        <f t="shared" si="25"/>
        <v>8</v>
      </c>
      <c r="T522" s="5" t="str">
        <f t="shared" si="26"/>
        <v>8</v>
      </c>
    </row>
    <row r="523" spans="15:20">
      <c r="O523" s="5">
        <v>48</v>
      </c>
      <c r="P523" s="5">
        <v>141</v>
      </c>
      <c r="Q523" s="5">
        <v>130</v>
      </c>
      <c r="R523" s="7">
        <f t="shared" si="24"/>
        <v>0.34042553191489361</v>
      </c>
      <c r="S523">
        <f t="shared" si="25"/>
        <v>11</v>
      </c>
      <c r="T523" s="5" t="str">
        <f t="shared" si="26"/>
        <v>11</v>
      </c>
    </row>
    <row r="524" spans="15:20">
      <c r="O524" s="3">
        <v>51</v>
      </c>
      <c r="P524" s="3">
        <v>132</v>
      </c>
      <c r="Q524" s="3">
        <v>130</v>
      </c>
      <c r="R524" s="7">
        <f t="shared" si="24"/>
        <v>0.38636363636363635</v>
      </c>
      <c r="S524">
        <f t="shared" si="25"/>
        <v>2</v>
      </c>
      <c r="T524" s="5" t="str">
        <f t="shared" si="26"/>
        <v>2</v>
      </c>
    </row>
    <row r="525" spans="15:20">
      <c r="O525" s="5">
        <v>6</v>
      </c>
      <c r="P525" s="5">
        <v>103</v>
      </c>
      <c r="Q525" s="5">
        <v>130</v>
      </c>
      <c r="R525" s="7">
        <f t="shared" si="24"/>
        <v>5.8252427184466021E-2</v>
      </c>
      <c r="S525">
        <f t="shared" si="25"/>
        <v>-27</v>
      </c>
      <c r="T525" s="5" t="str">
        <f t="shared" si="26"/>
        <v>-27</v>
      </c>
    </row>
    <row r="526" spans="15:20">
      <c r="O526" s="3">
        <v>47</v>
      </c>
      <c r="P526" s="3">
        <v>168</v>
      </c>
      <c r="Q526" s="3">
        <v>130</v>
      </c>
      <c r="R526" s="7">
        <f t="shared" si="24"/>
        <v>0.27976190476190477</v>
      </c>
      <c r="S526">
        <f t="shared" si="25"/>
        <v>38</v>
      </c>
      <c r="T526" s="5" t="str">
        <f t="shared" si="26"/>
        <v>38</v>
      </c>
    </row>
    <row r="527" spans="15:20">
      <c r="O527" s="5">
        <v>52</v>
      </c>
      <c r="P527" s="5">
        <v>133</v>
      </c>
      <c r="Q527" s="5">
        <v>130</v>
      </c>
      <c r="R527" s="7">
        <f t="shared" si="24"/>
        <v>0.39097744360902253</v>
      </c>
      <c r="S527">
        <f t="shared" si="25"/>
        <v>3</v>
      </c>
      <c r="T527" s="5" t="str">
        <f t="shared" si="26"/>
        <v>3</v>
      </c>
    </row>
    <row r="528" spans="15:20">
      <c r="O528" s="3">
        <v>47</v>
      </c>
      <c r="P528" s="3">
        <v>168</v>
      </c>
      <c r="Q528" s="3">
        <v>120</v>
      </c>
      <c r="R528" s="7">
        <f t="shared" si="24"/>
        <v>0.27976190476190477</v>
      </c>
      <c r="S528">
        <f t="shared" si="25"/>
        <v>48</v>
      </c>
      <c r="T528" s="5" t="str">
        <f t="shared" si="26"/>
        <v>48</v>
      </c>
    </row>
    <row r="529" spans="15:20">
      <c r="O529" s="5">
        <v>25</v>
      </c>
      <c r="P529" s="5">
        <v>101</v>
      </c>
      <c r="Q529" s="5">
        <v>120</v>
      </c>
      <c r="R529" s="7">
        <f t="shared" si="24"/>
        <v>0.24752475247524752</v>
      </c>
      <c r="S529">
        <f t="shared" si="25"/>
        <v>-19</v>
      </c>
      <c r="T529" s="5" t="str">
        <f t="shared" si="26"/>
        <v>-19</v>
      </c>
    </row>
    <row r="530" spans="15:20">
      <c r="O530" s="3">
        <v>22</v>
      </c>
      <c r="P530" s="3">
        <v>145</v>
      </c>
      <c r="Q530" s="3">
        <v>140</v>
      </c>
      <c r="R530" s="7">
        <f t="shared" si="24"/>
        <v>0.15172413793103448</v>
      </c>
      <c r="S530">
        <f t="shared" si="25"/>
        <v>5</v>
      </c>
      <c r="T530" s="5" t="str">
        <f t="shared" si="26"/>
        <v>5</v>
      </c>
    </row>
    <row r="531" spans="15:20">
      <c r="O531" s="5">
        <v>-7</v>
      </c>
      <c r="P531" s="5">
        <v>112</v>
      </c>
      <c r="Q531" s="5">
        <v>130</v>
      </c>
      <c r="R531" s="7">
        <f t="shared" si="24"/>
        <v>-6.25E-2</v>
      </c>
      <c r="S531">
        <f t="shared" si="25"/>
        <v>-18</v>
      </c>
      <c r="T531" s="5" t="str">
        <f t="shared" si="26"/>
        <v>-18</v>
      </c>
    </row>
    <row r="532" spans="15:20">
      <c r="O532" s="3">
        <v>21</v>
      </c>
      <c r="P532" s="3">
        <v>114</v>
      </c>
      <c r="Q532" s="3">
        <v>130</v>
      </c>
      <c r="R532" s="7">
        <f t="shared" si="24"/>
        <v>0.18421052631578946</v>
      </c>
      <c r="S532">
        <f t="shared" si="25"/>
        <v>-16</v>
      </c>
      <c r="T532" s="5" t="str">
        <f t="shared" si="26"/>
        <v>-16</v>
      </c>
    </row>
    <row r="533" spans="15:20">
      <c r="O533" s="5">
        <v>23</v>
      </c>
      <c r="P533" s="5">
        <v>145</v>
      </c>
      <c r="Q533" s="5">
        <v>140</v>
      </c>
      <c r="R533" s="7">
        <f t="shared" si="24"/>
        <v>0.15862068965517243</v>
      </c>
      <c r="S533">
        <f t="shared" si="25"/>
        <v>5</v>
      </c>
      <c r="T533" s="5" t="str">
        <f t="shared" si="26"/>
        <v>5</v>
      </c>
    </row>
    <row r="534" spans="15:20">
      <c r="O534" s="3">
        <v>26</v>
      </c>
      <c r="P534" s="3">
        <v>153</v>
      </c>
      <c r="Q534" s="3">
        <v>140</v>
      </c>
      <c r="R534" s="7">
        <f t="shared" si="24"/>
        <v>0.16993464052287582</v>
      </c>
      <c r="S534">
        <f t="shared" si="25"/>
        <v>13</v>
      </c>
      <c r="T534" s="5" t="str">
        <f t="shared" si="26"/>
        <v>13</v>
      </c>
    </row>
    <row r="535" spans="15:20">
      <c r="O535" s="5">
        <v>116</v>
      </c>
      <c r="P535" s="5">
        <v>199</v>
      </c>
      <c r="Q535" s="5">
        <v>120</v>
      </c>
      <c r="R535" s="7">
        <f t="shared" si="24"/>
        <v>0.58291457286432158</v>
      </c>
      <c r="S535">
        <f t="shared" si="25"/>
        <v>79</v>
      </c>
      <c r="T535" s="5" t="str">
        <f t="shared" si="26"/>
        <v>79</v>
      </c>
    </row>
    <row r="536" spans="15:20">
      <c r="O536" s="3">
        <v>39</v>
      </c>
      <c r="P536" s="3">
        <v>131</v>
      </c>
      <c r="Q536" s="3">
        <v>110</v>
      </c>
      <c r="R536" s="7">
        <f t="shared" si="24"/>
        <v>0.29770992366412213</v>
      </c>
      <c r="S536">
        <f t="shared" si="25"/>
        <v>21</v>
      </c>
      <c r="T536" s="5" t="str">
        <f t="shared" si="26"/>
        <v>21</v>
      </c>
    </row>
    <row r="537" spans="15:20">
      <c r="O537" s="5">
        <v>116</v>
      </c>
      <c r="P537" s="5">
        <v>199</v>
      </c>
      <c r="Q537" s="5">
        <v>130</v>
      </c>
      <c r="R537" s="7">
        <f t="shared" si="24"/>
        <v>0.58291457286432158</v>
      </c>
      <c r="S537">
        <f t="shared" si="25"/>
        <v>69</v>
      </c>
      <c r="T537" s="5" t="str">
        <f t="shared" si="26"/>
        <v>69</v>
      </c>
    </row>
    <row r="538" spans="15:20">
      <c r="O538" s="3">
        <v>82</v>
      </c>
      <c r="P538" s="3">
        <v>194</v>
      </c>
      <c r="Q538" s="3">
        <v>130</v>
      </c>
      <c r="R538" s="7">
        <f t="shared" si="24"/>
        <v>0.42268041237113402</v>
      </c>
      <c r="S538">
        <f t="shared" si="25"/>
        <v>64</v>
      </c>
      <c r="T538" s="5" t="str">
        <f t="shared" si="26"/>
        <v>64</v>
      </c>
    </row>
    <row r="539" spans="15:20">
      <c r="O539" s="5">
        <v>52</v>
      </c>
      <c r="P539" s="5">
        <v>151</v>
      </c>
      <c r="Q539" s="5">
        <v>130</v>
      </c>
      <c r="R539" s="7">
        <f t="shared" si="24"/>
        <v>0.3443708609271523</v>
      </c>
      <c r="S539">
        <f t="shared" si="25"/>
        <v>21</v>
      </c>
      <c r="T539" s="5" t="str">
        <f t="shared" si="26"/>
        <v>21</v>
      </c>
    </row>
    <row r="540" spans="15:20">
      <c r="O540" s="3">
        <v>42</v>
      </c>
      <c r="P540" s="3">
        <v>84</v>
      </c>
      <c r="Q540" s="3">
        <v>110</v>
      </c>
      <c r="R540" s="7">
        <f t="shared" si="24"/>
        <v>0.5</v>
      </c>
      <c r="S540">
        <f t="shared" si="25"/>
        <v>-26</v>
      </c>
      <c r="T540" s="5" t="str">
        <f t="shared" si="26"/>
        <v>-26</v>
      </c>
    </row>
    <row r="541" spans="15:20">
      <c r="O541" s="5">
        <v>96</v>
      </c>
      <c r="P541" s="5">
        <v>218</v>
      </c>
      <c r="Q541" s="5">
        <v>130</v>
      </c>
      <c r="R541" s="7">
        <f t="shared" si="24"/>
        <v>0.44036697247706424</v>
      </c>
      <c r="S541">
        <f t="shared" si="25"/>
        <v>88</v>
      </c>
      <c r="T541" s="5" t="str">
        <f t="shared" si="26"/>
        <v>88</v>
      </c>
    </row>
    <row r="542" spans="15:20">
      <c r="O542" s="3">
        <v>22</v>
      </c>
      <c r="P542" s="3">
        <v>134</v>
      </c>
      <c r="Q542" s="3">
        <v>120</v>
      </c>
      <c r="R542" s="7">
        <f t="shared" si="24"/>
        <v>0.16417910447761194</v>
      </c>
      <c r="S542">
        <f t="shared" si="25"/>
        <v>14</v>
      </c>
      <c r="T542" s="5" t="str">
        <f t="shared" si="26"/>
        <v>14</v>
      </c>
    </row>
    <row r="543" spans="15:20">
      <c r="O543" s="5">
        <v>113</v>
      </c>
      <c r="P543" s="5">
        <v>232</v>
      </c>
      <c r="Q543" s="5">
        <v>130</v>
      </c>
      <c r="R543" s="7">
        <f t="shared" si="24"/>
        <v>0.48706896551724138</v>
      </c>
      <c r="S543">
        <f t="shared" si="25"/>
        <v>102</v>
      </c>
      <c r="T543" s="5" t="str">
        <f t="shared" si="26"/>
        <v>102</v>
      </c>
    </row>
    <row r="544" spans="15:20">
      <c r="O544" s="3">
        <v>85</v>
      </c>
      <c r="P544" s="3">
        <v>169</v>
      </c>
      <c r="Q544" s="3">
        <v>120</v>
      </c>
      <c r="R544" s="7">
        <f t="shared" si="24"/>
        <v>0.50295857988165682</v>
      </c>
      <c r="S544">
        <f t="shared" si="25"/>
        <v>49</v>
      </c>
      <c r="T544" s="5" t="str">
        <f t="shared" si="26"/>
        <v>49</v>
      </c>
    </row>
    <row r="545" spans="15:20">
      <c r="O545" s="5">
        <v>24</v>
      </c>
      <c r="P545" s="5">
        <v>132</v>
      </c>
      <c r="Q545" s="5">
        <v>150</v>
      </c>
      <c r="R545" s="7">
        <f t="shared" si="24"/>
        <v>0.18181818181818182</v>
      </c>
      <c r="S545">
        <f t="shared" si="25"/>
        <v>-18</v>
      </c>
      <c r="T545" s="5" t="str">
        <f t="shared" si="26"/>
        <v>-18</v>
      </c>
    </row>
    <row r="546" spans="15:20">
      <c r="O546" s="3">
        <v>49</v>
      </c>
      <c r="P546" s="3">
        <v>147</v>
      </c>
      <c r="Q546" s="3">
        <v>130</v>
      </c>
      <c r="R546" s="7">
        <f t="shared" si="24"/>
        <v>0.33333333333333331</v>
      </c>
      <c r="S546">
        <f t="shared" si="25"/>
        <v>17</v>
      </c>
      <c r="T546" s="5" t="str">
        <f t="shared" si="26"/>
        <v>17</v>
      </c>
    </row>
    <row r="547" spans="15:20">
      <c r="O547" s="5">
        <v>88</v>
      </c>
      <c r="P547" s="5">
        <v>201</v>
      </c>
      <c r="Q547" s="5">
        <v>130</v>
      </c>
      <c r="R547" s="7">
        <f t="shared" si="24"/>
        <v>0.43781094527363185</v>
      </c>
      <c r="S547">
        <f t="shared" si="25"/>
        <v>71</v>
      </c>
      <c r="T547" s="5" t="str">
        <f t="shared" si="26"/>
        <v>71</v>
      </c>
    </row>
    <row r="548" spans="15:20">
      <c r="O548" s="3">
        <v>56</v>
      </c>
      <c r="P548" s="3">
        <v>160</v>
      </c>
      <c r="Q548" s="3">
        <v>140</v>
      </c>
      <c r="R548" s="7">
        <f t="shared" si="24"/>
        <v>0.35</v>
      </c>
      <c r="S548">
        <f t="shared" si="25"/>
        <v>20</v>
      </c>
      <c r="T548" s="5" t="str">
        <f t="shared" si="26"/>
        <v>20</v>
      </c>
    </row>
    <row r="549" spans="15:20">
      <c r="O549" s="5">
        <v>47</v>
      </c>
      <c r="P549" s="5">
        <v>121</v>
      </c>
      <c r="Q549" s="5">
        <v>130</v>
      </c>
      <c r="R549" s="7">
        <f t="shared" si="24"/>
        <v>0.38842975206611569</v>
      </c>
      <c r="S549">
        <f t="shared" si="25"/>
        <v>-9</v>
      </c>
      <c r="T549" s="5" t="str">
        <f t="shared" si="26"/>
        <v>-9</v>
      </c>
    </row>
    <row r="550" spans="15:20">
      <c r="O550" s="3">
        <v>67</v>
      </c>
      <c r="P550" s="3">
        <v>175</v>
      </c>
      <c r="Q550" s="3">
        <v>150</v>
      </c>
      <c r="R550" s="7">
        <f t="shared" si="24"/>
        <v>0.38285714285714284</v>
      </c>
      <c r="S550">
        <f t="shared" si="25"/>
        <v>25</v>
      </c>
      <c r="T550" s="5" t="str">
        <f t="shared" si="26"/>
        <v>25</v>
      </c>
    </row>
    <row r="551" spans="15:20">
      <c r="O551" s="5">
        <v>3</v>
      </c>
      <c r="P551" s="5">
        <v>157</v>
      </c>
      <c r="Q551" s="5">
        <v>140</v>
      </c>
      <c r="R551" s="7">
        <f t="shared" si="24"/>
        <v>1.9108280254777069E-2</v>
      </c>
      <c r="S551">
        <f t="shared" si="25"/>
        <v>17</v>
      </c>
      <c r="T551" s="5" t="str">
        <f t="shared" si="26"/>
        <v>17</v>
      </c>
    </row>
    <row r="552" spans="15:20">
      <c r="O552" s="3">
        <v>65</v>
      </c>
      <c r="P552" s="3">
        <v>123</v>
      </c>
      <c r="Q552" s="3">
        <v>130</v>
      </c>
      <c r="R552" s="7">
        <f t="shared" si="24"/>
        <v>0.52845528455284552</v>
      </c>
      <c r="S552">
        <f t="shared" si="25"/>
        <v>-7</v>
      </c>
      <c r="T552" s="5" t="str">
        <f t="shared" si="26"/>
        <v>-7</v>
      </c>
    </row>
    <row r="553" spans="15:20">
      <c r="O553" s="5">
        <v>-6</v>
      </c>
      <c r="P553" s="5">
        <v>133</v>
      </c>
      <c r="Q553" s="5">
        <v>140</v>
      </c>
      <c r="R553" s="7">
        <f t="shared" si="24"/>
        <v>-4.5112781954887216E-2</v>
      </c>
      <c r="S553">
        <f t="shared" si="25"/>
        <v>-7</v>
      </c>
      <c r="T553" s="5" t="str">
        <f t="shared" si="26"/>
        <v>-7</v>
      </c>
    </row>
    <row r="554" spans="15:20">
      <c r="O554" s="3">
        <v>40</v>
      </c>
      <c r="P554" s="3">
        <v>132</v>
      </c>
      <c r="Q554" s="3">
        <v>140</v>
      </c>
      <c r="R554" s="7">
        <f t="shared" si="24"/>
        <v>0.30303030303030304</v>
      </c>
      <c r="S554">
        <f t="shared" si="25"/>
        <v>-8</v>
      </c>
      <c r="T554" s="5" t="str">
        <f t="shared" si="26"/>
        <v>-8</v>
      </c>
    </row>
    <row r="555" spans="15:20">
      <c r="O555" s="5">
        <v>49</v>
      </c>
      <c r="P555" s="5">
        <v>147</v>
      </c>
      <c r="Q555" s="5">
        <v>130</v>
      </c>
      <c r="R555" s="7">
        <f t="shared" si="24"/>
        <v>0.33333333333333331</v>
      </c>
      <c r="S555">
        <f t="shared" si="25"/>
        <v>17</v>
      </c>
      <c r="T555" s="5" t="str">
        <f t="shared" si="26"/>
        <v>17</v>
      </c>
    </row>
    <row r="556" spans="15:20">
      <c r="O556" s="3">
        <v>71</v>
      </c>
      <c r="P556" s="3">
        <v>150</v>
      </c>
      <c r="Q556" s="3">
        <v>130</v>
      </c>
      <c r="R556" s="7">
        <f t="shared" si="24"/>
        <v>0.47333333333333333</v>
      </c>
      <c r="S556">
        <f t="shared" si="25"/>
        <v>20</v>
      </c>
      <c r="T556" s="5" t="str">
        <f t="shared" si="26"/>
        <v>20</v>
      </c>
    </row>
    <row r="557" spans="15:20">
      <c r="O557" s="5">
        <v>76</v>
      </c>
      <c r="P557" s="5">
        <v>141</v>
      </c>
      <c r="Q557" s="5">
        <v>130</v>
      </c>
      <c r="R557" s="7">
        <f t="shared" si="24"/>
        <v>0.53900709219858156</v>
      </c>
      <c r="S557">
        <f t="shared" si="25"/>
        <v>11</v>
      </c>
      <c r="T557" s="5" t="str">
        <f t="shared" si="26"/>
        <v>11</v>
      </c>
    </row>
    <row r="558" spans="15:20">
      <c r="O558" s="3">
        <v>9</v>
      </c>
      <c r="P558" s="3">
        <v>110</v>
      </c>
      <c r="Q558" s="3">
        <v>130</v>
      </c>
      <c r="R558" s="7">
        <f t="shared" si="24"/>
        <v>8.1818181818181818E-2</v>
      </c>
      <c r="S558">
        <f t="shared" si="25"/>
        <v>-20</v>
      </c>
      <c r="T558" s="5" t="str">
        <f t="shared" si="26"/>
        <v>-20</v>
      </c>
    </row>
    <row r="559" spans="15:20">
      <c r="O559" s="5">
        <v>70</v>
      </c>
      <c r="P559" s="5">
        <v>179</v>
      </c>
      <c r="Q559" s="5">
        <v>130</v>
      </c>
      <c r="R559" s="7">
        <f t="shared" si="24"/>
        <v>0.39106145251396646</v>
      </c>
      <c r="S559">
        <f t="shared" si="25"/>
        <v>49</v>
      </c>
      <c r="T559" s="5" t="str">
        <f t="shared" si="26"/>
        <v>49</v>
      </c>
    </row>
    <row r="560" spans="15:20">
      <c r="O560" s="3">
        <v>77</v>
      </c>
      <c r="P560" s="3">
        <v>142</v>
      </c>
      <c r="Q560" s="3">
        <v>130</v>
      </c>
      <c r="R560" s="7">
        <f t="shared" si="24"/>
        <v>0.54225352112676062</v>
      </c>
      <c r="S560">
        <f t="shared" si="25"/>
        <v>12</v>
      </c>
      <c r="T560" s="5" t="str">
        <f t="shared" si="26"/>
        <v>12</v>
      </c>
    </row>
    <row r="561" spans="15:20">
      <c r="O561" s="5">
        <v>70</v>
      </c>
      <c r="P561" s="5">
        <v>179</v>
      </c>
      <c r="Q561" s="5">
        <v>120</v>
      </c>
      <c r="R561" s="7">
        <f t="shared" si="24"/>
        <v>0.39106145251396646</v>
      </c>
      <c r="S561">
        <f t="shared" si="25"/>
        <v>59</v>
      </c>
      <c r="T561" s="5" t="str">
        <f t="shared" si="26"/>
        <v>59</v>
      </c>
    </row>
    <row r="562" spans="15:20">
      <c r="O562" s="3">
        <v>37</v>
      </c>
      <c r="P562" s="3">
        <v>108</v>
      </c>
      <c r="Q562" s="3">
        <v>120</v>
      </c>
      <c r="R562" s="7">
        <f t="shared" si="24"/>
        <v>0.34259259259259262</v>
      </c>
      <c r="S562">
        <f t="shared" si="25"/>
        <v>-12</v>
      </c>
      <c r="T562" s="5" t="str">
        <f t="shared" si="26"/>
        <v>-12</v>
      </c>
    </row>
    <row r="563" spans="15:20">
      <c r="O563" s="5">
        <v>33</v>
      </c>
      <c r="P563" s="5">
        <v>155</v>
      </c>
      <c r="Q563" s="5">
        <v>140</v>
      </c>
      <c r="R563" s="7">
        <f t="shared" si="24"/>
        <v>0.2129032258064516</v>
      </c>
      <c r="S563">
        <f t="shared" si="25"/>
        <v>15</v>
      </c>
      <c r="T563" s="5" t="str">
        <f t="shared" si="26"/>
        <v>15</v>
      </c>
    </row>
    <row r="564" spans="15:20">
      <c r="O564" s="3">
        <v>-10</v>
      </c>
      <c r="P564" s="3">
        <v>119</v>
      </c>
      <c r="Q564" s="3">
        <v>130</v>
      </c>
      <c r="R564" s="7">
        <f t="shared" si="24"/>
        <v>-8.4033613445378158E-2</v>
      </c>
      <c r="S564">
        <f t="shared" si="25"/>
        <v>-11</v>
      </c>
      <c r="T564" s="5" t="str">
        <f t="shared" si="26"/>
        <v>-11</v>
      </c>
    </row>
    <row r="565" spans="15:20">
      <c r="O565" s="5">
        <v>31</v>
      </c>
      <c r="P565" s="5">
        <v>121</v>
      </c>
      <c r="Q565" s="5">
        <v>130</v>
      </c>
      <c r="R565" s="7">
        <f t="shared" si="24"/>
        <v>0.256198347107438</v>
      </c>
      <c r="S565">
        <f t="shared" si="25"/>
        <v>-9</v>
      </c>
      <c r="T565" s="5" t="str">
        <f t="shared" si="26"/>
        <v>-9</v>
      </c>
    </row>
    <row r="566" spans="15:20">
      <c r="O566" s="3">
        <v>34</v>
      </c>
      <c r="P566" s="3">
        <v>155</v>
      </c>
      <c r="Q566" s="3">
        <v>140</v>
      </c>
      <c r="R566" s="7">
        <f t="shared" si="24"/>
        <v>0.21935483870967742</v>
      </c>
      <c r="S566">
        <f t="shared" si="25"/>
        <v>15</v>
      </c>
      <c r="T566" s="5" t="str">
        <f t="shared" si="26"/>
        <v>15</v>
      </c>
    </row>
    <row r="567" spans="15:20">
      <c r="O567" s="5">
        <v>39</v>
      </c>
      <c r="P567" s="5">
        <v>163</v>
      </c>
      <c r="Q567" s="5">
        <v>140</v>
      </c>
      <c r="R567" s="7">
        <f t="shared" si="24"/>
        <v>0.2392638036809816</v>
      </c>
      <c r="S567">
        <f t="shared" si="25"/>
        <v>23</v>
      </c>
      <c r="T567" s="5" t="str">
        <f t="shared" si="26"/>
        <v>23</v>
      </c>
    </row>
    <row r="568" spans="15:20">
      <c r="O568" s="3">
        <v>26</v>
      </c>
      <c r="P568" s="3">
        <v>90</v>
      </c>
      <c r="Q568" s="3">
        <v>130</v>
      </c>
      <c r="R568" s="7">
        <f t="shared" si="24"/>
        <v>0.28888888888888886</v>
      </c>
      <c r="S568">
        <f t="shared" si="25"/>
        <v>-40</v>
      </c>
      <c r="T568" s="5" t="str">
        <f t="shared" si="26"/>
        <v>-40</v>
      </c>
    </row>
    <row r="569" spans="15:20">
      <c r="O569" s="5">
        <v>185</v>
      </c>
      <c r="P569" s="5">
        <v>520</v>
      </c>
      <c r="Q569" s="5">
        <v>770</v>
      </c>
      <c r="R569" s="7">
        <f t="shared" si="24"/>
        <v>0.35576923076923078</v>
      </c>
      <c r="S569">
        <f t="shared" si="25"/>
        <v>-250</v>
      </c>
      <c r="T569" s="5" t="str">
        <f t="shared" si="26"/>
        <v>-250</v>
      </c>
    </row>
    <row r="570" spans="15:20">
      <c r="O570" s="3">
        <v>133</v>
      </c>
      <c r="P570" s="3">
        <v>302</v>
      </c>
      <c r="Q570" s="3">
        <v>190</v>
      </c>
      <c r="R570" s="7">
        <f t="shared" si="24"/>
        <v>0.44039735099337746</v>
      </c>
      <c r="S570">
        <f t="shared" si="25"/>
        <v>112</v>
      </c>
      <c r="T570" s="5" t="str">
        <f t="shared" si="26"/>
        <v>112</v>
      </c>
    </row>
    <row r="571" spans="15:20">
      <c r="O571" s="5">
        <v>45</v>
      </c>
      <c r="P571" s="5">
        <v>118</v>
      </c>
      <c r="Q571" s="5">
        <v>160</v>
      </c>
      <c r="R571" s="7">
        <f t="shared" si="24"/>
        <v>0.38135593220338981</v>
      </c>
      <c r="S571">
        <f t="shared" si="25"/>
        <v>-42</v>
      </c>
      <c r="T571" s="5" t="str">
        <f t="shared" si="26"/>
        <v>-42</v>
      </c>
    </row>
    <row r="572" spans="15:20">
      <c r="O572" s="3">
        <v>47</v>
      </c>
      <c r="P572" s="3">
        <v>119</v>
      </c>
      <c r="Q572" s="3">
        <v>160</v>
      </c>
      <c r="R572" s="7">
        <f t="shared" si="24"/>
        <v>0.3949579831932773</v>
      </c>
      <c r="S572">
        <f t="shared" si="25"/>
        <v>-41</v>
      </c>
      <c r="T572" s="5" t="str">
        <f t="shared" si="26"/>
        <v>-41</v>
      </c>
    </row>
    <row r="573" spans="15:20">
      <c r="O573" s="5">
        <v>23</v>
      </c>
      <c r="P573" s="5">
        <v>114</v>
      </c>
      <c r="Q573" s="5">
        <v>160</v>
      </c>
      <c r="R573" s="7">
        <f t="shared" si="24"/>
        <v>0.20175438596491227</v>
      </c>
      <c r="S573">
        <f t="shared" si="25"/>
        <v>-46</v>
      </c>
      <c r="T573" s="5" t="str">
        <f t="shared" si="26"/>
        <v>-46</v>
      </c>
    </row>
    <row r="574" spans="15:20">
      <c r="O574" s="3">
        <v>74</v>
      </c>
      <c r="P574" s="3">
        <v>205</v>
      </c>
      <c r="Q574" s="3">
        <v>290</v>
      </c>
      <c r="R574" s="7">
        <f t="shared" si="24"/>
        <v>0.36097560975609755</v>
      </c>
      <c r="S574">
        <f t="shared" si="25"/>
        <v>-85</v>
      </c>
      <c r="T574" s="5" t="str">
        <f t="shared" si="26"/>
        <v>-85</v>
      </c>
    </row>
    <row r="575" spans="15:20">
      <c r="O575" s="5">
        <v>-12</v>
      </c>
      <c r="P575" s="5">
        <v>56</v>
      </c>
      <c r="Q575" s="5">
        <v>30</v>
      </c>
      <c r="R575" s="7">
        <f t="shared" si="24"/>
        <v>-0.21428571428571427</v>
      </c>
      <c r="S575">
        <f t="shared" si="25"/>
        <v>26</v>
      </c>
      <c r="T575" s="5" t="str">
        <f t="shared" si="26"/>
        <v>26</v>
      </c>
    </row>
    <row r="576" spans="15:20">
      <c r="O576" s="3">
        <v>87</v>
      </c>
      <c r="P576" s="3">
        <v>236</v>
      </c>
      <c r="Q576" s="3">
        <v>210</v>
      </c>
      <c r="R576" s="7">
        <f t="shared" si="24"/>
        <v>0.36864406779661019</v>
      </c>
      <c r="S576">
        <f t="shared" si="25"/>
        <v>26</v>
      </c>
      <c r="T576" s="5" t="str">
        <f t="shared" si="26"/>
        <v>26</v>
      </c>
    </row>
    <row r="577" spans="15:20">
      <c r="O577" s="5">
        <v>34</v>
      </c>
      <c r="P577" s="5">
        <v>177</v>
      </c>
      <c r="Q577" s="5">
        <v>150</v>
      </c>
      <c r="R577" s="7">
        <f t="shared" si="24"/>
        <v>0.19209039548022599</v>
      </c>
      <c r="S577">
        <f t="shared" si="25"/>
        <v>27</v>
      </c>
      <c r="T577" s="5" t="str">
        <f t="shared" si="26"/>
        <v>27</v>
      </c>
    </row>
    <row r="578" spans="15:20">
      <c r="O578" s="3">
        <v>17</v>
      </c>
      <c r="P578" s="3">
        <v>230</v>
      </c>
      <c r="Q578" s="3">
        <v>200</v>
      </c>
      <c r="R578" s="7">
        <f t="shared" ref="R578:R641" si="27">O578/P578</f>
        <v>7.3913043478260873E-2</v>
      </c>
      <c r="S578">
        <f t="shared" ref="S578:S641" si="28">P578-Q578</f>
        <v>30</v>
      </c>
      <c r="T578" s="5" t="str">
        <f t="shared" ref="T578:T641" si="29">TRIM(S:S)</f>
        <v>30</v>
      </c>
    </row>
    <row r="579" spans="15:20">
      <c r="O579" s="5">
        <v>174</v>
      </c>
      <c r="P579" s="5">
        <v>490</v>
      </c>
      <c r="Q579" s="5">
        <v>580</v>
      </c>
      <c r="R579" s="7">
        <f t="shared" si="27"/>
        <v>0.35510204081632651</v>
      </c>
      <c r="S579">
        <f t="shared" si="28"/>
        <v>-90</v>
      </c>
      <c r="T579" s="5" t="str">
        <f t="shared" si="29"/>
        <v>-90</v>
      </c>
    </row>
    <row r="580" spans="15:20">
      <c r="O580" s="3">
        <v>59</v>
      </c>
      <c r="P580" s="3">
        <v>189</v>
      </c>
      <c r="Q580" s="3">
        <v>140</v>
      </c>
      <c r="R580" s="7">
        <f t="shared" si="27"/>
        <v>0.31216931216931215</v>
      </c>
      <c r="S580">
        <f t="shared" si="28"/>
        <v>49</v>
      </c>
      <c r="T580" s="5" t="str">
        <f t="shared" si="29"/>
        <v>49</v>
      </c>
    </row>
    <row r="581" spans="15:20">
      <c r="O581" s="5">
        <v>127</v>
      </c>
      <c r="P581" s="5">
        <v>290</v>
      </c>
      <c r="Q581" s="5">
        <v>220</v>
      </c>
      <c r="R581" s="7">
        <f t="shared" si="27"/>
        <v>0.43793103448275861</v>
      </c>
      <c r="S581">
        <f t="shared" si="28"/>
        <v>70</v>
      </c>
      <c r="T581" s="5" t="str">
        <f t="shared" si="29"/>
        <v>70</v>
      </c>
    </row>
    <row r="582" spans="15:20">
      <c r="O582" s="3">
        <v>62</v>
      </c>
      <c r="P582" s="3">
        <v>197</v>
      </c>
      <c r="Q582" s="3">
        <v>150</v>
      </c>
      <c r="R582" s="7">
        <f t="shared" si="27"/>
        <v>0.31472081218274112</v>
      </c>
      <c r="S582">
        <f t="shared" si="28"/>
        <v>47</v>
      </c>
      <c r="T582" s="5" t="str">
        <f t="shared" si="29"/>
        <v>47</v>
      </c>
    </row>
    <row r="583" spans="15:20">
      <c r="O583" s="5">
        <v>71</v>
      </c>
      <c r="P583" s="5">
        <v>200</v>
      </c>
      <c r="Q583" s="5">
        <v>230</v>
      </c>
      <c r="R583" s="7">
        <f t="shared" si="27"/>
        <v>0.35499999999999998</v>
      </c>
      <c r="S583">
        <f t="shared" si="28"/>
        <v>-30</v>
      </c>
      <c r="T583" s="5" t="str">
        <f t="shared" si="29"/>
        <v>-30</v>
      </c>
    </row>
    <row r="584" spans="15:20">
      <c r="O584" s="3">
        <v>89</v>
      </c>
      <c r="P584" s="3">
        <v>245</v>
      </c>
      <c r="Q584" s="3">
        <v>180</v>
      </c>
      <c r="R584" s="7">
        <f t="shared" si="27"/>
        <v>0.36326530612244901</v>
      </c>
      <c r="S584">
        <f t="shared" si="28"/>
        <v>65</v>
      </c>
      <c r="T584" s="5" t="str">
        <f t="shared" si="29"/>
        <v>65</v>
      </c>
    </row>
    <row r="585" spans="15:20">
      <c r="O585" s="5">
        <v>85</v>
      </c>
      <c r="P585" s="5">
        <v>231</v>
      </c>
      <c r="Q585" s="5">
        <v>210</v>
      </c>
      <c r="R585" s="7">
        <f t="shared" si="27"/>
        <v>0.36796536796536794</v>
      </c>
      <c r="S585">
        <f t="shared" si="28"/>
        <v>21</v>
      </c>
      <c r="T585" s="5" t="str">
        <f t="shared" si="29"/>
        <v>21</v>
      </c>
    </row>
    <row r="586" spans="15:20">
      <c r="O586" s="3">
        <v>9</v>
      </c>
      <c r="P586" s="3">
        <v>39</v>
      </c>
      <c r="Q586" s="3">
        <v>30</v>
      </c>
      <c r="R586" s="7">
        <f t="shared" si="27"/>
        <v>0.23076923076923078</v>
      </c>
      <c r="S586">
        <f t="shared" si="28"/>
        <v>9</v>
      </c>
      <c r="T586" s="5" t="str">
        <f t="shared" si="29"/>
        <v>9</v>
      </c>
    </row>
    <row r="587" spans="15:20">
      <c r="O587" s="5">
        <v>38</v>
      </c>
      <c r="P587" s="5">
        <v>184</v>
      </c>
      <c r="Q587" s="5">
        <v>170</v>
      </c>
      <c r="R587" s="7">
        <f t="shared" si="27"/>
        <v>0.20652173913043478</v>
      </c>
      <c r="S587">
        <f t="shared" si="28"/>
        <v>14</v>
      </c>
      <c r="T587" s="5" t="str">
        <f t="shared" si="29"/>
        <v>14</v>
      </c>
    </row>
    <row r="588" spans="15:20">
      <c r="O588" s="3">
        <v>15</v>
      </c>
      <c r="P588" s="3">
        <v>224</v>
      </c>
      <c r="Q588" s="3">
        <v>200</v>
      </c>
      <c r="R588" s="7">
        <f t="shared" si="27"/>
        <v>6.6964285714285712E-2</v>
      </c>
      <c r="S588">
        <f t="shared" si="28"/>
        <v>24</v>
      </c>
      <c r="T588" s="5" t="str">
        <f t="shared" si="29"/>
        <v>24</v>
      </c>
    </row>
    <row r="589" spans="15:20">
      <c r="O589" s="5">
        <v>188</v>
      </c>
      <c r="P589" s="5">
        <v>525</v>
      </c>
      <c r="Q589" s="5">
        <v>620</v>
      </c>
      <c r="R589" s="7">
        <f t="shared" si="27"/>
        <v>0.35809523809523808</v>
      </c>
      <c r="S589">
        <f t="shared" si="28"/>
        <v>-95</v>
      </c>
      <c r="T589" s="5" t="str">
        <f t="shared" si="29"/>
        <v>-95</v>
      </c>
    </row>
    <row r="590" spans="15:20">
      <c r="O590" s="3">
        <v>133</v>
      </c>
      <c r="P590" s="3">
        <v>302</v>
      </c>
      <c r="Q590" s="3">
        <v>230</v>
      </c>
      <c r="R590" s="7">
        <f t="shared" si="27"/>
        <v>0.44039735099337746</v>
      </c>
      <c r="S590">
        <f t="shared" si="28"/>
        <v>72</v>
      </c>
      <c r="T590" s="5" t="str">
        <f t="shared" si="29"/>
        <v>72</v>
      </c>
    </row>
    <row r="591" spans="15:20">
      <c r="O591" s="5">
        <v>16</v>
      </c>
      <c r="P591" s="5">
        <v>160</v>
      </c>
      <c r="Q591" s="5">
        <v>190</v>
      </c>
      <c r="R591" s="7">
        <f t="shared" si="27"/>
        <v>0.1</v>
      </c>
      <c r="S591">
        <f t="shared" si="28"/>
        <v>-30</v>
      </c>
      <c r="T591" s="5" t="str">
        <f t="shared" si="29"/>
        <v>-30</v>
      </c>
    </row>
    <row r="592" spans="15:20">
      <c r="O592" s="3">
        <v>72</v>
      </c>
      <c r="P592" s="3">
        <v>221</v>
      </c>
      <c r="Q592" s="3">
        <v>170</v>
      </c>
      <c r="R592" s="7">
        <f t="shared" si="27"/>
        <v>0.32579185520361992</v>
      </c>
      <c r="S592">
        <f t="shared" si="28"/>
        <v>51</v>
      </c>
      <c r="T592" s="5" t="str">
        <f t="shared" si="29"/>
        <v>51</v>
      </c>
    </row>
    <row r="593" spans="15:20">
      <c r="O593" s="5">
        <v>46</v>
      </c>
      <c r="P593" s="5">
        <v>120</v>
      </c>
      <c r="Q593" s="5">
        <v>140</v>
      </c>
      <c r="R593" s="7">
        <f t="shared" si="27"/>
        <v>0.38333333333333336</v>
      </c>
      <c r="S593">
        <f t="shared" si="28"/>
        <v>-20</v>
      </c>
      <c r="T593" s="5" t="str">
        <f t="shared" si="29"/>
        <v>-20</v>
      </c>
    </row>
    <row r="594" spans="15:20">
      <c r="O594" s="3">
        <v>27</v>
      </c>
      <c r="P594" s="3">
        <v>122</v>
      </c>
      <c r="Q594" s="3">
        <v>140</v>
      </c>
      <c r="R594" s="7">
        <f t="shared" si="27"/>
        <v>0.22131147540983606</v>
      </c>
      <c r="S594">
        <f t="shared" si="28"/>
        <v>-18</v>
      </c>
      <c r="T594" s="5" t="str">
        <f t="shared" si="29"/>
        <v>-18</v>
      </c>
    </row>
    <row r="595" spans="15:20">
      <c r="O595" s="5">
        <v>66</v>
      </c>
      <c r="P595" s="5">
        <v>185</v>
      </c>
      <c r="Q595" s="5">
        <v>220</v>
      </c>
      <c r="R595" s="7">
        <f t="shared" si="27"/>
        <v>0.35675675675675678</v>
      </c>
      <c r="S595">
        <f t="shared" si="28"/>
        <v>-35</v>
      </c>
      <c r="T595" s="5" t="str">
        <f t="shared" si="29"/>
        <v>-35</v>
      </c>
    </row>
    <row r="596" spans="15:20">
      <c r="O596" s="3">
        <v>-15</v>
      </c>
      <c r="P596" s="3">
        <v>45</v>
      </c>
      <c r="Q596" s="3">
        <v>30</v>
      </c>
      <c r="R596" s="7">
        <f t="shared" si="27"/>
        <v>-0.33333333333333331</v>
      </c>
      <c r="S596">
        <f t="shared" si="28"/>
        <v>15</v>
      </c>
      <c r="T596" s="5" t="str">
        <f t="shared" si="29"/>
        <v>15</v>
      </c>
    </row>
    <row r="597" spans="15:20">
      <c r="O597" s="5">
        <v>121</v>
      </c>
      <c r="P597" s="5">
        <v>320</v>
      </c>
      <c r="Q597" s="5">
        <v>240</v>
      </c>
      <c r="R597" s="7">
        <f t="shared" si="27"/>
        <v>0.37812499999999999</v>
      </c>
      <c r="S597">
        <f t="shared" si="28"/>
        <v>80</v>
      </c>
      <c r="T597" s="5" t="str">
        <f t="shared" si="29"/>
        <v>80</v>
      </c>
    </row>
    <row r="598" spans="15:20">
      <c r="O598" s="3">
        <v>77</v>
      </c>
      <c r="P598" s="3">
        <v>214</v>
      </c>
      <c r="Q598" s="3">
        <v>190</v>
      </c>
      <c r="R598" s="7">
        <f t="shared" si="27"/>
        <v>0.35981308411214952</v>
      </c>
      <c r="S598">
        <f t="shared" si="28"/>
        <v>24</v>
      </c>
      <c r="T598" s="5" t="str">
        <f t="shared" si="29"/>
        <v>24</v>
      </c>
    </row>
    <row r="599" spans="15:20">
      <c r="O599" s="5">
        <v>9</v>
      </c>
      <c r="P599" s="5">
        <v>41</v>
      </c>
      <c r="Q599" s="5">
        <v>30</v>
      </c>
      <c r="R599" s="7">
        <f t="shared" si="27"/>
        <v>0.21951219512195122</v>
      </c>
      <c r="S599">
        <f t="shared" si="28"/>
        <v>11</v>
      </c>
      <c r="T599" s="5" t="str">
        <f t="shared" si="29"/>
        <v>11</v>
      </c>
    </row>
    <row r="600" spans="15:20">
      <c r="O600" s="3">
        <v>20</v>
      </c>
      <c r="P600" s="3">
        <v>250</v>
      </c>
      <c r="Q600" s="3">
        <v>230</v>
      </c>
      <c r="R600" s="7">
        <f t="shared" si="27"/>
        <v>0.08</v>
      </c>
      <c r="S600">
        <f t="shared" si="28"/>
        <v>20</v>
      </c>
      <c r="T600" s="5" t="str">
        <f t="shared" si="29"/>
        <v>20</v>
      </c>
    </row>
    <row r="601" spans="15:20">
      <c r="O601" s="5">
        <v>39</v>
      </c>
      <c r="P601" s="5">
        <v>96</v>
      </c>
      <c r="Q601" s="5">
        <v>130</v>
      </c>
      <c r="R601" s="7">
        <f t="shared" si="27"/>
        <v>0.40625</v>
      </c>
      <c r="S601">
        <f t="shared" si="28"/>
        <v>-34</v>
      </c>
      <c r="T601" s="5" t="str">
        <f t="shared" si="29"/>
        <v>-34</v>
      </c>
    </row>
    <row r="602" spans="15:20">
      <c r="O602" s="3">
        <v>275</v>
      </c>
      <c r="P602" s="3">
        <v>554</v>
      </c>
      <c r="Q602" s="3">
        <v>770</v>
      </c>
      <c r="R602" s="7">
        <f t="shared" si="27"/>
        <v>0.49638989169675091</v>
      </c>
      <c r="S602">
        <f t="shared" si="28"/>
        <v>-216</v>
      </c>
      <c r="T602" s="5" t="str">
        <f t="shared" si="29"/>
        <v>-216</v>
      </c>
    </row>
    <row r="603" spans="15:20">
      <c r="O603" s="5">
        <v>197</v>
      </c>
      <c r="P603" s="5">
        <v>322</v>
      </c>
      <c r="Q603" s="5">
        <v>190</v>
      </c>
      <c r="R603" s="7">
        <f t="shared" si="27"/>
        <v>0.61180124223602483</v>
      </c>
      <c r="S603">
        <f t="shared" si="28"/>
        <v>132</v>
      </c>
      <c r="T603" s="5" t="str">
        <f t="shared" si="29"/>
        <v>132</v>
      </c>
    </row>
    <row r="604" spans="15:20">
      <c r="O604" s="3">
        <v>67</v>
      </c>
      <c r="P604" s="3">
        <v>126</v>
      </c>
      <c r="Q604" s="3">
        <v>160</v>
      </c>
      <c r="R604" s="7">
        <f t="shared" si="27"/>
        <v>0.53174603174603174</v>
      </c>
      <c r="S604">
        <f t="shared" si="28"/>
        <v>-34</v>
      </c>
      <c r="T604" s="5" t="str">
        <f t="shared" si="29"/>
        <v>-34</v>
      </c>
    </row>
    <row r="605" spans="15:20">
      <c r="O605" s="5">
        <v>70</v>
      </c>
      <c r="P605" s="5">
        <v>127</v>
      </c>
      <c r="Q605" s="5">
        <v>160</v>
      </c>
      <c r="R605" s="7">
        <f t="shared" si="27"/>
        <v>0.55118110236220474</v>
      </c>
      <c r="S605">
        <f t="shared" si="28"/>
        <v>-33</v>
      </c>
      <c r="T605" s="5" t="str">
        <f t="shared" si="29"/>
        <v>-33</v>
      </c>
    </row>
    <row r="606" spans="15:20">
      <c r="O606" s="3">
        <v>34</v>
      </c>
      <c r="P606" s="3">
        <v>121</v>
      </c>
      <c r="Q606" s="3">
        <v>160</v>
      </c>
      <c r="R606" s="7">
        <f t="shared" si="27"/>
        <v>0.28099173553719009</v>
      </c>
      <c r="S606">
        <f t="shared" si="28"/>
        <v>-39</v>
      </c>
      <c r="T606" s="5" t="str">
        <f t="shared" si="29"/>
        <v>-39</v>
      </c>
    </row>
    <row r="607" spans="15:20">
      <c r="O607" s="5">
        <v>110</v>
      </c>
      <c r="P607" s="5">
        <v>218</v>
      </c>
      <c r="Q607" s="5">
        <v>290</v>
      </c>
      <c r="R607" s="7">
        <f t="shared" si="27"/>
        <v>0.50458715596330272</v>
      </c>
      <c r="S607">
        <f t="shared" si="28"/>
        <v>-72</v>
      </c>
      <c r="T607" s="5" t="str">
        <f t="shared" si="29"/>
        <v>-72</v>
      </c>
    </row>
    <row r="608" spans="15:20">
      <c r="O608" s="3">
        <v>-18</v>
      </c>
      <c r="P608" s="3">
        <v>60</v>
      </c>
      <c r="Q608" s="3">
        <v>30</v>
      </c>
      <c r="R608" s="7">
        <f t="shared" si="27"/>
        <v>-0.3</v>
      </c>
      <c r="S608">
        <f t="shared" si="28"/>
        <v>30</v>
      </c>
      <c r="T608" s="5" t="str">
        <f t="shared" si="29"/>
        <v>30</v>
      </c>
    </row>
    <row r="609" spans="15:20">
      <c r="O609" s="5">
        <v>129</v>
      </c>
      <c r="P609" s="5">
        <v>251</v>
      </c>
      <c r="Q609" s="5">
        <v>210</v>
      </c>
      <c r="R609" s="7">
        <f t="shared" si="27"/>
        <v>0.51394422310756971</v>
      </c>
      <c r="S609">
        <f t="shared" si="28"/>
        <v>41</v>
      </c>
      <c r="T609" s="5" t="str">
        <f t="shared" si="29"/>
        <v>41</v>
      </c>
    </row>
    <row r="610" spans="15:20">
      <c r="O610" s="3">
        <v>50</v>
      </c>
      <c r="P610" s="3">
        <v>189</v>
      </c>
      <c r="Q610" s="3">
        <v>150</v>
      </c>
      <c r="R610" s="7">
        <f t="shared" si="27"/>
        <v>0.26455026455026454</v>
      </c>
      <c r="S610">
        <f t="shared" si="28"/>
        <v>39</v>
      </c>
      <c r="T610" s="5" t="str">
        <f t="shared" si="29"/>
        <v>39</v>
      </c>
    </row>
    <row r="611" spans="15:20">
      <c r="O611" s="5">
        <v>25</v>
      </c>
      <c r="P611" s="5">
        <v>245</v>
      </c>
      <c r="Q611" s="5">
        <v>200</v>
      </c>
      <c r="R611" s="7">
        <f t="shared" si="27"/>
        <v>0.10204081632653061</v>
      </c>
      <c r="S611">
        <f t="shared" si="28"/>
        <v>45</v>
      </c>
      <c r="T611" s="5" t="str">
        <f t="shared" si="29"/>
        <v>45</v>
      </c>
    </row>
    <row r="612" spans="15:20">
      <c r="O612" s="3">
        <v>258</v>
      </c>
      <c r="P612" s="3">
        <v>522</v>
      </c>
      <c r="Q612" s="3">
        <v>580</v>
      </c>
      <c r="R612" s="7">
        <f t="shared" si="27"/>
        <v>0.4942528735632184</v>
      </c>
      <c r="S612">
        <f t="shared" si="28"/>
        <v>-58</v>
      </c>
      <c r="T612" s="5" t="str">
        <f t="shared" si="29"/>
        <v>-58</v>
      </c>
    </row>
    <row r="613" spans="15:20">
      <c r="O613" s="5">
        <v>88</v>
      </c>
      <c r="P613" s="5">
        <v>201</v>
      </c>
      <c r="Q613" s="5">
        <v>140</v>
      </c>
      <c r="R613" s="7">
        <f t="shared" si="27"/>
        <v>0.43781094527363185</v>
      </c>
      <c r="S613">
        <f t="shared" si="28"/>
        <v>61</v>
      </c>
      <c r="T613" s="5" t="str">
        <f t="shared" si="29"/>
        <v>61</v>
      </c>
    </row>
    <row r="614" spans="15:20">
      <c r="O614" s="3">
        <v>188</v>
      </c>
      <c r="P614" s="3">
        <v>309</v>
      </c>
      <c r="Q614" s="3">
        <v>220</v>
      </c>
      <c r="R614" s="7">
        <f t="shared" si="27"/>
        <v>0.60841423948220064</v>
      </c>
      <c r="S614">
        <f t="shared" si="28"/>
        <v>89</v>
      </c>
      <c r="T614" s="5" t="str">
        <f t="shared" si="29"/>
        <v>89</v>
      </c>
    </row>
    <row r="615" spans="15:20">
      <c r="O615" s="5">
        <v>92</v>
      </c>
      <c r="P615" s="5">
        <v>210</v>
      </c>
      <c r="Q615" s="5">
        <v>150</v>
      </c>
      <c r="R615" s="7">
        <f t="shared" si="27"/>
        <v>0.43809523809523809</v>
      </c>
      <c r="S615">
        <f t="shared" si="28"/>
        <v>60</v>
      </c>
      <c r="T615" s="5" t="str">
        <f t="shared" si="29"/>
        <v>60</v>
      </c>
    </row>
    <row r="616" spans="15:20">
      <c r="O616" s="3">
        <v>105</v>
      </c>
      <c r="P616" s="3">
        <v>213</v>
      </c>
      <c r="Q616" s="3">
        <v>230</v>
      </c>
      <c r="R616" s="7">
        <f t="shared" si="27"/>
        <v>0.49295774647887325</v>
      </c>
      <c r="S616">
        <f t="shared" si="28"/>
        <v>-17</v>
      </c>
      <c r="T616" s="5" t="str">
        <f t="shared" si="29"/>
        <v>-17</v>
      </c>
    </row>
    <row r="617" spans="15:20">
      <c r="O617" s="5">
        <v>132</v>
      </c>
      <c r="P617" s="5">
        <v>261</v>
      </c>
      <c r="Q617" s="5">
        <v>180</v>
      </c>
      <c r="R617" s="7">
        <f t="shared" si="27"/>
        <v>0.50574712643678166</v>
      </c>
      <c r="S617">
        <f t="shared" si="28"/>
        <v>81</v>
      </c>
      <c r="T617" s="5" t="str">
        <f t="shared" si="29"/>
        <v>81</v>
      </c>
    </row>
    <row r="618" spans="15:20">
      <c r="O618" s="3">
        <v>126</v>
      </c>
      <c r="P618" s="3">
        <v>246</v>
      </c>
      <c r="Q618" s="3">
        <v>210</v>
      </c>
      <c r="R618" s="7">
        <f t="shared" si="27"/>
        <v>0.51219512195121952</v>
      </c>
      <c r="S618">
        <f t="shared" si="28"/>
        <v>36</v>
      </c>
      <c r="T618" s="5" t="str">
        <f t="shared" si="29"/>
        <v>36</v>
      </c>
    </row>
    <row r="619" spans="15:20">
      <c r="O619" s="5">
        <v>13</v>
      </c>
      <c r="P619" s="5">
        <v>42</v>
      </c>
      <c r="Q619" s="5">
        <v>30</v>
      </c>
      <c r="R619" s="7">
        <f t="shared" si="27"/>
        <v>0.30952380952380953</v>
      </c>
      <c r="S619">
        <f t="shared" si="28"/>
        <v>12</v>
      </c>
      <c r="T619" s="5" t="str">
        <f t="shared" si="29"/>
        <v>12</v>
      </c>
    </row>
    <row r="620" spans="15:20">
      <c r="O620" s="3">
        <v>56</v>
      </c>
      <c r="P620" s="3">
        <v>196</v>
      </c>
      <c r="Q620" s="3">
        <v>170</v>
      </c>
      <c r="R620" s="7">
        <f t="shared" si="27"/>
        <v>0.2857142857142857</v>
      </c>
      <c r="S620">
        <f t="shared" si="28"/>
        <v>26</v>
      </c>
      <c r="T620" s="5" t="str">
        <f t="shared" si="29"/>
        <v>26</v>
      </c>
    </row>
    <row r="621" spans="15:20">
      <c r="O621" s="5">
        <v>22</v>
      </c>
      <c r="P621" s="5">
        <v>239</v>
      </c>
      <c r="Q621" s="5">
        <v>200</v>
      </c>
      <c r="R621" s="7">
        <f t="shared" si="27"/>
        <v>9.2050209205020925E-2</v>
      </c>
      <c r="S621">
        <f t="shared" si="28"/>
        <v>39</v>
      </c>
      <c r="T621" s="5" t="str">
        <f t="shared" si="29"/>
        <v>39</v>
      </c>
    </row>
    <row r="622" spans="15:20">
      <c r="O622" s="3">
        <v>279</v>
      </c>
      <c r="P622" s="3">
        <v>559</v>
      </c>
      <c r="Q622" s="3">
        <v>620</v>
      </c>
      <c r="R622" s="7">
        <f t="shared" si="27"/>
        <v>0.49910554561717352</v>
      </c>
      <c r="S622">
        <f t="shared" si="28"/>
        <v>-61</v>
      </c>
      <c r="T622" s="5" t="str">
        <f t="shared" si="29"/>
        <v>-61</v>
      </c>
    </row>
    <row r="623" spans="15:20">
      <c r="O623" s="5">
        <v>197</v>
      </c>
      <c r="P623" s="5">
        <v>322</v>
      </c>
      <c r="Q623" s="5">
        <v>230</v>
      </c>
      <c r="R623" s="7">
        <f t="shared" si="27"/>
        <v>0.61180124223602483</v>
      </c>
      <c r="S623">
        <f t="shared" si="28"/>
        <v>92</v>
      </c>
      <c r="T623" s="5" t="str">
        <f t="shared" si="29"/>
        <v>92</v>
      </c>
    </row>
    <row r="624" spans="15:20">
      <c r="O624" s="3">
        <v>24</v>
      </c>
      <c r="P624" s="3">
        <v>171</v>
      </c>
      <c r="Q624" s="3">
        <v>190</v>
      </c>
      <c r="R624" s="7">
        <f t="shared" si="27"/>
        <v>0.14035087719298245</v>
      </c>
      <c r="S624">
        <f t="shared" si="28"/>
        <v>-19</v>
      </c>
      <c r="T624" s="5" t="str">
        <f t="shared" si="29"/>
        <v>-19</v>
      </c>
    </row>
    <row r="625" spans="15:20">
      <c r="O625" s="5">
        <v>107</v>
      </c>
      <c r="P625" s="5">
        <v>236</v>
      </c>
      <c r="Q625" s="5">
        <v>170</v>
      </c>
      <c r="R625" s="7">
        <f t="shared" si="27"/>
        <v>0.45338983050847459</v>
      </c>
      <c r="S625">
        <f t="shared" si="28"/>
        <v>66</v>
      </c>
      <c r="T625" s="5" t="str">
        <f t="shared" si="29"/>
        <v>66</v>
      </c>
    </row>
    <row r="626" spans="15:20">
      <c r="O626" s="3">
        <v>68</v>
      </c>
      <c r="P626" s="3">
        <v>128</v>
      </c>
      <c r="Q626" s="3">
        <v>140</v>
      </c>
      <c r="R626" s="7">
        <f t="shared" si="27"/>
        <v>0.53125</v>
      </c>
      <c r="S626">
        <f t="shared" si="28"/>
        <v>-12</v>
      </c>
      <c r="T626" s="5" t="str">
        <f t="shared" si="29"/>
        <v>-12</v>
      </c>
    </row>
    <row r="627" spans="15:20">
      <c r="O627" s="5">
        <v>40</v>
      </c>
      <c r="P627" s="5">
        <v>130</v>
      </c>
      <c r="Q627" s="5">
        <v>140</v>
      </c>
      <c r="R627" s="7">
        <f t="shared" si="27"/>
        <v>0.30769230769230771</v>
      </c>
      <c r="S627">
        <f t="shared" si="28"/>
        <v>-10</v>
      </c>
      <c r="T627" s="5" t="str">
        <f t="shared" si="29"/>
        <v>-10</v>
      </c>
    </row>
    <row r="628" spans="15:20">
      <c r="O628" s="3">
        <v>98</v>
      </c>
      <c r="P628" s="3">
        <v>197</v>
      </c>
      <c r="Q628" s="3">
        <v>220</v>
      </c>
      <c r="R628" s="7">
        <f t="shared" si="27"/>
        <v>0.49746192893401014</v>
      </c>
      <c r="S628">
        <f t="shared" si="28"/>
        <v>-23</v>
      </c>
      <c r="T628" s="5" t="str">
        <f t="shared" si="29"/>
        <v>-23</v>
      </c>
    </row>
    <row r="629" spans="15:20">
      <c r="O629" s="5">
        <v>-22</v>
      </c>
      <c r="P629" s="5">
        <v>48</v>
      </c>
      <c r="Q629" s="5">
        <v>30</v>
      </c>
      <c r="R629" s="7">
        <f t="shared" si="27"/>
        <v>-0.45833333333333331</v>
      </c>
      <c r="S629">
        <f t="shared" si="28"/>
        <v>18</v>
      </c>
      <c r="T629" s="5" t="str">
        <f t="shared" si="29"/>
        <v>18</v>
      </c>
    </row>
    <row r="630" spans="15:20">
      <c r="O630" s="3">
        <v>180</v>
      </c>
      <c r="P630" s="3">
        <v>341</v>
      </c>
      <c r="Q630" s="3">
        <v>240</v>
      </c>
      <c r="R630" s="7">
        <f t="shared" si="27"/>
        <v>0.52785923753665687</v>
      </c>
      <c r="S630">
        <f t="shared" si="28"/>
        <v>101</v>
      </c>
      <c r="T630" s="5" t="str">
        <f t="shared" si="29"/>
        <v>101</v>
      </c>
    </row>
    <row r="631" spans="15:20">
      <c r="O631" s="5">
        <v>114</v>
      </c>
      <c r="P631" s="5">
        <v>228</v>
      </c>
      <c r="Q631" s="5">
        <v>190</v>
      </c>
      <c r="R631" s="7">
        <f t="shared" si="27"/>
        <v>0.5</v>
      </c>
      <c r="S631">
        <f t="shared" si="28"/>
        <v>38</v>
      </c>
      <c r="T631" s="5" t="str">
        <f t="shared" si="29"/>
        <v>38</v>
      </c>
    </row>
    <row r="632" spans="15:20">
      <c r="O632" s="3">
        <v>13</v>
      </c>
      <c r="P632" s="3">
        <v>44</v>
      </c>
      <c r="Q632" s="3">
        <v>30</v>
      </c>
      <c r="R632" s="7">
        <f t="shared" si="27"/>
        <v>0.29545454545454547</v>
      </c>
      <c r="S632">
        <f t="shared" si="28"/>
        <v>14</v>
      </c>
      <c r="T632" s="5" t="str">
        <f t="shared" si="29"/>
        <v>14</v>
      </c>
    </row>
    <row r="633" spans="15:20">
      <c r="O633" s="5">
        <v>30</v>
      </c>
      <c r="P633" s="5">
        <v>266</v>
      </c>
      <c r="Q633" s="5">
        <v>230</v>
      </c>
      <c r="R633" s="7">
        <f t="shared" si="27"/>
        <v>0.11278195488721804</v>
      </c>
      <c r="S633">
        <f t="shared" si="28"/>
        <v>36</v>
      </c>
      <c r="T633" s="5" t="str">
        <f t="shared" si="29"/>
        <v>36</v>
      </c>
    </row>
    <row r="634" spans="15:20">
      <c r="O634" s="3">
        <v>115</v>
      </c>
      <c r="P634" s="3">
        <v>313</v>
      </c>
      <c r="Q634" s="3">
        <v>260</v>
      </c>
      <c r="R634" s="7">
        <f t="shared" si="27"/>
        <v>0.36741214057507987</v>
      </c>
      <c r="S634">
        <f t="shared" si="28"/>
        <v>53</v>
      </c>
      <c r="T634" s="5" t="str">
        <f t="shared" si="29"/>
        <v>53</v>
      </c>
    </row>
    <row r="635" spans="15:20">
      <c r="O635" s="5">
        <v>1</v>
      </c>
      <c r="P635" s="5">
        <v>144</v>
      </c>
      <c r="Q635" s="5">
        <v>130</v>
      </c>
      <c r="R635" s="7">
        <f t="shared" si="27"/>
        <v>6.9444444444444441E-3</v>
      </c>
      <c r="S635">
        <f t="shared" si="28"/>
        <v>14</v>
      </c>
      <c r="T635" s="5" t="str">
        <f t="shared" si="29"/>
        <v>14</v>
      </c>
    </row>
    <row r="636" spans="15:20">
      <c r="O636" s="3">
        <v>122</v>
      </c>
      <c r="P636" s="3">
        <v>325</v>
      </c>
      <c r="Q636" s="3">
        <v>290</v>
      </c>
      <c r="R636" s="7">
        <f t="shared" si="27"/>
        <v>0.37538461538461537</v>
      </c>
      <c r="S636">
        <f t="shared" si="28"/>
        <v>35</v>
      </c>
      <c r="T636" s="5" t="str">
        <f t="shared" si="29"/>
        <v>35</v>
      </c>
    </row>
    <row r="637" spans="15:20">
      <c r="O637" s="5">
        <v>105</v>
      </c>
      <c r="P637" s="5">
        <v>289</v>
      </c>
      <c r="Q637" s="5">
        <v>260</v>
      </c>
      <c r="R637" s="7">
        <f t="shared" si="27"/>
        <v>0.36332179930795849</v>
      </c>
      <c r="S637">
        <f t="shared" si="28"/>
        <v>29</v>
      </c>
      <c r="T637" s="5" t="str">
        <f t="shared" si="29"/>
        <v>29</v>
      </c>
    </row>
    <row r="638" spans="15:20">
      <c r="O638" s="3">
        <v>171</v>
      </c>
      <c r="P638" s="3">
        <v>334</v>
      </c>
      <c r="Q638" s="3">
        <v>260</v>
      </c>
      <c r="R638" s="7">
        <f t="shared" si="27"/>
        <v>0.5119760479041916</v>
      </c>
      <c r="S638">
        <f t="shared" si="28"/>
        <v>74</v>
      </c>
      <c r="T638" s="5" t="str">
        <f t="shared" si="29"/>
        <v>74</v>
      </c>
    </row>
    <row r="639" spans="15:20">
      <c r="O639" s="5">
        <v>1</v>
      </c>
      <c r="P639" s="5">
        <v>153</v>
      </c>
      <c r="Q639" s="5">
        <v>130</v>
      </c>
      <c r="R639" s="7">
        <f t="shared" si="27"/>
        <v>6.5359477124183009E-3</v>
      </c>
      <c r="S639">
        <f t="shared" si="28"/>
        <v>23</v>
      </c>
      <c r="T639" s="5" t="str">
        <f t="shared" si="29"/>
        <v>23</v>
      </c>
    </row>
    <row r="640" spans="15:20">
      <c r="O640" s="3">
        <v>181</v>
      </c>
      <c r="P640" s="3">
        <v>346</v>
      </c>
      <c r="Q640" s="3">
        <v>290</v>
      </c>
      <c r="R640" s="7">
        <f t="shared" si="27"/>
        <v>0.52312138728323698</v>
      </c>
      <c r="S640">
        <f t="shared" si="28"/>
        <v>56</v>
      </c>
      <c r="T640" s="5" t="str">
        <f t="shared" si="29"/>
        <v>56</v>
      </c>
    </row>
    <row r="641" spans="15:20">
      <c r="O641" s="5">
        <v>156</v>
      </c>
      <c r="P641" s="5">
        <v>308</v>
      </c>
      <c r="Q641" s="5">
        <v>260</v>
      </c>
      <c r="R641" s="7">
        <f t="shared" si="27"/>
        <v>0.50649350649350644</v>
      </c>
      <c r="S641">
        <f t="shared" si="28"/>
        <v>48</v>
      </c>
      <c r="T641" s="5" t="str">
        <f t="shared" si="29"/>
        <v>48</v>
      </c>
    </row>
    <row r="642" spans="15:20">
      <c r="O642" s="3">
        <v>76</v>
      </c>
      <c r="P642" s="3">
        <v>218</v>
      </c>
      <c r="Q642" s="3">
        <v>180</v>
      </c>
      <c r="R642" s="7">
        <f t="shared" ref="R642:R705" si="30">O642/P642</f>
        <v>0.34862385321100919</v>
      </c>
      <c r="S642">
        <f t="shared" ref="S642:S705" si="31">P642-Q642</f>
        <v>38</v>
      </c>
      <c r="T642" s="5" t="str">
        <f t="shared" ref="T642:T705" si="32">TRIM(S:S)</f>
        <v>38</v>
      </c>
    </row>
    <row r="643" spans="15:20">
      <c r="O643" s="5">
        <v>60</v>
      </c>
      <c r="P643" s="5">
        <v>202</v>
      </c>
      <c r="Q643" s="5">
        <v>180</v>
      </c>
      <c r="R643" s="7">
        <f t="shared" si="30"/>
        <v>0.29702970297029702</v>
      </c>
      <c r="S643">
        <f t="shared" si="31"/>
        <v>22</v>
      </c>
      <c r="T643" s="5" t="str">
        <f t="shared" si="32"/>
        <v>22</v>
      </c>
    </row>
    <row r="644" spans="15:20">
      <c r="O644" s="3">
        <v>64</v>
      </c>
      <c r="P644" s="3">
        <v>205</v>
      </c>
      <c r="Q644" s="3">
        <v>170</v>
      </c>
      <c r="R644" s="7">
        <f t="shared" si="30"/>
        <v>0.31219512195121951</v>
      </c>
      <c r="S644">
        <f t="shared" si="31"/>
        <v>35</v>
      </c>
      <c r="T644" s="5" t="str">
        <f t="shared" si="32"/>
        <v>35</v>
      </c>
    </row>
    <row r="645" spans="15:20">
      <c r="O645" s="5">
        <v>348</v>
      </c>
      <c r="P645" s="5">
        <v>474</v>
      </c>
      <c r="Q645" s="5">
        <v>400</v>
      </c>
      <c r="R645" s="7">
        <f t="shared" si="30"/>
        <v>0.73417721518987344</v>
      </c>
      <c r="S645">
        <f t="shared" si="31"/>
        <v>74</v>
      </c>
      <c r="T645" s="5" t="str">
        <f t="shared" si="32"/>
        <v>74</v>
      </c>
    </row>
    <row r="646" spans="15:20">
      <c r="O646" s="3">
        <v>247</v>
      </c>
      <c r="P646" s="3">
        <v>650</v>
      </c>
      <c r="Q646" s="3">
        <v>540</v>
      </c>
      <c r="R646" s="7">
        <f t="shared" si="30"/>
        <v>0.38</v>
      </c>
      <c r="S646">
        <f t="shared" si="31"/>
        <v>110</v>
      </c>
      <c r="T646" s="5" t="str">
        <f t="shared" si="32"/>
        <v>110</v>
      </c>
    </row>
    <row r="647" spans="15:20">
      <c r="O647" s="5">
        <v>18</v>
      </c>
      <c r="P647" s="5">
        <v>230</v>
      </c>
      <c r="Q647" s="5">
        <v>210</v>
      </c>
      <c r="R647" s="7">
        <f t="shared" si="30"/>
        <v>7.8260869565217397E-2</v>
      </c>
      <c r="S647">
        <f t="shared" si="31"/>
        <v>20</v>
      </c>
      <c r="T647" s="5" t="str">
        <f t="shared" si="32"/>
        <v>20</v>
      </c>
    </row>
    <row r="648" spans="15:20">
      <c r="O648" s="3">
        <v>-202</v>
      </c>
      <c r="P648" s="3">
        <v>69</v>
      </c>
      <c r="Q648" s="3">
        <v>50</v>
      </c>
      <c r="R648" s="7">
        <f t="shared" si="30"/>
        <v>-2.9275362318840581</v>
      </c>
      <c r="S648">
        <f t="shared" si="31"/>
        <v>19</v>
      </c>
      <c r="T648" s="5" t="str">
        <f t="shared" si="32"/>
        <v>19</v>
      </c>
    </row>
    <row r="649" spans="15:20">
      <c r="O649" s="5">
        <v>92</v>
      </c>
      <c r="P649" s="5">
        <v>322</v>
      </c>
      <c r="Q649" s="5">
        <v>300</v>
      </c>
      <c r="R649" s="7">
        <f t="shared" si="30"/>
        <v>0.2857142857142857</v>
      </c>
      <c r="S649">
        <f t="shared" si="31"/>
        <v>22</v>
      </c>
      <c r="T649" s="5" t="str">
        <f t="shared" si="32"/>
        <v>22</v>
      </c>
    </row>
    <row r="650" spans="15:20">
      <c r="O650" s="3">
        <v>435</v>
      </c>
      <c r="P650" s="3">
        <v>765</v>
      </c>
      <c r="Q650" s="3">
        <v>720</v>
      </c>
      <c r="R650" s="7">
        <f t="shared" si="30"/>
        <v>0.56862745098039214</v>
      </c>
      <c r="S650">
        <f t="shared" si="31"/>
        <v>45</v>
      </c>
      <c r="T650" s="5" t="str">
        <f t="shared" si="32"/>
        <v>45</v>
      </c>
    </row>
    <row r="651" spans="15:20">
      <c r="O651" s="5">
        <v>10</v>
      </c>
      <c r="P651" s="5">
        <v>51</v>
      </c>
      <c r="Q651" s="5">
        <v>20</v>
      </c>
      <c r="R651" s="7">
        <f t="shared" si="30"/>
        <v>0.19607843137254902</v>
      </c>
      <c r="S651">
        <f t="shared" si="31"/>
        <v>31</v>
      </c>
      <c r="T651" s="5" t="str">
        <f t="shared" si="32"/>
        <v>31</v>
      </c>
    </row>
    <row r="652" spans="15:20">
      <c r="O652" s="3">
        <v>129</v>
      </c>
      <c r="P652" s="3">
        <v>513</v>
      </c>
      <c r="Q652" s="3">
        <v>290</v>
      </c>
      <c r="R652" s="7">
        <f t="shared" si="30"/>
        <v>0.25146198830409355</v>
      </c>
      <c r="S652">
        <f t="shared" si="31"/>
        <v>223</v>
      </c>
      <c r="T652" s="5" t="str">
        <f t="shared" si="32"/>
        <v>223</v>
      </c>
    </row>
    <row r="653" spans="15:20">
      <c r="O653" s="5">
        <v>-170</v>
      </c>
      <c r="P653" s="5">
        <v>164</v>
      </c>
      <c r="Q653" s="5">
        <v>80</v>
      </c>
      <c r="R653" s="7">
        <f t="shared" si="30"/>
        <v>-1.0365853658536586</v>
      </c>
      <c r="S653">
        <f t="shared" si="31"/>
        <v>84</v>
      </c>
      <c r="T653" s="5" t="str">
        <f t="shared" si="32"/>
        <v>84</v>
      </c>
    </row>
    <row r="654" spans="15:20">
      <c r="O654" s="3">
        <v>115</v>
      </c>
      <c r="P654" s="3">
        <v>265</v>
      </c>
      <c r="Q654" s="3">
        <v>280</v>
      </c>
      <c r="R654" s="7">
        <f t="shared" si="30"/>
        <v>0.43396226415094341</v>
      </c>
      <c r="S654">
        <f t="shared" si="31"/>
        <v>-15</v>
      </c>
      <c r="T654" s="5" t="str">
        <f t="shared" si="32"/>
        <v>-15</v>
      </c>
    </row>
    <row r="655" spans="15:20">
      <c r="O655" s="5">
        <v>134</v>
      </c>
      <c r="P655" s="5">
        <v>302</v>
      </c>
      <c r="Q655" s="5">
        <v>320</v>
      </c>
      <c r="R655" s="7">
        <f t="shared" si="30"/>
        <v>0.44370860927152317</v>
      </c>
      <c r="S655">
        <f t="shared" si="31"/>
        <v>-18</v>
      </c>
      <c r="T655" s="5" t="str">
        <f t="shared" si="32"/>
        <v>-18</v>
      </c>
    </row>
    <row r="656" spans="15:20">
      <c r="O656" s="3">
        <v>78</v>
      </c>
      <c r="P656" s="3">
        <v>187</v>
      </c>
      <c r="Q656" s="3">
        <v>200</v>
      </c>
      <c r="R656" s="7">
        <f t="shared" si="30"/>
        <v>0.41711229946524064</v>
      </c>
      <c r="S656">
        <f t="shared" si="31"/>
        <v>-13</v>
      </c>
      <c r="T656" s="5" t="str">
        <f t="shared" si="32"/>
        <v>-13</v>
      </c>
    </row>
    <row r="657" spans="15:20">
      <c r="O657" s="5">
        <v>89</v>
      </c>
      <c r="P657" s="5">
        <v>245</v>
      </c>
      <c r="Q657" s="5">
        <v>220</v>
      </c>
      <c r="R657" s="7">
        <f t="shared" si="30"/>
        <v>0.36326530612244901</v>
      </c>
      <c r="S657">
        <f t="shared" si="31"/>
        <v>25</v>
      </c>
      <c r="T657" s="5" t="str">
        <f t="shared" si="32"/>
        <v>25</v>
      </c>
    </row>
    <row r="658" spans="15:20">
      <c r="O658" s="3">
        <v>51</v>
      </c>
      <c r="P658" s="3">
        <v>180</v>
      </c>
      <c r="Q658" s="3">
        <v>170</v>
      </c>
      <c r="R658" s="7">
        <f t="shared" si="30"/>
        <v>0.28333333333333333</v>
      </c>
      <c r="S658">
        <f t="shared" si="31"/>
        <v>10</v>
      </c>
      <c r="T658" s="5" t="str">
        <f t="shared" si="32"/>
        <v>10</v>
      </c>
    </row>
    <row r="659" spans="15:20">
      <c r="O659" s="5">
        <v>63</v>
      </c>
      <c r="P659" s="5">
        <v>197</v>
      </c>
      <c r="Q659" s="5">
        <v>170</v>
      </c>
      <c r="R659" s="7">
        <f t="shared" si="30"/>
        <v>0.31979695431472083</v>
      </c>
      <c r="S659">
        <f t="shared" si="31"/>
        <v>27</v>
      </c>
      <c r="T659" s="5" t="str">
        <f t="shared" si="32"/>
        <v>27</v>
      </c>
    </row>
    <row r="660" spans="15:20">
      <c r="O660" s="3">
        <v>324</v>
      </c>
      <c r="P660" s="3">
        <v>454</v>
      </c>
      <c r="Q660" s="3">
        <v>400</v>
      </c>
      <c r="R660" s="7">
        <f t="shared" si="30"/>
        <v>0.71365638766519823</v>
      </c>
      <c r="S660">
        <f t="shared" si="31"/>
        <v>54</v>
      </c>
      <c r="T660" s="5" t="str">
        <f t="shared" si="32"/>
        <v>54</v>
      </c>
    </row>
    <row r="661" spans="15:20">
      <c r="O661" s="5">
        <v>236</v>
      </c>
      <c r="P661" s="5">
        <v>623</v>
      </c>
      <c r="Q661" s="5">
        <v>560</v>
      </c>
      <c r="R661" s="7">
        <f t="shared" si="30"/>
        <v>0.37881219903691815</v>
      </c>
      <c r="S661">
        <f t="shared" si="31"/>
        <v>63</v>
      </c>
      <c r="T661" s="5" t="str">
        <f t="shared" si="32"/>
        <v>63</v>
      </c>
    </row>
    <row r="662" spans="15:20">
      <c r="O662" s="3">
        <v>15</v>
      </c>
      <c r="P662" s="3">
        <v>224</v>
      </c>
      <c r="Q662" s="3">
        <v>210</v>
      </c>
      <c r="R662" s="7">
        <f t="shared" si="30"/>
        <v>6.6964285714285712E-2</v>
      </c>
      <c r="S662">
        <f t="shared" si="31"/>
        <v>14</v>
      </c>
      <c r="T662" s="5" t="str">
        <f t="shared" si="32"/>
        <v>14</v>
      </c>
    </row>
    <row r="663" spans="15:20">
      <c r="O663" s="5">
        <v>-202</v>
      </c>
      <c r="P663" s="5">
        <v>61</v>
      </c>
      <c r="Q663" s="5">
        <v>50</v>
      </c>
      <c r="R663" s="7">
        <f t="shared" si="30"/>
        <v>-3.3114754098360657</v>
      </c>
      <c r="S663">
        <f t="shared" si="31"/>
        <v>11</v>
      </c>
      <c r="T663" s="5" t="str">
        <f t="shared" si="32"/>
        <v>11</v>
      </c>
    </row>
    <row r="664" spans="15:20">
      <c r="O664" s="3">
        <v>108</v>
      </c>
      <c r="P664" s="3">
        <v>363</v>
      </c>
      <c r="Q664" s="3">
        <v>350</v>
      </c>
      <c r="R664" s="7">
        <f t="shared" si="30"/>
        <v>0.2975206611570248</v>
      </c>
      <c r="S664">
        <f t="shared" si="31"/>
        <v>13</v>
      </c>
      <c r="T664" s="5" t="str">
        <f t="shared" si="32"/>
        <v>13</v>
      </c>
    </row>
    <row r="665" spans="15:20">
      <c r="O665" s="5">
        <v>381</v>
      </c>
      <c r="P665" s="5">
        <v>675</v>
      </c>
      <c r="Q665" s="5">
        <v>660</v>
      </c>
      <c r="R665" s="7">
        <f t="shared" si="30"/>
        <v>0.56444444444444442</v>
      </c>
      <c r="S665">
        <f t="shared" si="31"/>
        <v>15</v>
      </c>
      <c r="T665" s="5" t="str">
        <f t="shared" si="32"/>
        <v>15</v>
      </c>
    </row>
    <row r="666" spans="15:20">
      <c r="O666" s="3">
        <v>11</v>
      </c>
      <c r="P666" s="3">
        <v>52</v>
      </c>
      <c r="Q666" s="3">
        <v>30</v>
      </c>
      <c r="R666" s="7">
        <f t="shared" si="30"/>
        <v>0.21153846153846154</v>
      </c>
      <c r="S666">
        <f t="shared" si="31"/>
        <v>22</v>
      </c>
      <c r="T666" s="5" t="str">
        <f t="shared" si="32"/>
        <v>22</v>
      </c>
    </row>
    <row r="667" spans="15:20">
      <c r="O667" s="5">
        <v>204</v>
      </c>
      <c r="P667" s="5">
        <v>576</v>
      </c>
      <c r="Q667" s="5">
        <v>420</v>
      </c>
      <c r="R667" s="7">
        <f t="shared" si="30"/>
        <v>0.35416666666666669</v>
      </c>
      <c r="S667">
        <f t="shared" si="31"/>
        <v>156</v>
      </c>
      <c r="T667" s="5" t="str">
        <f t="shared" si="32"/>
        <v>156</v>
      </c>
    </row>
    <row r="668" spans="15:20">
      <c r="O668" s="3">
        <v>-156</v>
      </c>
      <c r="P668" s="3">
        <v>160</v>
      </c>
      <c r="Q668" s="3">
        <v>110</v>
      </c>
      <c r="R668" s="7">
        <f t="shared" si="30"/>
        <v>-0.97499999999999998</v>
      </c>
      <c r="S668">
        <f t="shared" si="31"/>
        <v>50</v>
      </c>
      <c r="T668" s="5" t="str">
        <f t="shared" si="32"/>
        <v>50</v>
      </c>
    </row>
    <row r="669" spans="15:20">
      <c r="O669" s="5">
        <v>84</v>
      </c>
      <c r="P669" s="5">
        <v>198</v>
      </c>
      <c r="Q669" s="5">
        <v>200</v>
      </c>
      <c r="R669" s="7">
        <f t="shared" si="30"/>
        <v>0.42424242424242425</v>
      </c>
      <c r="S669">
        <f t="shared" si="31"/>
        <v>-2</v>
      </c>
      <c r="T669" s="5" t="str">
        <f t="shared" si="32"/>
        <v>-2</v>
      </c>
    </row>
    <row r="670" spans="15:20">
      <c r="O670" s="3">
        <v>127</v>
      </c>
      <c r="P670" s="3">
        <v>290</v>
      </c>
      <c r="Q670" s="3">
        <v>290</v>
      </c>
      <c r="R670" s="7">
        <f t="shared" si="30"/>
        <v>0.43793103448275861</v>
      </c>
      <c r="S670">
        <f t="shared" si="31"/>
        <v>0</v>
      </c>
      <c r="T670" s="5" t="str">
        <f t="shared" si="32"/>
        <v>0</v>
      </c>
    </row>
    <row r="671" spans="15:20">
      <c r="O671" s="5">
        <v>122</v>
      </c>
      <c r="P671" s="5">
        <v>320</v>
      </c>
      <c r="Q671" s="5">
        <v>280</v>
      </c>
      <c r="R671" s="7">
        <f t="shared" si="30"/>
        <v>0.38124999999999998</v>
      </c>
      <c r="S671">
        <f t="shared" si="31"/>
        <v>40</v>
      </c>
      <c r="T671" s="5" t="str">
        <f t="shared" si="32"/>
        <v>40</v>
      </c>
    </row>
    <row r="672" spans="15:20">
      <c r="O672" s="3">
        <v>58</v>
      </c>
      <c r="P672" s="3">
        <v>195</v>
      </c>
      <c r="Q672" s="3">
        <v>190</v>
      </c>
      <c r="R672" s="7">
        <f t="shared" si="30"/>
        <v>0.29743589743589743</v>
      </c>
      <c r="S672">
        <f t="shared" si="31"/>
        <v>5</v>
      </c>
      <c r="T672" s="5" t="str">
        <f t="shared" si="32"/>
        <v>5</v>
      </c>
    </row>
    <row r="673" spans="15:20">
      <c r="O673" s="5">
        <v>73</v>
      </c>
      <c r="P673" s="5">
        <v>221</v>
      </c>
      <c r="Q673" s="5">
        <v>190</v>
      </c>
      <c r="R673" s="7">
        <f t="shared" si="30"/>
        <v>0.33031674208144796</v>
      </c>
      <c r="S673">
        <f t="shared" si="31"/>
        <v>31</v>
      </c>
      <c r="T673" s="5" t="str">
        <f t="shared" si="32"/>
        <v>31</v>
      </c>
    </row>
    <row r="674" spans="15:20">
      <c r="O674" s="3">
        <v>390</v>
      </c>
      <c r="P674" s="3">
        <v>510</v>
      </c>
      <c r="Q674" s="3">
        <v>450</v>
      </c>
      <c r="R674" s="7">
        <f t="shared" si="30"/>
        <v>0.76470588235294112</v>
      </c>
      <c r="S674">
        <f t="shared" si="31"/>
        <v>60</v>
      </c>
      <c r="T674" s="5" t="str">
        <f t="shared" si="32"/>
        <v>60</v>
      </c>
    </row>
    <row r="675" spans="15:20">
      <c r="O675" s="5">
        <v>271</v>
      </c>
      <c r="P675" s="5">
        <v>699</v>
      </c>
      <c r="Q675" s="5">
        <v>620</v>
      </c>
      <c r="R675" s="7">
        <f t="shared" si="30"/>
        <v>0.38769670958512159</v>
      </c>
      <c r="S675">
        <f t="shared" si="31"/>
        <v>79</v>
      </c>
      <c r="T675" s="5" t="str">
        <f t="shared" si="32"/>
        <v>79</v>
      </c>
    </row>
    <row r="676" spans="15:20">
      <c r="O676" s="3">
        <v>21</v>
      </c>
      <c r="P676" s="3">
        <v>250</v>
      </c>
      <c r="Q676" s="3">
        <v>240</v>
      </c>
      <c r="R676" s="7">
        <f t="shared" si="30"/>
        <v>8.4000000000000005E-2</v>
      </c>
      <c r="S676">
        <f t="shared" si="31"/>
        <v>10</v>
      </c>
      <c r="T676" s="5" t="str">
        <f t="shared" si="32"/>
        <v>10</v>
      </c>
    </row>
    <row r="677" spans="15:20">
      <c r="O677" s="5">
        <v>-224</v>
      </c>
      <c r="P677" s="5">
        <v>66</v>
      </c>
      <c r="Q677" s="5">
        <v>60</v>
      </c>
      <c r="R677" s="7">
        <f t="shared" si="30"/>
        <v>-3.393939393939394</v>
      </c>
      <c r="S677">
        <f t="shared" si="31"/>
        <v>6</v>
      </c>
      <c r="T677" s="5" t="str">
        <f t="shared" si="32"/>
        <v>6</v>
      </c>
    </row>
    <row r="678" spans="15:20">
      <c r="O678" s="3">
        <v>87</v>
      </c>
      <c r="P678" s="3">
        <v>306</v>
      </c>
      <c r="Q678" s="3">
        <v>290</v>
      </c>
      <c r="R678" s="7">
        <f t="shared" si="30"/>
        <v>0.28431372549019607</v>
      </c>
      <c r="S678">
        <f t="shared" si="31"/>
        <v>16</v>
      </c>
      <c r="T678" s="5" t="str">
        <f t="shared" si="32"/>
        <v>16</v>
      </c>
    </row>
    <row r="679" spans="15:20">
      <c r="O679" s="5">
        <v>312</v>
      </c>
      <c r="P679" s="5">
        <v>657</v>
      </c>
      <c r="Q679" s="5">
        <v>640</v>
      </c>
      <c r="R679" s="7">
        <f t="shared" si="30"/>
        <v>0.47488584474885842</v>
      </c>
      <c r="S679">
        <f t="shared" si="31"/>
        <v>17</v>
      </c>
      <c r="T679" s="5" t="str">
        <f t="shared" si="32"/>
        <v>17</v>
      </c>
    </row>
    <row r="680" spans="15:20">
      <c r="O680" s="3">
        <v>309</v>
      </c>
      <c r="P680" s="3">
        <v>747</v>
      </c>
      <c r="Q680" s="3">
        <v>540</v>
      </c>
      <c r="R680" s="7">
        <f t="shared" si="30"/>
        <v>0.41365461847389556</v>
      </c>
      <c r="S680">
        <f t="shared" si="31"/>
        <v>207</v>
      </c>
      <c r="T680" s="5" t="str">
        <f t="shared" si="32"/>
        <v>207</v>
      </c>
    </row>
    <row r="681" spans="15:20">
      <c r="O681" s="5">
        <v>-189</v>
      </c>
      <c r="P681" s="5">
        <v>148</v>
      </c>
      <c r="Q681" s="5">
        <v>100</v>
      </c>
      <c r="R681" s="7">
        <f t="shared" si="30"/>
        <v>-1.277027027027027</v>
      </c>
      <c r="S681">
        <f t="shared" si="31"/>
        <v>48</v>
      </c>
      <c r="T681" s="5" t="str">
        <f t="shared" si="32"/>
        <v>48</v>
      </c>
    </row>
    <row r="682" spans="15:20">
      <c r="O682" s="3">
        <v>89</v>
      </c>
      <c r="P682" s="3">
        <v>210</v>
      </c>
      <c r="Q682" s="3">
        <v>210</v>
      </c>
      <c r="R682" s="7">
        <f t="shared" si="30"/>
        <v>0.4238095238095238</v>
      </c>
      <c r="S682">
        <f t="shared" si="31"/>
        <v>0</v>
      </c>
      <c r="T682" s="5" t="str">
        <f t="shared" si="32"/>
        <v>0</v>
      </c>
    </row>
    <row r="683" spans="15:20">
      <c r="O683" s="5">
        <v>133</v>
      </c>
      <c r="P683" s="5">
        <v>302</v>
      </c>
      <c r="Q683" s="5">
        <v>310</v>
      </c>
      <c r="R683" s="7">
        <f t="shared" si="30"/>
        <v>0.44039735099337746</v>
      </c>
      <c r="S683">
        <f t="shared" si="31"/>
        <v>-8</v>
      </c>
      <c r="T683" s="5" t="str">
        <f t="shared" si="32"/>
        <v>-8</v>
      </c>
    </row>
    <row r="684" spans="15:20">
      <c r="O684" s="3">
        <v>113</v>
      </c>
      <c r="P684" s="3">
        <v>232</v>
      </c>
      <c r="Q684" s="3">
        <v>180</v>
      </c>
      <c r="R684" s="7">
        <f t="shared" si="30"/>
        <v>0.48706896551724138</v>
      </c>
      <c r="S684">
        <f t="shared" si="31"/>
        <v>52</v>
      </c>
      <c r="T684" s="5" t="str">
        <f t="shared" si="32"/>
        <v>52</v>
      </c>
    </row>
    <row r="685" spans="15:20">
      <c r="O685" s="5">
        <v>89</v>
      </c>
      <c r="P685" s="5">
        <v>215</v>
      </c>
      <c r="Q685" s="5">
        <v>180</v>
      </c>
      <c r="R685" s="7">
        <f t="shared" si="30"/>
        <v>0.413953488372093</v>
      </c>
      <c r="S685">
        <f t="shared" si="31"/>
        <v>35</v>
      </c>
      <c r="T685" s="5" t="str">
        <f t="shared" si="32"/>
        <v>35</v>
      </c>
    </row>
    <row r="686" spans="15:20">
      <c r="O686" s="3">
        <v>95</v>
      </c>
      <c r="P686" s="3">
        <v>218</v>
      </c>
      <c r="Q686" s="3">
        <v>170</v>
      </c>
      <c r="R686" s="7">
        <f t="shared" si="30"/>
        <v>0.43577981651376146</v>
      </c>
      <c r="S686">
        <f t="shared" si="31"/>
        <v>48</v>
      </c>
      <c r="T686" s="5" t="str">
        <f t="shared" si="32"/>
        <v>48</v>
      </c>
    </row>
    <row r="687" spans="15:20">
      <c r="O687" s="5">
        <v>516</v>
      </c>
      <c r="P687" s="5">
        <v>505</v>
      </c>
      <c r="Q687" s="5">
        <v>400</v>
      </c>
      <c r="R687" s="7">
        <f t="shared" si="30"/>
        <v>1.0217821782178218</v>
      </c>
      <c r="S687">
        <f t="shared" si="31"/>
        <v>105</v>
      </c>
      <c r="T687" s="5" t="str">
        <f t="shared" si="32"/>
        <v>105</v>
      </c>
    </row>
    <row r="688" spans="15:20">
      <c r="O688" s="3">
        <v>367</v>
      </c>
      <c r="P688" s="3">
        <v>693</v>
      </c>
      <c r="Q688" s="3">
        <v>540</v>
      </c>
      <c r="R688" s="7">
        <f t="shared" si="30"/>
        <v>0.5295815295815296</v>
      </c>
      <c r="S688">
        <f t="shared" si="31"/>
        <v>153</v>
      </c>
      <c r="T688" s="5" t="str">
        <f t="shared" si="32"/>
        <v>153</v>
      </c>
    </row>
    <row r="689" spans="15:20">
      <c r="O689" s="5">
        <v>27</v>
      </c>
      <c r="P689" s="5">
        <v>245</v>
      </c>
      <c r="Q689" s="5">
        <v>210</v>
      </c>
      <c r="R689" s="7">
        <f t="shared" si="30"/>
        <v>0.11020408163265306</v>
      </c>
      <c r="S689">
        <f t="shared" si="31"/>
        <v>35</v>
      </c>
      <c r="T689" s="5" t="str">
        <f t="shared" si="32"/>
        <v>35</v>
      </c>
    </row>
    <row r="690" spans="15:20">
      <c r="O690" s="3">
        <v>-300</v>
      </c>
      <c r="P690" s="3">
        <v>74</v>
      </c>
      <c r="Q690" s="3">
        <v>50</v>
      </c>
      <c r="R690" s="7">
        <f t="shared" si="30"/>
        <v>-4.0540540540540544</v>
      </c>
      <c r="S690">
        <f t="shared" si="31"/>
        <v>24</v>
      </c>
      <c r="T690" s="5" t="str">
        <f t="shared" si="32"/>
        <v>24</v>
      </c>
    </row>
    <row r="691" spans="15:20">
      <c r="O691" s="5">
        <v>137</v>
      </c>
      <c r="P691" s="5">
        <v>343</v>
      </c>
      <c r="Q691" s="5">
        <v>300</v>
      </c>
      <c r="R691" s="7">
        <f t="shared" si="30"/>
        <v>0.39941690962099125</v>
      </c>
      <c r="S691">
        <f t="shared" si="31"/>
        <v>43</v>
      </c>
      <c r="T691" s="5" t="str">
        <f t="shared" si="32"/>
        <v>43</v>
      </c>
    </row>
    <row r="692" spans="15:20">
      <c r="O692" s="3">
        <v>646</v>
      </c>
      <c r="P692" s="3">
        <v>815</v>
      </c>
      <c r="Q692" s="3">
        <v>720</v>
      </c>
      <c r="R692" s="7">
        <f t="shared" si="30"/>
        <v>0.79263803680981593</v>
      </c>
      <c r="S692">
        <f t="shared" si="31"/>
        <v>95</v>
      </c>
      <c r="T692" s="5" t="str">
        <f t="shared" si="32"/>
        <v>95</v>
      </c>
    </row>
    <row r="693" spans="15:20">
      <c r="O693" s="5">
        <v>15</v>
      </c>
      <c r="P693" s="5">
        <v>54</v>
      </c>
      <c r="Q693" s="5">
        <v>20</v>
      </c>
      <c r="R693" s="7">
        <f t="shared" si="30"/>
        <v>0.27777777777777779</v>
      </c>
      <c r="S693">
        <f t="shared" si="31"/>
        <v>34</v>
      </c>
      <c r="T693" s="5" t="str">
        <f t="shared" si="32"/>
        <v>34</v>
      </c>
    </row>
    <row r="694" spans="15:20">
      <c r="O694" s="3">
        <v>191</v>
      </c>
      <c r="P694" s="3">
        <v>547</v>
      </c>
      <c r="Q694" s="3">
        <v>290</v>
      </c>
      <c r="R694" s="7">
        <f t="shared" si="30"/>
        <v>0.34917733089579522</v>
      </c>
      <c r="S694">
        <f t="shared" si="31"/>
        <v>257</v>
      </c>
      <c r="T694" s="5" t="str">
        <f t="shared" si="32"/>
        <v>257</v>
      </c>
    </row>
    <row r="695" spans="15:20">
      <c r="O695" s="5">
        <v>-252</v>
      </c>
      <c r="P695" s="5">
        <v>175</v>
      </c>
      <c r="Q695" s="5">
        <v>80</v>
      </c>
      <c r="R695" s="7">
        <f t="shared" si="30"/>
        <v>-1.44</v>
      </c>
      <c r="S695">
        <f t="shared" si="31"/>
        <v>95</v>
      </c>
      <c r="T695" s="5" t="str">
        <f t="shared" si="32"/>
        <v>95</v>
      </c>
    </row>
    <row r="696" spans="15:20">
      <c r="O696" s="3">
        <v>171</v>
      </c>
      <c r="P696" s="3">
        <v>282</v>
      </c>
      <c r="Q696" s="3">
        <v>280</v>
      </c>
      <c r="R696" s="7">
        <f t="shared" si="30"/>
        <v>0.6063829787234043</v>
      </c>
      <c r="S696">
        <f t="shared" si="31"/>
        <v>2</v>
      </c>
      <c r="T696" s="5" t="str">
        <f t="shared" si="32"/>
        <v>2</v>
      </c>
    </row>
    <row r="697" spans="15:20">
      <c r="O697" s="5">
        <v>199</v>
      </c>
      <c r="P697" s="5">
        <v>322</v>
      </c>
      <c r="Q697" s="5">
        <v>320</v>
      </c>
      <c r="R697" s="7">
        <f t="shared" si="30"/>
        <v>0.61801242236024845</v>
      </c>
      <c r="S697">
        <f t="shared" si="31"/>
        <v>2</v>
      </c>
      <c r="T697" s="5" t="str">
        <f t="shared" si="32"/>
        <v>2</v>
      </c>
    </row>
    <row r="698" spans="15:20">
      <c r="O698" s="3">
        <v>116</v>
      </c>
      <c r="P698" s="3">
        <v>199</v>
      </c>
      <c r="Q698" s="3">
        <v>200</v>
      </c>
      <c r="R698" s="7">
        <f t="shared" si="30"/>
        <v>0.58291457286432158</v>
      </c>
      <c r="S698">
        <f t="shared" si="31"/>
        <v>-1</v>
      </c>
      <c r="T698" s="5" t="str">
        <f t="shared" si="32"/>
        <v>-1</v>
      </c>
    </row>
    <row r="699" spans="15:20">
      <c r="O699" s="5">
        <v>132</v>
      </c>
      <c r="P699" s="5">
        <v>261</v>
      </c>
      <c r="Q699" s="5">
        <v>220</v>
      </c>
      <c r="R699" s="7">
        <f t="shared" si="30"/>
        <v>0.50574712643678166</v>
      </c>
      <c r="S699">
        <f t="shared" si="31"/>
        <v>41</v>
      </c>
      <c r="T699" s="5" t="str">
        <f t="shared" si="32"/>
        <v>41</v>
      </c>
    </row>
    <row r="700" spans="15:20">
      <c r="O700" s="3">
        <v>76</v>
      </c>
      <c r="P700" s="3">
        <v>192</v>
      </c>
      <c r="Q700" s="3">
        <v>170</v>
      </c>
      <c r="R700" s="7">
        <f t="shared" si="30"/>
        <v>0.39583333333333331</v>
      </c>
      <c r="S700">
        <f t="shared" si="31"/>
        <v>22</v>
      </c>
      <c r="T700" s="5" t="str">
        <f t="shared" si="32"/>
        <v>22</v>
      </c>
    </row>
    <row r="701" spans="15:20">
      <c r="O701" s="5">
        <v>93</v>
      </c>
      <c r="P701" s="5">
        <v>210</v>
      </c>
      <c r="Q701" s="5">
        <v>170</v>
      </c>
      <c r="R701" s="7">
        <f t="shared" si="30"/>
        <v>0.44285714285714284</v>
      </c>
      <c r="S701">
        <f t="shared" si="31"/>
        <v>40</v>
      </c>
      <c r="T701" s="5" t="str">
        <f t="shared" si="32"/>
        <v>40</v>
      </c>
    </row>
    <row r="702" spans="15:20">
      <c r="O702" s="3">
        <v>481</v>
      </c>
      <c r="P702" s="3">
        <v>484</v>
      </c>
      <c r="Q702" s="3">
        <v>400</v>
      </c>
      <c r="R702" s="7">
        <f t="shared" si="30"/>
        <v>0.99380165289256195</v>
      </c>
      <c r="S702">
        <f t="shared" si="31"/>
        <v>84</v>
      </c>
      <c r="T702" s="5" t="str">
        <f t="shared" si="32"/>
        <v>84</v>
      </c>
    </row>
    <row r="703" spans="15:20">
      <c r="O703" s="5">
        <v>350</v>
      </c>
      <c r="P703" s="5">
        <v>664</v>
      </c>
      <c r="Q703" s="5">
        <v>560</v>
      </c>
      <c r="R703" s="7">
        <f t="shared" si="30"/>
        <v>0.52710843373493976</v>
      </c>
      <c r="S703">
        <f t="shared" si="31"/>
        <v>104</v>
      </c>
      <c r="T703" s="5" t="str">
        <f t="shared" si="32"/>
        <v>104</v>
      </c>
    </row>
    <row r="704" spans="15:20">
      <c r="O704" s="3">
        <v>22</v>
      </c>
      <c r="P704" s="3">
        <v>239</v>
      </c>
      <c r="Q704" s="3">
        <v>210</v>
      </c>
      <c r="R704" s="7">
        <f t="shared" si="30"/>
        <v>9.2050209205020925E-2</v>
      </c>
      <c r="S704">
        <f t="shared" si="31"/>
        <v>29</v>
      </c>
      <c r="T704" s="5" t="str">
        <f t="shared" si="32"/>
        <v>29</v>
      </c>
    </row>
    <row r="705" spans="15:20">
      <c r="O705" s="5">
        <v>-300</v>
      </c>
      <c r="P705" s="5">
        <v>65</v>
      </c>
      <c r="Q705" s="5">
        <v>50</v>
      </c>
      <c r="R705" s="7">
        <f t="shared" si="30"/>
        <v>-4.615384615384615</v>
      </c>
      <c r="S705">
        <f t="shared" si="31"/>
        <v>15</v>
      </c>
      <c r="T705" s="5" t="str">
        <f t="shared" si="32"/>
        <v>15</v>
      </c>
    </row>
    <row r="706" spans="15:20">
      <c r="O706" s="3">
        <v>160</v>
      </c>
      <c r="P706" s="3">
        <v>387</v>
      </c>
      <c r="Q706" s="3">
        <v>350</v>
      </c>
      <c r="R706" s="7">
        <f t="shared" ref="R706:R769" si="33">O706/P706</f>
        <v>0.41343669250645992</v>
      </c>
      <c r="S706">
        <f t="shared" ref="S706:S769" si="34">P706-Q706</f>
        <v>37</v>
      </c>
      <c r="T706" s="5" t="str">
        <f t="shared" ref="T706:T769" si="35">TRIM(S:S)</f>
        <v>37</v>
      </c>
    </row>
    <row r="707" spans="15:20">
      <c r="O707" s="5">
        <v>565</v>
      </c>
      <c r="P707" s="5">
        <v>719</v>
      </c>
      <c r="Q707" s="5">
        <v>660</v>
      </c>
      <c r="R707" s="7">
        <f t="shared" si="33"/>
        <v>0.78581363004172466</v>
      </c>
      <c r="S707">
        <f t="shared" si="34"/>
        <v>59</v>
      </c>
      <c r="T707" s="5" t="str">
        <f t="shared" si="35"/>
        <v>59</v>
      </c>
    </row>
    <row r="708" spans="15:20">
      <c r="O708" s="3">
        <v>16</v>
      </c>
      <c r="P708" s="3">
        <v>55</v>
      </c>
      <c r="Q708" s="3">
        <v>30</v>
      </c>
      <c r="R708" s="7">
        <f t="shared" si="33"/>
        <v>0.29090909090909089</v>
      </c>
      <c r="S708">
        <f t="shared" si="34"/>
        <v>25</v>
      </c>
      <c r="T708" s="5" t="str">
        <f t="shared" si="35"/>
        <v>25</v>
      </c>
    </row>
    <row r="709" spans="15:20">
      <c r="O709" s="5">
        <v>303</v>
      </c>
      <c r="P709" s="5">
        <v>614</v>
      </c>
      <c r="Q709" s="5">
        <v>420</v>
      </c>
      <c r="R709" s="7">
        <f t="shared" si="33"/>
        <v>0.49348534201954397</v>
      </c>
      <c r="S709">
        <f t="shared" si="34"/>
        <v>194</v>
      </c>
      <c r="T709" s="5" t="str">
        <f t="shared" si="35"/>
        <v>194</v>
      </c>
    </row>
    <row r="710" spans="15:20">
      <c r="O710" s="3">
        <v>-232</v>
      </c>
      <c r="P710" s="3">
        <v>171</v>
      </c>
      <c r="Q710" s="3">
        <v>110</v>
      </c>
      <c r="R710" s="7">
        <f t="shared" si="33"/>
        <v>-1.3567251461988303</v>
      </c>
      <c r="S710">
        <f t="shared" si="34"/>
        <v>61</v>
      </c>
      <c r="T710" s="5" t="str">
        <f t="shared" si="35"/>
        <v>61</v>
      </c>
    </row>
    <row r="711" spans="15:20">
      <c r="O711" s="5">
        <v>125</v>
      </c>
      <c r="P711" s="5">
        <v>211</v>
      </c>
      <c r="Q711" s="5">
        <v>200</v>
      </c>
      <c r="R711" s="7">
        <f t="shared" si="33"/>
        <v>0.59241706161137442</v>
      </c>
      <c r="S711">
        <f t="shared" si="34"/>
        <v>11</v>
      </c>
      <c r="T711" s="5" t="str">
        <f t="shared" si="35"/>
        <v>11</v>
      </c>
    </row>
    <row r="712" spans="15:20">
      <c r="O712" s="3">
        <v>188</v>
      </c>
      <c r="P712" s="3">
        <v>309</v>
      </c>
      <c r="Q712" s="3">
        <v>290</v>
      </c>
      <c r="R712" s="7">
        <f t="shared" si="33"/>
        <v>0.60841423948220064</v>
      </c>
      <c r="S712">
        <f t="shared" si="34"/>
        <v>19</v>
      </c>
      <c r="T712" s="5" t="str">
        <f t="shared" si="35"/>
        <v>19</v>
      </c>
    </row>
    <row r="713" spans="15:20">
      <c r="O713" s="5">
        <v>181</v>
      </c>
      <c r="P713" s="5">
        <v>341</v>
      </c>
      <c r="Q713" s="5">
        <v>280</v>
      </c>
      <c r="R713" s="7">
        <f t="shared" si="33"/>
        <v>0.53079178885630496</v>
      </c>
      <c r="S713">
        <f t="shared" si="34"/>
        <v>61</v>
      </c>
      <c r="T713" s="5" t="str">
        <f t="shared" si="35"/>
        <v>61</v>
      </c>
    </row>
    <row r="714" spans="15:20">
      <c r="O714" s="3">
        <v>86</v>
      </c>
      <c r="P714" s="3">
        <v>208</v>
      </c>
      <c r="Q714" s="3">
        <v>190</v>
      </c>
      <c r="R714" s="7">
        <f t="shared" si="33"/>
        <v>0.41346153846153844</v>
      </c>
      <c r="S714">
        <f t="shared" si="34"/>
        <v>18</v>
      </c>
      <c r="T714" s="5" t="str">
        <f t="shared" si="35"/>
        <v>18</v>
      </c>
    </row>
    <row r="715" spans="15:20">
      <c r="O715" s="5">
        <v>108</v>
      </c>
      <c r="P715" s="5">
        <v>236</v>
      </c>
      <c r="Q715" s="5">
        <v>190</v>
      </c>
      <c r="R715" s="7">
        <f t="shared" si="33"/>
        <v>0.4576271186440678</v>
      </c>
      <c r="S715">
        <f t="shared" si="34"/>
        <v>46</v>
      </c>
      <c r="T715" s="5" t="str">
        <f t="shared" si="35"/>
        <v>46</v>
      </c>
    </row>
    <row r="716" spans="15:20">
      <c r="O716" s="3">
        <v>579</v>
      </c>
      <c r="P716" s="3">
        <v>543</v>
      </c>
      <c r="Q716" s="3">
        <v>450</v>
      </c>
      <c r="R716" s="7">
        <f t="shared" si="33"/>
        <v>1.0662983425414365</v>
      </c>
      <c r="S716">
        <f t="shared" si="34"/>
        <v>93</v>
      </c>
      <c r="T716" s="5" t="str">
        <f t="shared" si="35"/>
        <v>93</v>
      </c>
    </row>
    <row r="717" spans="15:20">
      <c r="O717" s="5">
        <v>402</v>
      </c>
      <c r="P717" s="5">
        <v>745</v>
      </c>
      <c r="Q717" s="5">
        <v>620</v>
      </c>
      <c r="R717" s="7">
        <f t="shared" si="33"/>
        <v>0.53959731543624156</v>
      </c>
      <c r="S717">
        <f t="shared" si="34"/>
        <v>125</v>
      </c>
      <c r="T717" s="5" t="str">
        <f t="shared" si="35"/>
        <v>125</v>
      </c>
    </row>
    <row r="718" spans="15:20">
      <c r="O718" s="3">
        <v>31</v>
      </c>
      <c r="P718" s="3">
        <v>266</v>
      </c>
      <c r="Q718" s="3">
        <v>240</v>
      </c>
      <c r="R718" s="7">
        <f t="shared" si="33"/>
        <v>0.11654135338345864</v>
      </c>
      <c r="S718">
        <f t="shared" si="34"/>
        <v>26</v>
      </c>
      <c r="T718" s="5" t="str">
        <f t="shared" si="35"/>
        <v>26</v>
      </c>
    </row>
    <row r="719" spans="15:20">
      <c r="O719" s="5">
        <v>-332</v>
      </c>
      <c r="P719" s="5">
        <v>70</v>
      </c>
      <c r="Q719" s="5">
        <v>60</v>
      </c>
      <c r="R719" s="7">
        <f t="shared" si="33"/>
        <v>-4.7428571428571429</v>
      </c>
      <c r="S719">
        <f t="shared" si="34"/>
        <v>10</v>
      </c>
      <c r="T719" s="5" t="str">
        <f t="shared" si="35"/>
        <v>10</v>
      </c>
    </row>
    <row r="720" spans="15:20">
      <c r="O720" s="3">
        <v>129</v>
      </c>
      <c r="P720" s="3">
        <v>326</v>
      </c>
      <c r="Q720" s="3">
        <v>290</v>
      </c>
      <c r="R720" s="7">
        <f t="shared" si="33"/>
        <v>0.39570552147239263</v>
      </c>
      <c r="S720">
        <f t="shared" si="34"/>
        <v>36</v>
      </c>
      <c r="T720" s="5" t="str">
        <f t="shared" si="35"/>
        <v>36</v>
      </c>
    </row>
    <row r="721" spans="15:20">
      <c r="O721" s="5">
        <v>463</v>
      </c>
      <c r="P721" s="5">
        <v>700</v>
      </c>
      <c r="Q721" s="5">
        <v>640</v>
      </c>
      <c r="R721" s="7">
        <f t="shared" si="33"/>
        <v>0.66142857142857148</v>
      </c>
      <c r="S721">
        <f t="shared" si="34"/>
        <v>60</v>
      </c>
      <c r="T721" s="5" t="str">
        <f t="shared" si="35"/>
        <v>60</v>
      </c>
    </row>
    <row r="722" spans="15:20">
      <c r="O722" s="3">
        <v>459</v>
      </c>
      <c r="P722" s="3">
        <v>796</v>
      </c>
      <c r="Q722" s="3">
        <v>540</v>
      </c>
      <c r="R722" s="7">
        <f t="shared" si="33"/>
        <v>0.5766331658291457</v>
      </c>
      <c r="S722">
        <f t="shared" si="34"/>
        <v>256</v>
      </c>
      <c r="T722" s="5" t="str">
        <f t="shared" si="35"/>
        <v>256</v>
      </c>
    </row>
    <row r="723" spans="15:20">
      <c r="O723" s="5">
        <v>-280</v>
      </c>
      <c r="P723" s="5">
        <v>158</v>
      </c>
      <c r="Q723" s="5">
        <v>100</v>
      </c>
      <c r="R723" s="7">
        <f t="shared" si="33"/>
        <v>-1.7721518987341771</v>
      </c>
      <c r="S723">
        <f t="shared" si="34"/>
        <v>58</v>
      </c>
      <c r="T723" s="5" t="str">
        <f t="shared" si="35"/>
        <v>58</v>
      </c>
    </row>
    <row r="724" spans="15:20">
      <c r="O724" s="3">
        <v>132</v>
      </c>
      <c r="P724" s="3">
        <v>224</v>
      </c>
      <c r="Q724" s="3">
        <v>210</v>
      </c>
      <c r="R724" s="7">
        <f t="shared" si="33"/>
        <v>0.5892857142857143</v>
      </c>
      <c r="S724">
        <f t="shared" si="34"/>
        <v>14</v>
      </c>
      <c r="T724" s="5" t="str">
        <f t="shared" si="35"/>
        <v>14</v>
      </c>
    </row>
    <row r="725" spans="15:20">
      <c r="O725" s="5">
        <v>197</v>
      </c>
      <c r="P725" s="5">
        <v>322</v>
      </c>
      <c r="Q725" s="5">
        <v>310</v>
      </c>
      <c r="R725" s="7">
        <f t="shared" si="33"/>
        <v>0.61180124223602483</v>
      </c>
      <c r="S725">
        <f t="shared" si="34"/>
        <v>12</v>
      </c>
      <c r="T725" s="5" t="str">
        <f t="shared" si="35"/>
        <v>12</v>
      </c>
    </row>
    <row r="726" spans="15:20">
      <c r="O726" s="3">
        <v>116</v>
      </c>
      <c r="P726" s="3">
        <v>265</v>
      </c>
      <c r="Q726" s="3">
        <v>260</v>
      </c>
      <c r="R726" s="7">
        <f t="shared" si="33"/>
        <v>0.43773584905660379</v>
      </c>
      <c r="S726">
        <f t="shared" si="34"/>
        <v>5</v>
      </c>
      <c r="T726" s="5" t="str">
        <f t="shared" si="35"/>
        <v>5</v>
      </c>
    </row>
    <row r="727" spans="15:20">
      <c r="O727" s="5">
        <v>115</v>
      </c>
      <c r="P727" s="5">
        <v>298</v>
      </c>
      <c r="Q727" s="5">
        <v>300</v>
      </c>
      <c r="R727" s="7">
        <f t="shared" si="33"/>
        <v>0.38590604026845637</v>
      </c>
      <c r="S727">
        <f t="shared" si="34"/>
        <v>-2</v>
      </c>
      <c r="T727" s="5" t="str">
        <f t="shared" si="35"/>
        <v>-2</v>
      </c>
    </row>
    <row r="728" spans="15:20">
      <c r="O728" s="3">
        <v>56</v>
      </c>
      <c r="P728" s="3">
        <v>182</v>
      </c>
      <c r="Q728" s="3">
        <v>260</v>
      </c>
      <c r="R728" s="7">
        <f t="shared" si="33"/>
        <v>0.30769230769230771</v>
      </c>
      <c r="S728">
        <f t="shared" si="34"/>
        <v>-78</v>
      </c>
      <c r="T728" s="5" t="str">
        <f t="shared" si="35"/>
        <v>-78</v>
      </c>
    </row>
    <row r="729" spans="15:20">
      <c r="O729" s="5">
        <v>149</v>
      </c>
      <c r="P729" s="5">
        <v>478</v>
      </c>
      <c r="Q729" s="5">
        <v>710</v>
      </c>
      <c r="R729" s="7">
        <f t="shared" si="33"/>
        <v>0.31171548117154813</v>
      </c>
      <c r="S729">
        <f t="shared" si="34"/>
        <v>-232</v>
      </c>
      <c r="T729" s="5" t="str">
        <f t="shared" si="35"/>
        <v>-232</v>
      </c>
    </row>
    <row r="730" spans="15:20">
      <c r="O730" s="3">
        <v>12</v>
      </c>
      <c r="P730" s="3">
        <v>120</v>
      </c>
      <c r="Q730" s="3">
        <v>170</v>
      </c>
      <c r="R730" s="7">
        <f t="shared" si="33"/>
        <v>0.1</v>
      </c>
      <c r="S730">
        <f t="shared" si="34"/>
        <v>-50</v>
      </c>
      <c r="T730" s="5" t="str">
        <f t="shared" si="35"/>
        <v>-50</v>
      </c>
    </row>
    <row r="731" spans="15:20">
      <c r="O731" s="5">
        <v>133</v>
      </c>
      <c r="P731" s="5">
        <v>302</v>
      </c>
      <c r="Q731" s="5">
        <v>300</v>
      </c>
      <c r="R731" s="7">
        <f t="shared" si="33"/>
        <v>0.44039735099337746</v>
      </c>
      <c r="S731">
        <f t="shared" si="34"/>
        <v>2</v>
      </c>
      <c r="T731" s="5" t="str">
        <f t="shared" si="35"/>
        <v>2</v>
      </c>
    </row>
    <row r="732" spans="15:20">
      <c r="O732" s="3">
        <v>120</v>
      </c>
      <c r="P732" s="3">
        <v>367</v>
      </c>
      <c r="Q732" s="3">
        <v>370</v>
      </c>
      <c r="R732" s="7">
        <f t="shared" si="33"/>
        <v>0.32697547683923706</v>
      </c>
      <c r="S732">
        <f t="shared" si="34"/>
        <v>-3</v>
      </c>
      <c r="T732" s="5" t="str">
        <f t="shared" si="35"/>
        <v>-3</v>
      </c>
    </row>
    <row r="733" spans="15:20">
      <c r="O733" s="5">
        <v>79</v>
      </c>
      <c r="P733" s="5">
        <v>187</v>
      </c>
      <c r="Q733" s="5">
        <v>280</v>
      </c>
      <c r="R733" s="7">
        <f t="shared" si="33"/>
        <v>0.42245989304812837</v>
      </c>
      <c r="S733">
        <f t="shared" si="34"/>
        <v>-93</v>
      </c>
      <c r="T733" s="5" t="str">
        <f t="shared" si="35"/>
        <v>-93</v>
      </c>
    </row>
    <row r="734" spans="15:20">
      <c r="O734" s="3">
        <v>224</v>
      </c>
      <c r="P734" s="3">
        <v>598</v>
      </c>
      <c r="Q734" s="3">
        <v>890</v>
      </c>
      <c r="R734" s="7">
        <f t="shared" si="33"/>
        <v>0.37458193979933108</v>
      </c>
      <c r="S734">
        <f t="shared" si="34"/>
        <v>-292</v>
      </c>
      <c r="T734" s="5" t="str">
        <f t="shared" si="35"/>
        <v>-292</v>
      </c>
    </row>
    <row r="735" spans="15:20">
      <c r="O735" s="5">
        <v>92</v>
      </c>
      <c r="P735" s="5">
        <v>322</v>
      </c>
      <c r="Q735" s="5">
        <v>470</v>
      </c>
      <c r="R735" s="7">
        <f t="shared" si="33"/>
        <v>0.2857142857142857</v>
      </c>
      <c r="S735">
        <f t="shared" si="34"/>
        <v>-148</v>
      </c>
      <c r="T735" s="5" t="str">
        <f t="shared" si="35"/>
        <v>-148</v>
      </c>
    </row>
    <row r="736" spans="15:20">
      <c r="O736" s="3">
        <v>92</v>
      </c>
      <c r="P736" s="3">
        <v>322</v>
      </c>
      <c r="Q736" s="3">
        <v>260</v>
      </c>
      <c r="R736" s="7">
        <f t="shared" si="33"/>
        <v>0.2857142857142857</v>
      </c>
      <c r="S736">
        <f t="shared" si="34"/>
        <v>62</v>
      </c>
      <c r="T736" s="5" t="str">
        <f t="shared" si="35"/>
        <v>62</v>
      </c>
    </row>
    <row r="737" spans="15:20">
      <c r="O737" s="5">
        <v>133</v>
      </c>
      <c r="P737" s="5">
        <v>302</v>
      </c>
      <c r="Q737" s="5">
        <v>240</v>
      </c>
      <c r="R737" s="7">
        <f t="shared" si="33"/>
        <v>0.44039735099337746</v>
      </c>
      <c r="S737">
        <f t="shared" si="34"/>
        <v>62</v>
      </c>
      <c r="T737" s="5" t="str">
        <f t="shared" si="35"/>
        <v>62</v>
      </c>
    </row>
    <row r="738" spans="15:20">
      <c r="O738" s="3">
        <v>116</v>
      </c>
      <c r="P738" s="3">
        <v>265</v>
      </c>
      <c r="Q738" s="3">
        <v>210</v>
      </c>
      <c r="R738" s="7">
        <f t="shared" si="33"/>
        <v>0.43773584905660379</v>
      </c>
      <c r="S738">
        <f t="shared" si="34"/>
        <v>55</v>
      </c>
      <c r="T738" s="5" t="str">
        <f t="shared" si="35"/>
        <v>55</v>
      </c>
    </row>
    <row r="739" spans="15:20">
      <c r="O739" s="5">
        <v>65</v>
      </c>
      <c r="P739" s="5">
        <v>205</v>
      </c>
      <c r="Q739" s="5">
        <v>140</v>
      </c>
      <c r="R739" s="7">
        <f t="shared" si="33"/>
        <v>0.31707317073170732</v>
      </c>
      <c r="S739">
        <f t="shared" si="34"/>
        <v>65</v>
      </c>
      <c r="T739" s="5" t="str">
        <f t="shared" si="35"/>
        <v>65</v>
      </c>
    </row>
    <row r="740" spans="15:20">
      <c r="O740" s="3">
        <v>76</v>
      </c>
      <c r="P740" s="3">
        <v>218</v>
      </c>
      <c r="Q740" s="3">
        <v>150</v>
      </c>
      <c r="R740" s="7">
        <f t="shared" si="33"/>
        <v>0.34862385321100919</v>
      </c>
      <c r="S740">
        <f t="shared" si="34"/>
        <v>68</v>
      </c>
      <c r="T740" s="5" t="str">
        <f t="shared" si="35"/>
        <v>68</v>
      </c>
    </row>
    <row r="741" spans="15:20">
      <c r="O741" s="5">
        <v>74</v>
      </c>
      <c r="P741" s="5">
        <v>205</v>
      </c>
      <c r="Q741" s="5">
        <v>140</v>
      </c>
      <c r="R741" s="7">
        <f t="shared" si="33"/>
        <v>0.36097560975609755</v>
      </c>
      <c r="S741">
        <f t="shared" si="34"/>
        <v>65</v>
      </c>
      <c r="T741" s="5" t="str">
        <f t="shared" si="35"/>
        <v>65</v>
      </c>
    </row>
    <row r="742" spans="15:20">
      <c r="O742" s="3">
        <v>-2</v>
      </c>
      <c r="P742" s="3">
        <v>23</v>
      </c>
      <c r="Q742" s="3">
        <v>10</v>
      </c>
      <c r="R742" s="7">
        <f t="shared" si="33"/>
        <v>-8.6956521739130432E-2</v>
      </c>
      <c r="S742">
        <f t="shared" si="34"/>
        <v>13</v>
      </c>
      <c r="T742" s="5" t="str">
        <f t="shared" si="35"/>
        <v>13</v>
      </c>
    </row>
    <row r="743" spans="15:20">
      <c r="O743" s="5">
        <v>61</v>
      </c>
      <c r="P743" s="5">
        <v>202</v>
      </c>
      <c r="Q743" s="5">
        <v>200</v>
      </c>
      <c r="R743" s="7">
        <f t="shared" si="33"/>
        <v>0.30198019801980197</v>
      </c>
      <c r="S743">
        <f t="shared" si="34"/>
        <v>2</v>
      </c>
      <c r="T743" s="5" t="str">
        <f t="shared" si="35"/>
        <v>2</v>
      </c>
    </row>
    <row r="744" spans="15:20">
      <c r="O744" s="3">
        <v>35</v>
      </c>
      <c r="P744" s="3">
        <v>177</v>
      </c>
      <c r="Q744" s="3">
        <v>170</v>
      </c>
      <c r="R744" s="7">
        <f t="shared" si="33"/>
        <v>0.19774011299435029</v>
      </c>
      <c r="S744">
        <f t="shared" si="34"/>
        <v>7</v>
      </c>
      <c r="T744" s="5" t="str">
        <f t="shared" si="35"/>
        <v>7</v>
      </c>
    </row>
    <row r="745" spans="15:20">
      <c r="O745" s="5">
        <v>18</v>
      </c>
      <c r="P745" s="5">
        <v>230</v>
      </c>
      <c r="Q745" s="5">
        <v>230</v>
      </c>
      <c r="R745" s="7">
        <f t="shared" si="33"/>
        <v>7.8260869565217397E-2</v>
      </c>
      <c r="S745">
        <f t="shared" si="34"/>
        <v>0</v>
      </c>
      <c r="T745" s="5" t="str">
        <f t="shared" si="35"/>
        <v>0</v>
      </c>
    </row>
    <row r="746" spans="15:20">
      <c r="O746" s="3">
        <v>36</v>
      </c>
      <c r="P746" s="3">
        <v>99</v>
      </c>
      <c r="Q746" s="3">
        <v>140</v>
      </c>
      <c r="R746" s="7">
        <f t="shared" si="33"/>
        <v>0.36363636363636365</v>
      </c>
      <c r="S746">
        <f t="shared" si="34"/>
        <v>-41</v>
      </c>
      <c r="T746" s="5" t="str">
        <f t="shared" si="35"/>
        <v>-41</v>
      </c>
    </row>
    <row r="747" spans="15:20">
      <c r="O747" s="5">
        <v>48</v>
      </c>
      <c r="P747" s="5">
        <v>174</v>
      </c>
      <c r="Q747" s="5">
        <v>250</v>
      </c>
      <c r="R747" s="7">
        <f t="shared" si="33"/>
        <v>0.27586206896551724</v>
      </c>
      <c r="S747">
        <f t="shared" si="34"/>
        <v>-76</v>
      </c>
      <c r="T747" s="5" t="str">
        <f t="shared" si="35"/>
        <v>-76</v>
      </c>
    </row>
    <row r="748" spans="15:20">
      <c r="O748" s="3">
        <v>224</v>
      </c>
      <c r="P748" s="3">
        <v>598</v>
      </c>
      <c r="Q748" s="3">
        <v>480</v>
      </c>
      <c r="R748" s="7">
        <f t="shared" si="33"/>
        <v>0.37458193979933108</v>
      </c>
      <c r="S748">
        <f t="shared" si="34"/>
        <v>118</v>
      </c>
      <c r="T748" s="5" t="str">
        <f t="shared" si="35"/>
        <v>118</v>
      </c>
    </row>
    <row r="749" spans="15:20">
      <c r="O749" s="5">
        <v>114</v>
      </c>
      <c r="P749" s="5">
        <v>298</v>
      </c>
      <c r="Q749" s="5">
        <v>240</v>
      </c>
      <c r="R749" s="7">
        <f t="shared" si="33"/>
        <v>0.3825503355704698</v>
      </c>
      <c r="S749">
        <f t="shared" si="34"/>
        <v>58</v>
      </c>
      <c r="T749" s="5" t="str">
        <f t="shared" si="35"/>
        <v>58</v>
      </c>
    </row>
    <row r="750" spans="15:20">
      <c r="O750" s="3">
        <v>-26</v>
      </c>
      <c r="P750" s="3">
        <v>109</v>
      </c>
      <c r="Q750" s="3">
        <v>80</v>
      </c>
      <c r="R750" s="7">
        <f t="shared" si="33"/>
        <v>-0.23853211009174313</v>
      </c>
      <c r="S750">
        <f t="shared" si="34"/>
        <v>29</v>
      </c>
      <c r="T750" s="5" t="str">
        <f t="shared" si="35"/>
        <v>29</v>
      </c>
    </row>
    <row r="751" spans="15:20">
      <c r="O751" s="5">
        <v>149</v>
      </c>
      <c r="P751" s="5">
        <v>478</v>
      </c>
      <c r="Q751" s="5">
        <v>340</v>
      </c>
      <c r="R751" s="7">
        <f t="shared" si="33"/>
        <v>0.31171548117154813</v>
      </c>
      <c r="S751">
        <f t="shared" si="34"/>
        <v>138</v>
      </c>
      <c r="T751" s="5" t="str">
        <f t="shared" si="35"/>
        <v>138</v>
      </c>
    </row>
    <row r="752" spans="15:20">
      <c r="O752" s="3">
        <v>183</v>
      </c>
      <c r="P752" s="3">
        <v>567</v>
      </c>
      <c r="Q752" s="3">
        <v>400</v>
      </c>
      <c r="R752" s="7">
        <f t="shared" si="33"/>
        <v>0.32275132275132273</v>
      </c>
      <c r="S752">
        <f t="shared" si="34"/>
        <v>167</v>
      </c>
      <c r="T752" s="5" t="str">
        <f t="shared" si="35"/>
        <v>167</v>
      </c>
    </row>
    <row r="753" spans="15:20">
      <c r="O753" s="5">
        <v>-11</v>
      </c>
      <c r="P753" s="5">
        <v>56</v>
      </c>
      <c r="Q753" s="5">
        <v>30</v>
      </c>
      <c r="R753" s="7">
        <f t="shared" si="33"/>
        <v>-0.19642857142857142</v>
      </c>
      <c r="S753">
        <f t="shared" si="34"/>
        <v>26</v>
      </c>
      <c r="T753" s="5" t="str">
        <f t="shared" si="35"/>
        <v>26</v>
      </c>
    </row>
    <row r="754" spans="15:20">
      <c r="O754" s="3">
        <v>84</v>
      </c>
      <c r="P754" s="3">
        <v>198</v>
      </c>
      <c r="Q754" s="3">
        <v>190</v>
      </c>
      <c r="R754" s="7">
        <f t="shared" si="33"/>
        <v>0.42424242424242425</v>
      </c>
      <c r="S754">
        <f t="shared" si="34"/>
        <v>8</v>
      </c>
      <c r="T754" s="5" t="str">
        <f t="shared" si="35"/>
        <v>8</v>
      </c>
    </row>
    <row r="755" spans="15:20">
      <c r="O755" s="5">
        <v>106</v>
      </c>
      <c r="P755" s="5">
        <v>278</v>
      </c>
      <c r="Q755" s="5">
        <v>270</v>
      </c>
      <c r="R755" s="7">
        <f t="shared" si="33"/>
        <v>0.38129496402877699</v>
      </c>
      <c r="S755">
        <f t="shared" si="34"/>
        <v>8</v>
      </c>
      <c r="T755" s="5" t="str">
        <f t="shared" si="35"/>
        <v>8</v>
      </c>
    </row>
    <row r="756" spans="15:20">
      <c r="O756" s="3">
        <v>58</v>
      </c>
      <c r="P756" s="3">
        <v>189</v>
      </c>
      <c r="Q756" s="3">
        <v>240</v>
      </c>
      <c r="R756" s="7">
        <f t="shared" si="33"/>
        <v>0.30687830687830686</v>
      </c>
      <c r="S756">
        <f t="shared" si="34"/>
        <v>-51</v>
      </c>
      <c r="T756" s="5" t="str">
        <f t="shared" si="35"/>
        <v>-51</v>
      </c>
    </row>
    <row r="757" spans="15:20">
      <c r="O757" s="5">
        <v>129</v>
      </c>
      <c r="P757" s="5">
        <v>423</v>
      </c>
      <c r="Q757" s="5">
        <v>540</v>
      </c>
      <c r="R757" s="7">
        <f t="shared" si="33"/>
        <v>0.30496453900709219</v>
      </c>
      <c r="S757">
        <f t="shared" si="34"/>
        <v>-117</v>
      </c>
      <c r="T757" s="5" t="str">
        <f t="shared" si="35"/>
        <v>-117</v>
      </c>
    </row>
    <row r="758" spans="15:20">
      <c r="O758" s="3">
        <v>128</v>
      </c>
      <c r="P758" s="3">
        <v>290</v>
      </c>
      <c r="Q758" s="3">
        <v>280</v>
      </c>
      <c r="R758" s="7">
        <f t="shared" si="33"/>
        <v>0.44137931034482758</v>
      </c>
      <c r="S758">
        <f t="shared" si="34"/>
        <v>10</v>
      </c>
      <c r="T758" s="5" t="str">
        <f t="shared" si="35"/>
        <v>10</v>
      </c>
    </row>
    <row r="759" spans="15:20">
      <c r="O759" s="5">
        <v>139</v>
      </c>
      <c r="P759" s="5">
        <v>412</v>
      </c>
      <c r="Q759" s="5">
        <v>400</v>
      </c>
      <c r="R759" s="7">
        <f t="shared" si="33"/>
        <v>0.33737864077669905</v>
      </c>
      <c r="S759">
        <f t="shared" si="34"/>
        <v>12</v>
      </c>
      <c r="T759" s="5" t="str">
        <f t="shared" si="35"/>
        <v>12</v>
      </c>
    </row>
    <row r="760" spans="15:20">
      <c r="O760" s="3">
        <v>48</v>
      </c>
      <c r="P760" s="3">
        <v>123</v>
      </c>
      <c r="Q760" s="3">
        <v>150</v>
      </c>
      <c r="R760" s="7">
        <f t="shared" si="33"/>
        <v>0.3902439024390244</v>
      </c>
      <c r="S760">
        <f t="shared" si="34"/>
        <v>-27</v>
      </c>
      <c r="T760" s="5" t="str">
        <f t="shared" si="35"/>
        <v>-27</v>
      </c>
    </row>
    <row r="761" spans="15:20">
      <c r="O761" s="5">
        <v>196</v>
      </c>
      <c r="P761" s="5">
        <v>532</v>
      </c>
      <c r="Q761" s="5">
        <v>680</v>
      </c>
      <c r="R761" s="7">
        <f t="shared" si="33"/>
        <v>0.36842105263157893</v>
      </c>
      <c r="S761">
        <f t="shared" si="34"/>
        <v>-148</v>
      </c>
      <c r="T761" s="5" t="str">
        <f t="shared" si="35"/>
        <v>-148</v>
      </c>
    </row>
    <row r="762" spans="15:20">
      <c r="O762" s="3">
        <v>107</v>
      </c>
      <c r="P762" s="3">
        <v>363</v>
      </c>
      <c r="Q762" s="3">
        <v>460</v>
      </c>
      <c r="R762" s="7">
        <f t="shared" si="33"/>
        <v>0.29476584022038566</v>
      </c>
      <c r="S762">
        <f t="shared" si="34"/>
        <v>-97</v>
      </c>
      <c r="T762" s="5" t="str">
        <f t="shared" si="35"/>
        <v>-97</v>
      </c>
    </row>
    <row r="763" spans="15:20">
      <c r="O763" s="5">
        <v>107</v>
      </c>
      <c r="P763" s="5">
        <v>363</v>
      </c>
      <c r="Q763" s="5">
        <v>330</v>
      </c>
      <c r="R763" s="7">
        <f t="shared" si="33"/>
        <v>0.29476584022038566</v>
      </c>
      <c r="S763">
        <f t="shared" si="34"/>
        <v>33</v>
      </c>
      <c r="T763" s="5" t="str">
        <f t="shared" si="35"/>
        <v>33</v>
      </c>
    </row>
    <row r="764" spans="15:20">
      <c r="O764" s="3">
        <v>127</v>
      </c>
      <c r="P764" s="3">
        <v>290</v>
      </c>
      <c r="Q764" s="3">
        <v>260</v>
      </c>
      <c r="R764" s="7">
        <f t="shared" si="33"/>
        <v>0.43793103448275861</v>
      </c>
      <c r="S764">
        <f t="shared" si="34"/>
        <v>30</v>
      </c>
      <c r="T764" s="5" t="str">
        <f t="shared" si="35"/>
        <v>30</v>
      </c>
    </row>
    <row r="765" spans="15:20">
      <c r="O765" s="5">
        <v>84</v>
      </c>
      <c r="P765" s="5">
        <v>198</v>
      </c>
      <c r="Q765" s="5">
        <v>180</v>
      </c>
      <c r="R765" s="7">
        <f t="shared" si="33"/>
        <v>0.42424242424242425</v>
      </c>
      <c r="S765">
        <f t="shared" si="34"/>
        <v>18</v>
      </c>
      <c r="T765" s="5" t="str">
        <f t="shared" si="35"/>
        <v>18</v>
      </c>
    </row>
    <row r="766" spans="15:20">
      <c r="O766" s="3">
        <v>62</v>
      </c>
      <c r="P766" s="3">
        <v>197</v>
      </c>
      <c r="Q766" s="3">
        <v>160</v>
      </c>
      <c r="R766" s="7">
        <f t="shared" si="33"/>
        <v>0.31472081218274112</v>
      </c>
      <c r="S766">
        <f t="shared" si="34"/>
        <v>37</v>
      </c>
      <c r="T766" s="5" t="str">
        <f t="shared" si="35"/>
        <v>37</v>
      </c>
    </row>
    <row r="767" spans="15:20">
      <c r="O767" s="5">
        <v>59</v>
      </c>
      <c r="P767" s="5">
        <v>189</v>
      </c>
      <c r="Q767" s="5">
        <v>150</v>
      </c>
      <c r="R767" s="7">
        <f t="shared" si="33"/>
        <v>0.31216931216931215</v>
      </c>
      <c r="S767">
        <f t="shared" si="34"/>
        <v>39</v>
      </c>
      <c r="T767" s="5" t="str">
        <f t="shared" si="35"/>
        <v>39</v>
      </c>
    </row>
    <row r="768" spans="15:20">
      <c r="O768" s="3">
        <v>89</v>
      </c>
      <c r="P768" s="3">
        <v>245</v>
      </c>
      <c r="Q768" s="3">
        <v>200</v>
      </c>
      <c r="R768" s="7">
        <f t="shared" si="33"/>
        <v>0.36326530612244901</v>
      </c>
      <c r="S768">
        <f t="shared" si="34"/>
        <v>45</v>
      </c>
      <c r="T768" s="5" t="str">
        <f t="shared" si="35"/>
        <v>45</v>
      </c>
    </row>
    <row r="769" spans="15:20">
      <c r="O769" s="5">
        <v>70</v>
      </c>
      <c r="P769" s="5">
        <v>200</v>
      </c>
      <c r="Q769" s="5">
        <v>160</v>
      </c>
      <c r="R769" s="7">
        <f t="shared" si="33"/>
        <v>0.35</v>
      </c>
      <c r="S769">
        <f t="shared" si="34"/>
        <v>40</v>
      </c>
      <c r="T769" s="5" t="str">
        <f t="shared" si="35"/>
        <v>40</v>
      </c>
    </row>
    <row r="770" spans="15:20">
      <c r="O770" s="3">
        <v>-3</v>
      </c>
      <c r="P770" s="3">
        <v>23</v>
      </c>
      <c r="Q770" s="3">
        <v>20</v>
      </c>
      <c r="R770" s="7">
        <f t="shared" ref="R770:R833" si="36">O770/P770</f>
        <v>-0.13043478260869565</v>
      </c>
      <c r="S770">
        <f t="shared" ref="S770:S833" si="37">P770-Q770</f>
        <v>3</v>
      </c>
      <c r="T770" s="5" t="str">
        <f t="shared" ref="T770:T833" si="38">TRIM(S:S)</f>
        <v>3</v>
      </c>
    </row>
    <row r="771" spans="15:20">
      <c r="O771" s="5">
        <v>51</v>
      </c>
      <c r="P771" s="5">
        <v>180</v>
      </c>
      <c r="Q771" s="5">
        <v>170</v>
      </c>
      <c r="R771" s="7">
        <f t="shared" si="36"/>
        <v>0.28333333333333333</v>
      </c>
      <c r="S771">
        <f t="shared" si="37"/>
        <v>10</v>
      </c>
      <c r="T771" s="5" t="str">
        <f t="shared" si="38"/>
        <v>10</v>
      </c>
    </row>
    <row r="772" spans="15:20">
      <c r="O772" s="3">
        <v>8</v>
      </c>
      <c r="P772" s="3">
        <v>39</v>
      </c>
      <c r="Q772" s="3">
        <v>30</v>
      </c>
      <c r="R772" s="7">
        <f t="shared" si="36"/>
        <v>0.20512820512820512</v>
      </c>
      <c r="S772">
        <f t="shared" si="37"/>
        <v>9</v>
      </c>
      <c r="T772" s="5" t="str">
        <f t="shared" si="38"/>
        <v>9</v>
      </c>
    </row>
    <row r="773" spans="15:20">
      <c r="O773" s="5">
        <v>38</v>
      </c>
      <c r="P773" s="5">
        <v>184</v>
      </c>
      <c r="Q773" s="5">
        <v>180</v>
      </c>
      <c r="R773" s="7">
        <f t="shared" si="36"/>
        <v>0.20652173913043478</v>
      </c>
      <c r="S773">
        <f t="shared" si="37"/>
        <v>4</v>
      </c>
      <c r="T773" s="5" t="str">
        <f t="shared" si="38"/>
        <v>4</v>
      </c>
    </row>
    <row r="774" spans="15:20">
      <c r="O774" s="3">
        <v>16</v>
      </c>
      <c r="P774" s="3">
        <v>224</v>
      </c>
      <c r="Q774" s="3">
        <v>220</v>
      </c>
      <c r="R774" s="7">
        <f t="shared" si="36"/>
        <v>7.1428571428571425E-2</v>
      </c>
      <c r="S774">
        <f t="shared" si="37"/>
        <v>4</v>
      </c>
      <c r="T774" s="5" t="str">
        <f t="shared" si="38"/>
        <v>4</v>
      </c>
    </row>
    <row r="775" spans="15:20">
      <c r="O775" s="5">
        <v>51</v>
      </c>
      <c r="P775" s="5">
        <v>132</v>
      </c>
      <c r="Q775" s="5">
        <v>160</v>
      </c>
      <c r="R775" s="7">
        <f t="shared" si="36"/>
        <v>0.38636363636363635</v>
      </c>
      <c r="S775">
        <f t="shared" si="37"/>
        <v>-28</v>
      </c>
      <c r="T775" s="5" t="str">
        <f t="shared" si="38"/>
        <v>-28</v>
      </c>
    </row>
    <row r="776" spans="15:20">
      <c r="O776" s="3">
        <v>45</v>
      </c>
      <c r="P776" s="3">
        <v>164</v>
      </c>
      <c r="Q776" s="3">
        <v>200</v>
      </c>
      <c r="R776" s="7">
        <f t="shared" si="36"/>
        <v>0.27439024390243905</v>
      </c>
      <c r="S776">
        <f t="shared" si="37"/>
        <v>-36</v>
      </c>
      <c r="T776" s="5" t="str">
        <f t="shared" si="38"/>
        <v>-36</v>
      </c>
    </row>
    <row r="777" spans="15:20">
      <c r="O777" s="5">
        <v>196</v>
      </c>
      <c r="P777" s="5">
        <v>532</v>
      </c>
      <c r="Q777" s="5">
        <v>490</v>
      </c>
      <c r="R777" s="7">
        <f t="shared" si="36"/>
        <v>0.36842105263157893</v>
      </c>
      <c r="S777">
        <f t="shared" si="37"/>
        <v>42</v>
      </c>
      <c r="T777" s="5" t="str">
        <f t="shared" si="38"/>
        <v>42</v>
      </c>
    </row>
    <row r="778" spans="15:20">
      <c r="O778" s="3">
        <v>107</v>
      </c>
      <c r="P778" s="3">
        <v>278</v>
      </c>
      <c r="Q778" s="3">
        <v>250</v>
      </c>
      <c r="R778" s="7">
        <f t="shared" si="36"/>
        <v>0.38489208633093525</v>
      </c>
      <c r="S778">
        <f t="shared" si="37"/>
        <v>28</v>
      </c>
      <c r="T778" s="5" t="str">
        <f t="shared" si="38"/>
        <v>28</v>
      </c>
    </row>
    <row r="779" spans="15:20">
      <c r="O779" s="5">
        <v>129</v>
      </c>
      <c r="P779" s="5">
        <v>423</v>
      </c>
      <c r="Q779" s="5">
        <v>350</v>
      </c>
      <c r="R779" s="7">
        <f t="shared" si="36"/>
        <v>0.30496453900709219</v>
      </c>
      <c r="S779">
        <f t="shared" si="37"/>
        <v>73</v>
      </c>
      <c r="T779" s="5" t="str">
        <f t="shared" si="38"/>
        <v>73</v>
      </c>
    </row>
    <row r="780" spans="15:20">
      <c r="O780" s="3">
        <v>173</v>
      </c>
      <c r="P780" s="3">
        <v>545</v>
      </c>
      <c r="Q780" s="3">
        <v>450</v>
      </c>
      <c r="R780" s="7">
        <f t="shared" si="36"/>
        <v>0.31743119266055048</v>
      </c>
      <c r="S780">
        <f t="shared" si="37"/>
        <v>95</v>
      </c>
      <c r="T780" s="5" t="str">
        <f t="shared" si="38"/>
        <v>95</v>
      </c>
    </row>
    <row r="781" spans="15:20">
      <c r="O781" s="5">
        <v>88</v>
      </c>
      <c r="P781" s="5">
        <v>210</v>
      </c>
      <c r="Q781" s="5">
        <v>200</v>
      </c>
      <c r="R781" s="7">
        <f t="shared" si="36"/>
        <v>0.41904761904761906</v>
      </c>
      <c r="S781">
        <f t="shared" si="37"/>
        <v>10</v>
      </c>
      <c r="T781" s="5" t="str">
        <f t="shared" si="38"/>
        <v>10</v>
      </c>
    </row>
    <row r="782" spans="15:20">
      <c r="O782" s="3">
        <v>122</v>
      </c>
      <c r="P782" s="3">
        <v>312</v>
      </c>
      <c r="Q782" s="3">
        <v>300</v>
      </c>
      <c r="R782" s="7">
        <f t="shared" si="36"/>
        <v>0.39102564102564102</v>
      </c>
      <c r="S782">
        <f t="shared" si="37"/>
        <v>12</v>
      </c>
      <c r="T782" s="5" t="str">
        <f t="shared" si="38"/>
        <v>12</v>
      </c>
    </row>
    <row r="783" spans="15:20">
      <c r="O783" s="5">
        <v>47</v>
      </c>
      <c r="P783" s="5">
        <v>168</v>
      </c>
      <c r="Q783" s="5">
        <v>210</v>
      </c>
      <c r="R783" s="7">
        <f t="shared" si="36"/>
        <v>0.27976190476190477</v>
      </c>
      <c r="S783">
        <f t="shared" si="37"/>
        <v>-42</v>
      </c>
      <c r="T783" s="5" t="str">
        <f t="shared" si="38"/>
        <v>-42</v>
      </c>
    </row>
    <row r="784" spans="15:20">
      <c r="O784" s="3">
        <v>157</v>
      </c>
      <c r="P784" s="3">
        <v>501</v>
      </c>
      <c r="Q784" s="3">
        <v>640</v>
      </c>
      <c r="R784" s="7">
        <f t="shared" si="36"/>
        <v>0.31337325349301398</v>
      </c>
      <c r="S784">
        <f t="shared" si="37"/>
        <v>-139</v>
      </c>
      <c r="T784" s="5" t="str">
        <f t="shared" si="38"/>
        <v>-139</v>
      </c>
    </row>
    <row r="785" spans="15:20">
      <c r="O785" s="5">
        <v>134</v>
      </c>
      <c r="P785" s="5">
        <v>302</v>
      </c>
      <c r="Q785" s="5">
        <v>290</v>
      </c>
      <c r="R785" s="7">
        <f t="shared" si="36"/>
        <v>0.44370860927152317</v>
      </c>
      <c r="S785">
        <f t="shared" si="37"/>
        <v>12</v>
      </c>
      <c r="T785" s="5" t="str">
        <f t="shared" si="38"/>
        <v>12</v>
      </c>
    </row>
    <row r="786" spans="15:20">
      <c r="O786" s="3">
        <v>194</v>
      </c>
      <c r="P786" s="3">
        <v>534</v>
      </c>
      <c r="Q786" s="3">
        <v>520</v>
      </c>
      <c r="R786" s="7">
        <f t="shared" si="36"/>
        <v>0.36329588014981273</v>
      </c>
      <c r="S786">
        <f t="shared" si="37"/>
        <v>14</v>
      </c>
      <c r="T786" s="5" t="str">
        <f t="shared" si="38"/>
        <v>14</v>
      </c>
    </row>
    <row r="787" spans="15:20">
      <c r="O787" s="5">
        <v>53</v>
      </c>
      <c r="P787" s="5">
        <v>133</v>
      </c>
      <c r="Q787" s="5">
        <v>170</v>
      </c>
      <c r="R787" s="7">
        <f t="shared" si="36"/>
        <v>0.39849624060150374</v>
      </c>
      <c r="S787">
        <f t="shared" si="37"/>
        <v>-37</v>
      </c>
      <c r="T787" s="5" t="str">
        <f t="shared" si="38"/>
        <v>-37</v>
      </c>
    </row>
    <row r="788" spans="15:20">
      <c r="O788" s="3">
        <v>216</v>
      </c>
      <c r="P788" s="3">
        <v>576</v>
      </c>
      <c r="Q788" s="3">
        <v>730</v>
      </c>
      <c r="R788" s="7">
        <f t="shared" si="36"/>
        <v>0.375</v>
      </c>
      <c r="S788">
        <f t="shared" si="37"/>
        <v>-154</v>
      </c>
      <c r="T788" s="5" t="str">
        <f t="shared" si="38"/>
        <v>-154</v>
      </c>
    </row>
    <row r="789" spans="15:20">
      <c r="O789" s="5">
        <v>87</v>
      </c>
      <c r="P789" s="5">
        <v>306</v>
      </c>
      <c r="Q789" s="5">
        <v>390</v>
      </c>
      <c r="R789" s="7">
        <f t="shared" si="36"/>
        <v>0.28431372549019607</v>
      </c>
      <c r="S789">
        <f t="shared" si="37"/>
        <v>-84</v>
      </c>
      <c r="T789" s="5" t="str">
        <f t="shared" si="38"/>
        <v>-84</v>
      </c>
    </row>
    <row r="790" spans="15:20">
      <c r="O790" s="3">
        <v>87</v>
      </c>
      <c r="P790" s="3">
        <v>306</v>
      </c>
      <c r="Q790" s="3">
        <v>280</v>
      </c>
      <c r="R790" s="7">
        <f t="shared" si="36"/>
        <v>0.28431372549019607</v>
      </c>
      <c r="S790">
        <f t="shared" si="37"/>
        <v>26</v>
      </c>
      <c r="T790" s="5" t="str">
        <f t="shared" si="38"/>
        <v>26</v>
      </c>
    </row>
    <row r="791" spans="15:20">
      <c r="O791" s="5">
        <v>133</v>
      </c>
      <c r="P791" s="5">
        <v>302</v>
      </c>
      <c r="Q791" s="5">
        <v>280</v>
      </c>
      <c r="R791" s="7">
        <f t="shared" si="36"/>
        <v>0.44039735099337746</v>
      </c>
      <c r="S791">
        <f t="shared" si="37"/>
        <v>22</v>
      </c>
      <c r="T791" s="5" t="str">
        <f t="shared" si="38"/>
        <v>22</v>
      </c>
    </row>
    <row r="792" spans="15:20">
      <c r="O792" s="3">
        <v>88</v>
      </c>
      <c r="P792" s="3">
        <v>210</v>
      </c>
      <c r="Q792" s="3">
        <v>190</v>
      </c>
      <c r="R792" s="7">
        <f t="shared" si="36"/>
        <v>0.41904761904761906</v>
      </c>
      <c r="S792">
        <f t="shared" si="37"/>
        <v>20</v>
      </c>
      <c r="T792" s="5" t="str">
        <f t="shared" si="38"/>
        <v>20</v>
      </c>
    </row>
    <row r="793" spans="15:20">
      <c r="O793" s="5">
        <v>72</v>
      </c>
      <c r="P793" s="5">
        <v>221</v>
      </c>
      <c r="Q793" s="5">
        <v>180</v>
      </c>
      <c r="R793" s="7">
        <f t="shared" si="36"/>
        <v>0.32579185520361992</v>
      </c>
      <c r="S793">
        <f t="shared" si="37"/>
        <v>41</v>
      </c>
      <c r="T793" s="5" t="str">
        <f t="shared" si="38"/>
        <v>41</v>
      </c>
    </row>
    <row r="794" spans="15:20">
      <c r="O794" s="3">
        <v>121</v>
      </c>
      <c r="P794" s="3">
        <v>320</v>
      </c>
      <c r="Q794" s="3">
        <v>260</v>
      </c>
      <c r="R794" s="7">
        <f t="shared" si="36"/>
        <v>0.37812499999999999</v>
      </c>
      <c r="S794">
        <f t="shared" si="37"/>
        <v>60</v>
      </c>
      <c r="T794" s="5" t="str">
        <f t="shared" si="38"/>
        <v>60</v>
      </c>
    </row>
    <row r="795" spans="15:20">
      <c r="O795" s="5">
        <v>66</v>
      </c>
      <c r="P795" s="5">
        <v>185</v>
      </c>
      <c r="Q795" s="5">
        <v>150</v>
      </c>
      <c r="R795" s="7">
        <f t="shared" si="36"/>
        <v>0.35675675675675678</v>
      </c>
      <c r="S795">
        <f t="shared" si="37"/>
        <v>35</v>
      </c>
      <c r="T795" s="5" t="str">
        <f t="shared" si="38"/>
        <v>35</v>
      </c>
    </row>
    <row r="796" spans="15:20">
      <c r="O796" s="3">
        <v>-1</v>
      </c>
      <c r="P796" s="3">
        <v>24</v>
      </c>
      <c r="Q796" s="3">
        <v>20</v>
      </c>
      <c r="R796" s="7">
        <f t="shared" si="36"/>
        <v>-4.1666666666666664E-2</v>
      </c>
      <c r="S796">
        <f t="shared" si="37"/>
        <v>4</v>
      </c>
      <c r="T796" s="5" t="str">
        <f t="shared" si="38"/>
        <v>4</v>
      </c>
    </row>
    <row r="797" spans="15:20">
      <c r="O797" s="5">
        <v>57</v>
      </c>
      <c r="P797" s="5">
        <v>195</v>
      </c>
      <c r="Q797" s="5">
        <v>190</v>
      </c>
      <c r="R797" s="7">
        <f t="shared" si="36"/>
        <v>0.29230769230769232</v>
      </c>
      <c r="S797">
        <f t="shared" si="37"/>
        <v>5</v>
      </c>
      <c r="T797" s="5" t="str">
        <f t="shared" si="38"/>
        <v>5</v>
      </c>
    </row>
    <row r="798" spans="15:20">
      <c r="O798" s="3">
        <v>26</v>
      </c>
      <c r="P798" s="3">
        <v>153</v>
      </c>
      <c r="Q798" s="3">
        <v>150</v>
      </c>
      <c r="R798" s="7">
        <f t="shared" si="36"/>
        <v>0.16993464052287582</v>
      </c>
      <c r="S798">
        <f t="shared" si="37"/>
        <v>3</v>
      </c>
      <c r="T798" s="5" t="str">
        <f t="shared" si="38"/>
        <v>3</v>
      </c>
    </row>
    <row r="799" spans="15:20">
      <c r="O799" s="5">
        <v>20</v>
      </c>
      <c r="P799" s="5">
        <v>250</v>
      </c>
      <c r="Q799" s="5">
        <v>240</v>
      </c>
      <c r="R799" s="7">
        <f t="shared" si="36"/>
        <v>0.08</v>
      </c>
      <c r="S799">
        <f t="shared" si="37"/>
        <v>10</v>
      </c>
      <c r="T799" s="5" t="str">
        <f t="shared" si="38"/>
        <v>10</v>
      </c>
    </row>
    <row r="800" spans="15:20">
      <c r="O800" s="3">
        <v>48</v>
      </c>
      <c r="P800" s="3">
        <v>123</v>
      </c>
      <c r="Q800" s="3">
        <v>150</v>
      </c>
      <c r="R800" s="7">
        <f t="shared" si="36"/>
        <v>0.3902439024390244</v>
      </c>
      <c r="S800">
        <f t="shared" si="37"/>
        <v>-27</v>
      </c>
      <c r="T800" s="5" t="str">
        <f t="shared" si="38"/>
        <v>-27</v>
      </c>
    </row>
    <row r="801" spans="15:20">
      <c r="O801" s="5">
        <v>50</v>
      </c>
      <c r="P801" s="5">
        <v>176</v>
      </c>
      <c r="Q801" s="5">
        <v>220</v>
      </c>
      <c r="R801" s="7">
        <f t="shared" si="36"/>
        <v>0.28409090909090912</v>
      </c>
      <c r="S801">
        <f t="shared" si="37"/>
        <v>-44</v>
      </c>
      <c r="T801" s="5" t="str">
        <f t="shared" si="38"/>
        <v>-44</v>
      </c>
    </row>
    <row r="802" spans="15:20">
      <c r="O802" s="3">
        <v>216</v>
      </c>
      <c r="P802" s="3">
        <v>576</v>
      </c>
      <c r="Q802" s="3">
        <v>530</v>
      </c>
      <c r="R802" s="7">
        <f t="shared" si="36"/>
        <v>0.375</v>
      </c>
      <c r="S802">
        <f t="shared" si="37"/>
        <v>46</v>
      </c>
      <c r="T802" s="5" t="str">
        <f t="shared" si="38"/>
        <v>46</v>
      </c>
    </row>
    <row r="803" spans="15:20">
      <c r="O803" s="5">
        <v>123</v>
      </c>
      <c r="P803" s="5">
        <v>312</v>
      </c>
      <c r="Q803" s="5">
        <v>290</v>
      </c>
      <c r="R803" s="7">
        <f t="shared" si="36"/>
        <v>0.39423076923076922</v>
      </c>
      <c r="S803">
        <f t="shared" si="37"/>
        <v>22</v>
      </c>
      <c r="T803" s="5" t="str">
        <f t="shared" si="38"/>
        <v>22</v>
      </c>
    </row>
    <row r="804" spans="15:20">
      <c r="O804" s="3">
        <v>156</v>
      </c>
      <c r="P804" s="3">
        <v>501</v>
      </c>
      <c r="Q804" s="3">
        <v>410</v>
      </c>
      <c r="R804" s="7">
        <f t="shared" si="36"/>
        <v>0.31137724550898205</v>
      </c>
      <c r="S804">
        <f t="shared" si="37"/>
        <v>91</v>
      </c>
      <c r="T804" s="5" t="str">
        <f t="shared" si="38"/>
        <v>91</v>
      </c>
    </row>
    <row r="805" spans="15:20">
      <c r="O805" s="5">
        <v>216</v>
      </c>
      <c r="P805" s="5">
        <v>654</v>
      </c>
      <c r="Q805" s="5">
        <v>540</v>
      </c>
      <c r="R805" s="7">
        <f t="shared" si="36"/>
        <v>0.33027522935779818</v>
      </c>
      <c r="S805">
        <f t="shared" si="37"/>
        <v>114</v>
      </c>
      <c r="T805" s="5" t="str">
        <f t="shared" si="38"/>
        <v>114</v>
      </c>
    </row>
    <row r="806" spans="15:20">
      <c r="O806" s="3">
        <v>-16</v>
      </c>
      <c r="P806" s="3">
        <v>45</v>
      </c>
      <c r="Q806" s="3">
        <v>30</v>
      </c>
      <c r="R806" s="7">
        <f t="shared" si="36"/>
        <v>-0.35555555555555557</v>
      </c>
      <c r="S806">
        <f t="shared" si="37"/>
        <v>15</v>
      </c>
      <c r="T806" s="5" t="str">
        <f t="shared" si="38"/>
        <v>15</v>
      </c>
    </row>
    <row r="807" spans="15:20">
      <c r="O807" s="5">
        <v>172</v>
      </c>
      <c r="P807" s="5">
        <v>282</v>
      </c>
      <c r="Q807" s="5">
        <v>260</v>
      </c>
      <c r="R807" s="7">
        <f t="shared" si="36"/>
        <v>0.60992907801418439</v>
      </c>
      <c r="S807">
        <f t="shared" si="37"/>
        <v>22</v>
      </c>
      <c r="T807" s="5" t="str">
        <f t="shared" si="38"/>
        <v>22</v>
      </c>
    </row>
    <row r="808" spans="15:20">
      <c r="O808" s="3">
        <v>171</v>
      </c>
      <c r="P808" s="3">
        <v>318</v>
      </c>
      <c r="Q808" s="3">
        <v>300</v>
      </c>
      <c r="R808" s="7">
        <f t="shared" si="36"/>
        <v>0.53773584905660377</v>
      </c>
      <c r="S808">
        <f t="shared" si="37"/>
        <v>18</v>
      </c>
      <c r="T808" s="5" t="str">
        <f t="shared" si="38"/>
        <v>18</v>
      </c>
    </row>
    <row r="809" spans="15:20">
      <c r="O809" s="5">
        <v>83</v>
      </c>
      <c r="P809" s="5">
        <v>194</v>
      </c>
      <c r="Q809" s="5">
        <v>260</v>
      </c>
      <c r="R809" s="7">
        <f t="shared" si="36"/>
        <v>0.42783505154639173</v>
      </c>
      <c r="S809">
        <f t="shared" si="37"/>
        <v>-66</v>
      </c>
      <c r="T809" s="5" t="str">
        <f t="shared" si="38"/>
        <v>-66</v>
      </c>
    </row>
    <row r="810" spans="15:20">
      <c r="O810" s="3">
        <v>221</v>
      </c>
      <c r="P810" s="3">
        <v>509</v>
      </c>
      <c r="Q810" s="3">
        <v>710</v>
      </c>
      <c r="R810" s="7">
        <f t="shared" si="36"/>
        <v>0.43418467583497056</v>
      </c>
      <c r="S810">
        <f t="shared" si="37"/>
        <v>-201</v>
      </c>
      <c r="T810" s="5" t="str">
        <f t="shared" si="38"/>
        <v>-201</v>
      </c>
    </row>
    <row r="811" spans="15:20">
      <c r="O811" s="5">
        <v>18</v>
      </c>
      <c r="P811" s="5">
        <v>128</v>
      </c>
      <c r="Q811" s="5">
        <v>170</v>
      </c>
      <c r="R811" s="7">
        <f t="shared" si="36"/>
        <v>0.140625</v>
      </c>
      <c r="S811">
        <f t="shared" si="37"/>
        <v>-42</v>
      </c>
      <c r="T811" s="5" t="str">
        <f t="shared" si="38"/>
        <v>-42</v>
      </c>
    </row>
    <row r="812" spans="15:20">
      <c r="O812" s="3">
        <v>197</v>
      </c>
      <c r="P812" s="3">
        <v>322</v>
      </c>
      <c r="Q812" s="3">
        <v>300</v>
      </c>
      <c r="R812" s="7">
        <f t="shared" si="36"/>
        <v>0.61180124223602483</v>
      </c>
      <c r="S812">
        <f t="shared" si="37"/>
        <v>22</v>
      </c>
      <c r="T812" s="5" t="str">
        <f t="shared" si="38"/>
        <v>22</v>
      </c>
    </row>
    <row r="813" spans="15:20">
      <c r="O813" s="5">
        <v>178</v>
      </c>
      <c r="P813" s="5">
        <v>391</v>
      </c>
      <c r="Q813" s="5">
        <v>370</v>
      </c>
      <c r="R813" s="7">
        <f t="shared" si="36"/>
        <v>0.45524296675191817</v>
      </c>
      <c r="S813">
        <f t="shared" si="37"/>
        <v>21</v>
      </c>
      <c r="T813" s="5" t="str">
        <f t="shared" si="38"/>
        <v>21</v>
      </c>
    </row>
    <row r="814" spans="15:20">
      <c r="O814" s="3">
        <v>117</v>
      </c>
      <c r="P814" s="3">
        <v>199</v>
      </c>
      <c r="Q814" s="3">
        <v>280</v>
      </c>
      <c r="R814" s="7">
        <f t="shared" si="36"/>
        <v>0.5879396984924623</v>
      </c>
      <c r="S814">
        <f t="shared" si="37"/>
        <v>-81</v>
      </c>
      <c r="T814" s="5" t="str">
        <f t="shared" si="38"/>
        <v>-81</v>
      </c>
    </row>
    <row r="815" spans="15:20">
      <c r="O815" s="5">
        <v>332</v>
      </c>
      <c r="P815" s="5">
        <v>637</v>
      </c>
      <c r="Q815" s="5">
        <v>890</v>
      </c>
      <c r="R815" s="7">
        <f t="shared" si="36"/>
        <v>0.52119309262166402</v>
      </c>
      <c r="S815">
        <f t="shared" si="37"/>
        <v>-253</v>
      </c>
      <c r="T815" s="5" t="str">
        <f t="shared" si="38"/>
        <v>-253</v>
      </c>
    </row>
    <row r="816" spans="15:20">
      <c r="O816" s="3">
        <v>137</v>
      </c>
      <c r="P816" s="3">
        <v>343</v>
      </c>
      <c r="Q816" s="3">
        <v>470</v>
      </c>
      <c r="R816" s="7">
        <f t="shared" si="36"/>
        <v>0.39941690962099125</v>
      </c>
      <c r="S816">
        <f t="shared" si="37"/>
        <v>-127</v>
      </c>
      <c r="T816" s="5" t="str">
        <f t="shared" si="38"/>
        <v>-127</v>
      </c>
    </row>
    <row r="817" spans="15:20">
      <c r="O817" s="5">
        <v>137</v>
      </c>
      <c r="P817" s="5">
        <v>343</v>
      </c>
      <c r="Q817" s="5">
        <v>260</v>
      </c>
      <c r="R817" s="7">
        <f t="shared" si="36"/>
        <v>0.39941690962099125</v>
      </c>
      <c r="S817">
        <f t="shared" si="37"/>
        <v>83</v>
      </c>
      <c r="T817" s="5" t="str">
        <f t="shared" si="38"/>
        <v>83</v>
      </c>
    </row>
    <row r="818" spans="15:20">
      <c r="O818" s="3">
        <v>197</v>
      </c>
      <c r="P818" s="3">
        <v>322</v>
      </c>
      <c r="Q818" s="3">
        <v>240</v>
      </c>
      <c r="R818" s="7">
        <f t="shared" si="36"/>
        <v>0.61180124223602483</v>
      </c>
      <c r="S818">
        <f t="shared" si="37"/>
        <v>82</v>
      </c>
      <c r="T818" s="5" t="str">
        <f t="shared" si="38"/>
        <v>82</v>
      </c>
    </row>
    <row r="819" spans="15:20">
      <c r="O819" s="5">
        <v>172</v>
      </c>
      <c r="P819" s="5">
        <v>282</v>
      </c>
      <c r="Q819" s="5">
        <v>210</v>
      </c>
      <c r="R819" s="7">
        <f t="shared" si="36"/>
        <v>0.60992907801418439</v>
      </c>
      <c r="S819">
        <f t="shared" si="37"/>
        <v>72</v>
      </c>
      <c r="T819" s="5" t="str">
        <f t="shared" si="38"/>
        <v>72</v>
      </c>
    </row>
    <row r="820" spans="15:20">
      <c r="O820" s="3">
        <v>96</v>
      </c>
      <c r="P820" s="3">
        <v>218</v>
      </c>
      <c r="Q820" s="3">
        <v>140</v>
      </c>
      <c r="R820" s="7">
        <f t="shared" si="36"/>
        <v>0.44036697247706424</v>
      </c>
      <c r="S820">
        <f t="shared" si="37"/>
        <v>78</v>
      </c>
      <c r="T820" s="5" t="str">
        <f t="shared" si="38"/>
        <v>78</v>
      </c>
    </row>
    <row r="821" spans="15:20">
      <c r="O821" s="5">
        <v>113</v>
      </c>
      <c r="P821" s="5">
        <v>232</v>
      </c>
      <c r="Q821" s="5">
        <v>150</v>
      </c>
      <c r="R821" s="7">
        <f t="shared" si="36"/>
        <v>0.48706896551724138</v>
      </c>
      <c r="S821">
        <f t="shared" si="37"/>
        <v>82</v>
      </c>
      <c r="T821" s="5" t="str">
        <f t="shared" si="38"/>
        <v>82</v>
      </c>
    </row>
    <row r="822" spans="15:20">
      <c r="O822" s="3">
        <v>110</v>
      </c>
      <c r="P822" s="3">
        <v>218</v>
      </c>
      <c r="Q822" s="3">
        <v>140</v>
      </c>
      <c r="R822" s="7">
        <f t="shared" si="36"/>
        <v>0.50458715596330272</v>
      </c>
      <c r="S822">
        <f t="shared" si="37"/>
        <v>78</v>
      </c>
      <c r="T822" s="5" t="str">
        <f t="shared" si="38"/>
        <v>78</v>
      </c>
    </row>
    <row r="823" spans="15:20">
      <c r="O823" s="5">
        <v>-3</v>
      </c>
      <c r="P823" s="5">
        <v>25</v>
      </c>
      <c r="Q823" s="5">
        <v>10</v>
      </c>
      <c r="R823" s="7">
        <f t="shared" si="36"/>
        <v>-0.12</v>
      </c>
      <c r="S823">
        <f t="shared" si="37"/>
        <v>15</v>
      </c>
      <c r="T823" s="5" t="str">
        <f t="shared" si="38"/>
        <v>15</v>
      </c>
    </row>
    <row r="824" spans="15:20">
      <c r="O824" s="3">
        <v>91</v>
      </c>
      <c r="P824" s="3">
        <v>215</v>
      </c>
      <c r="Q824" s="3">
        <v>200</v>
      </c>
      <c r="R824" s="7">
        <f t="shared" si="36"/>
        <v>0.42325581395348838</v>
      </c>
      <c r="S824">
        <f t="shared" si="37"/>
        <v>15</v>
      </c>
      <c r="T824" s="5" t="str">
        <f t="shared" si="38"/>
        <v>15</v>
      </c>
    </row>
    <row r="825" spans="15:20">
      <c r="O825" s="5">
        <v>52</v>
      </c>
      <c r="P825" s="5">
        <v>189</v>
      </c>
      <c r="Q825" s="5">
        <v>170</v>
      </c>
      <c r="R825" s="7">
        <f t="shared" si="36"/>
        <v>0.27513227513227512</v>
      </c>
      <c r="S825">
        <f t="shared" si="37"/>
        <v>19</v>
      </c>
      <c r="T825" s="5" t="str">
        <f t="shared" si="38"/>
        <v>19</v>
      </c>
    </row>
    <row r="826" spans="15:20">
      <c r="O826" s="3">
        <v>27</v>
      </c>
      <c r="P826" s="3">
        <v>245</v>
      </c>
      <c r="Q826" s="3">
        <v>230</v>
      </c>
      <c r="R826" s="7">
        <f t="shared" si="36"/>
        <v>0.11020408163265306</v>
      </c>
      <c r="S826">
        <f t="shared" si="37"/>
        <v>15</v>
      </c>
      <c r="T826" s="5" t="str">
        <f t="shared" si="38"/>
        <v>15</v>
      </c>
    </row>
    <row r="827" spans="15:20">
      <c r="O827" s="5">
        <v>53</v>
      </c>
      <c r="P827" s="5">
        <v>106</v>
      </c>
      <c r="Q827" s="5">
        <v>140</v>
      </c>
      <c r="R827" s="7">
        <f t="shared" si="36"/>
        <v>0.5</v>
      </c>
      <c r="S827">
        <f t="shared" si="37"/>
        <v>-34</v>
      </c>
      <c r="T827" s="5" t="str">
        <f t="shared" si="38"/>
        <v>-34</v>
      </c>
    </row>
    <row r="828" spans="15:20">
      <c r="O828" s="3">
        <v>71</v>
      </c>
      <c r="P828" s="3">
        <v>185</v>
      </c>
      <c r="Q828" s="3">
        <v>250</v>
      </c>
      <c r="R828" s="7">
        <f t="shared" si="36"/>
        <v>0.38378378378378381</v>
      </c>
      <c r="S828">
        <f t="shared" si="37"/>
        <v>-65</v>
      </c>
      <c r="T828" s="5" t="str">
        <f t="shared" si="38"/>
        <v>-65</v>
      </c>
    </row>
    <row r="829" spans="15:20">
      <c r="O829" s="5">
        <v>332</v>
      </c>
      <c r="P829" s="5">
        <v>637</v>
      </c>
      <c r="Q829" s="5">
        <v>480</v>
      </c>
      <c r="R829" s="7">
        <f t="shared" si="36"/>
        <v>0.52119309262166402</v>
      </c>
      <c r="S829">
        <f t="shared" si="37"/>
        <v>157</v>
      </c>
      <c r="T829" s="5" t="str">
        <f t="shared" si="38"/>
        <v>157</v>
      </c>
    </row>
    <row r="830" spans="15:20">
      <c r="O830" s="3">
        <v>169</v>
      </c>
      <c r="P830" s="3">
        <v>318</v>
      </c>
      <c r="Q830" s="3">
        <v>240</v>
      </c>
      <c r="R830" s="7">
        <f t="shared" si="36"/>
        <v>0.53144654088050314</v>
      </c>
      <c r="S830">
        <f t="shared" si="37"/>
        <v>78</v>
      </c>
      <c r="T830" s="5" t="str">
        <f t="shared" si="38"/>
        <v>78</v>
      </c>
    </row>
    <row r="831" spans="15:20">
      <c r="O831" s="5">
        <v>-39</v>
      </c>
      <c r="P831" s="5">
        <v>116</v>
      </c>
      <c r="Q831" s="5">
        <v>80</v>
      </c>
      <c r="R831" s="7">
        <f t="shared" si="36"/>
        <v>-0.33620689655172414</v>
      </c>
      <c r="S831">
        <f t="shared" si="37"/>
        <v>36</v>
      </c>
      <c r="T831" s="5" t="str">
        <f t="shared" si="38"/>
        <v>36</v>
      </c>
    </row>
    <row r="832" spans="15:20">
      <c r="O832" s="3">
        <v>221</v>
      </c>
      <c r="P832" s="3">
        <v>509</v>
      </c>
      <c r="Q832" s="3">
        <v>340</v>
      </c>
      <c r="R832" s="7">
        <f t="shared" si="36"/>
        <v>0.43418467583497056</v>
      </c>
      <c r="S832">
        <f t="shared" si="37"/>
        <v>169</v>
      </c>
      <c r="T832" s="5" t="str">
        <f t="shared" si="38"/>
        <v>169</v>
      </c>
    </row>
    <row r="833" spans="15:20">
      <c r="O833" s="5">
        <v>272</v>
      </c>
      <c r="P833" s="5">
        <v>604</v>
      </c>
      <c r="Q833" s="5">
        <v>400</v>
      </c>
      <c r="R833" s="7">
        <f t="shared" si="36"/>
        <v>0.45033112582781459</v>
      </c>
      <c r="S833">
        <f t="shared" si="37"/>
        <v>204</v>
      </c>
      <c r="T833" s="5" t="str">
        <f t="shared" si="38"/>
        <v>204</v>
      </c>
    </row>
    <row r="834" spans="15:20">
      <c r="O834" s="3">
        <v>-16</v>
      </c>
      <c r="P834" s="3">
        <v>60</v>
      </c>
      <c r="Q834" s="3">
        <v>30</v>
      </c>
      <c r="R834" s="7">
        <f t="shared" ref="R834:R897" si="39">O834/P834</f>
        <v>-0.26666666666666666</v>
      </c>
      <c r="S834">
        <f t="shared" ref="S834:S897" si="40">P834-Q834</f>
        <v>30</v>
      </c>
      <c r="T834" s="5" t="str">
        <f t="shared" ref="T834:T897" si="41">TRIM(S:S)</f>
        <v>30</v>
      </c>
    </row>
    <row r="835" spans="15:20">
      <c r="O835" s="5">
        <v>125</v>
      </c>
      <c r="P835" s="5">
        <v>211</v>
      </c>
      <c r="Q835" s="5">
        <v>190</v>
      </c>
      <c r="R835" s="7">
        <f t="shared" si="39"/>
        <v>0.59241706161137442</v>
      </c>
      <c r="S835">
        <f t="shared" si="40"/>
        <v>21</v>
      </c>
      <c r="T835" s="5" t="str">
        <f t="shared" si="41"/>
        <v>21</v>
      </c>
    </row>
    <row r="836" spans="15:20">
      <c r="O836" s="3">
        <v>157</v>
      </c>
      <c r="P836" s="3">
        <v>296</v>
      </c>
      <c r="Q836" s="3">
        <v>270</v>
      </c>
      <c r="R836" s="7">
        <f t="shared" si="39"/>
        <v>0.53040540540540537</v>
      </c>
      <c r="S836">
        <f t="shared" si="40"/>
        <v>26</v>
      </c>
      <c r="T836" s="5" t="str">
        <f t="shared" si="41"/>
        <v>26</v>
      </c>
    </row>
    <row r="837" spans="15:20">
      <c r="O837" s="5">
        <v>86</v>
      </c>
      <c r="P837" s="5">
        <v>201</v>
      </c>
      <c r="Q837" s="5">
        <v>240</v>
      </c>
      <c r="R837" s="7">
        <f t="shared" si="39"/>
        <v>0.42786069651741293</v>
      </c>
      <c r="S837">
        <f t="shared" si="40"/>
        <v>-39</v>
      </c>
      <c r="T837" s="5" t="str">
        <f t="shared" si="41"/>
        <v>-39</v>
      </c>
    </row>
    <row r="838" spans="15:20">
      <c r="O838" s="3">
        <v>191</v>
      </c>
      <c r="P838" s="3">
        <v>451</v>
      </c>
      <c r="Q838" s="3">
        <v>540</v>
      </c>
      <c r="R838" s="7">
        <f t="shared" si="39"/>
        <v>0.42350332594235035</v>
      </c>
      <c r="S838">
        <f t="shared" si="40"/>
        <v>-89</v>
      </c>
      <c r="T838" s="5" t="str">
        <f t="shared" si="41"/>
        <v>-89</v>
      </c>
    </row>
    <row r="839" spans="15:20">
      <c r="O839" s="5">
        <v>190</v>
      </c>
      <c r="P839" s="5">
        <v>309</v>
      </c>
      <c r="Q839" s="5">
        <v>280</v>
      </c>
      <c r="R839" s="7">
        <f t="shared" si="39"/>
        <v>0.61488673139158578</v>
      </c>
      <c r="S839">
        <f t="shared" si="40"/>
        <v>29</v>
      </c>
      <c r="T839" s="5" t="str">
        <f t="shared" si="41"/>
        <v>29</v>
      </c>
    </row>
    <row r="840" spans="15:20">
      <c r="O840" s="3">
        <v>206</v>
      </c>
      <c r="P840" s="3">
        <v>439</v>
      </c>
      <c r="Q840" s="3">
        <v>400</v>
      </c>
      <c r="R840" s="7">
        <f t="shared" si="39"/>
        <v>0.46924829157175396</v>
      </c>
      <c r="S840">
        <f t="shared" si="40"/>
        <v>39</v>
      </c>
      <c r="T840" s="5" t="str">
        <f t="shared" si="41"/>
        <v>39</v>
      </c>
    </row>
    <row r="841" spans="15:20">
      <c r="O841" s="5">
        <v>71</v>
      </c>
      <c r="P841" s="5">
        <v>131</v>
      </c>
      <c r="Q841" s="5">
        <v>150</v>
      </c>
      <c r="R841" s="7">
        <f t="shared" si="39"/>
        <v>0.5419847328244275</v>
      </c>
      <c r="S841">
        <f t="shared" si="40"/>
        <v>-19</v>
      </c>
      <c r="T841" s="5" t="str">
        <f t="shared" si="41"/>
        <v>-19</v>
      </c>
    </row>
    <row r="842" spans="15:20">
      <c r="O842" s="3">
        <v>291</v>
      </c>
      <c r="P842" s="3">
        <v>567</v>
      </c>
      <c r="Q842" s="3">
        <v>680</v>
      </c>
      <c r="R842" s="7">
        <f t="shared" si="39"/>
        <v>0.51322751322751325</v>
      </c>
      <c r="S842">
        <f t="shared" si="40"/>
        <v>-113</v>
      </c>
      <c r="T842" s="5" t="str">
        <f t="shared" si="41"/>
        <v>-113</v>
      </c>
    </row>
    <row r="843" spans="15:20">
      <c r="O843" s="5">
        <v>159</v>
      </c>
      <c r="P843" s="5">
        <v>387</v>
      </c>
      <c r="Q843" s="5">
        <v>460</v>
      </c>
      <c r="R843" s="7">
        <f t="shared" si="39"/>
        <v>0.41085271317829458</v>
      </c>
      <c r="S843">
        <f t="shared" si="40"/>
        <v>-73</v>
      </c>
      <c r="T843" s="5" t="str">
        <f t="shared" si="41"/>
        <v>-73</v>
      </c>
    </row>
    <row r="844" spans="15:20">
      <c r="O844" s="3">
        <v>159</v>
      </c>
      <c r="P844" s="3">
        <v>387</v>
      </c>
      <c r="Q844" s="3">
        <v>330</v>
      </c>
      <c r="R844" s="7">
        <f t="shared" si="39"/>
        <v>0.41085271317829458</v>
      </c>
      <c r="S844">
        <f t="shared" si="40"/>
        <v>57</v>
      </c>
      <c r="T844" s="5" t="str">
        <f t="shared" si="41"/>
        <v>57</v>
      </c>
    </row>
    <row r="845" spans="15:20">
      <c r="O845" s="5">
        <v>188</v>
      </c>
      <c r="P845" s="5">
        <v>309</v>
      </c>
      <c r="Q845" s="5">
        <v>260</v>
      </c>
      <c r="R845" s="7">
        <f t="shared" si="39"/>
        <v>0.60841423948220064</v>
      </c>
      <c r="S845">
        <f t="shared" si="40"/>
        <v>49</v>
      </c>
      <c r="T845" s="5" t="str">
        <f t="shared" si="41"/>
        <v>49</v>
      </c>
    </row>
    <row r="846" spans="15:20">
      <c r="O846" s="3">
        <v>125</v>
      </c>
      <c r="P846" s="3">
        <v>211</v>
      </c>
      <c r="Q846" s="3">
        <v>180</v>
      </c>
      <c r="R846" s="7">
        <f t="shared" si="39"/>
        <v>0.59241706161137442</v>
      </c>
      <c r="S846">
        <f t="shared" si="40"/>
        <v>31</v>
      </c>
      <c r="T846" s="5" t="str">
        <f t="shared" si="41"/>
        <v>31</v>
      </c>
    </row>
    <row r="847" spans="15:20">
      <c r="O847" s="5">
        <v>92</v>
      </c>
      <c r="P847" s="5">
        <v>210</v>
      </c>
      <c r="Q847" s="5">
        <v>160</v>
      </c>
      <c r="R847" s="7">
        <f t="shared" si="39"/>
        <v>0.43809523809523809</v>
      </c>
      <c r="S847">
        <f t="shared" si="40"/>
        <v>50</v>
      </c>
      <c r="T847" s="5" t="str">
        <f t="shared" si="41"/>
        <v>50</v>
      </c>
    </row>
    <row r="848" spans="15:20">
      <c r="O848" s="3">
        <v>88</v>
      </c>
      <c r="P848" s="3">
        <v>201</v>
      </c>
      <c r="Q848" s="3">
        <v>150</v>
      </c>
      <c r="R848" s="7">
        <f t="shared" si="39"/>
        <v>0.43781094527363185</v>
      </c>
      <c r="S848">
        <f t="shared" si="40"/>
        <v>51</v>
      </c>
      <c r="T848" s="5" t="str">
        <f t="shared" si="41"/>
        <v>51</v>
      </c>
    </row>
    <row r="849" spans="15:20">
      <c r="O849" s="5">
        <v>132</v>
      </c>
      <c r="P849" s="5">
        <v>261</v>
      </c>
      <c r="Q849" s="5">
        <v>200</v>
      </c>
      <c r="R849" s="7">
        <f t="shared" si="39"/>
        <v>0.50574712643678166</v>
      </c>
      <c r="S849">
        <f t="shared" si="40"/>
        <v>61</v>
      </c>
      <c r="T849" s="5" t="str">
        <f t="shared" si="41"/>
        <v>61</v>
      </c>
    </row>
    <row r="850" spans="15:20">
      <c r="O850" s="3">
        <v>104</v>
      </c>
      <c r="P850" s="3">
        <v>213</v>
      </c>
      <c r="Q850" s="3">
        <v>160</v>
      </c>
      <c r="R850" s="7">
        <f t="shared" si="39"/>
        <v>0.48826291079812206</v>
      </c>
      <c r="S850">
        <f t="shared" si="40"/>
        <v>53</v>
      </c>
      <c r="T850" s="5" t="str">
        <f t="shared" si="41"/>
        <v>53</v>
      </c>
    </row>
    <row r="851" spans="15:20">
      <c r="O851" s="5">
        <v>-4</v>
      </c>
      <c r="P851" s="5">
        <v>25</v>
      </c>
      <c r="Q851" s="5">
        <v>20</v>
      </c>
      <c r="R851" s="7">
        <f t="shared" si="39"/>
        <v>-0.16</v>
      </c>
      <c r="S851">
        <f t="shared" si="40"/>
        <v>5</v>
      </c>
      <c r="T851" s="5" t="str">
        <f t="shared" si="41"/>
        <v>5</v>
      </c>
    </row>
    <row r="852" spans="15:20">
      <c r="O852" s="3">
        <v>76</v>
      </c>
      <c r="P852" s="3">
        <v>192</v>
      </c>
      <c r="Q852" s="3">
        <v>170</v>
      </c>
      <c r="R852" s="7">
        <f t="shared" si="39"/>
        <v>0.39583333333333331</v>
      </c>
      <c r="S852">
        <f t="shared" si="40"/>
        <v>22</v>
      </c>
      <c r="T852" s="5" t="str">
        <f t="shared" si="41"/>
        <v>22</v>
      </c>
    </row>
    <row r="853" spans="15:20">
      <c r="O853" s="5">
        <v>12</v>
      </c>
      <c r="P853" s="5">
        <v>42</v>
      </c>
      <c r="Q853" s="5">
        <v>30</v>
      </c>
      <c r="R853" s="7">
        <f t="shared" si="39"/>
        <v>0.2857142857142857</v>
      </c>
      <c r="S853">
        <f t="shared" si="40"/>
        <v>12</v>
      </c>
      <c r="T853" s="5" t="str">
        <f t="shared" si="41"/>
        <v>12</v>
      </c>
    </row>
    <row r="854" spans="15:20">
      <c r="O854" s="3">
        <v>56</v>
      </c>
      <c r="P854" s="3">
        <v>196</v>
      </c>
      <c r="Q854" s="3">
        <v>180</v>
      </c>
      <c r="R854" s="7">
        <f t="shared" si="39"/>
        <v>0.2857142857142857</v>
      </c>
      <c r="S854">
        <f t="shared" si="40"/>
        <v>16</v>
      </c>
      <c r="T854" s="5" t="str">
        <f t="shared" si="41"/>
        <v>16</v>
      </c>
    </row>
    <row r="855" spans="15:20">
      <c r="O855" s="5">
        <v>24</v>
      </c>
      <c r="P855" s="5">
        <v>239</v>
      </c>
      <c r="Q855" s="5">
        <v>220</v>
      </c>
      <c r="R855" s="7">
        <f t="shared" si="39"/>
        <v>0.100418410041841</v>
      </c>
      <c r="S855">
        <f t="shared" si="40"/>
        <v>19</v>
      </c>
      <c r="T855" s="5" t="str">
        <f t="shared" si="41"/>
        <v>19</v>
      </c>
    </row>
    <row r="856" spans="15:20">
      <c r="O856" s="3">
        <v>76</v>
      </c>
      <c r="P856" s="3">
        <v>141</v>
      </c>
      <c r="Q856" s="3">
        <v>160</v>
      </c>
      <c r="R856" s="7">
        <f t="shared" si="39"/>
        <v>0.53900709219858156</v>
      </c>
      <c r="S856">
        <f t="shared" si="40"/>
        <v>-19</v>
      </c>
      <c r="T856" s="5" t="str">
        <f t="shared" si="41"/>
        <v>-19</v>
      </c>
    </row>
    <row r="857" spans="15:20">
      <c r="O857" s="5">
        <v>67</v>
      </c>
      <c r="P857" s="5">
        <v>175</v>
      </c>
      <c r="Q857" s="5">
        <v>200</v>
      </c>
      <c r="R857" s="7">
        <f t="shared" si="39"/>
        <v>0.38285714285714284</v>
      </c>
      <c r="S857">
        <f t="shared" si="40"/>
        <v>-25</v>
      </c>
      <c r="T857" s="5" t="str">
        <f t="shared" si="41"/>
        <v>-25</v>
      </c>
    </row>
    <row r="858" spans="15:20">
      <c r="O858" s="3">
        <v>291</v>
      </c>
      <c r="P858" s="3">
        <v>567</v>
      </c>
      <c r="Q858" s="3">
        <v>490</v>
      </c>
      <c r="R858" s="7">
        <f t="shared" si="39"/>
        <v>0.51322751322751325</v>
      </c>
      <c r="S858">
        <f t="shared" si="40"/>
        <v>77</v>
      </c>
      <c r="T858" s="5" t="str">
        <f t="shared" si="41"/>
        <v>77</v>
      </c>
    </row>
    <row r="859" spans="15:20">
      <c r="O859" s="5">
        <v>159</v>
      </c>
      <c r="P859" s="5">
        <v>296</v>
      </c>
      <c r="Q859" s="5">
        <v>250</v>
      </c>
      <c r="R859" s="7">
        <f t="shared" si="39"/>
        <v>0.53716216216216217</v>
      </c>
      <c r="S859">
        <f t="shared" si="40"/>
        <v>46</v>
      </c>
      <c r="T859" s="5" t="str">
        <f t="shared" si="41"/>
        <v>46</v>
      </c>
    </row>
    <row r="860" spans="15:20">
      <c r="O860" s="3">
        <v>191</v>
      </c>
      <c r="P860" s="3">
        <v>451</v>
      </c>
      <c r="Q860" s="3">
        <v>350</v>
      </c>
      <c r="R860" s="7">
        <f t="shared" si="39"/>
        <v>0.42350332594235035</v>
      </c>
      <c r="S860">
        <f t="shared" si="40"/>
        <v>101</v>
      </c>
      <c r="T860" s="5" t="str">
        <f t="shared" si="41"/>
        <v>101</v>
      </c>
    </row>
    <row r="861" spans="15:20">
      <c r="O861" s="5">
        <v>257</v>
      </c>
      <c r="P861" s="5">
        <v>581</v>
      </c>
      <c r="Q861" s="5">
        <v>450</v>
      </c>
      <c r="R861" s="7">
        <f t="shared" si="39"/>
        <v>0.44234079173838209</v>
      </c>
      <c r="S861">
        <f t="shared" si="40"/>
        <v>131</v>
      </c>
      <c r="T861" s="5" t="str">
        <f t="shared" si="41"/>
        <v>131</v>
      </c>
    </row>
    <row r="862" spans="15:20">
      <c r="O862" s="3">
        <v>131</v>
      </c>
      <c r="P862" s="3">
        <v>224</v>
      </c>
      <c r="Q862" s="3">
        <v>200</v>
      </c>
      <c r="R862" s="7">
        <f t="shared" si="39"/>
        <v>0.5848214285714286</v>
      </c>
      <c r="S862">
        <f t="shared" si="40"/>
        <v>24</v>
      </c>
      <c r="T862" s="5" t="str">
        <f t="shared" si="41"/>
        <v>24</v>
      </c>
    </row>
    <row r="863" spans="15:20">
      <c r="O863" s="5">
        <v>181</v>
      </c>
      <c r="P863" s="5">
        <v>332</v>
      </c>
      <c r="Q863" s="5">
        <v>300</v>
      </c>
      <c r="R863" s="7">
        <f t="shared" si="39"/>
        <v>0.54518072289156627</v>
      </c>
      <c r="S863">
        <f t="shared" si="40"/>
        <v>32</v>
      </c>
      <c r="T863" s="5" t="str">
        <f t="shared" si="41"/>
        <v>32</v>
      </c>
    </row>
    <row r="864" spans="15:20">
      <c r="O864" s="3">
        <v>70</v>
      </c>
      <c r="P864" s="3">
        <v>179</v>
      </c>
      <c r="Q864" s="3">
        <v>210</v>
      </c>
      <c r="R864" s="7">
        <f t="shared" si="39"/>
        <v>0.39106145251396646</v>
      </c>
      <c r="S864">
        <f t="shared" si="40"/>
        <v>-31</v>
      </c>
      <c r="T864" s="5" t="str">
        <f t="shared" si="41"/>
        <v>-31</v>
      </c>
    </row>
    <row r="865" spans="15:20">
      <c r="O865" s="5">
        <v>233</v>
      </c>
      <c r="P865" s="5">
        <v>534</v>
      </c>
      <c r="Q865" s="5">
        <v>640</v>
      </c>
      <c r="R865" s="7">
        <f t="shared" si="39"/>
        <v>0.43632958801498128</v>
      </c>
      <c r="S865">
        <f t="shared" si="40"/>
        <v>-106</v>
      </c>
      <c r="T865" s="5" t="str">
        <f t="shared" si="41"/>
        <v>-106</v>
      </c>
    </row>
    <row r="866" spans="15:20">
      <c r="O866" s="3">
        <v>199</v>
      </c>
      <c r="P866" s="3">
        <v>322</v>
      </c>
      <c r="Q866" s="3">
        <v>290</v>
      </c>
      <c r="R866" s="7">
        <f t="shared" si="39"/>
        <v>0.61801242236024845</v>
      </c>
      <c r="S866">
        <f t="shared" si="40"/>
        <v>32</v>
      </c>
      <c r="T866" s="5" t="str">
        <f t="shared" si="41"/>
        <v>32</v>
      </c>
    </row>
    <row r="867" spans="15:20">
      <c r="O867" s="5">
        <v>288</v>
      </c>
      <c r="P867" s="5">
        <v>569</v>
      </c>
      <c r="Q867" s="5">
        <v>520</v>
      </c>
      <c r="R867" s="7">
        <f t="shared" si="39"/>
        <v>0.5061511423550088</v>
      </c>
      <c r="S867">
        <f t="shared" si="40"/>
        <v>49</v>
      </c>
      <c r="T867" s="5" t="str">
        <f t="shared" si="41"/>
        <v>49</v>
      </c>
    </row>
    <row r="868" spans="15:20">
      <c r="O868" s="3">
        <v>79</v>
      </c>
      <c r="P868" s="3">
        <v>142</v>
      </c>
      <c r="Q868" s="3">
        <v>170</v>
      </c>
      <c r="R868" s="7">
        <f t="shared" si="39"/>
        <v>0.55633802816901412</v>
      </c>
      <c r="S868">
        <f t="shared" si="40"/>
        <v>-28</v>
      </c>
      <c r="T868" s="5" t="str">
        <f t="shared" si="41"/>
        <v>-28</v>
      </c>
    </row>
    <row r="869" spans="15:20">
      <c r="O869" s="5">
        <v>321</v>
      </c>
      <c r="P869" s="5">
        <v>614</v>
      </c>
      <c r="Q869" s="5">
        <v>730</v>
      </c>
      <c r="R869" s="7">
        <f t="shared" si="39"/>
        <v>0.5228013029315961</v>
      </c>
      <c r="S869">
        <f t="shared" si="40"/>
        <v>-116</v>
      </c>
      <c r="T869" s="5" t="str">
        <f t="shared" si="41"/>
        <v>-116</v>
      </c>
    </row>
    <row r="870" spans="15:20">
      <c r="O870" s="3">
        <v>129</v>
      </c>
      <c r="P870" s="3">
        <v>326</v>
      </c>
      <c r="Q870" s="3">
        <v>390</v>
      </c>
      <c r="R870" s="7">
        <f t="shared" si="39"/>
        <v>0.39570552147239263</v>
      </c>
      <c r="S870">
        <f t="shared" si="40"/>
        <v>-64</v>
      </c>
      <c r="T870" s="5" t="str">
        <f t="shared" si="41"/>
        <v>-64</v>
      </c>
    </row>
    <row r="871" spans="15:20">
      <c r="O871" s="5">
        <v>129</v>
      </c>
      <c r="P871" s="5">
        <v>326</v>
      </c>
      <c r="Q871" s="5">
        <v>280</v>
      </c>
      <c r="R871" s="7">
        <f t="shared" si="39"/>
        <v>0.39570552147239263</v>
      </c>
      <c r="S871">
        <f t="shared" si="40"/>
        <v>46</v>
      </c>
      <c r="T871" s="5" t="str">
        <f t="shared" si="41"/>
        <v>46</v>
      </c>
    </row>
    <row r="872" spans="15:20">
      <c r="O872" s="3">
        <v>197</v>
      </c>
      <c r="P872" s="3">
        <v>322</v>
      </c>
      <c r="Q872" s="3">
        <v>280</v>
      </c>
      <c r="R872" s="7">
        <f t="shared" si="39"/>
        <v>0.61180124223602483</v>
      </c>
      <c r="S872">
        <f t="shared" si="40"/>
        <v>42</v>
      </c>
      <c r="T872" s="5" t="str">
        <f t="shared" si="41"/>
        <v>42</v>
      </c>
    </row>
    <row r="873" spans="15:20">
      <c r="O873" s="5">
        <v>131</v>
      </c>
      <c r="P873" s="5">
        <v>224</v>
      </c>
      <c r="Q873" s="5">
        <v>190</v>
      </c>
      <c r="R873" s="7">
        <f t="shared" si="39"/>
        <v>0.5848214285714286</v>
      </c>
      <c r="S873">
        <f t="shared" si="40"/>
        <v>34</v>
      </c>
      <c r="T873" s="5" t="str">
        <f t="shared" si="41"/>
        <v>34</v>
      </c>
    </row>
    <row r="874" spans="15:20">
      <c r="O874" s="3">
        <v>107</v>
      </c>
      <c r="P874" s="3">
        <v>236</v>
      </c>
      <c r="Q874" s="3">
        <v>180</v>
      </c>
      <c r="R874" s="7">
        <f t="shared" si="39"/>
        <v>0.45338983050847459</v>
      </c>
      <c r="S874">
        <f t="shared" si="40"/>
        <v>56</v>
      </c>
      <c r="T874" s="5" t="str">
        <f t="shared" si="41"/>
        <v>56</v>
      </c>
    </row>
    <row r="875" spans="15:20">
      <c r="O875" s="5">
        <v>180</v>
      </c>
      <c r="P875" s="5">
        <v>341</v>
      </c>
      <c r="Q875" s="5">
        <v>260</v>
      </c>
      <c r="R875" s="7">
        <f t="shared" si="39"/>
        <v>0.52785923753665687</v>
      </c>
      <c r="S875">
        <f t="shared" si="40"/>
        <v>81</v>
      </c>
      <c r="T875" s="5" t="str">
        <f t="shared" si="41"/>
        <v>81</v>
      </c>
    </row>
    <row r="876" spans="15:20">
      <c r="O876" s="3">
        <v>98</v>
      </c>
      <c r="P876" s="3">
        <v>197</v>
      </c>
      <c r="Q876" s="3">
        <v>150</v>
      </c>
      <c r="R876" s="7">
        <f t="shared" si="39"/>
        <v>0.49746192893401014</v>
      </c>
      <c r="S876">
        <f t="shared" si="40"/>
        <v>47</v>
      </c>
      <c r="T876" s="5" t="str">
        <f t="shared" si="41"/>
        <v>47</v>
      </c>
    </row>
    <row r="877" spans="15:20">
      <c r="O877" s="5">
        <v>-1</v>
      </c>
      <c r="P877" s="5">
        <v>26</v>
      </c>
      <c r="Q877" s="5">
        <v>20</v>
      </c>
      <c r="R877" s="7">
        <f t="shared" si="39"/>
        <v>-3.8461538461538464E-2</v>
      </c>
      <c r="S877">
        <f t="shared" si="40"/>
        <v>6</v>
      </c>
      <c r="T877" s="5" t="str">
        <f t="shared" si="41"/>
        <v>6</v>
      </c>
    </row>
    <row r="878" spans="15:20">
      <c r="O878" s="3">
        <v>85</v>
      </c>
      <c r="P878" s="3">
        <v>208</v>
      </c>
      <c r="Q878" s="3">
        <v>190</v>
      </c>
      <c r="R878" s="7">
        <f t="shared" si="39"/>
        <v>0.40865384615384615</v>
      </c>
      <c r="S878">
        <f t="shared" si="40"/>
        <v>18</v>
      </c>
      <c r="T878" s="5" t="str">
        <f t="shared" si="41"/>
        <v>18</v>
      </c>
    </row>
    <row r="879" spans="15:20">
      <c r="O879" s="5">
        <v>39</v>
      </c>
      <c r="P879" s="5">
        <v>163</v>
      </c>
      <c r="Q879" s="5">
        <v>150</v>
      </c>
      <c r="R879" s="7">
        <f t="shared" si="39"/>
        <v>0.2392638036809816</v>
      </c>
      <c r="S879">
        <f t="shared" si="40"/>
        <v>13</v>
      </c>
      <c r="T879" s="5" t="str">
        <f t="shared" si="41"/>
        <v>13</v>
      </c>
    </row>
    <row r="880" spans="15:20">
      <c r="O880" s="3">
        <v>30</v>
      </c>
      <c r="P880" s="3">
        <v>266</v>
      </c>
      <c r="Q880" s="3">
        <v>240</v>
      </c>
      <c r="R880" s="7">
        <f t="shared" si="39"/>
        <v>0.11278195488721804</v>
      </c>
      <c r="S880">
        <f t="shared" si="40"/>
        <v>26</v>
      </c>
      <c r="T880" s="5" t="str">
        <f t="shared" si="41"/>
        <v>26</v>
      </c>
    </row>
    <row r="881" spans="15:20">
      <c r="O881" s="5">
        <v>71</v>
      </c>
      <c r="P881" s="5">
        <v>131</v>
      </c>
      <c r="Q881" s="5">
        <v>150</v>
      </c>
      <c r="R881" s="7">
        <f t="shared" si="39"/>
        <v>0.5419847328244275</v>
      </c>
      <c r="S881">
        <f t="shared" si="40"/>
        <v>-19</v>
      </c>
      <c r="T881" s="5" t="str">
        <f t="shared" si="41"/>
        <v>-19</v>
      </c>
    </row>
    <row r="882" spans="15:20">
      <c r="O882" s="3">
        <v>74</v>
      </c>
      <c r="P882" s="3">
        <v>188</v>
      </c>
      <c r="Q882" s="3">
        <v>220</v>
      </c>
      <c r="R882" s="7">
        <f t="shared" si="39"/>
        <v>0.39361702127659576</v>
      </c>
      <c r="S882">
        <f t="shared" si="40"/>
        <v>-32</v>
      </c>
      <c r="T882" s="5" t="str">
        <f t="shared" si="41"/>
        <v>-32</v>
      </c>
    </row>
    <row r="883" spans="15:20">
      <c r="O883" s="5">
        <v>321</v>
      </c>
      <c r="P883" s="5">
        <v>614</v>
      </c>
      <c r="Q883" s="5">
        <v>530</v>
      </c>
      <c r="R883" s="7">
        <f t="shared" si="39"/>
        <v>0.5228013029315961</v>
      </c>
      <c r="S883">
        <f t="shared" si="40"/>
        <v>84</v>
      </c>
      <c r="T883" s="5" t="str">
        <f t="shared" si="41"/>
        <v>84</v>
      </c>
    </row>
    <row r="884" spans="15:20">
      <c r="O884" s="3">
        <v>183</v>
      </c>
      <c r="P884" s="3">
        <v>332</v>
      </c>
      <c r="Q884" s="3">
        <v>290</v>
      </c>
      <c r="R884" s="7">
        <f t="shared" si="39"/>
        <v>0.5512048192771084</v>
      </c>
      <c r="S884">
        <f t="shared" si="40"/>
        <v>42</v>
      </c>
      <c r="T884" s="5" t="str">
        <f t="shared" si="41"/>
        <v>42</v>
      </c>
    </row>
    <row r="885" spans="15:20">
      <c r="O885" s="5">
        <v>232</v>
      </c>
      <c r="P885" s="5">
        <v>534</v>
      </c>
      <c r="Q885" s="5">
        <v>410</v>
      </c>
      <c r="R885" s="7">
        <f t="shared" si="39"/>
        <v>0.43445692883895132</v>
      </c>
      <c r="S885">
        <f t="shared" si="40"/>
        <v>124</v>
      </c>
      <c r="T885" s="5" t="str">
        <f t="shared" si="41"/>
        <v>124</v>
      </c>
    </row>
    <row r="886" spans="15:20">
      <c r="O886" s="3">
        <v>321</v>
      </c>
      <c r="P886" s="3">
        <v>697</v>
      </c>
      <c r="Q886" s="3">
        <v>540</v>
      </c>
      <c r="R886" s="7">
        <f t="shared" si="39"/>
        <v>0.46054519368723101</v>
      </c>
      <c r="S886">
        <f t="shared" si="40"/>
        <v>157</v>
      </c>
      <c r="T886" s="5" t="str">
        <f t="shared" si="41"/>
        <v>157</v>
      </c>
    </row>
    <row r="887" spans="15:20">
      <c r="O887" s="5">
        <v>-24</v>
      </c>
      <c r="P887" s="5">
        <v>48</v>
      </c>
      <c r="Q887" s="5">
        <v>30</v>
      </c>
      <c r="R887" s="7">
        <f t="shared" si="39"/>
        <v>-0.5</v>
      </c>
      <c r="S887">
        <f t="shared" si="40"/>
        <v>18</v>
      </c>
      <c r="T887" s="5" t="str">
        <f t="shared" si="41"/>
        <v>18</v>
      </c>
    </row>
    <row r="888" spans="15:20">
      <c r="O888" s="3">
        <v>-117</v>
      </c>
      <c r="P888" s="3">
        <v>130</v>
      </c>
      <c r="Q888" s="3">
        <v>190</v>
      </c>
      <c r="R888" s="7">
        <f t="shared" si="39"/>
        <v>-0.9</v>
      </c>
      <c r="S888">
        <f t="shared" si="40"/>
        <v>-60</v>
      </c>
      <c r="T888" s="5" t="str">
        <f t="shared" si="41"/>
        <v>-60</v>
      </c>
    </row>
    <row r="889" spans="15:20">
      <c r="O889" s="5">
        <v>225</v>
      </c>
      <c r="P889" s="5">
        <v>598</v>
      </c>
      <c r="Q889" s="5">
        <v>550</v>
      </c>
      <c r="R889" s="7">
        <f t="shared" si="39"/>
        <v>0.37625418060200672</v>
      </c>
      <c r="S889">
        <f t="shared" si="40"/>
        <v>48</v>
      </c>
      <c r="T889" s="5" t="str">
        <f t="shared" si="41"/>
        <v>48</v>
      </c>
    </row>
    <row r="890" spans="15:20">
      <c r="O890" s="3">
        <v>-74</v>
      </c>
      <c r="P890" s="3">
        <v>109</v>
      </c>
      <c r="Q890" s="3">
        <v>150</v>
      </c>
      <c r="R890" s="7">
        <f t="shared" si="39"/>
        <v>-0.67889908256880738</v>
      </c>
      <c r="S890">
        <f t="shared" si="40"/>
        <v>-41</v>
      </c>
      <c r="T890" s="5" t="str">
        <f t="shared" si="41"/>
        <v>-41</v>
      </c>
    </row>
    <row r="891" spans="15:20">
      <c r="O891" s="5">
        <v>247</v>
      </c>
      <c r="P891" s="5">
        <v>650</v>
      </c>
      <c r="Q891" s="5">
        <v>960</v>
      </c>
      <c r="R891" s="7">
        <f t="shared" si="39"/>
        <v>0.38</v>
      </c>
      <c r="S891">
        <f t="shared" si="40"/>
        <v>-310</v>
      </c>
      <c r="T891" s="5" t="str">
        <f t="shared" si="41"/>
        <v>-310</v>
      </c>
    </row>
    <row r="892" spans="15:20">
      <c r="O892" s="3">
        <v>149</v>
      </c>
      <c r="P892" s="3">
        <v>478</v>
      </c>
      <c r="Q892" s="3">
        <v>430</v>
      </c>
      <c r="R892" s="7">
        <f t="shared" si="39"/>
        <v>0.31171548117154813</v>
      </c>
      <c r="S892">
        <f t="shared" si="40"/>
        <v>48</v>
      </c>
      <c r="T892" s="5" t="str">
        <f t="shared" si="41"/>
        <v>48</v>
      </c>
    </row>
    <row r="893" spans="15:20">
      <c r="O893" s="5">
        <v>27</v>
      </c>
      <c r="P893" s="5">
        <v>298</v>
      </c>
      <c r="Q893" s="5">
        <v>270</v>
      </c>
      <c r="R893" s="7">
        <f t="shared" si="39"/>
        <v>9.0604026845637578E-2</v>
      </c>
      <c r="S893">
        <f t="shared" si="40"/>
        <v>28</v>
      </c>
      <c r="T893" s="5" t="str">
        <f t="shared" si="41"/>
        <v>28</v>
      </c>
    </row>
    <row r="894" spans="15:20">
      <c r="O894" s="3">
        <v>115</v>
      </c>
      <c r="P894" s="3">
        <v>265</v>
      </c>
      <c r="Q894" s="3">
        <v>210</v>
      </c>
      <c r="R894" s="7">
        <f t="shared" si="39"/>
        <v>0.43396226415094341</v>
      </c>
      <c r="S894">
        <f t="shared" si="40"/>
        <v>55</v>
      </c>
      <c r="T894" s="5" t="str">
        <f t="shared" si="41"/>
        <v>55</v>
      </c>
    </row>
    <row r="895" spans="15:20">
      <c r="O895" s="5">
        <v>186</v>
      </c>
      <c r="P895" s="5">
        <v>520</v>
      </c>
      <c r="Q895" s="5">
        <v>410</v>
      </c>
      <c r="R895" s="7">
        <f t="shared" si="39"/>
        <v>0.3576923076923077</v>
      </c>
      <c r="S895">
        <f t="shared" si="40"/>
        <v>110</v>
      </c>
      <c r="T895" s="5" t="str">
        <f t="shared" si="41"/>
        <v>110</v>
      </c>
    </row>
    <row r="896" spans="15:20">
      <c r="O896" s="3">
        <v>134</v>
      </c>
      <c r="P896" s="3">
        <v>302</v>
      </c>
      <c r="Q896" s="3">
        <v>140</v>
      </c>
      <c r="R896" s="7">
        <f t="shared" si="39"/>
        <v>0.44370860927152317</v>
      </c>
      <c r="S896">
        <f t="shared" si="40"/>
        <v>162</v>
      </c>
      <c r="T896" s="5" t="str">
        <f t="shared" si="41"/>
        <v>162</v>
      </c>
    </row>
    <row r="897" spans="15:20">
      <c r="O897" s="5">
        <v>29</v>
      </c>
      <c r="P897" s="5">
        <v>107</v>
      </c>
      <c r="Q897" s="5">
        <v>150</v>
      </c>
      <c r="R897" s="7">
        <f t="shared" si="39"/>
        <v>0.27102803738317754</v>
      </c>
      <c r="S897">
        <f t="shared" si="40"/>
        <v>-43</v>
      </c>
      <c r="T897" s="5" t="str">
        <f t="shared" si="41"/>
        <v>-43</v>
      </c>
    </row>
    <row r="898" spans="15:20">
      <c r="O898" s="3">
        <v>34</v>
      </c>
      <c r="P898" s="3">
        <v>177</v>
      </c>
      <c r="Q898" s="3">
        <v>260</v>
      </c>
      <c r="R898" s="7">
        <f t="shared" ref="R898:R961" si="42">O898/P898</f>
        <v>0.19209039548022599</v>
      </c>
      <c r="S898">
        <f t="shared" ref="S898:S961" si="43">P898-Q898</f>
        <v>-83</v>
      </c>
      <c r="T898" s="5" t="str">
        <f t="shared" ref="T898:T961" si="44">TRIM(S:S)</f>
        <v>-83</v>
      </c>
    </row>
    <row r="899" spans="15:20">
      <c r="O899" s="5">
        <v>17</v>
      </c>
      <c r="P899" s="5">
        <v>230</v>
      </c>
      <c r="Q899" s="5">
        <v>330</v>
      </c>
      <c r="R899" s="7">
        <f t="shared" si="42"/>
        <v>7.3913043478260873E-2</v>
      </c>
      <c r="S899">
        <f t="shared" si="43"/>
        <v>-100</v>
      </c>
      <c r="T899" s="5" t="str">
        <f t="shared" si="44"/>
        <v>-100</v>
      </c>
    </row>
    <row r="900" spans="15:20">
      <c r="O900" s="3">
        <v>91</v>
      </c>
      <c r="P900" s="3">
        <v>322</v>
      </c>
      <c r="Q900" s="3">
        <v>290</v>
      </c>
      <c r="R900" s="7">
        <f t="shared" si="42"/>
        <v>0.28260869565217389</v>
      </c>
      <c r="S900">
        <f t="shared" si="43"/>
        <v>32</v>
      </c>
      <c r="T900" s="5" t="str">
        <f t="shared" si="44"/>
        <v>32</v>
      </c>
    </row>
    <row r="901" spans="15:20">
      <c r="O901" s="5">
        <v>48</v>
      </c>
      <c r="P901" s="5">
        <v>174</v>
      </c>
      <c r="Q901" s="5">
        <v>150</v>
      </c>
      <c r="R901" s="7">
        <f t="shared" si="42"/>
        <v>0.27586206896551724</v>
      </c>
      <c r="S901">
        <f t="shared" si="43"/>
        <v>24</v>
      </c>
      <c r="T901" s="5" t="str">
        <f t="shared" si="44"/>
        <v>24</v>
      </c>
    </row>
    <row r="902" spans="15:20">
      <c r="O902" s="3">
        <v>-5</v>
      </c>
      <c r="P902" s="3">
        <v>122</v>
      </c>
      <c r="Q902" s="3">
        <v>170</v>
      </c>
      <c r="R902" s="7">
        <f t="shared" si="42"/>
        <v>-4.0983606557377046E-2</v>
      </c>
      <c r="S902">
        <f t="shared" si="43"/>
        <v>-48</v>
      </c>
      <c r="T902" s="5" t="str">
        <f t="shared" si="44"/>
        <v>-48</v>
      </c>
    </row>
    <row r="903" spans="15:20">
      <c r="O903" s="5">
        <v>36</v>
      </c>
      <c r="P903" s="5">
        <v>142</v>
      </c>
      <c r="Q903" s="5">
        <v>200</v>
      </c>
      <c r="R903" s="7">
        <f t="shared" si="42"/>
        <v>0.25352112676056338</v>
      </c>
      <c r="S903">
        <f t="shared" si="43"/>
        <v>-58</v>
      </c>
      <c r="T903" s="5" t="str">
        <f t="shared" si="44"/>
        <v>-58</v>
      </c>
    </row>
    <row r="904" spans="15:20">
      <c r="O904" s="3">
        <v>21</v>
      </c>
      <c r="P904" s="3">
        <v>144</v>
      </c>
      <c r="Q904" s="3">
        <v>210</v>
      </c>
      <c r="R904" s="7">
        <f t="shared" si="42"/>
        <v>0.14583333333333334</v>
      </c>
      <c r="S904">
        <f t="shared" si="43"/>
        <v>-66</v>
      </c>
      <c r="T904" s="5" t="str">
        <f t="shared" si="44"/>
        <v>-66</v>
      </c>
    </row>
    <row r="905" spans="15:20">
      <c r="O905" s="5">
        <v>22</v>
      </c>
      <c r="P905" s="5">
        <v>111</v>
      </c>
      <c r="Q905" s="5">
        <v>150</v>
      </c>
      <c r="R905" s="7">
        <f t="shared" si="42"/>
        <v>0.1981981981981982</v>
      </c>
      <c r="S905">
        <f t="shared" si="43"/>
        <v>-39</v>
      </c>
      <c r="T905" s="5" t="str">
        <f t="shared" si="44"/>
        <v>-39</v>
      </c>
    </row>
    <row r="906" spans="15:20">
      <c r="O906" s="3">
        <v>56</v>
      </c>
      <c r="P906" s="3">
        <v>167</v>
      </c>
      <c r="Q906" s="3">
        <v>230</v>
      </c>
      <c r="R906" s="7">
        <f t="shared" si="42"/>
        <v>0.33532934131736525</v>
      </c>
      <c r="S906">
        <f t="shared" si="43"/>
        <v>-63</v>
      </c>
      <c r="T906" s="5" t="str">
        <f t="shared" si="44"/>
        <v>-63</v>
      </c>
    </row>
    <row r="907" spans="15:20">
      <c r="O907" s="5">
        <v>10</v>
      </c>
      <c r="P907" s="5">
        <v>51</v>
      </c>
      <c r="Q907" s="5">
        <v>30</v>
      </c>
      <c r="R907" s="7">
        <f t="shared" si="42"/>
        <v>0.19607843137254902</v>
      </c>
      <c r="S907">
        <f t="shared" si="43"/>
        <v>21</v>
      </c>
      <c r="T907" s="5" t="str">
        <f t="shared" si="44"/>
        <v>21</v>
      </c>
    </row>
    <row r="908" spans="15:20">
      <c r="O908" s="3">
        <v>14</v>
      </c>
      <c r="P908" s="3">
        <v>52</v>
      </c>
      <c r="Q908" s="3">
        <v>30</v>
      </c>
      <c r="R908" s="7">
        <f t="shared" si="42"/>
        <v>0.26923076923076922</v>
      </c>
      <c r="S908">
        <f t="shared" si="43"/>
        <v>22</v>
      </c>
      <c r="T908" s="5" t="str">
        <f t="shared" si="44"/>
        <v>22</v>
      </c>
    </row>
    <row r="909" spans="15:20">
      <c r="O909" s="5">
        <v>87</v>
      </c>
      <c r="P909" s="5">
        <v>236</v>
      </c>
      <c r="Q909" s="5">
        <v>210</v>
      </c>
      <c r="R909" s="7">
        <f t="shared" si="42"/>
        <v>0.36864406779661019</v>
      </c>
      <c r="S909">
        <f t="shared" si="43"/>
        <v>26</v>
      </c>
      <c r="T909" s="5" t="str">
        <f t="shared" si="44"/>
        <v>26</v>
      </c>
    </row>
    <row r="910" spans="15:20">
      <c r="O910" s="3">
        <v>26</v>
      </c>
      <c r="P910" s="3">
        <v>298</v>
      </c>
      <c r="Q910" s="3">
        <v>240</v>
      </c>
      <c r="R910" s="7">
        <f t="shared" si="42"/>
        <v>8.7248322147651006E-2</v>
      </c>
      <c r="S910">
        <f t="shared" si="43"/>
        <v>58</v>
      </c>
      <c r="T910" s="5" t="str">
        <f t="shared" si="44"/>
        <v>58</v>
      </c>
    </row>
    <row r="911" spans="15:20">
      <c r="O911" s="5">
        <v>115</v>
      </c>
      <c r="P911" s="5">
        <v>313</v>
      </c>
      <c r="Q911" s="5">
        <v>250</v>
      </c>
      <c r="R911" s="7">
        <f t="shared" si="42"/>
        <v>0.36741214057507987</v>
      </c>
      <c r="S911">
        <f t="shared" si="43"/>
        <v>63</v>
      </c>
      <c r="T911" s="5" t="str">
        <f t="shared" si="44"/>
        <v>63</v>
      </c>
    </row>
    <row r="912" spans="15:20">
      <c r="O912" s="3">
        <v>120</v>
      </c>
      <c r="P912" s="3">
        <v>367</v>
      </c>
      <c r="Q912" s="3">
        <v>290</v>
      </c>
      <c r="R912" s="7">
        <f t="shared" si="42"/>
        <v>0.32697547683923706</v>
      </c>
      <c r="S912">
        <f t="shared" si="43"/>
        <v>77</v>
      </c>
      <c r="T912" s="5" t="str">
        <f t="shared" si="44"/>
        <v>77</v>
      </c>
    </row>
    <row r="913" spans="15:20">
      <c r="O913" s="5">
        <v>73</v>
      </c>
      <c r="P913" s="5">
        <v>205</v>
      </c>
      <c r="Q913" s="5">
        <v>160</v>
      </c>
      <c r="R913" s="7">
        <f t="shared" si="42"/>
        <v>0.35609756097560974</v>
      </c>
      <c r="S913">
        <f t="shared" si="43"/>
        <v>45</v>
      </c>
      <c r="T913" s="5" t="str">
        <f t="shared" si="44"/>
        <v>45</v>
      </c>
    </row>
    <row r="914" spans="15:20">
      <c r="O914" s="3">
        <v>114</v>
      </c>
      <c r="P914" s="3">
        <v>298</v>
      </c>
      <c r="Q914" s="3">
        <v>240</v>
      </c>
      <c r="R914" s="7">
        <f t="shared" si="42"/>
        <v>0.3825503355704698</v>
      </c>
      <c r="S914">
        <f t="shared" si="43"/>
        <v>58</v>
      </c>
      <c r="T914" s="5" t="str">
        <f t="shared" si="44"/>
        <v>58</v>
      </c>
    </row>
    <row r="915" spans="15:20">
      <c r="O915" s="5">
        <v>-27</v>
      </c>
      <c r="P915" s="5">
        <v>109</v>
      </c>
      <c r="Q915" s="5">
        <v>80</v>
      </c>
      <c r="R915" s="7">
        <f t="shared" si="42"/>
        <v>-0.24770642201834864</v>
      </c>
      <c r="S915">
        <f t="shared" si="43"/>
        <v>29</v>
      </c>
      <c r="T915" s="5" t="str">
        <f t="shared" si="44"/>
        <v>29</v>
      </c>
    </row>
    <row r="916" spans="15:20">
      <c r="O916" s="3">
        <v>224</v>
      </c>
      <c r="P916" s="3">
        <v>598</v>
      </c>
      <c r="Q916" s="3">
        <v>290</v>
      </c>
      <c r="R916" s="7">
        <f t="shared" si="42"/>
        <v>0.37458193979933108</v>
      </c>
      <c r="S916">
        <f t="shared" si="43"/>
        <v>308</v>
      </c>
      <c r="T916" s="5" t="str">
        <f t="shared" si="44"/>
        <v>308</v>
      </c>
    </row>
    <row r="917" spans="15:20">
      <c r="O917" s="5">
        <v>16</v>
      </c>
      <c r="P917" s="5">
        <v>53</v>
      </c>
      <c r="Q917" s="5">
        <v>20</v>
      </c>
      <c r="R917" s="7">
        <f t="shared" si="42"/>
        <v>0.30188679245283018</v>
      </c>
      <c r="S917">
        <f t="shared" si="43"/>
        <v>33</v>
      </c>
      <c r="T917" s="5" t="str">
        <f t="shared" si="44"/>
        <v>33</v>
      </c>
    </row>
    <row r="918" spans="15:20">
      <c r="O918" s="3">
        <v>149</v>
      </c>
      <c r="P918" s="3">
        <v>478</v>
      </c>
      <c r="Q918" s="3">
        <v>230</v>
      </c>
      <c r="R918" s="7">
        <f t="shared" si="42"/>
        <v>0.31171548117154813</v>
      </c>
      <c r="S918">
        <f t="shared" si="43"/>
        <v>248</v>
      </c>
      <c r="T918" s="5" t="str">
        <f t="shared" si="44"/>
        <v>248</v>
      </c>
    </row>
    <row r="919" spans="15:20">
      <c r="O919" s="5">
        <v>-363</v>
      </c>
      <c r="P919" s="5">
        <v>21</v>
      </c>
      <c r="Q919" s="5">
        <v>0</v>
      </c>
      <c r="R919" s="7">
        <f t="shared" si="42"/>
        <v>-17.285714285714285</v>
      </c>
      <c r="S919">
        <f t="shared" si="43"/>
        <v>21</v>
      </c>
      <c r="T919" s="5" t="str">
        <f t="shared" si="44"/>
        <v>21</v>
      </c>
    </row>
    <row r="920" spans="15:20">
      <c r="O920" s="3">
        <v>-12</v>
      </c>
      <c r="P920" s="3">
        <v>56</v>
      </c>
      <c r="Q920" s="3">
        <v>20</v>
      </c>
      <c r="R920" s="7">
        <f t="shared" si="42"/>
        <v>-0.21428571428571427</v>
      </c>
      <c r="S920">
        <f t="shared" si="43"/>
        <v>36</v>
      </c>
      <c r="T920" s="5" t="str">
        <f t="shared" si="44"/>
        <v>36</v>
      </c>
    </row>
    <row r="921" spans="15:20">
      <c r="O921" s="5">
        <v>-127</v>
      </c>
      <c r="P921" s="5">
        <v>146</v>
      </c>
      <c r="Q921" s="5">
        <v>170</v>
      </c>
      <c r="R921" s="7">
        <f t="shared" si="42"/>
        <v>-0.86986301369863017</v>
      </c>
      <c r="S921">
        <f t="shared" si="43"/>
        <v>-24</v>
      </c>
      <c r="T921" s="5" t="str">
        <f t="shared" si="44"/>
        <v>-24</v>
      </c>
    </row>
    <row r="922" spans="15:20">
      <c r="O922" s="3">
        <v>197</v>
      </c>
      <c r="P922" s="3">
        <v>532</v>
      </c>
      <c r="Q922" s="3">
        <v>510</v>
      </c>
      <c r="R922" s="7">
        <f t="shared" si="42"/>
        <v>0.37030075187969924</v>
      </c>
      <c r="S922">
        <f t="shared" si="43"/>
        <v>22</v>
      </c>
      <c r="T922" s="5" t="str">
        <f t="shared" si="44"/>
        <v>22</v>
      </c>
    </row>
    <row r="923" spans="15:20">
      <c r="O923" s="5">
        <v>-56</v>
      </c>
      <c r="P923" s="5">
        <v>116</v>
      </c>
      <c r="Q923" s="5">
        <v>130</v>
      </c>
      <c r="R923" s="7">
        <f t="shared" si="42"/>
        <v>-0.48275862068965519</v>
      </c>
      <c r="S923">
        <f t="shared" si="43"/>
        <v>-14</v>
      </c>
      <c r="T923" s="5" t="str">
        <f t="shared" si="44"/>
        <v>-14</v>
      </c>
    </row>
    <row r="924" spans="15:20">
      <c r="O924" s="3">
        <v>235</v>
      </c>
      <c r="P924" s="3">
        <v>623</v>
      </c>
      <c r="Q924" s="3">
        <v>740</v>
      </c>
      <c r="R924" s="7">
        <f t="shared" si="42"/>
        <v>0.37720706260032105</v>
      </c>
      <c r="S924">
        <f t="shared" si="43"/>
        <v>-117</v>
      </c>
      <c r="T924" s="5" t="str">
        <f t="shared" si="44"/>
        <v>-117</v>
      </c>
    </row>
    <row r="925" spans="15:20">
      <c r="O925" s="5">
        <v>129</v>
      </c>
      <c r="P925" s="5">
        <v>423</v>
      </c>
      <c r="Q925" s="5">
        <v>410</v>
      </c>
      <c r="R925" s="7">
        <f t="shared" si="42"/>
        <v>0.30496453900709219</v>
      </c>
      <c r="S925">
        <f t="shared" si="43"/>
        <v>13</v>
      </c>
      <c r="T925" s="5" t="str">
        <f t="shared" si="44"/>
        <v>13</v>
      </c>
    </row>
    <row r="926" spans="15:20">
      <c r="O926" s="3">
        <v>26</v>
      </c>
      <c r="P926" s="3">
        <v>289</v>
      </c>
      <c r="Q926" s="3">
        <v>280</v>
      </c>
      <c r="R926" s="7">
        <f t="shared" si="42"/>
        <v>8.9965397923875437E-2</v>
      </c>
      <c r="S926">
        <f t="shared" si="43"/>
        <v>9</v>
      </c>
      <c r="T926" s="5" t="str">
        <f t="shared" si="44"/>
        <v>9</v>
      </c>
    </row>
    <row r="927" spans="15:20">
      <c r="O927" s="5">
        <v>84</v>
      </c>
      <c r="P927" s="5">
        <v>198</v>
      </c>
      <c r="Q927" s="5">
        <v>180</v>
      </c>
      <c r="R927" s="7">
        <f t="shared" si="42"/>
        <v>0.42424242424242425</v>
      </c>
      <c r="S927">
        <f t="shared" si="43"/>
        <v>18</v>
      </c>
      <c r="T927" s="5" t="str">
        <f t="shared" si="44"/>
        <v>18</v>
      </c>
    </row>
    <row r="928" spans="15:20">
      <c r="O928" s="3">
        <v>174</v>
      </c>
      <c r="P928" s="3">
        <v>490</v>
      </c>
      <c r="Q928" s="3">
        <v>450</v>
      </c>
      <c r="R928" s="7">
        <f t="shared" si="42"/>
        <v>0.35510204081632651</v>
      </c>
      <c r="S928">
        <f t="shared" si="43"/>
        <v>40</v>
      </c>
      <c r="T928" s="5" t="str">
        <f t="shared" si="44"/>
        <v>40</v>
      </c>
    </row>
    <row r="929" spans="15:20">
      <c r="O929" s="5">
        <v>128</v>
      </c>
      <c r="P929" s="5">
        <v>290</v>
      </c>
      <c r="Q929" s="5">
        <v>210</v>
      </c>
      <c r="R929" s="7">
        <f t="shared" si="42"/>
        <v>0.44137931034482758</v>
      </c>
      <c r="S929">
        <f t="shared" si="43"/>
        <v>80</v>
      </c>
      <c r="T929" s="5" t="str">
        <f t="shared" si="44"/>
        <v>80</v>
      </c>
    </row>
    <row r="930" spans="15:20">
      <c r="O930" s="3">
        <v>38</v>
      </c>
      <c r="P930" s="3">
        <v>184</v>
      </c>
      <c r="Q930" s="3">
        <v>210</v>
      </c>
      <c r="R930" s="7">
        <f t="shared" si="42"/>
        <v>0.20652173913043478</v>
      </c>
      <c r="S930">
        <f t="shared" si="43"/>
        <v>-26</v>
      </c>
      <c r="T930" s="5" t="str">
        <f t="shared" si="44"/>
        <v>-26</v>
      </c>
    </row>
    <row r="931" spans="15:20">
      <c r="O931" s="5">
        <v>16</v>
      </c>
      <c r="P931" s="5">
        <v>224</v>
      </c>
      <c r="Q931" s="5">
        <v>260</v>
      </c>
      <c r="R931" s="7">
        <f t="shared" si="42"/>
        <v>7.1428571428571425E-2</v>
      </c>
      <c r="S931">
        <f t="shared" si="43"/>
        <v>-36</v>
      </c>
      <c r="T931" s="5" t="str">
        <f t="shared" si="44"/>
        <v>-36</v>
      </c>
    </row>
    <row r="932" spans="15:20">
      <c r="O932" s="3">
        <v>108</v>
      </c>
      <c r="P932" s="3">
        <v>363</v>
      </c>
      <c r="Q932" s="3">
        <v>350</v>
      </c>
      <c r="R932" s="7">
        <f t="shared" si="42"/>
        <v>0.2975206611570248</v>
      </c>
      <c r="S932">
        <f t="shared" si="43"/>
        <v>13</v>
      </c>
      <c r="T932" s="5" t="str">
        <f t="shared" si="44"/>
        <v>13</v>
      </c>
    </row>
    <row r="933" spans="15:20">
      <c r="O933" s="5">
        <v>39</v>
      </c>
      <c r="P933" s="5">
        <v>150</v>
      </c>
      <c r="Q933" s="5">
        <v>170</v>
      </c>
      <c r="R933" s="7">
        <f t="shared" si="42"/>
        <v>0.26</v>
      </c>
      <c r="S933">
        <f t="shared" si="43"/>
        <v>-20</v>
      </c>
      <c r="T933" s="5" t="str">
        <f t="shared" si="44"/>
        <v>-20</v>
      </c>
    </row>
    <row r="934" spans="15:20">
      <c r="O934" s="3">
        <v>14</v>
      </c>
      <c r="P934" s="3">
        <v>128</v>
      </c>
      <c r="Q934" s="3">
        <v>150</v>
      </c>
      <c r="R934" s="7">
        <f t="shared" si="42"/>
        <v>0.109375</v>
      </c>
      <c r="S934">
        <f t="shared" si="43"/>
        <v>-22</v>
      </c>
      <c r="T934" s="5" t="str">
        <f t="shared" si="44"/>
        <v>-22</v>
      </c>
    </row>
    <row r="935" spans="15:20">
      <c r="O935" s="5">
        <v>50</v>
      </c>
      <c r="P935" s="5">
        <v>156</v>
      </c>
      <c r="Q935" s="5">
        <v>180</v>
      </c>
      <c r="R935" s="7">
        <f t="shared" si="42"/>
        <v>0.32051282051282054</v>
      </c>
      <c r="S935">
        <f t="shared" si="43"/>
        <v>-24</v>
      </c>
      <c r="T935" s="5" t="str">
        <f t="shared" si="44"/>
        <v>-24</v>
      </c>
    </row>
    <row r="936" spans="15:20">
      <c r="O936" s="3">
        <v>9</v>
      </c>
      <c r="P936" s="3">
        <v>39</v>
      </c>
      <c r="Q936" s="3">
        <v>30</v>
      </c>
      <c r="R936" s="7">
        <f t="shared" si="42"/>
        <v>0.23076923076923078</v>
      </c>
      <c r="S936">
        <f t="shared" si="43"/>
        <v>9</v>
      </c>
      <c r="T936" s="5" t="str">
        <f t="shared" si="44"/>
        <v>9</v>
      </c>
    </row>
    <row r="937" spans="15:20">
      <c r="O937" s="5">
        <v>85</v>
      </c>
      <c r="P937" s="5">
        <v>231</v>
      </c>
      <c r="Q937" s="5">
        <v>220</v>
      </c>
      <c r="R937" s="7">
        <f t="shared" si="42"/>
        <v>0.36796536796536794</v>
      </c>
      <c r="S937">
        <f t="shared" si="43"/>
        <v>11</v>
      </c>
      <c r="T937" s="5" t="str">
        <f t="shared" si="44"/>
        <v>11</v>
      </c>
    </row>
    <row r="938" spans="15:20">
      <c r="O938" s="3">
        <v>26</v>
      </c>
      <c r="P938" s="3">
        <v>289</v>
      </c>
      <c r="Q938" s="3">
        <v>260</v>
      </c>
      <c r="R938" s="7">
        <f t="shared" si="42"/>
        <v>8.9965397923875437E-2</v>
      </c>
      <c r="S938">
        <f t="shared" si="43"/>
        <v>29</v>
      </c>
      <c r="T938" s="5" t="str">
        <f t="shared" si="44"/>
        <v>29</v>
      </c>
    </row>
    <row r="939" spans="15:20">
      <c r="O939" s="5">
        <v>122</v>
      </c>
      <c r="P939" s="5">
        <v>325</v>
      </c>
      <c r="Q939" s="5">
        <v>300</v>
      </c>
      <c r="R939" s="7">
        <f t="shared" si="42"/>
        <v>0.37538461538461537</v>
      </c>
      <c r="S939">
        <f t="shared" si="43"/>
        <v>25</v>
      </c>
      <c r="T939" s="5" t="str">
        <f t="shared" si="44"/>
        <v>25</v>
      </c>
    </row>
    <row r="940" spans="15:20">
      <c r="O940" s="3">
        <v>138</v>
      </c>
      <c r="P940" s="3">
        <v>412</v>
      </c>
      <c r="Q940" s="3">
        <v>380</v>
      </c>
      <c r="R940" s="7">
        <f t="shared" si="42"/>
        <v>0.33495145631067963</v>
      </c>
      <c r="S940">
        <f t="shared" si="43"/>
        <v>32</v>
      </c>
      <c r="T940" s="5" t="str">
        <f t="shared" si="44"/>
        <v>32</v>
      </c>
    </row>
    <row r="941" spans="15:20">
      <c r="O941" s="5">
        <v>70</v>
      </c>
      <c r="P941" s="5">
        <v>200</v>
      </c>
      <c r="Q941" s="5">
        <v>180</v>
      </c>
      <c r="R941" s="7">
        <f t="shared" si="42"/>
        <v>0.35</v>
      </c>
      <c r="S941">
        <f t="shared" si="43"/>
        <v>20</v>
      </c>
      <c r="T941" s="5" t="str">
        <f t="shared" si="44"/>
        <v>20</v>
      </c>
    </row>
    <row r="942" spans="15:20">
      <c r="O942" s="3">
        <v>107</v>
      </c>
      <c r="P942" s="3">
        <v>278</v>
      </c>
      <c r="Q942" s="3">
        <v>250</v>
      </c>
      <c r="R942" s="7">
        <f t="shared" si="42"/>
        <v>0.38489208633093525</v>
      </c>
      <c r="S942">
        <f t="shared" si="43"/>
        <v>28</v>
      </c>
      <c r="T942" s="5" t="str">
        <f t="shared" si="44"/>
        <v>28</v>
      </c>
    </row>
    <row r="943" spans="15:20">
      <c r="O943" s="5">
        <v>196</v>
      </c>
      <c r="P943" s="5">
        <v>532</v>
      </c>
      <c r="Q943" s="5">
        <v>380</v>
      </c>
      <c r="R943" s="7">
        <f t="shared" si="42"/>
        <v>0.36842105263157893</v>
      </c>
      <c r="S943">
        <f t="shared" si="43"/>
        <v>152</v>
      </c>
      <c r="T943" s="5" t="str">
        <f t="shared" si="44"/>
        <v>152</v>
      </c>
    </row>
    <row r="944" spans="15:20">
      <c r="O944" s="3">
        <v>128</v>
      </c>
      <c r="P944" s="3">
        <v>423</v>
      </c>
      <c r="Q944" s="3">
        <v>300</v>
      </c>
      <c r="R944" s="7">
        <f t="shared" si="42"/>
        <v>0.30260047281323876</v>
      </c>
      <c r="S944">
        <f t="shared" si="43"/>
        <v>123</v>
      </c>
      <c r="T944" s="5" t="str">
        <f t="shared" si="44"/>
        <v>123</v>
      </c>
    </row>
    <row r="945" spans="15:20">
      <c r="O945" s="5">
        <v>62</v>
      </c>
      <c r="P945" s="5">
        <v>197</v>
      </c>
      <c r="Q945" s="5">
        <v>140</v>
      </c>
      <c r="R945" s="7">
        <f t="shared" si="42"/>
        <v>0.31472081218274112</v>
      </c>
      <c r="S945">
        <f t="shared" si="43"/>
        <v>57</v>
      </c>
      <c r="T945" s="5" t="str">
        <f t="shared" si="44"/>
        <v>57</v>
      </c>
    </row>
    <row r="946" spans="15:20">
      <c r="O946" s="3">
        <v>-340</v>
      </c>
      <c r="P946" s="3">
        <v>32</v>
      </c>
      <c r="Q946" s="3">
        <v>0</v>
      </c>
      <c r="R946" s="7">
        <f t="shared" si="42"/>
        <v>-10.625</v>
      </c>
      <c r="S946">
        <f t="shared" si="43"/>
        <v>32</v>
      </c>
      <c r="T946" s="5" t="str">
        <f t="shared" si="44"/>
        <v>32</v>
      </c>
    </row>
    <row r="947" spans="15:20">
      <c r="O947" s="5">
        <v>89</v>
      </c>
      <c r="P947" s="5">
        <v>245</v>
      </c>
      <c r="Q947" s="5">
        <v>170</v>
      </c>
      <c r="R947" s="7">
        <f t="shared" si="42"/>
        <v>0.36326530612244901</v>
      </c>
      <c r="S947">
        <f t="shared" si="43"/>
        <v>75</v>
      </c>
      <c r="T947" s="5" t="str">
        <f t="shared" si="44"/>
        <v>75</v>
      </c>
    </row>
    <row r="948" spans="15:20">
      <c r="O948" s="3">
        <v>-149</v>
      </c>
      <c r="P948" s="3">
        <v>192</v>
      </c>
      <c r="Q948" s="3">
        <v>220</v>
      </c>
      <c r="R948" s="7">
        <f t="shared" si="42"/>
        <v>-0.77604166666666663</v>
      </c>
      <c r="S948">
        <f t="shared" si="43"/>
        <v>-28</v>
      </c>
      <c r="T948" s="5" t="str">
        <f t="shared" si="44"/>
        <v>-28</v>
      </c>
    </row>
    <row r="949" spans="15:20">
      <c r="O949" s="5">
        <v>216</v>
      </c>
      <c r="P949" s="5">
        <v>576</v>
      </c>
      <c r="Q949" s="5">
        <v>550</v>
      </c>
      <c r="R949" s="7">
        <f t="shared" si="42"/>
        <v>0.375</v>
      </c>
      <c r="S949">
        <f t="shared" si="43"/>
        <v>26</v>
      </c>
      <c r="T949" s="5" t="str">
        <f t="shared" si="44"/>
        <v>26</v>
      </c>
    </row>
    <row r="950" spans="15:20">
      <c r="O950" s="3">
        <v>-88</v>
      </c>
      <c r="P950" s="3">
        <v>102</v>
      </c>
      <c r="Q950" s="3">
        <v>120</v>
      </c>
      <c r="R950" s="7">
        <f t="shared" si="42"/>
        <v>-0.86274509803921573</v>
      </c>
      <c r="S950">
        <f t="shared" si="43"/>
        <v>-18</v>
      </c>
      <c r="T950" s="5" t="str">
        <f t="shared" si="44"/>
        <v>-18</v>
      </c>
    </row>
    <row r="951" spans="15:20">
      <c r="O951" s="5">
        <v>271</v>
      </c>
      <c r="P951" s="5">
        <v>699</v>
      </c>
      <c r="Q951" s="5">
        <v>830</v>
      </c>
      <c r="R951" s="7">
        <f t="shared" si="42"/>
        <v>0.38769670958512159</v>
      </c>
      <c r="S951">
        <f t="shared" si="43"/>
        <v>-131</v>
      </c>
      <c r="T951" s="5" t="str">
        <f t="shared" si="44"/>
        <v>-131</v>
      </c>
    </row>
    <row r="952" spans="15:20">
      <c r="O952" s="3">
        <v>157</v>
      </c>
      <c r="P952" s="3">
        <v>501</v>
      </c>
      <c r="Q952" s="3">
        <v>480</v>
      </c>
      <c r="R952" s="7">
        <f t="shared" si="42"/>
        <v>0.31337325349301398</v>
      </c>
      <c r="S952">
        <f t="shared" si="43"/>
        <v>21</v>
      </c>
      <c r="T952" s="5" t="str">
        <f t="shared" si="44"/>
        <v>21</v>
      </c>
    </row>
    <row r="953" spans="15:20">
      <c r="O953" s="5">
        <v>31</v>
      </c>
      <c r="P953" s="5">
        <v>322</v>
      </c>
      <c r="Q953" s="5">
        <v>310</v>
      </c>
      <c r="R953" s="7">
        <f t="shared" si="42"/>
        <v>9.627329192546584E-2</v>
      </c>
      <c r="S953">
        <f t="shared" si="43"/>
        <v>12</v>
      </c>
      <c r="T953" s="5" t="str">
        <f t="shared" si="44"/>
        <v>12</v>
      </c>
    </row>
    <row r="954" spans="15:20">
      <c r="O954" s="3">
        <v>89</v>
      </c>
      <c r="P954" s="3">
        <v>210</v>
      </c>
      <c r="Q954" s="3">
        <v>190</v>
      </c>
      <c r="R954" s="7">
        <f t="shared" si="42"/>
        <v>0.4238095238095238</v>
      </c>
      <c r="S954">
        <f t="shared" si="43"/>
        <v>20</v>
      </c>
      <c r="T954" s="5" t="str">
        <f t="shared" si="44"/>
        <v>20</v>
      </c>
    </row>
    <row r="955" spans="15:20">
      <c r="O955" s="5">
        <v>188</v>
      </c>
      <c r="P955" s="5">
        <v>525</v>
      </c>
      <c r="Q955" s="5">
        <v>480</v>
      </c>
      <c r="R955" s="7">
        <f t="shared" si="42"/>
        <v>0.35809523809523808</v>
      </c>
      <c r="S955">
        <f t="shared" si="43"/>
        <v>45</v>
      </c>
      <c r="T955" s="5" t="str">
        <f t="shared" si="44"/>
        <v>45</v>
      </c>
    </row>
    <row r="956" spans="15:20">
      <c r="O956" s="3">
        <v>134</v>
      </c>
      <c r="P956" s="3">
        <v>302</v>
      </c>
      <c r="Q956" s="3">
        <v>220</v>
      </c>
      <c r="R956" s="7">
        <f t="shared" si="42"/>
        <v>0.44370860927152317</v>
      </c>
      <c r="S956">
        <f t="shared" si="43"/>
        <v>82</v>
      </c>
      <c r="T956" s="5" t="str">
        <f t="shared" si="44"/>
        <v>82</v>
      </c>
    </row>
    <row r="957" spans="15:20">
      <c r="O957" s="5">
        <v>26</v>
      </c>
      <c r="P957" s="5">
        <v>153</v>
      </c>
      <c r="Q957" s="5">
        <v>180</v>
      </c>
      <c r="R957" s="7">
        <f t="shared" si="42"/>
        <v>0.16993464052287582</v>
      </c>
      <c r="S957">
        <f t="shared" si="43"/>
        <v>-27</v>
      </c>
      <c r="T957" s="5" t="str">
        <f t="shared" si="44"/>
        <v>-27</v>
      </c>
    </row>
    <row r="958" spans="15:20">
      <c r="O958" s="3">
        <v>20</v>
      </c>
      <c r="P958" s="3">
        <v>250</v>
      </c>
      <c r="Q958" s="3">
        <v>290</v>
      </c>
      <c r="R958" s="7">
        <f t="shared" si="42"/>
        <v>0.08</v>
      </c>
      <c r="S958">
        <f t="shared" si="43"/>
        <v>-40</v>
      </c>
      <c r="T958" s="5" t="str">
        <f t="shared" si="44"/>
        <v>-40</v>
      </c>
    </row>
    <row r="959" spans="15:20">
      <c r="O959" s="5">
        <v>87</v>
      </c>
      <c r="P959" s="5">
        <v>306</v>
      </c>
      <c r="Q959" s="5">
        <v>290</v>
      </c>
      <c r="R959" s="7">
        <f t="shared" si="42"/>
        <v>0.28431372549019607</v>
      </c>
      <c r="S959">
        <f t="shared" si="43"/>
        <v>16</v>
      </c>
      <c r="T959" s="5" t="str">
        <f t="shared" si="44"/>
        <v>16</v>
      </c>
    </row>
    <row r="960" spans="15:20">
      <c r="O960" s="3">
        <v>51</v>
      </c>
      <c r="P960" s="3">
        <v>176</v>
      </c>
      <c r="Q960" s="3">
        <v>170</v>
      </c>
      <c r="R960" s="7">
        <f t="shared" si="42"/>
        <v>0.28977272727272729</v>
      </c>
      <c r="S960">
        <f t="shared" si="43"/>
        <v>6</v>
      </c>
      <c r="T960" s="5" t="str">
        <f t="shared" si="44"/>
        <v>6</v>
      </c>
    </row>
    <row r="961" spans="15:20">
      <c r="O961" s="5">
        <v>36</v>
      </c>
      <c r="P961" s="5">
        <v>139</v>
      </c>
      <c r="Q961" s="5">
        <v>160</v>
      </c>
      <c r="R961" s="7">
        <f t="shared" si="42"/>
        <v>0.25899280575539568</v>
      </c>
      <c r="S961">
        <f t="shared" si="43"/>
        <v>-21</v>
      </c>
      <c r="T961" s="5" t="str">
        <f t="shared" si="44"/>
        <v>-21</v>
      </c>
    </row>
    <row r="962" spans="15:20">
      <c r="O962" s="3">
        <v>58</v>
      </c>
      <c r="P962" s="3">
        <v>176</v>
      </c>
      <c r="Q962" s="3">
        <v>200</v>
      </c>
      <c r="R962" s="7">
        <f t="shared" ref="R962:R1025" si="45">O962/P962</f>
        <v>0.32954545454545453</v>
      </c>
      <c r="S962">
        <f t="shared" ref="S962:S1025" si="46">P962-Q962</f>
        <v>-24</v>
      </c>
      <c r="T962" s="5" t="str">
        <f t="shared" ref="T962:T1025" si="47">TRIM(S:S)</f>
        <v>-24</v>
      </c>
    </row>
    <row r="963" spans="15:20">
      <c r="O963" s="5">
        <v>10</v>
      </c>
      <c r="P963" s="5">
        <v>41</v>
      </c>
      <c r="Q963" s="5">
        <v>30</v>
      </c>
      <c r="R963" s="7">
        <f t="shared" si="45"/>
        <v>0.24390243902439024</v>
      </c>
      <c r="S963">
        <f t="shared" si="46"/>
        <v>11</v>
      </c>
      <c r="T963" s="5" t="str">
        <f t="shared" si="47"/>
        <v>11</v>
      </c>
    </row>
    <row r="964" spans="15:20">
      <c r="O964" s="3">
        <v>77</v>
      </c>
      <c r="P964" s="3">
        <v>214</v>
      </c>
      <c r="Q964" s="3">
        <v>200</v>
      </c>
      <c r="R964" s="7">
        <f t="shared" si="45"/>
        <v>0.35981308411214952</v>
      </c>
      <c r="S964">
        <f t="shared" si="46"/>
        <v>14</v>
      </c>
      <c r="T964" s="5" t="str">
        <f t="shared" si="47"/>
        <v>14</v>
      </c>
    </row>
    <row r="965" spans="15:20">
      <c r="O965" s="5">
        <v>32</v>
      </c>
      <c r="P965" s="5">
        <v>322</v>
      </c>
      <c r="Q965" s="5">
        <v>290</v>
      </c>
      <c r="R965" s="7">
        <f t="shared" si="45"/>
        <v>9.9378881987577633E-2</v>
      </c>
      <c r="S965">
        <f t="shared" si="46"/>
        <v>32</v>
      </c>
      <c r="T965" s="5" t="str">
        <f t="shared" si="47"/>
        <v>32</v>
      </c>
    </row>
    <row r="966" spans="15:20">
      <c r="O966" s="3">
        <v>105</v>
      </c>
      <c r="P966" s="3">
        <v>289</v>
      </c>
      <c r="Q966" s="3">
        <v>260</v>
      </c>
      <c r="R966" s="7">
        <f t="shared" si="45"/>
        <v>0.36332179930795849</v>
      </c>
      <c r="S966">
        <f t="shared" si="46"/>
        <v>29</v>
      </c>
      <c r="T966" s="5" t="str">
        <f t="shared" si="47"/>
        <v>29</v>
      </c>
    </row>
    <row r="967" spans="15:20">
      <c r="O967" s="5">
        <v>194</v>
      </c>
      <c r="P967" s="5">
        <v>534</v>
      </c>
      <c r="Q967" s="5">
        <v>490</v>
      </c>
      <c r="R967" s="7">
        <f t="shared" si="45"/>
        <v>0.36329588014981273</v>
      </c>
      <c r="S967">
        <f t="shared" si="46"/>
        <v>44</v>
      </c>
      <c r="T967" s="5" t="str">
        <f t="shared" si="47"/>
        <v>44</v>
      </c>
    </row>
    <row r="968" spans="15:20">
      <c r="O968" s="3">
        <v>66</v>
      </c>
      <c r="P968" s="3">
        <v>185</v>
      </c>
      <c r="Q968" s="3">
        <v>170</v>
      </c>
      <c r="R968" s="7">
        <f t="shared" si="45"/>
        <v>0.35675675675675678</v>
      </c>
      <c r="S968">
        <f t="shared" si="46"/>
        <v>15</v>
      </c>
      <c r="T968" s="5" t="str">
        <f t="shared" si="47"/>
        <v>15</v>
      </c>
    </row>
    <row r="969" spans="15:20">
      <c r="O969" s="5">
        <v>122</v>
      </c>
      <c r="P969" s="5">
        <v>312</v>
      </c>
      <c r="Q969" s="5">
        <v>290</v>
      </c>
      <c r="R969" s="7">
        <f t="shared" si="45"/>
        <v>0.39102564102564102</v>
      </c>
      <c r="S969">
        <f t="shared" si="46"/>
        <v>22</v>
      </c>
      <c r="T969" s="5" t="str">
        <f t="shared" si="47"/>
        <v>22</v>
      </c>
    </row>
    <row r="970" spans="15:20">
      <c r="O970" s="3">
        <v>215</v>
      </c>
      <c r="P970" s="3">
        <v>576</v>
      </c>
      <c r="Q970" s="3">
        <v>420</v>
      </c>
      <c r="R970" s="7">
        <f t="shared" si="45"/>
        <v>0.3732638888888889</v>
      </c>
      <c r="S970">
        <f t="shared" si="46"/>
        <v>156</v>
      </c>
      <c r="T970" s="5" t="str">
        <f t="shared" si="47"/>
        <v>156</v>
      </c>
    </row>
    <row r="971" spans="15:20">
      <c r="O971" s="5">
        <v>157</v>
      </c>
      <c r="P971" s="5">
        <v>501</v>
      </c>
      <c r="Q971" s="5">
        <v>360</v>
      </c>
      <c r="R971" s="7">
        <f t="shared" si="45"/>
        <v>0.31337325349301398</v>
      </c>
      <c r="S971">
        <f t="shared" si="46"/>
        <v>141</v>
      </c>
      <c r="T971" s="5" t="str">
        <f t="shared" si="47"/>
        <v>141</v>
      </c>
    </row>
    <row r="972" spans="15:20">
      <c r="O972" s="3">
        <v>73</v>
      </c>
      <c r="P972" s="3">
        <v>221</v>
      </c>
      <c r="Q972" s="3">
        <v>160</v>
      </c>
      <c r="R972" s="7">
        <f t="shared" si="45"/>
        <v>0.33031674208144796</v>
      </c>
      <c r="S972">
        <f t="shared" si="46"/>
        <v>61</v>
      </c>
      <c r="T972" s="5" t="str">
        <f t="shared" si="47"/>
        <v>61</v>
      </c>
    </row>
    <row r="973" spans="15:20">
      <c r="O973" s="5">
        <v>-408</v>
      </c>
      <c r="P973" s="5">
        <v>31</v>
      </c>
      <c r="Q973" s="5">
        <v>0</v>
      </c>
      <c r="R973" s="7">
        <f t="shared" si="45"/>
        <v>-13.161290322580646</v>
      </c>
      <c r="S973">
        <f t="shared" si="46"/>
        <v>31</v>
      </c>
      <c r="T973" s="5" t="str">
        <f t="shared" si="47"/>
        <v>31</v>
      </c>
    </row>
    <row r="974" spans="15:20">
      <c r="O974" s="3">
        <v>121</v>
      </c>
      <c r="P974" s="3">
        <v>320</v>
      </c>
      <c r="Q974" s="3">
        <v>230</v>
      </c>
      <c r="R974" s="7">
        <f t="shared" si="45"/>
        <v>0.37812499999999999</v>
      </c>
      <c r="S974">
        <f t="shared" si="46"/>
        <v>90</v>
      </c>
      <c r="T974" s="5" t="str">
        <f t="shared" si="47"/>
        <v>90</v>
      </c>
    </row>
    <row r="975" spans="15:20">
      <c r="O975" s="5">
        <v>-15</v>
      </c>
      <c r="P975" s="5">
        <v>45</v>
      </c>
      <c r="Q975" s="5">
        <v>30</v>
      </c>
      <c r="R975" s="7">
        <f t="shared" si="45"/>
        <v>-0.33333333333333331</v>
      </c>
      <c r="S975">
        <f t="shared" si="46"/>
        <v>15</v>
      </c>
      <c r="T975" s="5" t="str">
        <f t="shared" si="47"/>
        <v>15</v>
      </c>
    </row>
    <row r="976" spans="15:20">
      <c r="O976" s="3">
        <v>-174</v>
      </c>
      <c r="P976" s="3">
        <v>139</v>
      </c>
      <c r="Q976" s="3">
        <v>190</v>
      </c>
      <c r="R976" s="7">
        <f t="shared" si="45"/>
        <v>-1.2517985611510791</v>
      </c>
      <c r="S976">
        <f t="shared" si="46"/>
        <v>-51</v>
      </c>
      <c r="T976" s="5" t="str">
        <f t="shared" si="47"/>
        <v>-51</v>
      </c>
    </row>
    <row r="977" spans="15:20">
      <c r="O977" s="5">
        <v>334</v>
      </c>
      <c r="P977" s="5">
        <v>637</v>
      </c>
      <c r="Q977" s="5">
        <v>550</v>
      </c>
      <c r="R977" s="7">
        <f t="shared" si="45"/>
        <v>0.52433281004709575</v>
      </c>
      <c r="S977">
        <f t="shared" si="46"/>
        <v>87</v>
      </c>
      <c r="T977" s="5" t="str">
        <f t="shared" si="47"/>
        <v>87</v>
      </c>
    </row>
    <row r="978" spans="15:20">
      <c r="O978" s="3">
        <v>-110</v>
      </c>
      <c r="P978" s="3">
        <v>116</v>
      </c>
      <c r="Q978" s="3">
        <v>150</v>
      </c>
      <c r="R978" s="7">
        <f t="shared" si="45"/>
        <v>-0.94827586206896552</v>
      </c>
      <c r="S978">
        <f t="shared" si="46"/>
        <v>-34</v>
      </c>
      <c r="T978" s="5" t="str">
        <f t="shared" si="47"/>
        <v>-34</v>
      </c>
    </row>
    <row r="979" spans="15:20">
      <c r="O979" s="5">
        <v>367</v>
      </c>
      <c r="P979" s="5">
        <v>693</v>
      </c>
      <c r="Q979" s="5">
        <v>960</v>
      </c>
      <c r="R979" s="7">
        <f t="shared" si="45"/>
        <v>0.5295815295815296</v>
      </c>
      <c r="S979">
        <f t="shared" si="46"/>
        <v>-267</v>
      </c>
      <c r="T979" s="5" t="str">
        <f t="shared" si="47"/>
        <v>-267</v>
      </c>
    </row>
    <row r="980" spans="15:20">
      <c r="O980" s="3">
        <v>221</v>
      </c>
      <c r="P980" s="3">
        <v>509</v>
      </c>
      <c r="Q980" s="3">
        <v>430</v>
      </c>
      <c r="R980" s="7">
        <f t="shared" si="45"/>
        <v>0.43418467583497056</v>
      </c>
      <c r="S980">
        <f t="shared" si="46"/>
        <v>79</v>
      </c>
      <c r="T980" s="5" t="str">
        <f t="shared" si="47"/>
        <v>79</v>
      </c>
    </row>
    <row r="981" spans="15:20">
      <c r="O981" s="5">
        <v>40</v>
      </c>
      <c r="P981" s="5">
        <v>318</v>
      </c>
      <c r="Q981" s="5">
        <v>270</v>
      </c>
      <c r="R981" s="7">
        <f t="shared" si="45"/>
        <v>0.12578616352201258</v>
      </c>
      <c r="S981">
        <f t="shared" si="46"/>
        <v>48</v>
      </c>
      <c r="T981" s="5" t="str">
        <f t="shared" si="47"/>
        <v>48</v>
      </c>
    </row>
    <row r="982" spans="15:20">
      <c r="O982" s="3">
        <v>171</v>
      </c>
      <c r="P982" s="3">
        <v>282</v>
      </c>
      <c r="Q982" s="3">
        <v>210</v>
      </c>
      <c r="R982" s="7">
        <f t="shared" si="45"/>
        <v>0.6063829787234043</v>
      </c>
      <c r="S982">
        <f t="shared" si="46"/>
        <v>72</v>
      </c>
      <c r="T982" s="5" t="str">
        <f t="shared" si="47"/>
        <v>72</v>
      </c>
    </row>
    <row r="983" spans="15:20">
      <c r="O983" s="5">
        <v>276</v>
      </c>
      <c r="P983" s="5">
        <v>554</v>
      </c>
      <c r="Q983" s="5">
        <v>410</v>
      </c>
      <c r="R983" s="7">
        <f t="shared" si="45"/>
        <v>0.49819494584837543</v>
      </c>
      <c r="S983">
        <f t="shared" si="46"/>
        <v>144</v>
      </c>
      <c r="T983" s="5" t="str">
        <f t="shared" si="47"/>
        <v>144</v>
      </c>
    </row>
    <row r="984" spans="15:20">
      <c r="O984" s="3">
        <v>199</v>
      </c>
      <c r="P984" s="3">
        <v>322</v>
      </c>
      <c r="Q984" s="3">
        <v>140</v>
      </c>
      <c r="R984" s="7">
        <f t="shared" si="45"/>
        <v>0.61801242236024845</v>
      </c>
      <c r="S984">
        <f t="shared" si="46"/>
        <v>182</v>
      </c>
      <c r="T984" s="5" t="str">
        <f t="shared" si="47"/>
        <v>182</v>
      </c>
    </row>
    <row r="985" spans="15:20">
      <c r="O985" s="5">
        <v>43</v>
      </c>
      <c r="P985" s="5">
        <v>114</v>
      </c>
      <c r="Q985" s="5">
        <v>150</v>
      </c>
      <c r="R985" s="7">
        <f t="shared" si="45"/>
        <v>0.37719298245614036</v>
      </c>
      <c r="S985">
        <f t="shared" si="46"/>
        <v>-36</v>
      </c>
      <c r="T985" s="5" t="str">
        <f t="shared" si="47"/>
        <v>-36</v>
      </c>
    </row>
    <row r="986" spans="15:20">
      <c r="O986" s="3">
        <v>50</v>
      </c>
      <c r="P986" s="3">
        <v>189</v>
      </c>
      <c r="Q986" s="3">
        <v>260</v>
      </c>
      <c r="R986" s="7">
        <f t="shared" si="45"/>
        <v>0.26455026455026454</v>
      </c>
      <c r="S986">
        <f t="shared" si="46"/>
        <v>-71</v>
      </c>
      <c r="T986" s="5" t="str">
        <f t="shared" si="47"/>
        <v>-71</v>
      </c>
    </row>
    <row r="987" spans="15:20">
      <c r="O987" s="5">
        <v>25</v>
      </c>
      <c r="P987" s="5">
        <v>245</v>
      </c>
      <c r="Q987" s="5">
        <v>330</v>
      </c>
      <c r="R987" s="7">
        <f t="shared" si="45"/>
        <v>0.10204081632653061</v>
      </c>
      <c r="S987">
        <f t="shared" si="46"/>
        <v>-85</v>
      </c>
      <c r="T987" s="5" t="str">
        <f t="shared" si="47"/>
        <v>-85</v>
      </c>
    </row>
    <row r="988" spans="15:20">
      <c r="O988" s="3">
        <v>135</v>
      </c>
      <c r="P988" s="3">
        <v>343</v>
      </c>
      <c r="Q988" s="3">
        <v>290</v>
      </c>
      <c r="R988" s="7">
        <f t="shared" si="45"/>
        <v>0.39358600583090381</v>
      </c>
      <c r="S988">
        <f t="shared" si="46"/>
        <v>53</v>
      </c>
      <c r="T988" s="5" t="str">
        <f t="shared" si="47"/>
        <v>53</v>
      </c>
    </row>
    <row r="989" spans="15:20">
      <c r="O989" s="5">
        <v>71</v>
      </c>
      <c r="P989" s="5">
        <v>185</v>
      </c>
      <c r="Q989" s="5">
        <v>150</v>
      </c>
      <c r="R989" s="7">
        <f t="shared" si="45"/>
        <v>0.38378378378378381</v>
      </c>
      <c r="S989">
        <f t="shared" si="46"/>
        <v>35</v>
      </c>
      <c r="T989" s="5" t="str">
        <f t="shared" si="47"/>
        <v>35</v>
      </c>
    </row>
    <row r="990" spans="15:20">
      <c r="O990" s="3">
        <v>-7</v>
      </c>
      <c r="P990" s="3">
        <v>130</v>
      </c>
      <c r="Q990" s="3">
        <v>170</v>
      </c>
      <c r="R990" s="7">
        <f t="shared" si="45"/>
        <v>-5.3846153846153849E-2</v>
      </c>
      <c r="S990">
        <f t="shared" si="46"/>
        <v>-40</v>
      </c>
      <c r="T990" s="5" t="str">
        <f t="shared" si="47"/>
        <v>-40</v>
      </c>
    </row>
    <row r="991" spans="15:20">
      <c r="O991" s="5">
        <v>53</v>
      </c>
      <c r="P991" s="5">
        <v>151</v>
      </c>
      <c r="Q991" s="5">
        <v>200</v>
      </c>
      <c r="R991" s="7">
        <f t="shared" si="45"/>
        <v>0.35099337748344372</v>
      </c>
      <c r="S991">
        <f t="shared" si="46"/>
        <v>-49</v>
      </c>
      <c r="T991" s="5" t="str">
        <f t="shared" si="47"/>
        <v>-49</v>
      </c>
    </row>
    <row r="992" spans="15:20">
      <c r="O992" s="3">
        <v>31</v>
      </c>
      <c r="P992" s="3">
        <v>153</v>
      </c>
      <c r="Q992" s="3">
        <v>210</v>
      </c>
      <c r="R992" s="7">
        <f t="shared" si="45"/>
        <v>0.20261437908496732</v>
      </c>
      <c r="S992">
        <f t="shared" si="46"/>
        <v>-57</v>
      </c>
      <c r="T992" s="5" t="str">
        <f t="shared" si="47"/>
        <v>-57</v>
      </c>
    </row>
    <row r="993" spans="15:20">
      <c r="O993" s="5">
        <v>33</v>
      </c>
      <c r="P993" s="5">
        <v>118</v>
      </c>
      <c r="Q993" s="5">
        <v>150</v>
      </c>
      <c r="R993" s="7">
        <f t="shared" si="45"/>
        <v>0.27966101694915252</v>
      </c>
      <c r="S993">
        <f t="shared" si="46"/>
        <v>-32</v>
      </c>
      <c r="T993" s="5" t="str">
        <f t="shared" si="47"/>
        <v>-32</v>
      </c>
    </row>
    <row r="994" spans="15:20">
      <c r="O994" s="3">
        <v>83</v>
      </c>
      <c r="P994" s="3">
        <v>178</v>
      </c>
      <c r="Q994" s="3">
        <v>230</v>
      </c>
      <c r="R994" s="7">
        <f t="shared" si="45"/>
        <v>0.46629213483146065</v>
      </c>
      <c r="S994">
        <f t="shared" si="46"/>
        <v>-52</v>
      </c>
      <c r="T994" s="5" t="str">
        <f t="shared" si="47"/>
        <v>-52</v>
      </c>
    </row>
    <row r="995" spans="15:20">
      <c r="O995" s="5">
        <v>15</v>
      </c>
      <c r="P995" s="5">
        <v>54</v>
      </c>
      <c r="Q995" s="5">
        <v>30</v>
      </c>
      <c r="R995" s="7">
        <f t="shared" si="45"/>
        <v>0.27777777777777779</v>
      </c>
      <c r="S995">
        <f t="shared" si="46"/>
        <v>24</v>
      </c>
      <c r="T995" s="5" t="str">
        <f t="shared" si="47"/>
        <v>24</v>
      </c>
    </row>
    <row r="996" spans="15:20">
      <c r="O996" s="3">
        <v>21</v>
      </c>
      <c r="P996" s="3">
        <v>55</v>
      </c>
      <c r="Q996" s="3">
        <v>30</v>
      </c>
      <c r="R996" s="7">
        <f t="shared" si="45"/>
        <v>0.38181818181818183</v>
      </c>
      <c r="S996">
        <f t="shared" si="46"/>
        <v>25</v>
      </c>
      <c r="T996" s="5" t="str">
        <f t="shared" si="47"/>
        <v>25</v>
      </c>
    </row>
    <row r="997" spans="15:20">
      <c r="O997" s="5">
        <v>129</v>
      </c>
      <c r="P997" s="5">
        <v>251</v>
      </c>
      <c r="Q997" s="5">
        <v>210</v>
      </c>
      <c r="R997" s="7">
        <f t="shared" si="45"/>
        <v>0.51394422310756971</v>
      </c>
      <c r="S997">
        <f t="shared" si="46"/>
        <v>41</v>
      </c>
      <c r="T997" s="5" t="str">
        <f t="shared" si="47"/>
        <v>41</v>
      </c>
    </row>
    <row r="998" spans="15:20">
      <c r="O998" s="3">
        <v>39</v>
      </c>
      <c r="P998" s="3">
        <v>318</v>
      </c>
      <c r="Q998" s="3">
        <v>240</v>
      </c>
      <c r="R998" s="7">
        <f t="shared" si="45"/>
        <v>0.12264150943396226</v>
      </c>
      <c r="S998">
        <f t="shared" si="46"/>
        <v>78</v>
      </c>
      <c r="T998" s="5" t="str">
        <f t="shared" si="47"/>
        <v>78</v>
      </c>
    </row>
    <row r="999" spans="15:20">
      <c r="O999" s="5">
        <v>171</v>
      </c>
      <c r="P999" s="5">
        <v>334</v>
      </c>
      <c r="Q999" s="5">
        <v>250</v>
      </c>
      <c r="R999" s="7">
        <f t="shared" si="45"/>
        <v>0.5119760479041916</v>
      </c>
      <c r="S999">
        <f t="shared" si="46"/>
        <v>84</v>
      </c>
      <c r="T999" s="5" t="str">
        <f t="shared" si="47"/>
        <v>84</v>
      </c>
    </row>
    <row r="1000" spans="15:20">
      <c r="O1000" s="3">
        <v>178</v>
      </c>
      <c r="P1000" s="3">
        <v>391</v>
      </c>
      <c r="Q1000" s="3">
        <v>290</v>
      </c>
      <c r="R1000" s="7">
        <f t="shared" si="45"/>
        <v>0.45524296675191817</v>
      </c>
      <c r="S1000">
        <f t="shared" si="46"/>
        <v>101</v>
      </c>
      <c r="T1000" s="5" t="str">
        <f t="shared" si="47"/>
        <v>101</v>
      </c>
    </row>
    <row r="1001" spans="15:20">
      <c r="O1001" s="5">
        <v>108</v>
      </c>
      <c r="P1001" s="5">
        <v>218</v>
      </c>
      <c r="Q1001" s="5">
        <v>160</v>
      </c>
      <c r="R1001" s="7">
        <f t="shared" si="45"/>
        <v>0.49541284403669728</v>
      </c>
      <c r="S1001">
        <f t="shared" si="46"/>
        <v>58</v>
      </c>
      <c r="T1001" s="5" t="str">
        <f t="shared" si="47"/>
        <v>58</v>
      </c>
    </row>
    <row r="1002" spans="15:20">
      <c r="O1002" s="3">
        <v>169</v>
      </c>
      <c r="P1002" s="3">
        <v>318</v>
      </c>
      <c r="Q1002" s="3">
        <v>240</v>
      </c>
      <c r="R1002" s="7">
        <f t="shared" si="45"/>
        <v>0.53144654088050314</v>
      </c>
      <c r="S1002">
        <f t="shared" si="46"/>
        <v>78</v>
      </c>
      <c r="T1002" s="5" t="str">
        <f t="shared" si="47"/>
        <v>78</v>
      </c>
    </row>
    <row r="1003" spans="15:20">
      <c r="O1003" s="5">
        <v>-40</v>
      </c>
      <c r="P1003" s="5">
        <v>116</v>
      </c>
      <c r="Q1003" s="5">
        <v>80</v>
      </c>
      <c r="R1003" s="7">
        <f t="shared" si="45"/>
        <v>-0.34482758620689657</v>
      </c>
      <c r="S1003">
        <f t="shared" si="46"/>
        <v>36</v>
      </c>
      <c r="T1003" s="5" t="str">
        <f t="shared" si="47"/>
        <v>36</v>
      </c>
    </row>
    <row r="1004" spans="15:20">
      <c r="O1004" s="3">
        <v>332</v>
      </c>
      <c r="P1004" s="3">
        <v>637</v>
      </c>
      <c r="Q1004" s="3">
        <v>290</v>
      </c>
      <c r="R1004" s="7">
        <f t="shared" si="45"/>
        <v>0.52119309262166402</v>
      </c>
      <c r="S1004">
        <f t="shared" si="46"/>
        <v>347</v>
      </c>
      <c r="T1004" s="5" t="str">
        <f t="shared" si="47"/>
        <v>347</v>
      </c>
    </row>
    <row r="1005" spans="15:20">
      <c r="O1005" s="5">
        <v>24</v>
      </c>
      <c r="P1005" s="5">
        <v>56</v>
      </c>
      <c r="Q1005" s="5">
        <v>20</v>
      </c>
      <c r="R1005" s="7">
        <f t="shared" si="45"/>
        <v>0.42857142857142855</v>
      </c>
      <c r="S1005">
        <f t="shared" si="46"/>
        <v>36</v>
      </c>
      <c r="T1005" s="5" t="str">
        <f t="shared" si="47"/>
        <v>36</v>
      </c>
    </row>
    <row r="1006" spans="15:20">
      <c r="O1006" s="3">
        <v>221</v>
      </c>
      <c r="P1006" s="3">
        <v>509</v>
      </c>
      <c r="Q1006" s="3">
        <v>230</v>
      </c>
      <c r="R1006" s="7">
        <f t="shared" si="45"/>
        <v>0.43418467583497056</v>
      </c>
      <c r="S1006">
        <f t="shared" si="46"/>
        <v>279</v>
      </c>
      <c r="T1006" s="5" t="str">
        <f t="shared" si="47"/>
        <v>279</v>
      </c>
    </row>
    <row r="1007" spans="15:20">
      <c r="O1007" s="5">
        <v>-539</v>
      </c>
      <c r="P1007" s="5">
        <v>22</v>
      </c>
      <c r="Q1007" s="5">
        <v>0</v>
      </c>
      <c r="R1007" s="7">
        <f t="shared" si="45"/>
        <v>-24.5</v>
      </c>
      <c r="S1007">
        <f t="shared" si="46"/>
        <v>22</v>
      </c>
      <c r="T1007" s="5" t="str">
        <f t="shared" si="47"/>
        <v>22</v>
      </c>
    </row>
    <row r="1008" spans="15:20">
      <c r="O1008" s="3">
        <v>-18</v>
      </c>
      <c r="P1008" s="3">
        <v>60</v>
      </c>
      <c r="Q1008" s="3">
        <v>20</v>
      </c>
      <c r="R1008" s="7">
        <f t="shared" si="45"/>
        <v>-0.3</v>
      </c>
      <c r="S1008">
        <f t="shared" si="46"/>
        <v>40</v>
      </c>
      <c r="T1008" s="5" t="str">
        <f t="shared" si="47"/>
        <v>40</v>
      </c>
    </row>
    <row r="1009" spans="15:20">
      <c r="O1009" s="5">
        <v>-188</v>
      </c>
      <c r="P1009" s="5">
        <v>156</v>
      </c>
      <c r="Q1009" s="5">
        <v>170</v>
      </c>
      <c r="R1009" s="7">
        <f t="shared" si="45"/>
        <v>-1.2051282051282051</v>
      </c>
      <c r="S1009">
        <f t="shared" si="46"/>
        <v>-14</v>
      </c>
      <c r="T1009" s="5" t="str">
        <f t="shared" si="47"/>
        <v>-14</v>
      </c>
    </row>
    <row r="1010" spans="15:20">
      <c r="O1010" s="3">
        <v>292</v>
      </c>
      <c r="P1010" s="3">
        <v>567</v>
      </c>
      <c r="Q1010" s="3">
        <v>510</v>
      </c>
      <c r="R1010" s="7">
        <f t="shared" si="45"/>
        <v>0.5149911816578483</v>
      </c>
      <c r="S1010">
        <f t="shared" si="46"/>
        <v>57</v>
      </c>
      <c r="T1010" s="5" t="str">
        <f t="shared" si="47"/>
        <v>57</v>
      </c>
    </row>
    <row r="1011" spans="15:20">
      <c r="O1011" s="5">
        <v>-83</v>
      </c>
      <c r="P1011" s="5">
        <v>124</v>
      </c>
      <c r="Q1011" s="5">
        <v>130</v>
      </c>
      <c r="R1011" s="7">
        <f t="shared" si="45"/>
        <v>-0.66935483870967738</v>
      </c>
      <c r="S1011">
        <f t="shared" si="46"/>
        <v>-6</v>
      </c>
      <c r="T1011" s="5" t="str">
        <f t="shared" si="47"/>
        <v>-6</v>
      </c>
    </row>
    <row r="1012" spans="15:20">
      <c r="O1012" s="3">
        <v>349</v>
      </c>
      <c r="P1012" s="3">
        <v>664</v>
      </c>
      <c r="Q1012" s="3">
        <v>740</v>
      </c>
      <c r="R1012" s="7">
        <f t="shared" si="45"/>
        <v>0.5256024096385542</v>
      </c>
      <c r="S1012">
        <f t="shared" si="46"/>
        <v>-76</v>
      </c>
      <c r="T1012" s="5" t="str">
        <f t="shared" si="47"/>
        <v>-76</v>
      </c>
    </row>
    <row r="1013" spans="15:20">
      <c r="O1013" s="5">
        <v>191</v>
      </c>
      <c r="P1013" s="5">
        <v>451</v>
      </c>
      <c r="Q1013" s="5">
        <v>410</v>
      </c>
      <c r="R1013" s="7">
        <f t="shared" si="45"/>
        <v>0.42350332594235035</v>
      </c>
      <c r="S1013">
        <f t="shared" si="46"/>
        <v>41</v>
      </c>
      <c r="T1013" s="5" t="str">
        <f t="shared" si="47"/>
        <v>41</v>
      </c>
    </row>
    <row r="1014" spans="15:20">
      <c r="O1014" s="3">
        <v>39</v>
      </c>
      <c r="P1014" s="3">
        <v>308</v>
      </c>
      <c r="Q1014" s="3">
        <v>280</v>
      </c>
      <c r="R1014" s="7">
        <f t="shared" si="45"/>
        <v>0.12662337662337661</v>
      </c>
      <c r="S1014">
        <f t="shared" si="46"/>
        <v>28</v>
      </c>
      <c r="T1014" s="5" t="str">
        <f t="shared" si="47"/>
        <v>28</v>
      </c>
    </row>
    <row r="1015" spans="15:20">
      <c r="O1015" s="5">
        <v>125</v>
      </c>
      <c r="P1015" s="5">
        <v>211</v>
      </c>
      <c r="Q1015" s="5">
        <v>180</v>
      </c>
      <c r="R1015" s="7">
        <f t="shared" si="45"/>
        <v>0.59241706161137442</v>
      </c>
      <c r="S1015">
        <f t="shared" si="46"/>
        <v>31</v>
      </c>
      <c r="T1015" s="5" t="str">
        <f t="shared" si="47"/>
        <v>31</v>
      </c>
    </row>
    <row r="1016" spans="15:20">
      <c r="O1016" s="3">
        <v>258</v>
      </c>
      <c r="P1016" s="3">
        <v>522</v>
      </c>
      <c r="Q1016" s="3">
        <v>450</v>
      </c>
      <c r="R1016" s="7">
        <f t="shared" si="45"/>
        <v>0.4942528735632184</v>
      </c>
      <c r="S1016">
        <f t="shared" si="46"/>
        <v>72</v>
      </c>
      <c r="T1016" s="5" t="str">
        <f t="shared" si="47"/>
        <v>72</v>
      </c>
    </row>
    <row r="1017" spans="15:20">
      <c r="O1017" s="5">
        <v>190</v>
      </c>
      <c r="P1017" s="5">
        <v>309</v>
      </c>
      <c r="Q1017" s="5">
        <v>210</v>
      </c>
      <c r="R1017" s="7">
        <f t="shared" si="45"/>
        <v>0.61488673139158578</v>
      </c>
      <c r="S1017">
        <f t="shared" si="46"/>
        <v>99</v>
      </c>
      <c r="T1017" s="5" t="str">
        <f t="shared" si="47"/>
        <v>99</v>
      </c>
    </row>
    <row r="1018" spans="15:20">
      <c r="O1018" s="3">
        <v>56</v>
      </c>
      <c r="P1018" s="3">
        <v>196</v>
      </c>
      <c r="Q1018" s="3">
        <v>210</v>
      </c>
      <c r="R1018" s="7">
        <f t="shared" si="45"/>
        <v>0.2857142857142857</v>
      </c>
      <c r="S1018">
        <f t="shared" si="46"/>
        <v>-14</v>
      </c>
      <c r="T1018" s="5" t="str">
        <f t="shared" si="47"/>
        <v>-14</v>
      </c>
    </row>
    <row r="1019" spans="15:20">
      <c r="O1019" s="5">
        <v>24</v>
      </c>
      <c r="P1019" s="5">
        <v>239</v>
      </c>
      <c r="Q1019" s="5">
        <v>260</v>
      </c>
      <c r="R1019" s="7">
        <f t="shared" si="45"/>
        <v>0.100418410041841</v>
      </c>
      <c r="S1019">
        <f t="shared" si="46"/>
        <v>-21</v>
      </c>
      <c r="T1019" s="5" t="str">
        <f t="shared" si="47"/>
        <v>-21</v>
      </c>
    </row>
    <row r="1020" spans="15:20">
      <c r="O1020" s="3">
        <v>160</v>
      </c>
      <c r="P1020" s="3">
        <v>387</v>
      </c>
      <c r="Q1020" s="3">
        <v>350</v>
      </c>
      <c r="R1020" s="7">
        <f t="shared" si="45"/>
        <v>0.41343669250645992</v>
      </c>
      <c r="S1020">
        <f t="shared" si="46"/>
        <v>37</v>
      </c>
      <c r="T1020" s="5" t="str">
        <f t="shared" si="47"/>
        <v>37</v>
      </c>
    </row>
    <row r="1021" spans="15:20">
      <c r="O1021" s="5">
        <v>58</v>
      </c>
      <c r="P1021" s="5">
        <v>160</v>
      </c>
      <c r="Q1021" s="5">
        <v>170</v>
      </c>
      <c r="R1021" s="7">
        <f t="shared" si="45"/>
        <v>0.36249999999999999</v>
      </c>
      <c r="S1021">
        <f t="shared" si="46"/>
        <v>-10</v>
      </c>
      <c r="T1021" s="5" t="str">
        <f t="shared" si="47"/>
        <v>-10</v>
      </c>
    </row>
    <row r="1022" spans="15:20">
      <c r="O1022" s="3">
        <v>21</v>
      </c>
      <c r="P1022" s="3">
        <v>136</v>
      </c>
      <c r="Q1022" s="3">
        <v>150</v>
      </c>
      <c r="R1022" s="7">
        <f t="shared" si="45"/>
        <v>0.15441176470588236</v>
      </c>
      <c r="S1022">
        <f t="shared" si="46"/>
        <v>-14</v>
      </c>
      <c r="T1022" s="5" t="str">
        <f t="shared" si="47"/>
        <v>-14</v>
      </c>
    </row>
    <row r="1023" spans="15:20">
      <c r="O1023" s="5">
        <v>74</v>
      </c>
      <c r="P1023" s="5">
        <v>166</v>
      </c>
      <c r="Q1023" s="5">
        <v>180</v>
      </c>
      <c r="R1023" s="7">
        <f t="shared" si="45"/>
        <v>0.44578313253012047</v>
      </c>
      <c r="S1023">
        <f t="shared" si="46"/>
        <v>-14</v>
      </c>
      <c r="T1023" s="5" t="str">
        <f t="shared" si="47"/>
        <v>-14</v>
      </c>
    </row>
    <row r="1024" spans="15:20">
      <c r="O1024" s="3">
        <v>13</v>
      </c>
      <c r="P1024" s="3">
        <v>42</v>
      </c>
      <c r="Q1024" s="3">
        <v>30</v>
      </c>
      <c r="R1024" s="7">
        <f t="shared" si="45"/>
        <v>0.30952380952380953</v>
      </c>
      <c r="S1024">
        <f t="shared" si="46"/>
        <v>12</v>
      </c>
      <c r="T1024" s="5" t="str">
        <f t="shared" si="47"/>
        <v>12</v>
      </c>
    </row>
    <row r="1025" spans="15:20">
      <c r="O1025" s="5">
        <v>126</v>
      </c>
      <c r="P1025" s="5">
        <v>246</v>
      </c>
      <c r="Q1025" s="5">
        <v>220</v>
      </c>
      <c r="R1025" s="7">
        <f t="shared" si="45"/>
        <v>0.51219512195121952</v>
      </c>
      <c r="S1025">
        <f t="shared" si="46"/>
        <v>26</v>
      </c>
      <c r="T1025" s="5" t="str">
        <f t="shared" si="47"/>
        <v>26</v>
      </c>
    </row>
    <row r="1026" spans="15:20">
      <c r="O1026" s="3">
        <v>39</v>
      </c>
      <c r="P1026" s="3">
        <v>308</v>
      </c>
      <c r="Q1026" s="3">
        <v>260</v>
      </c>
      <c r="R1026" s="7">
        <f t="shared" ref="R1026:R1063" si="48">O1026/P1026</f>
        <v>0.12662337662337661</v>
      </c>
      <c r="S1026">
        <f t="shared" ref="S1026:S1063" si="49">P1026-Q1026</f>
        <v>48</v>
      </c>
      <c r="T1026" s="5" t="str">
        <f t="shared" ref="T1026:T1063" si="50">TRIM(S:S)</f>
        <v>48</v>
      </c>
    </row>
    <row r="1027" spans="15:20">
      <c r="O1027" s="5">
        <v>181</v>
      </c>
      <c r="P1027" s="5">
        <v>346</v>
      </c>
      <c r="Q1027" s="5">
        <v>300</v>
      </c>
      <c r="R1027" s="7">
        <f t="shared" si="48"/>
        <v>0.52312138728323698</v>
      </c>
      <c r="S1027">
        <f t="shared" si="49"/>
        <v>46</v>
      </c>
      <c r="T1027" s="5" t="str">
        <f t="shared" si="50"/>
        <v>46</v>
      </c>
    </row>
    <row r="1028" spans="15:20">
      <c r="O1028" s="3">
        <v>205</v>
      </c>
      <c r="P1028" s="3">
        <v>439</v>
      </c>
      <c r="Q1028" s="3">
        <v>380</v>
      </c>
      <c r="R1028" s="7">
        <f t="shared" si="48"/>
        <v>0.46697038724373574</v>
      </c>
      <c r="S1028">
        <f t="shared" si="49"/>
        <v>59</v>
      </c>
      <c r="T1028" s="5" t="str">
        <f t="shared" si="50"/>
        <v>59</v>
      </c>
    </row>
    <row r="1029" spans="15:20">
      <c r="O1029" s="5">
        <v>104</v>
      </c>
      <c r="P1029" s="5">
        <v>213</v>
      </c>
      <c r="Q1029" s="5">
        <v>180</v>
      </c>
      <c r="R1029" s="7">
        <f t="shared" si="48"/>
        <v>0.48826291079812206</v>
      </c>
      <c r="S1029">
        <f t="shared" si="49"/>
        <v>33</v>
      </c>
      <c r="T1029" s="5" t="str">
        <f t="shared" si="50"/>
        <v>33</v>
      </c>
    </row>
    <row r="1030" spans="15:20">
      <c r="O1030" s="3">
        <v>159</v>
      </c>
      <c r="P1030" s="3">
        <v>296</v>
      </c>
      <c r="Q1030" s="3">
        <v>250</v>
      </c>
      <c r="R1030" s="7">
        <f t="shared" si="48"/>
        <v>0.53716216216216217</v>
      </c>
      <c r="S1030">
        <f t="shared" si="49"/>
        <v>46</v>
      </c>
      <c r="T1030" s="5" t="str">
        <f t="shared" si="50"/>
        <v>46</v>
      </c>
    </row>
    <row r="1031" spans="15:20">
      <c r="O1031" s="5">
        <v>291</v>
      </c>
      <c r="P1031" s="5">
        <v>567</v>
      </c>
      <c r="Q1031" s="5">
        <v>380</v>
      </c>
      <c r="R1031" s="7">
        <f t="shared" si="48"/>
        <v>0.51322751322751325</v>
      </c>
      <c r="S1031">
        <f t="shared" si="49"/>
        <v>187</v>
      </c>
      <c r="T1031" s="5" t="str">
        <f t="shared" si="50"/>
        <v>187</v>
      </c>
    </row>
    <row r="1032" spans="15:20">
      <c r="O1032" s="3">
        <v>190</v>
      </c>
      <c r="P1032" s="3">
        <v>451</v>
      </c>
      <c r="Q1032" s="3">
        <v>300</v>
      </c>
      <c r="R1032" s="7">
        <f t="shared" si="48"/>
        <v>0.42128603104212858</v>
      </c>
      <c r="S1032">
        <f t="shared" si="49"/>
        <v>151</v>
      </c>
      <c r="T1032" s="5" t="str">
        <f t="shared" si="50"/>
        <v>151</v>
      </c>
    </row>
    <row r="1033" spans="15:20">
      <c r="O1033" s="5">
        <v>92</v>
      </c>
      <c r="P1033" s="5">
        <v>210</v>
      </c>
      <c r="Q1033" s="5">
        <v>140</v>
      </c>
      <c r="R1033" s="7">
        <f t="shared" si="48"/>
        <v>0.43809523809523809</v>
      </c>
      <c r="S1033">
        <f t="shared" si="49"/>
        <v>70</v>
      </c>
      <c r="T1033" s="5" t="str">
        <f t="shared" si="50"/>
        <v>70</v>
      </c>
    </row>
    <row r="1034" spans="15:20">
      <c r="O1034" s="3">
        <v>-505</v>
      </c>
      <c r="P1034" s="3">
        <v>34</v>
      </c>
      <c r="Q1034" s="3">
        <v>0</v>
      </c>
      <c r="R1034" s="7">
        <f t="shared" si="48"/>
        <v>-14.852941176470589</v>
      </c>
      <c r="S1034">
        <f t="shared" si="49"/>
        <v>34</v>
      </c>
      <c r="T1034" s="5" t="str">
        <f t="shared" si="50"/>
        <v>34</v>
      </c>
    </row>
    <row r="1035" spans="15:20">
      <c r="O1035" s="5">
        <v>132</v>
      </c>
      <c r="P1035" s="5">
        <v>261</v>
      </c>
      <c r="Q1035" s="5">
        <v>170</v>
      </c>
      <c r="R1035" s="7">
        <f t="shared" si="48"/>
        <v>0.50574712643678166</v>
      </c>
      <c r="S1035">
        <f t="shared" si="49"/>
        <v>91</v>
      </c>
      <c r="T1035" s="5" t="str">
        <f t="shared" si="50"/>
        <v>91</v>
      </c>
    </row>
    <row r="1036" spans="15:20">
      <c r="O1036" s="3">
        <v>-221</v>
      </c>
      <c r="P1036" s="3">
        <v>205</v>
      </c>
      <c r="Q1036" s="3">
        <v>220</v>
      </c>
      <c r="R1036" s="7">
        <f t="shared" si="48"/>
        <v>-1.0780487804878049</v>
      </c>
      <c r="S1036">
        <f t="shared" si="49"/>
        <v>-15</v>
      </c>
      <c r="T1036" s="5" t="str">
        <f t="shared" si="50"/>
        <v>-15</v>
      </c>
    </row>
    <row r="1037" spans="15:20">
      <c r="O1037" s="5">
        <v>321</v>
      </c>
      <c r="P1037" s="5">
        <v>614</v>
      </c>
      <c r="Q1037" s="5">
        <v>550</v>
      </c>
      <c r="R1037" s="7">
        <f t="shared" si="48"/>
        <v>0.5228013029315961</v>
      </c>
      <c r="S1037">
        <f t="shared" si="49"/>
        <v>64</v>
      </c>
      <c r="T1037" s="5" t="str">
        <f t="shared" si="50"/>
        <v>64</v>
      </c>
    </row>
    <row r="1038" spans="15:20">
      <c r="O1038" s="3">
        <v>-131</v>
      </c>
      <c r="P1038" s="3">
        <v>109</v>
      </c>
      <c r="Q1038" s="3">
        <v>120</v>
      </c>
      <c r="R1038" s="7">
        <f t="shared" si="48"/>
        <v>-1.201834862385321</v>
      </c>
      <c r="S1038">
        <f t="shared" si="49"/>
        <v>-11</v>
      </c>
      <c r="T1038" s="5" t="str">
        <f t="shared" si="50"/>
        <v>-11</v>
      </c>
    </row>
    <row r="1039" spans="15:20">
      <c r="O1039" s="5">
        <v>402</v>
      </c>
      <c r="P1039" s="5">
        <v>745</v>
      </c>
      <c r="Q1039" s="5">
        <v>830</v>
      </c>
      <c r="R1039" s="7">
        <f t="shared" si="48"/>
        <v>0.53959731543624156</v>
      </c>
      <c r="S1039">
        <f t="shared" si="49"/>
        <v>-85</v>
      </c>
      <c r="T1039" s="5" t="str">
        <f t="shared" si="50"/>
        <v>-85</v>
      </c>
    </row>
    <row r="1040" spans="15:20">
      <c r="O1040" s="3">
        <v>233</v>
      </c>
      <c r="P1040" s="3">
        <v>534</v>
      </c>
      <c r="Q1040" s="3">
        <v>480</v>
      </c>
      <c r="R1040" s="7">
        <f t="shared" si="48"/>
        <v>0.43632958801498128</v>
      </c>
      <c r="S1040">
        <f t="shared" si="49"/>
        <v>54</v>
      </c>
      <c r="T1040" s="5" t="str">
        <f t="shared" si="50"/>
        <v>54</v>
      </c>
    </row>
    <row r="1041" spans="15:20">
      <c r="O1041" s="5">
        <v>46</v>
      </c>
      <c r="P1041" s="5">
        <v>343</v>
      </c>
      <c r="Q1041" s="5">
        <v>310</v>
      </c>
      <c r="R1041" s="7">
        <f t="shared" si="48"/>
        <v>0.13411078717201166</v>
      </c>
      <c r="S1041">
        <f t="shared" si="49"/>
        <v>33</v>
      </c>
      <c r="T1041" s="5" t="str">
        <f t="shared" si="50"/>
        <v>33</v>
      </c>
    </row>
    <row r="1042" spans="15:20">
      <c r="O1042" s="3">
        <v>132</v>
      </c>
      <c r="P1042" s="3">
        <v>224</v>
      </c>
      <c r="Q1042" s="3">
        <v>190</v>
      </c>
      <c r="R1042" s="7">
        <f t="shared" si="48"/>
        <v>0.5892857142857143</v>
      </c>
      <c r="S1042">
        <f t="shared" si="49"/>
        <v>34</v>
      </c>
      <c r="T1042" s="5" t="str">
        <f t="shared" si="50"/>
        <v>34</v>
      </c>
    </row>
    <row r="1043" spans="15:20">
      <c r="O1043" s="5">
        <v>279</v>
      </c>
      <c r="P1043" s="5">
        <v>559</v>
      </c>
      <c r="Q1043" s="5">
        <v>480</v>
      </c>
      <c r="R1043" s="7">
        <f t="shared" si="48"/>
        <v>0.49910554561717352</v>
      </c>
      <c r="S1043">
        <f t="shared" si="49"/>
        <v>79</v>
      </c>
      <c r="T1043" s="5" t="str">
        <f t="shared" si="50"/>
        <v>79</v>
      </c>
    </row>
    <row r="1044" spans="15:20">
      <c r="O1044" s="3">
        <v>199</v>
      </c>
      <c r="P1044" s="3">
        <v>322</v>
      </c>
      <c r="Q1044" s="3">
        <v>220</v>
      </c>
      <c r="R1044" s="7">
        <f t="shared" si="48"/>
        <v>0.61801242236024845</v>
      </c>
      <c r="S1044">
        <f t="shared" si="49"/>
        <v>102</v>
      </c>
      <c r="T1044" s="5" t="str">
        <f t="shared" si="50"/>
        <v>102</v>
      </c>
    </row>
    <row r="1045" spans="15:20">
      <c r="O1045" s="5">
        <v>39</v>
      </c>
      <c r="P1045" s="5">
        <v>163</v>
      </c>
      <c r="Q1045" s="5">
        <v>180</v>
      </c>
      <c r="R1045" s="7">
        <f t="shared" si="48"/>
        <v>0.2392638036809816</v>
      </c>
      <c r="S1045">
        <f t="shared" si="49"/>
        <v>-17</v>
      </c>
      <c r="T1045" s="5" t="str">
        <f t="shared" si="50"/>
        <v>-17</v>
      </c>
    </row>
    <row r="1046" spans="15:20">
      <c r="O1046" s="3">
        <v>30</v>
      </c>
      <c r="P1046" s="3">
        <v>266</v>
      </c>
      <c r="Q1046" s="3">
        <v>290</v>
      </c>
      <c r="R1046" s="7">
        <f t="shared" si="48"/>
        <v>0.11278195488721804</v>
      </c>
      <c r="S1046">
        <f t="shared" si="49"/>
        <v>-24</v>
      </c>
      <c r="T1046" s="5" t="str">
        <f t="shared" si="50"/>
        <v>-24</v>
      </c>
    </row>
    <row r="1047" spans="15:20">
      <c r="O1047" s="5">
        <v>129</v>
      </c>
      <c r="P1047" s="5">
        <v>326</v>
      </c>
      <c r="Q1047" s="5">
        <v>290</v>
      </c>
      <c r="R1047" s="7">
        <f t="shared" si="48"/>
        <v>0.39570552147239263</v>
      </c>
      <c r="S1047">
        <f t="shared" si="49"/>
        <v>36</v>
      </c>
      <c r="T1047" s="5" t="str">
        <f t="shared" si="50"/>
        <v>36</v>
      </c>
    </row>
    <row r="1048" spans="15:20">
      <c r="O1048" s="3">
        <v>76</v>
      </c>
      <c r="P1048" s="3">
        <v>188</v>
      </c>
      <c r="Q1048" s="3">
        <v>170</v>
      </c>
      <c r="R1048" s="7">
        <f t="shared" si="48"/>
        <v>0.40425531914893614</v>
      </c>
      <c r="S1048">
        <f t="shared" si="49"/>
        <v>18</v>
      </c>
      <c r="T1048" s="5" t="str">
        <f t="shared" si="50"/>
        <v>18</v>
      </c>
    </row>
    <row r="1049" spans="15:20">
      <c r="O1049" s="5">
        <v>53</v>
      </c>
      <c r="P1049" s="5">
        <v>148</v>
      </c>
      <c r="Q1049" s="5">
        <v>160</v>
      </c>
      <c r="R1049" s="7">
        <f t="shared" si="48"/>
        <v>0.35810810810810811</v>
      </c>
      <c r="S1049">
        <f t="shared" si="49"/>
        <v>-12</v>
      </c>
      <c r="T1049" s="5" t="str">
        <f t="shared" si="50"/>
        <v>-12</v>
      </c>
    </row>
    <row r="1050" spans="15:20">
      <c r="O1050" s="3">
        <v>86</v>
      </c>
      <c r="P1050" s="3">
        <v>188</v>
      </c>
      <c r="Q1050" s="3">
        <v>200</v>
      </c>
      <c r="R1050" s="7">
        <f t="shared" si="48"/>
        <v>0.45744680851063829</v>
      </c>
      <c r="S1050">
        <f t="shared" si="49"/>
        <v>-12</v>
      </c>
      <c r="T1050" s="5" t="str">
        <f t="shared" si="50"/>
        <v>-12</v>
      </c>
    </row>
    <row r="1051" spans="15:20">
      <c r="O1051" s="5">
        <v>15</v>
      </c>
      <c r="P1051" s="5">
        <v>44</v>
      </c>
      <c r="Q1051" s="5">
        <v>30</v>
      </c>
      <c r="R1051" s="7">
        <f t="shared" si="48"/>
        <v>0.34090909090909088</v>
      </c>
      <c r="S1051">
        <f t="shared" si="49"/>
        <v>14</v>
      </c>
      <c r="T1051" s="5" t="str">
        <f t="shared" si="50"/>
        <v>14</v>
      </c>
    </row>
    <row r="1052" spans="15:20">
      <c r="O1052" s="3">
        <v>114</v>
      </c>
      <c r="P1052" s="3">
        <v>228</v>
      </c>
      <c r="Q1052" s="3">
        <v>200</v>
      </c>
      <c r="R1052" s="7">
        <f t="shared" si="48"/>
        <v>0.5</v>
      </c>
      <c r="S1052">
        <f t="shared" si="49"/>
        <v>28</v>
      </c>
      <c r="T1052" s="5" t="str">
        <f t="shared" si="50"/>
        <v>28</v>
      </c>
    </row>
    <row r="1053" spans="15:20">
      <c r="O1053" s="5">
        <v>47</v>
      </c>
      <c r="P1053" s="5">
        <v>343</v>
      </c>
      <c r="Q1053" s="5">
        <v>290</v>
      </c>
      <c r="R1053" s="7">
        <f t="shared" si="48"/>
        <v>0.13702623906705538</v>
      </c>
      <c r="S1053">
        <f t="shared" si="49"/>
        <v>53</v>
      </c>
      <c r="T1053" s="5" t="str">
        <f t="shared" si="50"/>
        <v>53</v>
      </c>
    </row>
    <row r="1054" spans="15:20">
      <c r="O1054" s="3">
        <v>156</v>
      </c>
      <c r="P1054" s="3">
        <v>308</v>
      </c>
      <c r="Q1054" s="3">
        <v>260</v>
      </c>
      <c r="R1054" s="7">
        <f t="shared" si="48"/>
        <v>0.50649350649350644</v>
      </c>
      <c r="S1054">
        <f t="shared" si="49"/>
        <v>48</v>
      </c>
      <c r="T1054" s="5" t="str">
        <f t="shared" si="50"/>
        <v>48</v>
      </c>
    </row>
    <row r="1055" spans="15:20">
      <c r="O1055" s="5">
        <v>288</v>
      </c>
      <c r="P1055" s="5">
        <v>569</v>
      </c>
      <c r="Q1055" s="5">
        <v>490</v>
      </c>
      <c r="R1055" s="7">
        <f t="shared" si="48"/>
        <v>0.5061511423550088</v>
      </c>
      <c r="S1055">
        <f t="shared" si="49"/>
        <v>79</v>
      </c>
      <c r="T1055" s="5" t="str">
        <f t="shared" si="50"/>
        <v>79</v>
      </c>
    </row>
    <row r="1056" spans="15:20">
      <c r="O1056" s="3">
        <v>98</v>
      </c>
      <c r="P1056" s="3">
        <v>197</v>
      </c>
      <c r="Q1056" s="3">
        <v>170</v>
      </c>
      <c r="R1056" s="7">
        <f t="shared" si="48"/>
        <v>0.49746192893401014</v>
      </c>
      <c r="S1056">
        <f t="shared" si="49"/>
        <v>27</v>
      </c>
      <c r="T1056" s="5" t="str">
        <f t="shared" si="50"/>
        <v>27</v>
      </c>
    </row>
    <row r="1057" spans="15:20">
      <c r="O1057" s="5">
        <v>181</v>
      </c>
      <c r="P1057" s="5">
        <v>332</v>
      </c>
      <c r="Q1057" s="5">
        <v>290</v>
      </c>
      <c r="R1057" s="7">
        <f t="shared" si="48"/>
        <v>0.54518072289156627</v>
      </c>
      <c r="S1057">
        <f t="shared" si="49"/>
        <v>42</v>
      </c>
      <c r="T1057" s="5" t="str">
        <f t="shared" si="50"/>
        <v>42</v>
      </c>
    </row>
    <row r="1058" spans="15:20">
      <c r="O1058" s="3">
        <v>319</v>
      </c>
      <c r="P1058" s="3">
        <v>614</v>
      </c>
      <c r="Q1058" s="3">
        <v>420</v>
      </c>
      <c r="R1058" s="7">
        <f t="shared" si="48"/>
        <v>0.51954397394136809</v>
      </c>
      <c r="S1058">
        <f t="shared" si="49"/>
        <v>194</v>
      </c>
      <c r="T1058" s="5" t="str">
        <f t="shared" si="50"/>
        <v>194</v>
      </c>
    </row>
    <row r="1059" spans="15:20">
      <c r="O1059" s="5">
        <v>233</v>
      </c>
      <c r="P1059" s="5">
        <v>534</v>
      </c>
      <c r="Q1059" s="5">
        <v>360</v>
      </c>
      <c r="R1059" s="7">
        <f t="shared" si="48"/>
        <v>0.43632958801498128</v>
      </c>
      <c r="S1059">
        <f t="shared" si="49"/>
        <v>174</v>
      </c>
      <c r="T1059" s="5" t="str">
        <f t="shared" si="50"/>
        <v>174</v>
      </c>
    </row>
    <row r="1060" spans="15:20">
      <c r="O1060" s="3">
        <v>108</v>
      </c>
      <c r="P1060" s="3">
        <v>236</v>
      </c>
      <c r="Q1060" s="3">
        <v>160</v>
      </c>
      <c r="R1060" s="7">
        <f t="shared" si="48"/>
        <v>0.4576271186440678</v>
      </c>
      <c r="S1060">
        <f t="shared" si="49"/>
        <v>76</v>
      </c>
      <c r="T1060" s="5" t="str">
        <f t="shared" si="50"/>
        <v>76</v>
      </c>
    </row>
    <row r="1061" spans="15:20">
      <c r="O1061" s="5">
        <v>-605</v>
      </c>
      <c r="P1061" s="5">
        <v>33</v>
      </c>
      <c r="Q1061" s="5">
        <v>0</v>
      </c>
      <c r="R1061" s="7">
        <f t="shared" si="48"/>
        <v>-18.333333333333332</v>
      </c>
      <c r="S1061">
        <f t="shared" si="49"/>
        <v>33</v>
      </c>
      <c r="T1061" s="5" t="str">
        <f t="shared" si="50"/>
        <v>33</v>
      </c>
    </row>
    <row r="1062" spans="15:20">
      <c r="O1062" s="3">
        <v>180</v>
      </c>
      <c r="P1062" s="3">
        <v>341</v>
      </c>
      <c r="Q1062" s="3">
        <v>230</v>
      </c>
      <c r="R1062" s="7">
        <f t="shared" si="48"/>
        <v>0.52785923753665687</v>
      </c>
      <c r="S1062">
        <f t="shared" si="49"/>
        <v>111</v>
      </c>
      <c r="T1062" s="5" t="str">
        <f t="shared" si="50"/>
        <v>111</v>
      </c>
    </row>
    <row r="1063" spans="15:20">
      <c r="O1063" s="5">
        <v>-22</v>
      </c>
      <c r="P1063" s="5">
        <v>48</v>
      </c>
      <c r="Q1063" s="5">
        <v>30</v>
      </c>
      <c r="R1063" s="7">
        <f t="shared" si="48"/>
        <v>-0.45833333333333331</v>
      </c>
      <c r="S1063">
        <f t="shared" si="49"/>
        <v>18</v>
      </c>
      <c r="T1063" s="35" t="str">
        <f t="shared" si="50"/>
        <v>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11593-7DC6-4D79-B1E4-0924A7F82FF5}">
  <dimension ref="A1:J72"/>
  <sheetViews>
    <sheetView topLeftCell="A10" workbookViewId="0">
      <selection activeCell="K62" sqref="K62"/>
    </sheetView>
  </sheetViews>
  <sheetFormatPr defaultRowHeight="14.4"/>
  <cols>
    <col min="7" max="8" width="12.5546875" bestFit="1" customWidth="1"/>
    <col min="9" max="9" width="11.6640625" bestFit="1" customWidth="1"/>
    <col min="10" max="10" width="12.109375" bestFit="1" customWidth="1"/>
    <col min="14" max="14" width="14" bestFit="1" customWidth="1"/>
    <col min="15" max="15" width="11.6640625" bestFit="1" customWidth="1"/>
    <col min="16" max="16" width="12.109375" bestFit="1" customWidth="1"/>
  </cols>
  <sheetData>
    <row r="1" spans="1:10" ht="18">
      <c r="A1" s="9" t="s">
        <v>154</v>
      </c>
    </row>
    <row r="3" spans="1:10">
      <c r="A3" t="s">
        <v>155</v>
      </c>
    </row>
    <row r="4" spans="1:10">
      <c r="A4" s="25"/>
    </row>
    <row r="5" spans="1:10">
      <c r="A5" s="26" t="s">
        <v>156</v>
      </c>
    </row>
    <row r="6" spans="1:10">
      <c r="A6" s="25"/>
      <c r="H6" s="17" t="s">
        <v>107</v>
      </c>
      <c r="I6" t="s">
        <v>103</v>
      </c>
      <c r="J6" t="s">
        <v>112</v>
      </c>
    </row>
    <row r="7" spans="1:10">
      <c r="A7" s="26" t="s">
        <v>157</v>
      </c>
      <c r="H7">
        <v>202895</v>
      </c>
      <c r="I7">
        <v>64311</v>
      </c>
      <c r="J7">
        <v>87508</v>
      </c>
    </row>
    <row r="8" spans="1:10">
      <c r="A8" s="25"/>
    </row>
    <row r="9" spans="1:10">
      <c r="A9" s="26" t="s">
        <v>158</v>
      </c>
    </row>
    <row r="11" spans="1:10">
      <c r="A11" s="28" t="s">
        <v>159</v>
      </c>
    </row>
    <row r="18" spans="1:9" ht="18">
      <c r="A18" s="9" t="s">
        <v>160</v>
      </c>
    </row>
    <row r="20" spans="1:9">
      <c r="G20" s="17" t="s">
        <v>115</v>
      </c>
      <c r="H20" s="17" t="s">
        <v>113</v>
      </c>
      <c r="I20" t="s">
        <v>103</v>
      </c>
    </row>
    <row r="21" spans="1:9">
      <c r="A21" t="s">
        <v>161</v>
      </c>
      <c r="G21" s="18" t="s">
        <v>17</v>
      </c>
      <c r="H21">
        <v>64981</v>
      </c>
      <c r="I21">
        <v>22901</v>
      </c>
    </row>
    <row r="22" spans="1:9">
      <c r="A22" s="25"/>
      <c r="G22" s="18" t="s">
        <v>25</v>
      </c>
      <c r="H22">
        <v>44108</v>
      </c>
      <c r="I22">
        <v>14745</v>
      </c>
    </row>
    <row r="23" spans="1:9">
      <c r="A23" s="26" t="s">
        <v>162</v>
      </c>
      <c r="G23" s="18" t="s">
        <v>23</v>
      </c>
      <c r="H23">
        <v>26388</v>
      </c>
      <c r="I23">
        <v>8396</v>
      </c>
    </row>
    <row r="24" spans="1:9">
      <c r="A24" s="25"/>
      <c r="G24" s="18" t="s">
        <v>29</v>
      </c>
      <c r="H24">
        <v>67418</v>
      </c>
      <c r="I24">
        <v>18269</v>
      </c>
    </row>
    <row r="25" spans="1:9">
      <c r="A25" s="26" t="s">
        <v>163</v>
      </c>
      <c r="G25" s="18" t="s">
        <v>116</v>
      </c>
      <c r="H25">
        <v>202895</v>
      </c>
      <c r="I25">
        <v>64311</v>
      </c>
    </row>
    <row r="26" spans="1:9">
      <c r="A26" s="25"/>
    </row>
    <row r="27" spans="1:9">
      <c r="A27" s="26" t="s">
        <v>164</v>
      </c>
    </row>
    <row r="28" spans="1:9">
      <c r="A28" s="25"/>
    </row>
    <row r="29" spans="1:9">
      <c r="A29" s="26" t="s">
        <v>165</v>
      </c>
    </row>
    <row r="41" spans="1:10" ht="18">
      <c r="A41" s="9" t="s">
        <v>166</v>
      </c>
    </row>
    <row r="43" spans="1:10">
      <c r="A43" t="s">
        <v>167</v>
      </c>
    </row>
    <row r="44" spans="1:10">
      <c r="A44" s="25"/>
      <c r="H44" s="17" t="s">
        <v>115</v>
      </c>
      <c r="I44" t="s">
        <v>113</v>
      </c>
      <c r="J44" t="s">
        <v>103</v>
      </c>
    </row>
    <row r="45" spans="1:10">
      <c r="A45" s="26" t="s">
        <v>168</v>
      </c>
      <c r="H45" s="18" t="s">
        <v>31</v>
      </c>
      <c r="I45">
        <v>23032</v>
      </c>
      <c r="J45">
        <v>7340</v>
      </c>
    </row>
    <row r="46" spans="1:10">
      <c r="A46" s="25"/>
      <c r="H46" s="18" t="s">
        <v>21</v>
      </c>
      <c r="I46">
        <v>12112</v>
      </c>
      <c r="J46">
        <v>4450</v>
      </c>
    </row>
    <row r="47" spans="1:10">
      <c r="A47" s="26" t="s">
        <v>174</v>
      </c>
      <c r="H47" s="18" t="s">
        <v>56</v>
      </c>
      <c r="I47">
        <v>16812</v>
      </c>
      <c r="J47">
        <v>7380</v>
      </c>
    </row>
    <row r="48" spans="1:10">
      <c r="A48" s="25"/>
      <c r="H48" s="18" t="s">
        <v>36</v>
      </c>
      <c r="I48">
        <v>13359</v>
      </c>
      <c r="J48">
        <v>5412</v>
      </c>
    </row>
    <row r="49" spans="1:10">
      <c r="A49" s="26" t="s">
        <v>169</v>
      </c>
      <c r="H49" s="18" t="s">
        <v>41</v>
      </c>
      <c r="I49">
        <v>14822</v>
      </c>
      <c r="J49">
        <v>2556</v>
      </c>
    </row>
    <row r="50" spans="1:10">
      <c r="A50" s="25"/>
      <c r="H50" s="18" t="s">
        <v>60</v>
      </c>
      <c r="I50">
        <v>17731</v>
      </c>
      <c r="J50">
        <v>5565</v>
      </c>
    </row>
    <row r="51" spans="1:10">
      <c r="A51" s="25"/>
      <c r="H51" s="18" t="s">
        <v>49</v>
      </c>
      <c r="I51">
        <v>10661</v>
      </c>
      <c r="J51">
        <v>3309</v>
      </c>
    </row>
    <row r="52" spans="1:10">
      <c r="A52" s="27"/>
      <c r="H52" s="18" t="s">
        <v>24</v>
      </c>
      <c r="I52">
        <v>9092</v>
      </c>
      <c r="J52">
        <v>3803</v>
      </c>
    </row>
    <row r="53" spans="1:10">
      <c r="A53" s="36" t="s">
        <v>170</v>
      </c>
      <c r="H53" s="18" t="s">
        <v>42</v>
      </c>
      <c r="I53">
        <v>9159</v>
      </c>
      <c r="J53">
        <v>2199</v>
      </c>
    </row>
    <row r="54" spans="1:10">
      <c r="A54" s="27"/>
      <c r="H54" s="18" t="s">
        <v>53</v>
      </c>
      <c r="I54">
        <v>9744</v>
      </c>
      <c r="J54">
        <v>2865</v>
      </c>
    </row>
    <row r="55" spans="1:10">
      <c r="A55" s="36"/>
      <c r="H55" s="18" t="s">
        <v>116</v>
      </c>
      <c r="I55">
        <v>136524</v>
      </c>
      <c r="J55">
        <v>44879</v>
      </c>
    </row>
    <row r="56" spans="1:10">
      <c r="A56" s="25"/>
    </row>
    <row r="57" spans="1:10">
      <c r="A57" s="26"/>
    </row>
    <row r="62" spans="1:10" ht="18">
      <c r="A62" s="9" t="s">
        <v>171</v>
      </c>
    </row>
    <row r="64" spans="1:10">
      <c r="A64" t="s">
        <v>172</v>
      </c>
    </row>
    <row r="65" spans="1:7">
      <c r="A65" s="25"/>
    </row>
    <row r="66" spans="1:7">
      <c r="A66" s="26" t="s">
        <v>173</v>
      </c>
      <c r="E66" t="s">
        <v>128</v>
      </c>
      <c r="F66" t="s">
        <v>113</v>
      </c>
      <c r="G66" t="s">
        <v>103</v>
      </c>
    </row>
    <row r="67" spans="1:7">
      <c r="A67" s="25"/>
      <c r="E67">
        <v>623426</v>
      </c>
      <c r="F67">
        <v>202895</v>
      </c>
      <c r="G67">
        <v>64311</v>
      </c>
    </row>
    <row r="68" spans="1:7">
      <c r="A68" s="26" t="s">
        <v>175</v>
      </c>
    </row>
    <row r="69" spans="1:7">
      <c r="A69" s="25"/>
    </row>
    <row r="70" spans="1:7">
      <c r="A70" s="38" t="s">
        <v>176</v>
      </c>
    </row>
    <row r="71" spans="1:7">
      <c r="A71" s="25"/>
    </row>
    <row r="72" spans="1:7">
      <c r="A72" s="26"/>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7DF6A-7DA5-4B36-B2C5-AC7B37360C78}">
  <dimension ref="A1:M37"/>
  <sheetViews>
    <sheetView topLeftCell="A16" workbookViewId="0">
      <selection activeCell="K41" sqref="K41"/>
    </sheetView>
  </sheetViews>
  <sheetFormatPr defaultRowHeight="14.4"/>
  <cols>
    <col min="10" max="10" width="12.5546875" bestFit="1" customWidth="1"/>
    <col min="11" max="11" width="12.109375" bestFit="1" customWidth="1"/>
  </cols>
  <sheetData>
    <row r="1" spans="1:11" ht="18">
      <c r="A1" s="9" t="s">
        <v>177</v>
      </c>
    </row>
    <row r="2" spans="1:11">
      <c r="J2" s="17" t="s">
        <v>115</v>
      </c>
      <c r="K2" t="s">
        <v>103</v>
      </c>
    </row>
    <row r="3" spans="1:11">
      <c r="J3" s="18" t="s">
        <v>38</v>
      </c>
      <c r="K3">
        <v>17485</v>
      </c>
    </row>
    <row r="4" spans="1:11">
      <c r="A4" t="s">
        <v>178</v>
      </c>
      <c r="J4" s="18" t="s">
        <v>34</v>
      </c>
      <c r="K4">
        <v>17880</v>
      </c>
    </row>
    <row r="5" spans="1:11">
      <c r="A5" s="25"/>
      <c r="J5" s="18" t="s">
        <v>19</v>
      </c>
      <c r="K5">
        <v>15906</v>
      </c>
    </row>
    <row r="6" spans="1:11">
      <c r="A6" s="26" t="s">
        <v>179</v>
      </c>
      <c r="J6" s="18" t="s">
        <v>26</v>
      </c>
      <c r="K6">
        <v>13040</v>
      </c>
    </row>
    <row r="7" spans="1:11">
      <c r="A7" s="25"/>
      <c r="J7" s="18" t="s">
        <v>116</v>
      </c>
      <c r="K7">
        <v>64311</v>
      </c>
    </row>
    <row r="8" spans="1:11">
      <c r="A8" s="26" t="s">
        <v>180</v>
      </c>
    </row>
    <row r="9" spans="1:11">
      <c r="A9" s="25"/>
    </row>
    <row r="10" spans="1:11">
      <c r="A10" s="26" t="s">
        <v>181</v>
      </c>
    </row>
    <row r="19" spans="1:11" ht="18">
      <c r="A19" s="9" t="s">
        <v>182</v>
      </c>
    </row>
    <row r="21" spans="1:11">
      <c r="A21" t="s">
        <v>183</v>
      </c>
    </row>
    <row r="22" spans="1:11">
      <c r="A22" s="25"/>
    </row>
    <row r="23" spans="1:11">
      <c r="A23" s="26" t="s">
        <v>184</v>
      </c>
    </row>
    <row r="24" spans="1:11">
      <c r="A24" s="25"/>
    </row>
    <row r="25" spans="1:11">
      <c r="A25" s="26" t="s">
        <v>185</v>
      </c>
    </row>
    <row r="26" spans="1:11">
      <c r="A26" s="25"/>
      <c r="I26" t="s">
        <v>186</v>
      </c>
      <c r="J26" t="s">
        <v>113</v>
      </c>
      <c r="K26" t="s">
        <v>187</v>
      </c>
    </row>
    <row r="27" spans="1:11">
      <c r="A27" s="25"/>
      <c r="I27" s="18" t="s">
        <v>38</v>
      </c>
      <c r="J27">
        <v>52373</v>
      </c>
      <c r="K27">
        <v>132.15151515151516</v>
      </c>
    </row>
    <row r="28" spans="1:11">
      <c r="A28" s="27"/>
      <c r="I28" s="18" t="s">
        <v>34</v>
      </c>
      <c r="J28">
        <v>56013</v>
      </c>
      <c r="K28">
        <v>129.70408163265307</v>
      </c>
    </row>
    <row r="29" spans="1:11">
      <c r="A29" s="27" t="s">
        <v>188</v>
      </c>
      <c r="I29" s="18" t="s">
        <v>19</v>
      </c>
      <c r="J29">
        <v>51685</v>
      </c>
      <c r="K29">
        <v>135.52651515151516</v>
      </c>
    </row>
    <row r="30" spans="1:11">
      <c r="A30" s="27"/>
      <c r="I30" s="18" t="s">
        <v>26</v>
      </c>
      <c r="J30">
        <v>42824</v>
      </c>
      <c r="K30">
        <v>124.1</v>
      </c>
    </row>
    <row r="31" spans="1:11">
      <c r="A31" s="27" t="s">
        <v>189</v>
      </c>
      <c r="I31" s="18" t="s">
        <v>116</v>
      </c>
      <c r="J31">
        <f>SUM(J27:J30)</f>
        <v>202895</v>
      </c>
      <c r="K31">
        <f>SUM(K27:K30)</f>
        <v>521.48211193568341</v>
      </c>
    </row>
    <row r="32" spans="1:11">
      <c r="A32" s="25"/>
    </row>
    <row r="33" spans="1:13">
      <c r="A33" s="26" t="s">
        <v>190</v>
      </c>
    </row>
    <row r="34" spans="1:13">
      <c r="A34" s="25"/>
      <c r="M34" s="18"/>
    </row>
    <row r="35" spans="1:13">
      <c r="A35" s="25"/>
      <c r="M35" s="18"/>
    </row>
    <row r="36" spans="1:13">
      <c r="A36" s="27"/>
      <c r="M36" s="18"/>
    </row>
    <row r="37" spans="1:13">
      <c r="A37" s="36"/>
      <c r="M37" s="18"/>
    </row>
  </sheetData>
  <conditionalFormatting sqref="J3:J7">
    <cfRule type="cellIs" dxfId="1" priority="2" operator="lessThan">
      <formula>38675.5</formula>
    </cfRule>
  </conditionalFormatting>
  <conditionalFormatting sqref="J2:K7">
    <cfRule type="cellIs" dxfId="0" priority="1" operator="lessThan">
      <formula>38675.5</formula>
    </cfRule>
  </conditionalFormatting>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CEDA-B098-44F3-BB29-66196B46C739}">
  <dimension ref="A1:Q1063"/>
  <sheetViews>
    <sheetView workbookViewId="0">
      <selection activeCell="N1063" sqref="N1:O1063"/>
    </sheetView>
  </sheetViews>
  <sheetFormatPr defaultRowHeight="14.4"/>
  <cols>
    <col min="13" max="13" width="22" bestFit="1" customWidth="1"/>
    <col min="14" max="14" width="11.88671875" bestFit="1" customWidth="1"/>
    <col min="15" max="15" width="7.44140625" bestFit="1" customWidth="1"/>
    <col min="16" max="16" width="17.109375" customWidth="1"/>
    <col min="17" max="17" width="15.77734375" customWidth="1"/>
  </cols>
  <sheetData>
    <row r="1" spans="1:17" ht="17.399999999999999">
      <c r="A1" s="24" t="s">
        <v>191</v>
      </c>
      <c r="N1" s="37" t="s">
        <v>5</v>
      </c>
      <c r="O1" s="37" t="s">
        <v>10</v>
      </c>
      <c r="P1" t="s">
        <v>64</v>
      </c>
      <c r="Q1" t="s">
        <v>224</v>
      </c>
    </row>
    <row r="2" spans="1:17" ht="18">
      <c r="A2" s="9" t="s">
        <v>192</v>
      </c>
      <c r="N2" s="3">
        <v>46</v>
      </c>
      <c r="O2" s="3">
        <v>122</v>
      </c>
      <c r="P2">
        <f>SUM(Table9[[#This Row],[Marketing]])</f>
        <v>46</v>
      </c>
      <c r="Q2">
        <f>SUM(Table9[[#This Row],[Sales]])</f>
        <v>122</v>
      </c>
    </row>
    <row r="3" spans="1:17" ht="18">
      <c r="A3" s="9" t="s">
        <v>193</v>
      </c>
      <c r="N3" s="5">
        <v>17</v>
      </c>
      <c r="O3" s="5">
        <v>123</v>
      </c>
      <c r="P3">
        <f>SUM(Table9[[#This Row],[Marketing]])</f>
        <v>17</v>
      </c>
      <c r="Q3">
        <f>SUM(Table9[[#This Row],[Sales]])</f>
        <v>123</v>
      </c>
    </row>
    <row r="4" spans="1:17" ht="18">
      <c r="A4" s="9" t="s">
        <v>194</v>
      </c>
      <c r="N4" s="3">
        <v>13</v>
      </c>
      <c r="O4" s="3">
        <v>107</v>
      </c>
      <c r="P4">
        <f>SUM(Table9[[#This Row],[Marketing]])</f>
        <v>13</v>
      </c>
      <c r="Q4">
        <f>SUM(Table9[[#This Row],[Sales]])</f>
        <v>107</v>
      </c>
    </row>
    <row r="5" spans="1:17">
      <c r="N5" s="5">
        <v>10</v>
      </c>
      <c r="O5" s="5">
        <v>94</v>
      </c>
      <c r="P5">
        <f>SUM(Table9[[#This Row],[Marketing]])</f>
        <v>10</v>
      </c>
      <c r="Q5">
        <f>SUM(Table9[[#This Row],[Sales]])</f>
        <v>94</v>
      </c>
    </row>
    <row r="6" spans="1:17">
      <c r="N6" s="3">
        <v>23</v>
      </c>
      <c r="O6" s="3">
        <v>182</v>
      </c>
      <c r="P6">
        <f>SUM(Table9[[#This Row],[Marketing]])</f>
        <v>23</v>
      </c>
      <c r="Q6">
        <f>SUM(Table9[[#This Row],[Sales]])</f>
        <v>182</v>
      </c>
    </row>
    <row r="7" spans="1:17" ht="22.8">
      <c r="A7" s="39" t="s">
        <v>195</v>
      </c>
      <c r="N7" s="5">
        <v>0</v>
      </c>
      <c r="O7" s="5">
        <v>43</v>
      </c>
      <c r="P7">
        <f>SUM(Table9[[#This Row],[Marketing]])</f>
        <v>0</v>
      </c>
      <c r="Q7">
        <f>SUM(Table9[[#This Row],[Sales]])</f>
        <v>43</v>
      </c>
    </row>
    <row r="8" spans="1:17">
      <c r="N8" s="3">
        <v>15</v>
      </c>
      <c r="O8" s="3">
        <v>111</v>
      </c>
      <c r="P8">
        <f>SUM(Table9[[#This Row],[Marketing]])</f>
        <v>15</v>
      </c>
      <c r="Q8">
        <f>SUM(Table9[[#This Row],[Sales]])</f>
        <v>111</v>
      </c>
    </row>
    <row r="9" spans="1:17">
      <c r="A9" s="29" t="s">
        <v>196</v>
      </c>
      <c r="N9" s="5">
        <v>7</v>
      </c>
      <c r="O9" s="5">
        <v>66</v>
      </c>
      <c r="P9">
        <f>SUM(Table9[[#This Row],[Marketing]])</f>
        <v>7</v>
      </c>
      <c r="Q9">
        <f>SUM(Table9[[#This Row],[Sales]])</f>
        <v>66</v>
      </c>
    </row>
    <row r="10" spans="1:17">
      <c r="A10" s="25"/>
      <c r="N10" s="3">
        <v>9</v>
      </c>
      <c r="O10" s="3">
        <v>68</v>
      </c>
      <c r="P10">
        <f>SUM(Table9[[#This Row],[Marketing]])</f>
        <v>9</v>
      </c>
      <c r="Q10">
        <f>SUM(Table9[[#This Row],[Sales]])</f>
        <v>68</v>
      </c>
    </row>
    <row r="11" spans="1:17">
      <c r="A11" s="40" t="s">
        <v>197</v>
      </c>
      <c r="N11" s="5">
        <v>11</v>
      </c>
      <c r="O11" s="5">
        <v>99</v>
      </c>
      <c r="P11">
        <f>SUM(Table9[[#This Row],[Marketing]])</f>
        <v>11</v>
      </c>
      <c r="Q11">
        <f>SUM(Table9[[#This Row],[Sales]])</f>
        <v>99</v>
      </c>
    </row>
    <row r="12" spans="1:17">
      <c r="A12" s="25"/>
      <c r="K12" s="18"/>
      <c r="N12" s="3">
        <v>15</v>
      </c>
      <c r="O12" s="3">
        <v>120</v>
      </c>
      <c r="P12">
        <f>SUM(Table9[[#This Row],[Marketing]])</f>
        <v>15</v>
      </c>
      <c r="Q12">
        <f>SUM(Table9[[#This Row],[Sales]])</f>
        <v>120</v>
      </c>
    </row>
    <row r="13" spans="1:17">
      <c r="A13" s="40" t="s">
        <v>198</v>
      </c>
      <c r="K13" s="18"/>
      <c r="N13" s="5">
        <v>14</v>
      </c>
      <c r="O13" s="5">
        <v>114</v>
      </c>
      <c r="P13">
        <f>SUM(Table9[[#This Row],[Marketing]])</f>
        <v>14</v>
      </c>
      <c r="Q13">
        <f>SUM(Table9[[#This Row],[Sales]])</f>
        <v>114</v>
      </c>
    </row>
    <row r="14" spans="1:17">
      <c r="A14" s="25"/>
      <c r="K14" s="18"/>
      <c r="N14" s="3">
        <v>41</v>
      </c>
      <c r="O14" s="3">
        <v>109</v>
      </c>
      <c r="P14">
        <f>SUM(Table9[[#This Row],[Marketing]])</f>
        <v>41</v>
      </c>
      <c r="Q14">
        <f>SUM(Table9[[#This Row],[Sales]])</f>
        <v>109</v>
      </c>
    </row>
    <row r="15" spans="1:17">
      <c r="A15" s="41"/>
      <c r="K15" s="18"/>
      <c r="N15" s="5">
        <v>54</v>
      </c>
      <c r="O15" s="5">
        <v>144</v>
      </c>
      <c r="P15">
        <f>SUM(Table9[[#This Row],[Marketing]])</f>
        <v>54</v>
      </c>
      <c r="Q15">
        <f>SUM(Table9[[#This Row],[Sales]])</f>
        <v>144</v>
      </c>
    </row>
    <row r="16" spans="1:17">
      <c r="A16" s="42" t="s">
        <v>199</v>
      </c>
      <c r="K16" s="18"/>
      <c r="N16" s="3">
        <v>12</v>
      </c>
      <c r="O16" s="3">
        <v>77</v>
      </c>
      <c r="P16">
        <f>SUM(Table9[[#This Row],[Marketing]])</f>
        <v>12</v>
      </c>
      <c r="Q16">
        <f>SUM(Table9[[#This Row],[Sales]])</f>
        <v>77</v>
      </c>
    </row>
    <row r="17" spans="1:17">
      <c r="A17" s="27"/>
      <c r="K17" s="18"/>
      <c r="N17" s="5">
        <v>20</v>
      </c>
      <c r="O17" s="5">
        <v>120</v>
      </c>
      <c r="P17">
        <f>SUM(Table9[[#This Row],[Marketing]])</f>
        <v>20</v>
      </c>
      <c r="Q17">
        <f>SUM(Table9[[#This Row],[Sales]])</f>
        <v>120</v>
      </c>
    </row>
    <row r="18" spans="1:17">
      <c r="A18" s="43" t="s">
        <v>200</v>
      </c>
      <c r="K18" s="18"/>
      <c r="N18" s="3">
        <v>41</v>
      </c>
      <c r="O18" s="3">
        <v>109</v>
      </c>
      <c r="P18">
        <f>SUM(Table9[[#This Row],[Marketing]])</f>
        <v>41</v>
      </c>
      <c r="Q18">
        <f>SUM(Table9[[#This Row],[Sales]])</f>
        <v>109</v>
      </c>
    </row>
    <row r="19" spans="1:17">
      <c r="A19" s="25"/>
      <c r="K19" s="18"/>
      <c r="N19" s="5">
        <v>13</v>
      </c>
      <c r="O19" s="5">
        <v>118</v>
      </c>
      <c r="P19">
        <f>SUM(Table9[[#This Row],[Marketing]])</f>
        <v>13</v>
      </c>
      <c r="Q19">
        <f>SUM(Table9[[#This Row],[Sales]])</f>
        <v>118</v>
      </c>
    </row>
    <row r="20" spans="1:17">
      <c r="A20" s="40" t="s">
        <v>201</v>
      </c>
      <c r="K20" s="18"/>
      <c r="N20" s="3">
        <v>15</v>
      </c>
      <c r="O20" s="3">
        <v>120</v>
      </c>
      <c r="P20">
        <f>SUM(Table9[[#This Row],[Marketing]])</f>
        <v>15</v>
      </c>
      <c r="Q20">
        <f>SUM(Table9[[#This Row],[Sales]])</f>
        <v>120</v>
      </c>
    </row>
    <row r="21" spans="1:17">
      <c r="A21" s="25"/>
      <c r="K21" s="18"/>
      <c r="N21" s="5">
        <v>13</v>
      </c>
      <c r="O21" s="5">
        <v>119</v>
      </c>
      <c r="P21">
        <f>SUM(Table9[[#This Row],[Marketing]])</f>
        <v>13</v>
      </c>
      <c r="Q21">
        <f>SUM(Table9[[#This Row],[Sales]])</f>
        <v>119</v>
      </c>
    </row>
    <row r="22" spans="1:17">
      <c r="A22" s="41"/>
      <c r="N22" s="3">
        <v>11</v>
      </c>
      <c r="O22" s="3">
        <v>99</v>
      </c>
      <c r="P22">
        <f>SUM(Table9[[#This Row],[Marketing]])</f>
        <v>11</v>
      </c>
      <c r="Q22">
        <f>SUM(Table9[[#This Row],[Sales]])</f>
        <v>99</v>
      </c>
    </row>
    <row r="23" spans="1:17">
      <c r="A23" s="42" t="s">
        <v>202</v>
      </c>
      <c r="N23" s="5">
        <v>27</v>
      </c>
      <c r="O23" s="5">
        <v>205</v>
      </c>
      <c r="P23">
        <f>SUM(Table9[[#This Row],[Marketing]])</f>
        <v>27</v>
      </c>
      <c r="Q23">
        <f>SUM(Table9[[#This Row],[Sales]])</f>
        <v>205</v>
      </c>
    </row>
    <row r="24" spans="1:17">
      <c r="A24" s="27"/>
      <c r="N24" s="3">
        <v>28</v>
      </c>
      <c r="O24" s="3">
        <v>218</v>
      </c>
      <c r="P24">
        <f>SUM(Table9[[#This Row],[Marketing]])</f>
        <v>28</v>
      </c>
      <c r="Q24">
        <f>SUM(Table9[[#This Row],[Sales]])</f>
        <v>218</v>
      </c>
    </row>
    <row r="25" spans="1:17">
      <c r="A25" s="42" t="s">
        <v>203</v>
      </c>
      <c r="N25" s="5">
        <v>13</v>
      </c>
      <c r="O25" s="5">
        <v>92</v>
      </c>
      <c r="P25">
        <f>SUM(Table9[[#This Row],[Marketing]])</f>
        <v>13</v>
      </c>
      <c r="Q25">
        <f>SUM(Table9[[#This Row],[Sales]])</f>
        <v>92</v>
      </c>
    </row>
    <row r="26" spans="1:17">
      <c r="N26" s="3">
        <v>14</v>
      </c>
      <c r="O26" s="3">
        <v>123</v>
      </c>
      <c r="P26">
        <f>SUM(Table9[[#This Row],[Marketing]])</f>
        <v>14</v>
      </c>
      <c r="Q26">
        <f>SUM(Table9[[#This Row],[Sales]])</f>
        <v>123</v>
      </c>
    </row>
    <row r="27" spans="1:17" ht="22.8">
      <c r="A27" s="39" t="s">
        <v>204</v>
      </c>
      <c r="N27" s="5">
        <v>13</v>
      </c>
      <c r="O27" s="5">
        <v>92</v>
      </c>
      <c r="P27">
        <f>SUM(Table9[[#This Row],[Marketing]])</f>
        <v>13</v>
      </c>
      <c r="Q27">
        <f>SUM(Table9[[#This Row],[Sales]])</f>
        <v>92</v>
      </c>
    </row>
    <row r="28" spans="1:17">
      <c r="N28" s="3">
        <v>47</v>
      </c>
      <c r="O28" s="3">
        <v>120</v>
      </c>
      <c r="P28">
        <f>SUM(Table9[[#This Row],[Marketing]])</f>
        <v>47</v>
      </c>
      <c r="Q28">
        <f>SUM(Table9[[#This Row],[Sales]])</f>
        <v>120</v>
      </c>
    </row>
    <row r="29" spans="1:17">
      <c r="A29" s="29" t="s">
        <v>205</v>
      </c>
      <c r="N29" s="5">
        <v>23</v>
      </c>
      <c r="O29" s="5">
        <v>164</v>
      </c>
      <c r="P29">
        <f>SUM(Table9[[#This Row],[Marketing]])</f>
        <v>23</v>
      </c>
      <c r="Q29">
        <f>SUM(Table9[[#This Row],[Sales]])</f>
        <v>164</v>
      </c>
    </row>
    <row r="30" spans="1:17">
      <c r="N30" s="3">
        <v>14</v>
      </c>
      <c r="O30" s="3">
        <v>114</v>
      </c>
      <c r="P30">
        <f>SUM(Table9[[#This Row],[Marketing]])</f>
        <v>14</v>
      </c>
      <c r="Q30">
        <f>SUM(Table9[[#This Row],[Sales]])</f>
        <v>114</v>
      </c>
    </row>
    <row r="31" spans="1:17" ht="17.399999999999999">
      <c r="A31" s="30" t="s">
        <v>206</v>
      </c>
      <c r="N31" s="5">
        <v>20</v>
      </c>
      <c r="O31" s="5">
        <v>124</v>
      </c>
      <c r="P31">
        <f>SUM(Table9[[#This Row],[Marketing]])</f>
        <v>20</v>
      </c>
      <c r="Q31">
        <f>SUM(Table9[[#This Row],[Sales]])</f>
        <v>124</v>
      </c>
    </row>
    <row r="32" spans="1:17" ht="18">
      <c r="A32" s="20"/>
      <c r="C32" s="44" t="s">
        <v>207</v>
      </c>
      <c r="N32" s="3">
        <v>14</v>
      </c>
      <c r="O32" s="3">
        <v>123</v>
      </c>
      <c r="P32">
        <f>SUM(Table9[[#This Row],[Marketing]])</f>
        <v>14</v>
      </c>
      <c r="Q32">
        <f>SUM(Table9[[#This Row],[Sales]])</f>
        <v>123</v>
      </c>
    </row>
    <row r="33" spans="1:17">
      <c r="A33" s="29"/>
      <c r="N33" s="5">
        <v>17</v>
      </c>
      <c r="O33" s="5">
        <v>125</v>
      </c>
      <c r="P33">
        <f>SUM(Table9[[#This Row],[Marketing]])</f>
        <v>17</v>
      </c>
      <c r="Q33">
        <f>SUM(Table9[[#This Row],[Sales]])</f>
        <v>125</v>
      </c>
    </row>
    <row r="34" spans="1:17" ht="17.399999999999999">
      <c r="A34" s="30" t="s">
        <v>208</v>
      </c>
      <c r="N34" s="3">
        <v>10</v>
      </c>
      <c r="O34" s="3">
        <v>88</v>
      </c>
      <c r="P34">
        <f>SUM(Table9[[#This Row],[Marketing]])</f>
        <v>10</v>
      </c>
      <c r="Q34">
        <f>SUM(Table9[[#This Row],[Sales]])</f>
        <v>88</v>
      </c>
    </row>
    <row r="35" spans="1:17">
      <c r="N35" s="5">
        <v>9</v>
      </c>
      <c r="O35" s="5">
        <v>81</v>
      </c>
      <c r="P35">
        <f>SUM(Table9[[#This Row],[Marketing]])</f>
        <v>9</v>
      </c>
      <c r="Q35">
        <f>SUM(Table9[[#This Row],[Sales]])</f>
        <v>81</v>
      </c>
    </row>
    <row r="36" spans="1:17">
      <c r="A36" s="29" t="s">
        <v>209</v>
      </c>
      <c r="N36" s="3">
        <v>8</v>
      </c>
      <c r="O36" s="3">
        <v>78</v>
      </c>
      <c r="P36">
        <f>SUM(Table9[[#This Row],[Marketing]])</f>
        <v>8</v>
      </c>
      <c r="Q36">
        <f>SUM(Table9[[#This Row],[Sales]])</f>
        <v>78</v>
      </c>
    </row>
    <row r="37" spans="1:17">
      <c r="A37" s="20"/>
      <c r="N37" s="5">
        <v>10</v>
      </c>
      <c r="O37" s="5">
        <v>88</v>
      </c>
      <c r="P37">
        <f>SUM(Table9[[#This Row],[Marketing]])</f>
        <v>10</v>
      </c>
      <c r="Q37">
        <f>SUM(Table9[[#This Row],[Sales]])</f>
        <v>88</v>
      </c>
    </row>
    <row r="38" spans="1:17">
      <c r="A38" s="29"/>
      <c r="N38" s="3">
        <v>15</v>
      </c>
      <c r="O38" s="3">
        <v>120</v>
      </c>
      <c r="P38">
        <f>SUM(Table9[[#This Row],[Marketing]])</f>
        <v>15</v>
      </c>
      <c r="Q38">
        <f>SUM(Table9[[#This Row],[Sales]])</f>
        <v>120</v>
      </c>
    </row>
    <row r="39" spans="1:17">
      <c r="A39" s="40" t="s">
        <v>210</v>
      </c>
      <c r="N39" s="5">
        <v>20</v>
      </c>
      <c r="O39" s="5">
        <v>121</v>
      </c>
      <c r="P39">
        <f>SUM(Table9[[#This Row],[Marketing]])</f>
        <v>20</v>
      </c>
      <c r="Q39">
        <f>SUM(Table9[[#This Row],[Sales]])</f>
        <v>121</v>
      </c>
    </row>
    <row r="40" spans="1:17">
      <c r="N40" s="3">
        <v>14</v>
      </c>
      <c r="O40" s="3">
        <v>113</v>
      </c>
      <c r="P40">
        <f>SUM(Table9[[#This Row],[Marketing]])</f>
        <v>14</v>
      </c>
      <c r="Q40">
        <f>SUM(Table9[[#This Row],[Sales]])</f>
        <v>113</v>
      </c>
    </row>
    <row r="41" spans="1:17" ht="22.8">
      <c r="A41" s="39" t="s">
        <v>211</v>
      </c>
      <c r="N41" s="5">
        <v>14</v>
      </c>
      <c r="O41" s="5">
        <v>109</v>
      </c>
      <c r="P41">
        <f>SUM(Table9[[#This Row],[Marketing]])</f>
        <v>14</v>
      </c>
      <c r="Q41">
        <f>SUM(Table9[[#This Row],[Sales]])</f>
        <v>109</v>
      </c>
    </row>
    <row r="42" spans="1:17">
      <c r="N42" s="3">
        <v>40</v>
      </c>
      <c r="O42" s="3">
        <v>106</v>
      </c>
      <c r="P42">
        <f>SUM(Table9[[#This Row],[Marketing]])</f>
        <v>40</v>
      </c>
      <c r="Q42">
        <f>SUM(Table9[[#This Row],[Sales]])</f>
        <v>106</v>
      </c>
    </row>
    <row r="43" spans="1:17">
      <c r="A43" s="29" t="s">
        <v>212</v>
      </c>
      <c r="N43" s="5">
        <v>16</v>
      </c>
      <c r="O43" s="5">
        <v>141</v>
      </c>
      <c r="P43">
        <f>SUM(Table9[[#This Row],[Marketing]])</f>
        <v>16</v>
      </c>
      <c r="Q43">
        <f>SUM(Table9[[#This Row],[Sales]])</f>
        <v>141</v>
      </c>
    </row>
    <row r="44" spans="1:17">
      <c r="N44" s="3">
        <v>20</v>
      </c>
      <c r="O44" s="3">
        <v>121</v>
      </c>
      <c r="P44">
        <f>SUM(Table9[[#This Row],[Marketing]])</f>
        <v>20</v>
      </c>
      <c r="Q44">
        <f>SUM(Table9[[#This Row],[Sales]])</f>
        <v>121</v>
      </c>
    </row>
    <row r="45" spans="1:17" ht="17.399999999999999">
      <c r="A45" s="30" t="s">
        <v>213</v>
      </c>
      <c r="N45" s="5">
        <v>20</v>
      </c>
      <c r="O45" s="5">
        <v>121</v>
      </c>
      <c r="P45">
        <f>SUM(Table9[[#This Row],[Marketing]])</f>
        <v>20</v>
      </c>
      <c r="Q45">
        <f>SUM(Table9[[#This Row],[Sales]])</f>
        <v>121</v>
      </c>
    </row>
    <row r="46" spans="1:17">
      <c r="N46" s="3">
        <v>14</v>
      </c>
      <c r="O46" s="3">
        <v>113</v>
      </c>
      <c r="P46">
        <f>SUM(Table9[[#This Row],[Marketing]])</f>
        <v>14</v>
      </c>
      <c r="Q46">
        <f>SUM(Table9[[#This Row],[Sales]])</f>
        <v>113</v>
      </c>
    </row>
    <row r="47" spans="1:17">
      <c r="N47" s="5">
        <v>14</v>
      </c>
      <c r="O47" s="5">
        <v>109</v>
      </c>
      <c r="P47">
        <f>SUM(Table9[[#This Row],[Marketing]])</f>
        <v>14</v>
      </c>
      <c r="Q47">
        <f>SUM(Table9[[#This Row],[Sales]])</f>
        <v>109</v>
      </c>
    </row>
    <row r="48" spans="1:17">
      <c r="N48" s="3">
        <v>13</v>
      </c>
      <c r="O48" s="3">
        <v>115</v>
      </c>
      <c r="P48">
        <f>SUM(Table9[[#This Row],[Marketing]])</f>
        <v>13</v>
      </c>
      <c r="Q48">
        <f>SUM(Table9[[#This Row],[Sales]])</f>
        <v>115</v>
      </c>
    </row>
    <row r="49" spans="1:17">
      <c r="A49" s="28" t="s">
        <v>214</v>
      </c>
      <c r="B49" s="28" t="s">
        <v>64</v>
      </c>
      <c r="C49" s="28" t="s">
        <v>215</v>
      </c>
      <c r="D49" s="28" t="s">
        <v>216</v>
      </c>
      <c r="E49" s="28" t="s">
        <v>217</v>
      </c>
      <c r="F49" s="28" t="s">
        <v>218</v>
      </c>
      <c r="N49" s="5">
        <v>10</v>
      </c>
      <c r="O49" s="5">
        <v>90</v>
      </c>
      <c r="P49">
        <f>SUM(Table9[[#This Row],[Marketing]])</f>
        <v>10</v>
      </c>
      <c r="Q49">
        <f>SUM(Table9[[#This Row],[Sales]])</f>
        <v>90</v>
      </c>
    </row>
    <row r="50" spans="1:17">
      <c r="A50" s="45" t="s">
        <v>219</v>
      </c>
      <c r="B50" s="46" t="s">
        <v>220</v>
      </c>
      <c r="C50" s="45" t="s">
        <v>221</v>
      </c>
      <c r="D50" s="47">
        <v>3</v>
      </c>
      <c r="E50" s="47">
        <v>0.4</v>
      </c>
      <c r="F50" s="47">
        <v>0.25</v>
      </c>
      <c r="N50" s="3">
        <v>55</v>
      </c>
      <c r="O50" s="3">
        <v>147</v>
      </c>
      <c r="P50">
        <f>SUM(Table9[[#This Row],[Marketing]])</f>
        <v>55</v>
      </c>
      <c r="Q50">
        <f>SUM(Table9[[#This Row],[Sales]])</f>
        <v>147</v>
      </c>
    </row>
    <row r="51" spans="1:17">
      <c r="A51" s="45" t="s">
        <v>23</v>
      </c>
      <c r="B51" s="45" t="s">
        <v>222</v>
      </c>
      <c r="C51" s="45" t="s">
        <v>223</v>
      </c>
      <c r="D51" s="47">
        <v>6.5</v>
      </c>
      <c r="E51" s="47">
        <v>0.15</v>
      </c>
      <c r="F51" s="47">
        <v>0.18</v>
      </c>
      <c r="N51" s="5">
        <v>14</v>
      </c>
      <c r="O51" s="5">
        <v>99</v>
      </c>
      <c r="P51">
        <f>SUM(Table9[[#This Row],[Marketing]])</f>
        <v>14</v>
      </c>
      <c r="Q51">
        <f>SUM(Table9[[#This Row],[Sales]])</f>
        <v>99</v>
      </c>
    </row>
    <row r="52" spans="1:17">
      <c r="N52" s="3">
        <v>15</v>
      </c>
      <c r="O52" s="3">
        <v>133</v>
      </c>
      <c r="P52">
        <f>SUM(Table9[[#This Row],[Marketing]])</f>
        <v>15</v>
      </c>
      <c r="Q52">
        <f>SUM(Table9[[#This Row],[Sales]])</f>
        <v>133</v>
      </c>
    </row>
    <row r="53" spans="1:17">
      <c r="N53" s="5">
        <v>42</v>
      </c>
      <c r="O53" s="5">
        <v>112</v>
      </c>
      <c r="P53">
        <f>SUM(Table9[[#This Row],[Marketing]])</f>
        <v>42</v>
      </c>
      <c r="Q53">
        <f>SUM(Table9[[#This Row],[Sales]])</f>
        <v>112</v>
      </c>
    </row>
    <row r="54" spans="1:17">
      <c r="N54" s="3">
        <v>17</v>
      </c>
      <c r="O54" s="3">
        <v>127</v>
      </c>
      <c r="P54">
        <f>SUM(Table9[[#This Row],[Marketing]])</f>
        <v>17</v>
      </c>
      <c r="Q54">
        <f>SUM(Table9[[#This Row],[Sales]])</f>
        <v>127</v>
      </c>
    </row>
    <row r="55" spans="1:17">
      <c r="N55" s="5">
        <v>24</v>
      </c>
      <c r="O55" s="5">
        <v>145</v>
      </c>
      <c r="P55">
        <f>SUM(Table9[[#This Row],[Marketing]])</f>
        <v>24</v>
      </c>
      <c r="Q55">
        <f>SUM(Table9[[#This Row],[Sales]])</f>
        <v>145</v>
      </c>
    </row>
    <row r="56" spans="1:17">
      <c r="N56" s="3">
        <v>24</v>
      </c>
      <c r="O56" s="3">
        <v>176</v>
      </c>
      <c r="P56">
        <f>SUM(Table9[[#This Row],[Marketing]])</f>
        <v>24</v>
      </c>
      <c r="Q56">
        <f>SUM(Table9[[#This Row],[Sales]])</f>
        <v>176</v>
      </c>
    </row>
    <row r="57" spans="1:17">
      <c r="N57" s="5">
        <v>17</v>
      </c>
      <c r="O57" s="5">
        <v>127</v>
      </c>
      <c r="P57">
        <f>SUM(Table9[[#This Row],[Marketing]])</f>
        <v>17</v>
      </c>
      <c r="Q57">
        <f>SUM(Table9[[#This Row],[Sales]])</f>
        <v>127</v>
      </c>
    </row>
    <row r="58" spans="1:17">
      <c r="N58" s="3">
        <v>13</v>
      </c>
      <c r="O58" s="3">
        <v>101</v>
      </c>
      <c r="P58">
        <f>SUM(Table9[[#This Row],[Marketing]])</f>
        <v>13</v>
      </c>
      <c r="Q58">
        <f>SUM(Table9[[#This Row],[Sales]])</f>
        <v>101</v>
      </c>
    </row>
    <row r="59" spans="1:17">
      <c r="N59" s="5">
        <v>15</v>
      </c>
      <c r="O59" s="5">
        <v>133</v>
      </c>
      <c r="P59">
        <f>SUM(Table9[[#This Row],[Marketing]])</f>
        <v>15</v>
      </c>
      <c r="Q59">
        <f>SUM(Table9[[#This Row],[Sales]])</f>
        <v>133</v>
      </c>
    </row>
    <row r="60" spans="1:17">
      <c r="N60" s="3">
        <v>8</v>
      </c>
      <c r="O60" s="3">
        <v>77</v>
      </c>
      <c r="P60">
        <f>SUM(Table9[[#This Row],[Marketing]])</f>
        <v>8</v>
      </c>
      <c r="Q60">
        <f>SUM(Table9[[#This Row],[Sales]])</f>
        <v>77</v>
      </c>
    </row>
    <row r="61" spans="1:17">
      <c r="N61" s="5">
        <v>9</v>
      </c>
      <c r="O61" s="5">
        <v>85</v>
      </c>
      <c r="P61">
        <f>SUM(Table9[[#This Row],[Marketing]])</f>
        <v>9</v>
      </c>
      <c r="Q61">
        <f>SUM(Table9[[#This Row],[Sales]])</f>
        <v>85</v>
      </c>
    </row>
    <row r="62" spans="1:17">
      <c r="N62" s="3">
        <v>9</v>
      </c>
      <c r="O62" s="3">
        <v>82</v>
      </c>
      <c r="P62">
        <f>SUM(Table9[[#This Row],[Marketing]])</f>
        <v>9</v>
      </c>
      <c r="Q62">
        <f>SUM(Table9[[#This Row],[Sales]])</f>
        <v>82</v>
      </c>
    </row>
    <row r="63" spans="1:17">
      <c r="N63" s="5">
        <v>15</v>
      </c>
      <c r="O63" s="5">
        <v>122</v>
      </c>
      <c r="P63">
        <f>SUM(Table9[[#This Row],[Marketing]])</f>
        <v>15</v>
      </c>
      <c r="Q63">
        <f>SUM(Table9[[#This Row],[Sales]])</f>
        <v>122</v>
      </c>
    </row>
    <row r="64" spans="1:17">
      <c r="N64" s="3">
        <v>49</v>
      </c>
      <c r="O64" s="3">
        <v>131</v>
      </c>
      <c r="P64">
        <f>SUM(Table9[[#This Row],[Marketing]])</f>
        <v>49</v>
      </c>
      <c r="Q64">
        <f>SUM(Table9[[#This Row],[Sales]])</f>
        <v>131</v>
      </c>
    </row>
    <row r="65" spans="14:17">
      <c r="N65" s="5">
        <v>44</v>
      </c>
      <c r="O65" s="5">
        <v>118</v>
      </c>
      <c r="P65">
        <f>SUM(Table9[[#This Row],[Marketing]])</f>
        <v>44</v>
      </c>
      <c r="Q65">
        <f>SUM(Table9[[#This Row],[Sales]])</f>
        <v>118</v>
      </c>
    </row>
    <row r="66" spans="14:17">
      <c r="N66" s="3">
        <v>14</v>
      </c>
      <c r="O66" s="3">
        <v>88</v>
      </c>
      <c r="P66">
        <f>SUM(Table9[[#This Row],[Marketing]])</f>
        <v>14</v>
      </c>
      <c r="Q66">
        <f>SUM(Table9[[#This Row],[Sales]])</f>
        <v>88</v>
      </c>
    </row>
    <row r="67" spans="14:17">
      <c r="N67" s="5">
        <v>44</v>
      </c>
      <c r="O67" s="5">
        <v>118</v>
      </c>
      <c r="P67">
        <f>SUM(Table9[[#This Row],[Marketing]])</f>
        <v>44</v>
      </c>
      <c r="Q67">
        <f>SUM(Table9[[#This Row],[Sales]])</f>
        <v>118</v>
      </c>
    </row>
    <row r="68" spans="14:17">
      <c r="N68" s="3">
        <v>12</v>
      </c>
      <c r="O68" s="3">
        <v>107</v>
      </c>
      <c r="P68">
        <f>SUM(Table9[[#This Row],[Marketing]])</f>
        <v>12</v>
      </c>
      <c r="Q68">
        <f>SUM(Table9[[#This Row],[Sales]])</f>
        <v>107</v>
      </c>
    </row>
    <row r="69" spans="14:17">
      <c r="N69" s="5">
        <v>28</v>
      </c>
      <c r="O69" s="5">
        <v>160</v>
      </c>
      <c r="P69">
        <f>SUM(Table9[[#This Row],[Marketing]])</f>
        <v>28</v>
      </c>
      <c r="Q69">
        <f>SUM(Table9[[#This Row],[Sales]])</f>
        <v>160</v>
      </c>
    </row>
    <row r="70" spans="14:17">
      <c r="N70" s="3">
        <v>25</v>
      </c>
      <c r="O70" s="3">
        <v>153</v>
      </c>
      <c r="P70">
        <f>SUM(Table9[[#This Row],[Marketing]])</f>
        <v>25</v>
      </c>
      <c r="Q70">
        <f>SUM(Table9[[#This Row],[Sales]])</f>
        <v>153</v>
      </c>
    </row>
    <row r="71" spans="14:17">
      <c r="N71" s="5">
        <v>19</v>
      </c>
      <c r="O71" s="5">
        <v>139</v>
      </c>
      <c r="P71">
        <f>SUM(Table9[[#This Row],[Marketing]])</f>
        <v>19</v>
      </c>
      <c r="Q71">
        <f>SUM(Table9[[#This Row],[Sales]])</f>
        <v>139</v>
      </c>
    </row>
    <row r="72" spans="14:17">
      <c r="N72" s="3">
        <v>28</v>
      </c>
      <c r="O72" s="3">
        <v>160</v>
      </c>
      <c r="P72">
        <f>SUM(Table9[[#This Row],[Marketing]])</f>
        <v>28</v>
      </c>
      <c r="Q72">
        <f>SUM(Table9[[#This Row],[Sales]])</f>
        <v>160</v>
      </c>
    </row>
    <row r="73" spans="14:17">
      <c r="N73" s="5">
        <v>49</v>
      </c>
      <c r="O73" s="5">
        <v>131</v>
      </c>
      <c r="P73">
        <f>SUM(Table9[[#This Row],[Marketing]])</f>
        <v>49</v>
      </c>
      <c r="Q73">
        <f>SUM(Table9[[#This Row],[Sales]])</f>
        <v>131</v>
      </c>
    </row>
    <row r="74" spans="14:17">
      <c r="N74" s="3">
        <v>46</v>
      </c>
      <c r="O74" s="3">
        <v>130</v>
      </c>
      <c r="P74">
        <f>SUM(Table9[[#This Row],[Marketing]])</f>
        <v>46</v>
      </c>
      <c r="Q74">
        <f>SUM(Table9[[#This Row],[Sales]])</f>
        <v>130</v>
      </c>
    </row>
    <row r="75" spans="14:17">
      <c r="N75" s="5">
        <v>17</v>
      </c>
      <c r="O75" s="5">
        <v>131</v>
      </c>
      <c r="P75">
        <f>SUM(Table9[[#This Row],[Marketing]])</f>
        <v>17</v>
      </c>
      <c r="Q75">
        <f>SUM(Table9[[#This Row],[Sales]])</f>
        <v>131</v>
      </c>
    </row>
    <row r="76" spans="14:17">
      <c r="N76" s="3">
        <v>13</v>
      </c>
      <c r="O76" s="3">
        <v>114</v>
      </c>
      <c r="P76">
        <f>SUM(Table9[[#This Row],[Marketing]])</f>
        <v>13</v>
      </c>
      <c r="Q76">
        <f>SUM(Table9[[#This Row],[Sales]])</f>
        <v>114</v>
      </c>
    </row>
    <row r="77" spans="14:17">
      <c r="N77" s="5">
        <v>10</v>
      </c>
      <c r="O77" s="5">
        <v>100</v>
      </c>
      <c r="P77">
        <f>SUM(Table9[[#This Row],[Marketing]])</f>
        <v>10</v>
      </c>
      <c r="Q77">
        <f>SUM(Table9[[#This Row],[Sales]])</f>
        <v>100</v>
      </c>
    </row>
    <row r="78" spans="14:17">
      <c r="N78" s="3">
        <v>23</v>
      </c>
      <c r="O78" s="3">
        <v>194</v>
      </c>
      <c r="P78">
        <f>SUM(Table9[[#This Row],[Marketing]])</f>
        <v>23</v>
      </c>
      <c r="Q78">
        <f>SUM(Table9[[#This Row],[Sales]])</f>
        <v>194</v>
      </c>
    </row>
    <row r="79" spans="14:17">
      <c r="N79" s="5">
        <v>0</v>
      </c>
      <c r="O79" s="5">
        <v>46</v>
      </c>
      <c r="P79">
        <f>SUM(Table9[[#This Row],[Marketing]])</f>
        <v>0</v>
      </c>
      <c r="Q79">
        <f>SUM(Table9[[#This Row],[Sales]])</f>
        <v>46</v>
      </c>
    </row>
    <row r="80" spans="14:17">
      <c r="N80" s="3">
        <v>15</v>
      </c>
      <c r="O80" s="3">
        <v>118</v>
      </c>
      <c r="P80">
        <f>SUM(Table9[[#This Row],[Marketing]])</f>
        <v>15</v>
      </c>
      <c r="Q80">
        <f>SUM(Table9[[#This Row],[Sales]])</f>
        <v>118</v>
      </c>
    </row>
    <row r="81" spans="14:17">
      <c r="N81" s="5">
        <v>7</v>
      </c>
      <c r="O81" s="5">
        <v>70</v>
      </c>
      <c r="P81">
        <f>SUM(Table9[[#This Row],[Marketing]])</f>
        <v>7</v>
      </c>
      <c r="Q81">
        <f>SUM(Table9[[#This Row],[Sales]])</f>
        <v>70</v>
      </c>
    </row>
    <row r="82" spans="14:17">
      <c r="N82" s="3">
        <v>9</v>
      </c>
      <c r="O82" s="3">
        <v>72</v>
      </c>
      <c r="P82">
        <f>SUM(Table9[[#This Row],[Marketing]])</f>
        <v>9</v>
      </c>
      <c r="Q82">
        <f>SUM(Table9[[#This Row],[Sales]])</f>
        <v>72</v>
      </c>
    </row>
    <row r="83" spans="14:17">
      <c r="N83" s="5">
        <v>11</v>
      </c>
      <c r="O83" s="5">
        <v>106</v>
      </c>
      <c r="P83">
        <f>SUM(Table9[[#This Row],[Marketing]])</f>
        <v>11</v>
      </c>
      <c r="Q83">
        <f>SUM(Table9[[#This Row],[Sales]])</f>
        <v>106</v>
      </c>
    </row>
    <row r="84" spans="14:17">
      <c r="N84" s="3">
        <v>15</v>
      </c>
      <c r="O84" s="3">
        <v>128</v>
      </c>
      <c r="P84">
        <f>SUM(Table9[[#This Row],[Marketing]])</f>
        <v>15</v>
      </c>
      <c r="Q84">
        <f>SUM(Table9[[#This Row],[Sales]])</f>
        <v>128</v>
      </c>
    </row>
    <row r="85" spans="14:17">
      <c r="N85" s="5">
        <v>14</v>
      </c>
      <c r="O85" s="5">
        <v>121</v>
      </c>
      <c r="P85">
        <f>SUM(Table9[[#This Row],[Marketing]])</f>
        <v>14</v>
      </c>
      <c r="Q85">
        <f>SUM(Table9[[#This Row],[Sales]])</f>
        <v>121</v>
      </c>
    </row>
    <row r="86" spans="14:17">
      <c r="N86" s="3">
        <v>41</v>
      </c>
      <c r="O86" s="3">
        <v>116</v>
      </c>
      <c r="P86">
        <f>SUM(Table9[[#This Row],[Marketing]])</f>
        <v>41</v>
      </c>
      <c r="Q86">
        <f>SUM(Table9[[#This Row],[Sales]])</f>
        <v>116</v>
      </c>
    </row>
    <row r="87" spans="14:17">
      <c r="N87" s="5">
        <v>54</v>
      </c>
      <c r="O87" s="5">
        <v>153</v>
      </c>
      <c r="P87">
        <f>SUM(Table9[[#This Row],[Marketing]])</f>
        <v>54</v>
      </c>
      <c r="Q87">
        <f>SUM(Table9[[#This Row],[Sales]])</f>
        <v>153</v>
      </c>
    </row>
    <row r="88" spans="14:17">
      <c r="N88" s="3">
        <v>12</v>
      </c>
      <c r="O88" s="3">
        <v>82</v>
      </c>
      <c r="P88">
        <f>SUM(Table9[[#This Row],[Marketing]])</f>
        <v>12</v>
      </c>
      <c r="Q88">
        <f>SUM(Table9[[#This Row],[Sales]])</f>
        <v>82</v>
      </c>
    </row>
    <row r="89" spans="14:17">
      <c r="N89" s="5">
        <v>20</v>
      </c>
      <c r="O89" s="5">
        <v>128</v>
      </c>
      <c r="P89">
        <f>SUM(Table9[[#This Row],[Marketing]])</f>
        <v>20</v>
      </c>
      <c r="Q89">
        <f>SUM(Table9[[#This Row],[Sales]])</f>
        <v>128</v>
      </c>
    </row>
    <row r="90" spans="14:17">
      <c r="N90" s="3">
        <v>41</v>
      </c>
      <c r="O90" s="3">
        <v>116</v>
      </c>
      <c r="P90">
        <f>SUM(Table9[[#This Row],[Marketing]])</f>
        <v>41</v>
      </c>
      <c r="Q90">
        <f>SUM(Table9[[#This Row],[Sales]])</f>
        <v>116</v>
      </c>
    </row>
    <row r="91" spans="14:17">
      <c r="N91" s="5">
        <v>13</v>
      </c>
      <c r="O91" s="5">
        <v>126</v>
      </c>
      <c r="P91">
        <f>SUM(Table9[[#This Row],[Marketing]])</f>
        <v>13</v>
      </c>
      <c r="Q91">
        <f>SUM(Table9[[#This Row],[Sales]])</f>
        <v>126</v>
      </c>
    </row>
    <row r="92" spans="14:17">
      <c r="N92" s="3">
        <v>15</v>
      </c>
      <c r="O92" s="3">
        <v>128</v>
      </c>
      <c r="P92">
        <f>SUM(Table9[[#This Row],[Marketing]])</f>
        <v>15</v>
      </c>
      <c r="Q92">
        <f>SUM(Table9[[#This Row],[Sales]])</f>
        <v>128</v>
      </c>
    </row>
    <row r="93" spans="14:17">
      <c r="N93" s="5">
        <v>13</v>
      </c>
      <c r="O93" s="5">
        <v>127</v>
      </c>
      <c r="P93">
        <f>SUM(Table9[[#This Row],[Marketing]])</f>
        <v>13</v>
      </c>
      <c r="Q93">
        <f>SUM(Table9[[#This Row],[Sales]])</f>
        <v>127</v>
      </c>
    </row>
    <row r="94" spans="14:17">
      <c r="N94" s="3">
        <v>11</v>
      </c>
      <c r="O94" s="3">
        <v>106</v>
      </c>
      <c r="P94">
        <f>SUM(Table9[[#This Row],[Marketing]])</f>
        <v>11</v>
      </c>
      <c r="Q94">
        <f>SUM(Table9[[#This Row],[Sales]])</f>
        <v>106</v>
      </c>
    </row>
    <row r="95" spans="14:17">
      <c r="N95" s="5">
        <v>27</v>
      </c>
      <c r="O95" s="5">
        <v>218</v>
      </c>
      <c r="P95">
        <f>SUM(Table9[[#This Row],[Marketing]])</f>
        <v>27</v>
      </c>
      <c r="Q95">
        <f>SUM(Table9[[#This Row],[Sales]])</f>
        <v>218</v>
      </c>
    </row>
    <row r="96" spans="14:17">
      <c r="N96" s="3">
        <v>28</v>
      </c>
      <c r="O96" s="3">
        <v>232</v>
      </c>
      <c r="P96">
        <f>SUM(Table9[[#This Row],[Marketing]])</f>
        <v>28</v>
      </c>
      <c r="Q96">
        <f>SUM(Table9[[#This Row],[Sales]])</f>
        <v>232</v>
      </c>
    </row>
    <row r="97" spans="14:17">
      <c r="N97" s="5">
        <v>13</v>
      </c>
      <c r="O97" s="5">
        <v>98</v>
      </c>
      <c r="P97">
        <f>SUM(Table9[[#This Row],[Marketing]])</f>
        <v>13</v>
      </c>
      <c r="Q97">
        <f>SUM(Table9[[#This Row],[Sales]])</f>
        <v>98</v>
      </c>
    </row>
    <row r="98" spans="14:17">
      <c r="N98" s="3">
        <v>14</v>
      </c>
      <c r="O98" s="3">
        <v>131</v>
      </c>
      <c r="P98">
        <f>SUM(Table9[[#This Row],[Marketing]])</f>
        <v>14</v>
      </c>
      <c r="Q98">
        <f>SUM(Table9[[#This Row],[Sales]])</f>
        <v>131</v>
      </c>
    </row>
    <row r="99" spans="14:17">
      <c r="N99" s="5">
        <v>13</v>
      </c>
      <c r="O99" s="5">
        <v>98</v>
      </c>
      <c r="P99">
        <f>SUM(Table9[[#This Row],[Marketing]])</f>
        <v>13</v>
      </c>
      <c r="Q99">
        <f>SUM(Table9[[#This Row],[Sales]])</f>
        <v>98</v>
      </c>
    </row>
    <row r="100" spans="14:17">
      <c r="N100" s="3">
        <v>47</v>
      </c>
      <c r="O100" s="3">
        <v>128</v>
      </c>
      <c r="P100">
        <f>SUM(Table9[[#This Row],[Marketing]])</f>
        <v>47</v>
      </c>
      <c r="Q100">
        <f>SUM(Table9[[#This Row],[Sales]])</f>
        <v>128</v>
      </c>
    </row>
    <row r="101" spans="14:17">
      <c r="N101" s="5">
        <v>23</v>
      </c>
      <c r="O101" s="5">
        <v>175</v>
      </c>
      <c r="P101">
        <f>SUM(Table9[[#This Row],[Marketing]])</f>
        <v>23</v>
      </c>
      <c r="Q101">
        <f>SUM(Table9[[#This Row],[Sales]])</f>
        <v>175</v>
      </c>
    </row>
    <row r="102" spans="14:17">
      <c r="N102" s="3">
        <v>14</v>
      </c>
      <c r="O102" s="3">
        <v>121</v>
      </c>
      <c r="P102">
        <f>SUM(Table9[[#This Row],[Marketing]])</f>
        <v>14</v>
      </c>
      <c r="Q102">
        <f>SUM(Table9[[#This Row],[Sales]])</f>
        <v>121</v>
      </c>
    </row>
    <row r="103" spans="14:17">
      <c r="N103" s="5">
        <v>20</v>
      </c>
      <c r="O103" s="5">
        <v>132</v>
      </c>
      <c r="P103">
        <f>SUM(Table9[[#This Row],[Marketing]])</f>
        <v>20</v>
      </c>
      <c r="Q103">
        <f>SUM(Table9[[#This Row],[Sales]])</f>
        <v>132</v>
      </c>
    </row>
    <row r="104" spans="14:17">
      <c r="N104" s="3">
        <v>14</v>
      </c>
      <c r="O104" s="3">
        <v>131</v>
      </c>
      <c r="P104">
        <f>SUM(Table9[[#This Row],[Marketing]])</f>
        <v>14</v>
      </c>
      <c r="Q104">
        <f>SUM(Table9[[#This Row],[Sales]])</f>
        <v>131</v>
      </c>
    </row>
    <row r="105" spans="14:17">
      <c r="N105" s="5">
        <v>17</v>
      </c>
      <c r="O105" s="5">
        <v>133</v>
      </c>
      <c r="P105">
        <f>SUM(Table9[[#This Row],[Marketing]])</f>
        <v>17</v>
      </c>
      <c r="Q105">
        <f>SUM(Table9[[#This Row],[Sales]])</f>
        <v>133</v>
      </c>
    </row>
    <row r="106" spans="14:17">
      <c r="N106" s="3">
        <v>10</v>
      </c>
      <c r="O106" s="3">
        <v>94</v>
      </c>
      <c r="P106">
        <f>SUM(Table9[[#This Row],[Marketing]])</f>
        <v>10</v>
      </c>
      <c r="Q106">
        <f>SUM(Table9[[#This Row],[Sales]])</f>
        <v>94</v>
      </c>
    </row>
    <row r="107" spans="14:17">
      <c r="N107" s="5">
        <v>9</v>
      </c>
      <c r="O107" s="5">
        <v>86</v>
      </c>
      <c r="P107">
        <f>SUM(Table9[[#This Row],[Marketing]])</f>
        <v>9</v>
      </c>
      <c r="Q107">
        <f>SUM(Table9[[#This Row],[Sales]])</f>
        <v>86</v>
      </c>
    </row>
    <row r="108" spans="14:17">
      <c r="N108" s="3">
        <v>8</v>
      </c>
      <c r="O108" s="3">
        <v>83</v>
      </c>
      <c r="P108">
        <f>SUM(Table9[[#This Row],[Marketing]])</f>
        <v>8</v>
      </c>
      <c r="Q108">
        <f>SUM(Table9[[#This Row],[Sales]])</f>
        <v>83</v>
      </c>
    </row>
    <row r="109" spans="14:17">
      <c r="N109" s="5">
        <v>10</v>
      </c>
      <c r="O109" s="5">
        <v>94</v>
      </c>
      <c r="P109">
        <f>SUM(Table9[[#This Row],[Marketing]])</f>
        <v>10</v>
      </c>
      <c r="Q109">
        <f>SUM(Table9[[#This Row],[Sales]])</f>
        <v>94</v>
      </c>
    </row>
    <row r="110" spans="14:17">
      <c r="N110" s="3">
        <v>15</v>
      </c>
      <c r="O110" s="3">
        <v>128</v>
      </c>
      <c r="P110">
        <f>SUM(Table9[[#This Row],[Marketing]])</f>
        <v>15</v>
      </c>
      <c r="Q110">
        <f>SUM(Table9[[#This Row],[Sales]])</f>
        <v>128</v>
      </c>
    </row>
    <row r="111" spans="14:17">
      <c r="N111" s="5">
        <v>20</v>
      </c>
      <c r="O111" s="5">
        <v>129</v>
      </c>
      <c r="P111">
        <f>SUM(Table9[[#This Row],[Marketing]])</f>
        <v>20</v>
      </c>
      <c r="Q111">
        <f>SUM(Table9[[#This Row],[Sales]])</f>
        <v>129</v>
      </c>
    </row>
    <row r="112" spans="14:17">
      <c r="N112" s="3">
        <v>14</v>
      </c>
      <c r="O112" s="3">
        <v>120</v>
      </c>
      <c r="P112">
        <f>SUM(Table9[[#This Row],[Marketing]])</f>
        <v>14</v>
      </c>
      <c r="Q112">
        <f>SUM(Table9[[#This Row],[Sales]])</f>
        <v>120</v>
      </c>
    </row>
    <row r="113" spans="14:17">
      <c r="N113" s="5">
        <v>14</v>
      </c>
      <c r="O113" s="5">
        <v>116</v>
      </c>
      <c r="P113">
        <f>SUM(Table9[[#This Row],[Marketing]])</f>
        <v>14</v>
      </c>
      <c r="Q113">
        <f>SUM(Table9[[#This Row],[Sales]])</f>
        <v>116</v>
      </c>
    </row>
    <row r="114" spans="14:17">
      <c r="N114" s="3">
        <v>40</v>
      </c>
      <c r="O114" s="3">
        <v>113</v>
      </c>
      <c r="P114">
        <f>SUM(Table9[[#This Row],[Marketing]])</f>
        <v>40</v>
      </c>
      <c r="Q114">
        <f>SUM(Table9[[#This Row],[Sales]])</f>
        <v>113</v>
      </c>
    </row>
    <row r="115" spans="14:17">
      <c r="N115" s="5">
        <v>16</v>
      </c>
      <c r="O115" s="5">
        <v>150</v>
      </c>
      <c r="P115">
        <f>SUM(Table9[[#This Row],[Marketing]])</f>
        <v>16</v>
      </c>
      <c r="Q115">
        <f>SUM(Table9[[#This Row],[Sales]])</f>
        <v>150</v>
      </c>
    </row>
    <row r="116" spans="14:17">
      <c r="N116" s="3">
        <v>20</v>
      </c>
      <c r="O116" s="3">
        <v>129</v>
      </c>
      <c r="P116">
        <f>SUM(Table9[[#This Row],[Marketing]])</f>
        <v>20</v>
      </c>
      <c r="Q116">
        <f>SUM(Table9[[#This Row],[Sales]])</f>
        <v>129</v>
      </c>
    </row>
    <row r="117" spans="14:17">
      <c r="N117" s="5">
        <v>20</v>
      </c>
      <c r="O117" s="5">
        <v>129</v>
      </c>
      <c r="P117">
        <f>SUM(Table9[[#This Row],[Marketing]])</f>
        <v>20</v>
      </c>
      <c r="Q117">
        <f>SUM(Table9[[#This Row],[Sales]])</f>
        <v>129</v>
      </c>
    </row>
    <row r="118" spans="14:17">
      <c r="N118" s="3">
        <v>14</v>
      </c>
      <c r="O118" s="3">
        <v>120</v>
      </c>
      <c r="P118">
        <f>SUM(Table9[[#This Row],[Marketing]])</f>
        <v>14</v>
      </c>
      <c r="Q118">
        <f>SUM(Table9[[#This Row],[Sales]])</f>
        <v>120</v>
      </c>
    </row>
    <row r="119" spans="14:17">
      <c r="N119" s="5">
        <v>14</v>
      </c>
      <c r="O119" s="5">
        <v>116</v>
      </c>
      <c r="P119">
        <f>SUM(Table9[[#This Row],[Marketing]])</f>
        <v>14</v>
      </c>
      <c r="Q119">
        <f>SUM(Table9[[#This Row],[Sales]])</f>
        <v>116</v>
      </c>
    </row>
    <row r="120" spans="14:17">
      <c r="N120" s="3">
        <v>13</v>
      </c>
      <c r="O120" s="3">
        <v>123</v>
      </c>
      <c r="P120">
        <f>SUM(Table9[[#This Row],[Marketing]])</f>
        <v>13</v>
      </c>
      <c r="Q120">
        <f>SUM(Table9[[#This Row],[Sales]])</f>
        <v>123</v>
      </c>
    </row>
    <row r="121" spans="14:17">
      <c r="N121" s="5">
        <v>10</v>
      </c>
      <c r="O121" s="5">
        <v>96</v>
      </c>
      <c r="P121">
        <f>SUM(Table9[[#This Row],[Marketing]])</f>
        <v>10</v>
      </c>
      <c r="Q121">
        <f>SUM(Table9[[#This Row],[Sales]])</f>
        <v>96</v>
      </c>
    </row>
    <row r="122" spans="14:17">
      <c r="N122" s="3">
        <v>55</v>
      </c>
      <c r="O122" s="3">
        <v>157</v>
      </c>
      <c r="P122">
        <f>SUM(Table9[[#This Row],[Marketing]])</f>
        <v>55</v>
      </c>
      <c r="Q122">
        <f>SUM(Table9[[#This Row],[Sales]])</f>
        <v>157</v>
      </c>
    </row>
    <row r="123" spans="14:17">
      <c r="N123" s="5">
        <v>14</v>
      </c>
      <c r="O123" s="5">
        <v>106</v>
      </c>
      <c r="P123">
        <f>SUM(Table9[[#This Row],[Marketing]])</f>
        <v>14</v>
      </c>
      <c r="Q123">
        <f>SUM(Table9[[#This Row],[Sales]])</f>
        <v>106</v>
      </c>
    </row>
    <row r="124" spans="14:17">
      <c r="N124" s="3">
        <v>15</v>
      </c>
      <c r="O124" s="3">
        <v>142</v>
      </c>
      <c r="P124">
        <f>SUM(Table9[[#This Row],[Marketing]])</f>
        <v>15</v>
      </c>
      <c r="Q124">
        <f>SUM(Table9[[#This Row],[Sales]])</f>
        <v>142</v>
      </c>
    </row>
    <row r="125" spans="14:17">
      <c r="N125" s="5">
        <v>42</v>
      </c>
      <c r="O125" s="5">
        <v>119</v>
      </c>
      <c r="P125">
        <f>SUM(Table9[[#This Row],[Marketing]])</f>
        <v>42</v>
      </c>
      <c r="Q125">
        <f>SUM(Table9[[#This Row],[Sales]])</f>
        <v>119</v>
      </c>
    </row>
    <row r="126" spans="14:17">
      <c r="N126" s="3">
        <v>17</v>
      </c>
      <c r="O126" s="3">
        <v>135</v>
      </c>
      <c r="P126">
        <f>SUM(Table9[[#This Row],[Marketing]])</f>
        <v>17</v>
      </c>
      <c r="Q126">
        <f>SUM(Table9[[#This Row],[Sales]])</f>
        <v>135</v>
      </c>
    </row>
    <row r="127" spans="14:17">
      <c r="N127" s="5">
        <v>24</v>
      </c>
      <c r="O127" s="5">
        <v>155</v>
      </c>
      <c r="P127">
        <f>SUM(Table9[[#This Row],[Marketing]])</f>
        <v>24</v>
      </c>
      <c r="Q127">
        <f>SUM(Table9[[#This Row],[Sales]])</f>
        <v>155</v>
      </c>
    </row>
    <row r="128" spans="14:17">
      <c r="N128" s="3">
        <v>24</v>
      </c>
      <c r="O128" s="3">
        <v>188</v>
      </c>
      <c r="P128">
        <f>SUM(Table9[[#This Row],[Marketing]])</f>
        <v>24</v>
      </c>
      <c r="Q128">
        <f>SUM(Table9[[#This Row],[Sales]])</f>
        <v>188</v>
      </c>
    </row>
    <row r="129" spans="14:17">
      <c r="N129" s="5">
        <v>17</v>
      </c>
      <c r="O129" s="5">
        <v>135</v>
      </c>
      <c r="P129">
        <f>SUM(Table9[[#This Row],[Marketing]])</f>
        <v>17</v>
      </c>
      <c r="Q129">
        <f>SUM(Table9[[#This Row],[Sales]])</f>
        <v>135</v>
      </c>
    </row>
    <row r="130" spans="14:17">
      <c r="N130" s="3">
        <v>13</v>
      </c>
      <c r="O130" s="3">
        <v>108</v>
      </c>
      <c r="P130">
        <f>SUM(Table9[[#This Row],[Marketing]])</f>
        <v>13</v>
      </c>
      <c r="Q130">
        <f>SUM(Table9[[#This Row],[Sales]])</f>
        <v>108</v>
      </c>
    </row>
    <row r="131" spans="14:17">
      <c r="N131" s="5">
        <v>15</v>
      </c>
      <c r="O131" s="5">
        <v>142</v>
      </c>
      <c r="P131">
        <f>SUM(Table9[[#This Row],[Marketing]])</f>
        <v>15</v>
      </c>
      <c r="Q131">
        <f>SUM(Table9[[#This Row],[Sales]])</f>
        <v>142</v>
      </c>
    </row>
    <row r="132" spans="14:17">
      <c r="N132" s="3">
        <v>8</v>
      </c>
      <c r="O132" s="3">
        <v>82</v>
      </c>
      <c r="P132">
        <f>SUM(Table9[[#This Row],[Marketing]])</f>
        <v>8</v>
      </c>
      <c r="Q132">
        <f>SUM(Table9[[#This Row],[Sales]])</f>
        <v>82</v>
      </c>
    </row>
    <row r="133" spans="14:17">
      <c r="N133" s="5">
        <v>9</v>
      </c>
      <c r="O133" s="5">
        <v>91</v>
      </c>
      <c r="P133">
        <f>SUM(Table9[[#This Row],[Marketing]])</f>
        <v>9</v>
      </c>
      <c r="Q133">
        <f>SUM(Table9[[#This Row],[Sales]])</f>
        <v>91</v>
      </c>
    </row>
    <row r="134" spans="14:17">
      <c r="N134" s="3">
        <v>9</v>
      </c>
      <c r="O134" s="3">
        <v>87</v>
      </c>
      <c r="P134">
        <f>SUM(Table9[[#This Row],[Marketing]])</f>
        <v>9</v>
      </c>
      <c r="Q134">
        <f>SUM(Table9[[#This Row],[Sales]])</f>
        <v>87</v>
      </c>
    </row>
    <row r="135" spans="14:17">
      <c r="N135" s="5">
        <v>15</v>
      </c>
      <c r="O135" s="5">
        <v>130</v>
      </c>
      <c r="P135">
        <f>SUM(Table9[[#This Row],[Marketing]])</f>
        <v>15</v>
      </c>
      <c r="Q135">
        <f>SUM(Table9[[#This Row],[Sales]])</f>
        <v>130</v>
      </c>
    </row>
    <row r="136" spans="14:17">
      <c r="N136" s="3">
        <v>49</v>
      </c>
      <c r="O136" s="3">
        <v>140</v>
      </c>
      <c r="P136">
        <f>SUM(Table9[[#This Row],[Marketing]])</f>
        <v>49</v>
      </c>
      <c r="Q136">
        <f>SUM(Table9[[#This Row],[Sales]])</f>
        <v>140</v>
      </c>
    </row>
    <row r="137" spans="14:17">
      <c r="N137" s="5">
        <v>44</v>
      </c>
      <c r="O137" s="5">
        <v>126</v>
      </c>
      <c r="P137">
        <f>SUM(Table9[[#This Row],[Marketing]])</f>
        <v>44</v>
      </c>
      <c r="Q137">
        <f>SUM(Table9[[#This Row],[Sales]])</f>
        <v>126</v>
      </c>
    </row>
    <row r="138" spans="14:17">
      <c r="N138" s="3">
        <v>14</v>
      </c>
      <c r="O138" s="3">
        <v>94</v>
      </c>
      <c r="P138">
        <f>SUM(Table9[[#This Row],[Marketing]])</f>
        <v>14</v>
      </c>
      <c r="Q138">
        <f>SUM(Table9[[#This Row],[Sales]])</f>
        <v>94</v>
      </c>
    </row>
    <row r="139" spans="14:17">
      <c r="N139" s="5">
        <v>44</v>
      </c>
      <c r="O139" s="5">
        <v>126</v>
      </c>
      <c r="P139">
        <f>SUM(Table9[[#This Row],[Marketing]])</f>
        <v>44</v>
      </c>
      <c r="Q139">
        <f>SUM(Table9[[#This Row],[Sales]])</f>
        <v>126</v>
      </c>
    </row>
    <row r="140" spans="14:17">
      <c r="N140" s="3">
        <v>12</v>
      </c>
      <c r="O140" s="3">
        <v>114</v>
      </c>
      <c r="P140">
        <f>SUM(Table9[[#This Row],[Marketing]])</f>
        <v>12</v>
      </c>
      <c r="Q140">
        <f>SUM(Table9[[#This Row],[Sales]])</f>
        <v>114</v>
      </c>
    </row>
    <row r="141" spans="14:17">
      <c r="N141" s="5">
        <v>28</v>
      </c>
      <c r="O141" s="5">
        <v>171</v>
      </c>
      <c r="P141">
        <f>SUM(Table9[[#This Row],[Marketing]])</f>
        <v>28</v>
      </c>
      <c r="Q141">
        <f>SUM(Table9[[#This Row],[Sales]])</f>
        <v>171</v>
      </c>
    </row>
    <row r="142" spans="14:17">
      <c r="N142" s="3">
        <v>25</v>
      </c>
      <c r="O142" s="3">
        <v>163</v>
      </c>
      <c r="P142">
        <f>SUM(Table9[[#This Row],[Marketing]])</f>
        <v>25</v>
      </c>
      <c r="Q142">
        <f>SUM(Table9[[#This Row],[Sales]])</f>
        <v>163</v>
      </c>
    </row>
    <row r="143" spans="14:17">
      <c r="N143" s="5">
        <v>19</v>
      </c>
      <c r="O143" s="5">
        <v>148</v>
      </c>
      <c r="P143">
        <f>SUM(Table9[[#This Row],[Marketing]])</f>
        <v>19</v>
      </c>
      <c r="Q143">
        <f>SUM(Table9[[#This Row],[Sales]])</f>
        <v>148</v>
      </c>
    </row>
    <row r="144" spans="14:17">
      <c r="N144" s="3">
        <v>28</v>
      </c>
      <c r="O144" s="3">
        <v>171</v>
      </c>
      <c r="P144">
        <f>SUM(Table9[[#This Row],[Marketing]])</f>
        <v>28</v>
      </c>
      <c r="Q144">
        <f>SUM(Table9[[#This Row],[Sales]])</f>
        <v>171</v>
      </c>
    </row>
    <row r="145" spans="14:17">
      <c r="N145" s="5">
        <v>49</v>
      </c>
      <c r="O145" s="5">
        <v>140</v>
      </c>
      <c r="P145">
        <f>SUM(Table9[[#This Row],[Marketing]])</f>
        <v>49</v>
      </c>
      <c r="Q145">
        <f>SUM(Table9[[#This Row],[Sales]])</f>
        <v>140</v>
      </c>
    </row>
    <row r="146" spans="14:17">
      <c r="N146" s="3">
        <v>12</v>
      </c>
      <c r="O146" s="3">
        <v>90</v>
      </c>
      <c r="P146">
        <f>SUM(Table9[[#This Row],[Marketing]])</f>
        <v>12</v>
      </c>
      <c r="Q146">
        <f>SUM(Table9[[#This Row],[Sales]])</f>
        <v>90</v>
      </c>
    </row>
    <row r="147" spans="14:17">
      <c r="N147" s="5">
        <v>24</v>
      </c>
      <c r="O147" s="5">
        <v>174</v>
      </c>
      <c r="P147">
        <f>SUM(Table9[[#This Row],[Marketing]])</f>
        <v>24</v>
      </c>
      <c r="Q147">
        <f>SUM(Table9[[#This Row],[Sales]])</f>
        <v>174</v>
      </c>
    </row>
    <row r="148" spans="14:17">
      <c r="N148" s="3">
        <v>20</v>
      </c>
      <c r="O148" s="3">
        <v>120</v>
      </c>
      <c r="P148">
        <f>SUM(Table9[[#This Row],[Marketing]])</f>
        <v>20</v>
      </c>
      <c r="Q148">
        <f>SUM(Table9[[#This Row],[Sales]])</f>
        <v>120</v>
      </c>
    </row>
    <row r="149" spans="14:17">
      <c r="N149" s="5">
        <v>16</v>
      </c>
      <c r="O149" s="5">
        <v>118</v>
      </c>
      <c r="P149">
        <f>SUM(Table9[[#This Row],[Marketing]])</f>
        <v>16</v>
      </c>
      <c r="Q149">
        <f>SUM(Table9[[#This Row],[Sales]])</f>
        <v>118</v>
      </c>
    </row>
    <row r="150" spans="14:17">
      <c r="N150" s="3">
        <v>7</v>
      </c>
      <c r="O150" s="3">
        <v>66</v>
      </c>
      <c r="P150">
        <f>SUM(Table9[[#This Row],[Marketing]])</f>
        <v>7</v>
      </c>
      <c r="Q150">
        <f>SUM(Table9[[#This Row],[Sales]])</f>
        <v>66</v>
      </c>
    </row>
    <row r="151" spans="14:17">
      <c r="N151" s="5">
        <v>21</v>
      </c>
      <c r="O151" s="5">
        <v>187</v>
      </c>
      <c r="P151">
        <f>SUM(Table9[[#This Row],[Marketing]])</f>
        <v>21</v>
      </c>
      <c r="Q151">
        <f>SUM(Table9[[#This Row],[Sales]])</f>
        <v>187</v>
      </c>
    </row>
    <row r="152" spans="14:17">
      <c r="N152" s="3">
        <v>7</v>
      </c>
      <c r="O152" s="3">
        <v>51</v>
      </c>
      <c r="P152">
        <f>SUM(Table9[[#This Row],[Marketing]])</f>
        <v>7</v>
      </c>
      <c r="Q152">
        <f>SUM(Table9[[#This Row],[Sales]])</f>
        <v>51</v>
      </c>
    </row>
    <row r="153" spans="14:17">
      <c r="N153" s="5">
        <v>6</v>
      </c>
      <c r="O153" s="5">
        <v>58</v>
      </c>
      <c r="P153">
        <f>SUM(Table9[[#This Row],[Marketing]])</f>
        <v>6</v>
      </c>
      <c r="Q153">
        <f>SUM(Table9[[#This Row],[Sales]])</f>
        <v>58</v>
      </c>
    </row>
    <row r="154" spans="14:17">
      <c r="N154" s="3">
        <v>30</v>
      </c>
      <c r="O154" s="3">
        <v>177</v>
      </c>
      <c r="P154">
        <f>SUM(Table9[[#This Row],[Marketing]])</f>
        <v>30</v>
      </c>
      <c r="Q154">
        <f>SUM(Table9[[#This Row],[Sales]])</f>
        <v>177</v>
      </c>
    </row>
    <row r="155" spans="14:17">
      <c r="N155" s="5">
        <v>20</v>
      </c>
      <c r="O155" s="5">
        <v>142</v>
      </c>
      <c r="P155">
        <f>SUM(Table9[[#This Row],[Marketing]])</f>
        <v>20</v>
      </c>
      <c r="Q155">
        <f>SUM(Table9[[#This Row],[Sales]])</f>
        <v>142</v>
      </c>
    </row>
    <row r="156" spans="14:17">
      <c r="N156" s="3">
        <v>14</v>
      </c>
      <c r="O156" s="3">
        <v>113</v>
      </c>
      <c r="P156">
        <f>SUM(Table9[[#This Row],[Marketing]])</f>
        <v>14</v>
      </c>
      <c r="Q156">
        <f>SUM(Table9[[#This Row],[Sales]])</f>
        <v>113</v>
      </c>
    </row>
    <row r="157" spans="14:17">
      <c r="N157" s="5">
        <v>54</v>
      </c>
      <c r="O157" s="5">
        <v>144</v>
      </c>
      <c r="P157">
        <f>SUM(Table9[[#This Row],[Marketing]])</f>
        <v>54</v>
      </c>
      <c r="Q157">
        <f>SUM(Table9[[#This Row],[Sales]])</f>
        <v>144</v>
      </c>
    </row>
    <row r="158" spans="14:17">
      <c r="N158" s="3">
        <v>18</v>
      </c>
      <c r="O158" s="3">
        <v>159</v>
      </c>
      <c r="P158">
        <f>SUM(Table9[[#This Row],[Marketing]])</f>
        <v>18</v>
      </c>
      <c r="Q158">
        <f>SUM(Table9[[#This Row],[Sales]])</f>
        <v>159</v>
      </c>
    </row>
    <row r="159" spans="14:17">
      <c r="N159" s="5">
        <v>13</v>
      </c>
      <c r="O159" s="5">
        <v>92</v>
      </c>
      <c r="P159">
        <f>SUM(Table9[[#This Row],[Marketing]])</f>
        <v>13</v>
      </c>
      <c r="Q159">
        <f>SUM(Table9[[#This Row],[Sales]])</f>
        <v>92</v>
      </c>
    </row>
    <row r="160" spans="14:17">
      <c r="N160" s="3">
        <v>10</v>
      </c>
      <c r="O160" s="3">
        <v>88</v>
      </c>
      <c r="P160">
        <f>SUM(Table9[[#This Row],[Marketing]])</f>
        <v>10</v>
      </c>
      <c r="Q160">
        <f>SUM(Table9[[#This Row],[Sales]])</f>
        <v>88</v>
      </c>
    </row>
    <row r="161" spans="14:17">
      <c r="N161" s="5">
        <v>20</v>
      </c>
      <c r="O161" s="5">
        <v>124</v>
      </c>
      <c r="P161">
        <f>SUM(Table9[[#This Row],[Marketing]])</f>
        <v>20</v>
      </c>
      <c r="Q161">
        <f>SUM(Table9[[#This Row],[Sales]])</f>
        <v>124</v>
      </c>
    </row>
    <row r="162" spans="14:17">
      <c r="N162" s="3">
        <v>13</v>
      </c>
      <c r="O162" s="3">
        <v>92</v>
      </c>
      <c r="P162">
        <f>SUM(Table9[[#This Row],[Marketing]])</f>
        <v>13</v>
      </c>
      <c r="Q162">
        <f>SUM(Table9[[#This Row],[Sales]])</f>
        <v>92</v>
      </c>
    </row>
    <row r="163" spans="14:17">
      <c r="N163" s="5">
        <v>7</v>
      </c>
      <c r="O163" s="5">
        <v>70</v>
      </c>
      <c r="P163">
        <f>SUM(Table9[[#This Row],[Marketing]])</f>
        <v>7</v>
      </c>
      <c r="Q163">
        <f>SUM(Table9[[#This Row],[Sales]])</f>
        <v>70</v>
      </c>
    </row>
    <row r="164" spans="14:17">
      <c r="N164" s="3">
        <v>8</v>
      </c>
      <c r="O164" s="3">
        <v>78</v>
      </c>
      <c r="P164">
        <f>SUM(Table9[[#This Row],[Marketing]])</f>
        <v>8</v>
      </c>
      <c r="Q164">
        <f>SUM(Table9[[#This Row],[Sales]])</f>
        <v>78</v>
      </c>
    </row>
    <row r="165" spans="14:17">
      <c r="N165" s="5">
        <v>8</v>
      </c>
      <c r="O165" s="5">
        <v>80</v>
      </c>
      <c r="P165">
        <f>SUM(Table9[[#This Row],[Marketing]])</f>
        <v>8</v>
      </c>
      <c r="Q165">
        <f>SUM(Table9[[#This Row],[Sales]])</f>
        <v>80</v>
      </c>
    </row>
    <row r="166" spans="14:17">
      <c r="N166" s="3">
        <v>14</v>
      </c>
      <c r="O166" s="3">
        <v>123</v>
      </c>
      <c r="P166">
        <f>SUM(Table9[[#This Row],[Marketing]])</f>
        <v>14</v>
      </c>
      <c r="Q166">
        <f>SUM(Table9[[#This Row],[Sales]])</f>
        <v>123</v>
      </c>
    </row>
    <row r="167" spans="14:17">
      <c r="N167" s="5">
        <v>0</v>
      </c>
      <c r="O167" s="5">
        <v>43</v>
      </c>
      <c r="P167">
        <f>SUM(Table9[[#This Row],[Marketing]])</f>
        <v>0</v>
      </c>
      <c r="Q167">
        <f>SUM(Table9[[#This Row],[Sales]])</f>
        <v>43</v>
      </c>
    </row>
    <row r="168" spans="14:17">
      <c r="N168" s="3">
        <v>25</v>
      </c>
      <c r="O168" s="3">
        <v>122</v>
      </c>
      <c r="P168">
        <f>SUM(Table9[[#This Row],[Marketing]])</f>
        <v>25</v>
      </c>
      <c r="Q168">
        <f>SUM(Table9[[#This Row],[Sales]])</f>
        <v>122</v>
      </c>
    </row>
    <row r="169" spans="14:17">
      <c r="N169" s="5">
        <v>6</v>
      </c>
      <c r="O169" s="5">
        <v>56</v>
      </c>
      <c r="P169">
        <f>SUM(Table9[[#This Row],[Marketing]])</f>
        <v>6</v>
      </c>
      <c r="Q169">
        <f>SUM(Table9[[#This Row],[Sales]])</f>
        <v>56</v>
      </c>
    </row>
    <row r="170" spans="14:17">
      <c r="N170" s="3">
        <v>40</v>
      </c>
      <c r="O170" s="3">
        <v>106</v>
      </c>
      <c r="P170">
        <f>SUM(Table9[[#This Row],[Marketing]])</f>
        <v>40</v>
      </c>
      <c r="Q170">
        <f>SUM(Table9[[#This Row],[Sales]])</f>
        <v>106</v>
      </c>
    </row>
    <row r="171" spans="14:17">
      <c r="N171" s="5">
        <v>12</v>
      </c>
      <c r="O171" s="5">
        <v>74</v>
      </c>
      <c r="P171">
        <f>SUM(Table9[[#This Row],[Marketing]])</f>
        <v>12</v>
      </c>
      <c r="Q171">
        <f>SUM(Table9[[#This Row],[Sales]])</f>
        <v>74</v>
      </c>
    </row>
    <row r="172" spans="14:17">
      <c r="N172" s="3">
        <v>40</v>
      </c>
      <c r="O172" s="3">
        <v>106</v>
      </c>
      <c r="P172">
        <f>SUM(Table9[[#This Row],[Marketing]])</f>
        <v>40</v>
      </c>
      <c r="Q172">
        <f>SUM(Table9[[#This Row],[Sales]])</f>
        <v>106</v>
      </c>
    </row>
    <row r="173" spans="14:17">
      <c r="N173" s="5">
        <v>8</v>
      </c>
      <c r="O173" s="5">
        <v>78</v>
      </c>
      <c r="P173">
        <f>SUM(Table9[[#This Row],[Marketing]])</f>
        <v>8</v>
      </c>
      <c r="Q173">
        <f>SUM(Table9[[#This Row],[Sales]])</f>
        <v>78</v>
      </c>
    </row>
    <row r="174" spans="14:17">
      <c r="N174" s="3">
        <v>21</v>
      </c>
      <c r="O174" s="3">
        <v>150</v>
      </c>
      <c r="P174">
        <f>SUM(Table9[[#This Row],[Marketing]])</f>
        <v>21</v>
      </c>
      <c r="Q174">
        <f>SUM(Table9[[#This Row],[Sales]])</f>
        <v>150</v>
      </c>
    </row>
    <row r="175" spans="14:17">
      <c r="N175" s="5">
        <v>15</v>
      </c>
      <c r="O175" s="5">
        <v>120</v>
      </c>
      <c r="P175">
        <f>SUM(Table9[[#This Row],[Marketing]])</f>
        <v>15</v>
      </c>
      <c r="Q175">
        <f>SUM(Table9[[#This Row],[Sales]])</f>
        <v>120</v>
      </c>
    </row>
    <row r="176" spans="14:17">
      <c r="N176" s="3">
        <v>15</v>
      </c>
      <c r="O176" s="3">
        <v>120</v>
      </c>
      <c r="P176">
        <f>SUM(Table9[[#This Row],[Marketing]])</f>
        <v>15</v>
      </c>
      <c r="Q176">
        <f>SUM(Table9[[#This Row],[Sales]])</f>
        <v>120</v>
      </c>
    </row>
    <row r="177" spans="14:17">
      <c r="N177" s="5">
        <v>14</v>
      </c>
      <c r="O177" s="5">
        <v>99</v>
      </c>
      <c r="P177">
        <f>SUM(Table9[[#This Row],[Marketing]])</f>
        <v>14</v>
      </c>
      <c r="Q177">
        <f>SUM(Table9[[#This Row],[Sales]])</f>
        <v>99</v>
      </c>
    </row>
    <row r="178" spans="14:17">
      <c r="N178" s="3">
        <v>13</v>
      </c>
      <c r="O178" s="3">
        <v>101</v>
      </c>
      <c r="P178">
        <f>SUM(Table9[[#This Row],[Marketing]])</f>
        <v>13</v>
      </c>
      <c r="Q178">
        <f>SUM(Table9[[#This Row],[Sales]])</f>
        <v>101</v>
      </c>
    </row>
    <row r="179" spans="14:17">
      <c r="N179" s="5">
        <v>42</v>
      </c>
      <c r="O179" s="5">
        <v>99</v>
      </c>
      <c r="P179">
        <f>SUM(Table9[[#This Row],[Marketing]])</f>
        <v>42</v>
      </c>
      <c r="Q179">
        <f>SUM(Table9[[#This Row],[Sales]])</f>
        <v>99</v>
      </c>
    </row>
    <row r="180" spans="14:17">
      <c r="N180" s="3">
        <v>14</v>
      </c>
      <c r="O180" s="3">
        <v>99</v>
      </c>
      <c r="P180">
        <f>SUM(Table9[[#This Row],[Marketing]])</f>
        <v>14</v>
      </c>
      <c r="Q180">
        <f>SUM(Table9[[#This Row],[Sales]])</f>
        <v>99</v>
      </c>
    </row>
    <row r="181" spans="14:17">
      <c r="N181" s="5">
        <v>14</v>
      </c>
      <c r="O181" s="5">
        <v>99</v>
      </c>
      <c r="P181">
        <f>SUM(Table9[[#This Row],[Marketing]])</f>
        <v>14</v>
      </c>
      <c r="Q181">
        <f>SUM(Table9[[#This Row],[Sales]])</f>
        <v>99</v>
      </c>
    </row>
    <row r="182" spans="14:17">
      <c r="N182" s="3">
        <v>17</v>
      </c>
      <c r="O182" s="3">
        <v>103</v>
      </c>
      <c r="P182">
        <f>SUM(Table9[[#This Row],[Marketing]])</f>
        <v>17</v>
      </c>
      <c r="Q182">
        <f>SUM(Table9[[#This Row],[Sales]])</f>
        <v>103</v>
      </c>
    </row>
    <row r="183" spans="14:17">
      <c r="N183" s="5">
        <v>16</v>
      </c>
      <c r="O183" s="5">
        <v>116</v>
      </c>
      <c r="P183">
        <f>SUM(Table9[[#This Row],[Marketing]])</f>
        <v>16</v>
      </c>
      <c r="Q183">
        <f>SUM(Table9[[#This Row],[Sales]])</f>
        <v>116</v>
      </c>
    </row>
    <row r="184" spans="14:17">
      <c r="N184" s="3">
        <v>9</v>
      </c>
      <c r="O184" s="3">
        <v>82</v>
      </c>
      <c r="P184">
        <f>SUM(Table9[[#This Row],[Marketing]])</f>
        <v>9</v>
      </c>
      <c r="Q184">
        <f>SUM(Table9[[#This Row],[Sales]])</f>
        <v>82</v>
      </c>
    </row>
    <row r="185" spans="14:17">
      <c r="N185" s="5">
        <v>9</v>
      </c>
      <c r="O185" s="5">
        <v>85</v>
      </c>
      <c r="P185">
        <f>SUM(Table9[[#This Row],[Marketing]])</f>
        <v>9</v>
      </c>
      <c r="Q185">
        <f>SUM(Table9[[#This Row],[Sales]])</f>
        <v>85</v>
      </c>
    </row>
    <row r="186" spans="14:17">
      <c r="N186" s="3">
        <v>0</v>
      </c>
      <c r="O186" s="3">
        <v>43</v>
      </c>
      <c r="P186">
        <f>SUM(Table9[[#This Row],[Marketing]])</f>
        <v>0</v>
      </c>
      <c r="Q186">
        <f>SUM(Table9[[#This Row],[Sales]])</f>
        <v>43</v>
      </c>
    </row>
    <row r="187" spans="14:17">
      <c r="N187" s="5">
        <v>13</v>
      </c>
      <c r="O187" s="5">
        <v>106</v>
      </c>
      <c r="P187">
        <f>SUM(Table9[[#This Row],[Marketing]])</f>
        <v>13</v>
      </c>
      <c r="Q187">
        <f>SUM(Table9[[#This Row],[Sales]])</f>
        <v>106</v>
      </c>
    </row>
    <row r="188" spans="14:17">
      <c r="N188" s="3">
        <v>9</v>
      </c>
      <c r="O188" s="3">
        <v>69</v>
      </c>
      <c r="P188">
        <f>SUM(Table9[[#This Row],[Marketing]])</f>
        <v>9</v>
      </c>
      <c r="Q188">
        <f>SUM(Table9[[#This Row],[Sales]])</f>
        <v>69</v>
      </c>
    </row>
    <row r="189" spans="14:17">
      <c r="N189" s="5">
        <v>6</v>
      </c>
      <c r="O189" s="5">
        <v>58</v>
      </c>
      <c r="P189">
        <f>SUM(Table9[[#This Row],[Marketing]])</f>
        <v>6</v>
      </c>
      <c r="Q189">
        <f>SUM(Table9[[#This Row],[Sales]])</f>
        <v>58</v>
      </c>
    </row>
    <row r="190" spans="14:17">
      <c r="N190" s="3">
        <v>12</v>
      </c>
      <c r="O190" s="3">
        <v>107</v>
      </c>
      <c r="P190">
        <f>SUM(Table9[[#This Row],[Marketing]])</f>
        <v>12</v>
      </c>
      <c r="Q190">
        <f>SUM(Table9[[#This Row],[Sales]])</f>
        <v>107</v>
      </c>
    </row>
    <row r="191" spans="14:17">
      <c r="N191" s="5">
        <v>17</v>
      </c>
      <c r="O191" s="5">
        <v>103</v>
      </c>
      <c r="P191">
        <f>SUM(Table9[[#This Row],[Marketing]])</f>
        <v>17</v>
      </c>
      <c r="Q191">
        <f>SUM(Table9[[#This Row],[Sales]])</f>
        <v>103</v>
      </c>
    </row>
    <row r="192" spans="14:17">
      <c r="N192" s="3">
        <v>13</v>
      </c>
      <c r="O192" s="3">
        <v>106</v>
      </c>
      <c r="P192">
        <f>SUM(Table9[[#This Row],[Marketing]])</f>
        <v>13</v>
      </c>
      <c r="Q192">
        <f>SUM(Table9[[#This Row],[Sales]])</f>
        <v>106</v>
      </c>
    </row>
    <row r="193" spans="14:17">
      <c r="N193" s="5">
        <v>9</v>
      </c>
      <c r="O193" s="5">
        <v>82</v>
      </c>
      <c r="P193">
        <f>SUM(Table9[[#This Row],[Marketing]])</f>
        <v>9</v>
      </c>
      <c r="Q193">
        <f>SUM(Table9[[#This Row],[Sales]])</f>
        <v>82</v>
      </c>
    </row>
    <row r="194" spans="14:17">
      <c r="N194" s="3">
        <v>44</v>
      </c>
      <c r="O194" s="3">
        <v>118</v>
      </c>
      <c r="P194">
        <f>SUM(Table9[[#This Row],[Marketing]])</f>
        <v>44</v>
      </c>
      <c r="Q194">
        <f>SUM(Table9[[#This Row],[Sales]])</f>
        <v>118</v>
      </c>
    </row>
    <row r="195" spans="14:17">
      <c r="N195" s="5">
        <v>49</v>
      </c>
      <c r="O195" s="5">
        <v>131</v>
      </c>
      <c r="P195">
        <f>SUM(Table9[[#This Row],[Marketing]])</f>
        <v>49</v>
      </c>
      <c r="Q195">
        <f>SUM(Table9[[#This Row],[Sales]])</f>
        <v>131</v>
      </c>
    </row>
    <row r="196" spans="14:17">
      <c r="N196" s="3">
        <v>12</v>
      </c>
      <c r="O196" s="3">
        <v>96</v>
      </c>
      <c r="P196">
        <f>SUM(Table9[[#This Row],[Marketing]])</f>
        <v>12</v>
      </c>
      <c r="Q196">
        <f>SUM(Table9[[#This Row],[Sales]])</f>
        <v>96</v>
      </c>
    </row>
    <row r="197" spans="14:17">
      <c r="N197" s="5">
        <v>24</v>
      </c>
      <c r="O197" s="5">
        <v>185</v>
      </c>
      <c r="P197">
        <f>SUM(Table9[[#This Row],[Marketing]])</f>
        <v>24</v>
      </c>
      <c r="Q197">
        <f>SUM(Table9[[#This Row],[Sales]])</f>
        <v>185</v>
      </c>
    </row>
    <row r="198" spans="14:17">
      <c r="N198" s="3">
        <v>20</v>
      </c>
      <c r="O198" s="3">
        <v>128</v>
      </c>
      <c r="P198">
        <f>SUM(Table9[[#This Row],[Marketing]])</f>
        <v>20</v>
      </c>
      <c r="Q198">
        <f>SUM(Table9[[#This Row],[Sales]])</f>
        <v>128</v>
      </c>
    </row>
    <row r="199" spans="14:17">
      <c r="N199" s="5">
        <v>16</v>
      </c>
      <c r="O199" s="5">
        <v>126</v>
      </c>
      <c r="P199">
        <f>SUM(Table9[[#This Row],[Marketing]])</f>
        <v>16</v>
      </c>
      <c r="Q199">
        <f>SUM(Table9[[#This Row],[Sales]])</f>
        <v>126</v>
      </c>
    </row>
    <row r="200" spans="14:17">
      <c r="N200" s="3">
        <v>7</v>
      </c>
      <c r="O200" s="3">
        <v>70</v>
      </c>
      <c r="P200">
        <f>SUM(Table9[[#This Row],[Marketing]])</f>
        <v>7</v>
      </c>
      <c r="Q200">
        <f>SUM(Table9[[#This Row],[Sales]])</f>
        <v>70</v>
      </c>
    </row>
    <row r="201" spans="14:17">
      <c r="N201" s="5">
        <v>21</v>
      </c>
      <c r="O201" s="5">
        <v>199</v>
      </c>
      <c r="P201">
        <f>SUM(Table9[[#This Row],[Marketing]])</f>
        <v>21</v>
      </c>
      <c r="Q201">
        <f>SUM(Table9[[#This Row],[Sales]])</f>
        <v>199</v>
      </c>
    </row>
    <row r="202" spans="14:17">
      <c r="N202" s="3">
        <v>7</v>
      </c>
      <c r="O202" s="3">
        <v>54</v>
      </c>
      <c r="P202">
        <f>SUM(Table9[[#This Row],[Marketing]])</f>
        <v>7</v>
      </c>
      <c r="Q202">
        <f>SUM(Table9[[#This Row],[Sales]])</f>
        <v>54</v>
      </c>
    </row>
    <row r="203" spans="14:17">
      <c r="N203" s="5">
        <v>6</v>
      </c>
      <c r="O203" s="5">
        <v>62</v>
      </c>
      <c r="P203">
        <f>SUM(Table9[[#This Row],[Marketing]])</f>
        <v>6</v>
      </c>
      <c r="Q203">
        <f>SUM(Table9[[#This Row],[Sales]])</f>
        <v>62</v>
      </c>
    </row>
    <row r="204" spans="14:17">
      <c r="N204" s="3">
        <v>30</v>
      </c>
      <c r="O204" s="3">
        <v>189</v>
      </c>
      <c r="P204">
        <f>SUM(Table9[[#This Row],[Marketing]])</f>
        <v>30</v>
      </c>
      <c r="Q204">
        <f>SUM(Table9[[#This Row],[Sales]])</f>
        <v>189</v>
      </c>
    </row>
    <row r="205" spans="14:17">
      <c r="N205" s="5">
        <v>20</v>
      </c>
      <c r="O205" s="5">
        <v>151</v>
      </c>
      <c r="P205">
        <f>SUM(Table9[[#This Row],[Marketing]])</f>
        <v>20</v>
      </c>
      <c r="Q205">
        <f>SUM(Table9[[#This Row],[Sales]])</f>
        <v>151</v>
      </c>
    </row>
    <row r="206" spans="14:17">
      <c r="N206" s="3">
        <v>14</v>
      </c>
      <c r="O206" s="3">
        <v>120</v>
      </c>
      <c r="P206">
        <f>SUM(Table9[[#This Row],[Marketing]])</f>
        <v>14</v>
      </c>
      <c r="Q206">
        <f>SUM(Table9[[#This Row],[Sales]])</f>
        <v>120</v>
      </c>
    </row>
    <row r="207" spans="14:17">
      <c r="N207" s="5">
        <v>54</v>
      </c>
      <c r="O207" s="5">
        <v>153</v>
      </c>
      <c r="P207">
        <f>SUM(Table9[[#This Row],[Marketing]])</f>
        <v>54</v>
      </c>
      <c r="Q207">
        <f>SUM(Table9[[#This Row],[Sales]])</f>
        <v>153</v>
      </c>
    </row>
    <row r="208" spans="14:17">
      <c r="N208" s="3">
        <v>18</v>
      </c>
      <c r="O208" s="3">
        <v>169</v>
      </c>
      <c r="P208">
        <f>SUM(Table9[[#This Row],[Marketing]])</f>
        <v>18</v>
      </c>
      <c r="Q208">
        <f>SUM(Table9[[#This Row],[Sales]])</f>
        <v>169</v>
      </c>
    </row>
    <row r="209" spans="14:17">
      <c r="N209" s="5">
        <v>13</v>
      </c>
      <c r="O209" s="5">
        <v>98</v>
      </c>
      <c r="P209">
        <f>SUM(Table9[[#This Row],[Marketing]])</f>
        <v>13</v>
      </c>
      <c r="Q209">
        <f>SUM(Table9[[#This Row],[Sales]])</f>
        <v>98</v>
      </c>
    </row>
    <row r="210" spans="14:17">
      <c r="N210" s="3">
        <v>10</v>
      </c>
      <c r="O210" s="3">
        <v>94</v>
      </c>
      <c r="P210">
        <f>SUM(Table9[[#This Row],[Marketing]])</f>
        <v>10</v>
      </c>
      <c r="Q210">
        <f>SUM(Table9[[#This Row],[Sales]])</f>
        <v>94</v>
      </c>
    </row>
    <row r="211" spans="14:17">
      <c r="N211" s="5">
        <v>20</v>
      </c>
      <c r="O211" s="5">
        <v>132</v>
      </c>
      <c r="P211">
        <f>SUM(Table9[[#This Row],[Marketing]])</f>
        <v>20</v>
      </c>
      <c r="Q211">
        <f>SUM(Table9[[#This Row],[Sales]])</f>
        <v>132</v>
      </c>
    </row>
    <row r="212" spans="14:17">
      <c r="N212" s="3">
        <v>13</v>
      </c>
      <c r="O212" s="3">
        <v>98</v>
      </c>
      <c r="P212">
        <f>SUM(Table9[[#This Row],[Marketing]])</f>
        <v>13</v>
      </c>
      <c r="Q212">
        <f>SUM(Table9[[#This Row],[Sales]])</f>
        <v>98</v>
      </c>
    </row>
    <row r="213" spans="14:17">
      <c r="N213" s="5">
        <v>7</v>
      </c>
      <c r="O213" s="5">
        <v>75</v>
      </c>
      <c r="P213">
        <f>SUM(Table9[[#This Row],[Marketing]])</f>
        <v>7</v>
      </c>
      <c r="Q213">
        <f>SUM(Table9[[#This Row],[Sales]])</f>
        <v>75</v>
      </c>
    </row>
    <row r="214" spans="14:17">
      <c r="N214" s="3">
        <v>8</v>
      </c>
      <c r="O214" s="3">
        <v>83</v>
      </c>
      <c r="P214">
        <f>SUM(Table9[[#This Row],[Marketing]])</f>
        <v>8</v>
      </c>
      <c r="Q214">
        <f>SUM(Table9[[#This Row],[Sales]])</f>
        <v>83</v>
      </c>
    </row>
    <row r="215" spans="14:17">
      <c r="N215" s="5">
        <v>8</v>
      </c>
      <c r="O215" s="5">
        <v>85</v>
      </c>
      <c r="P215">
        <f>SUM(Table9[[#This Row],[Marketing]])</f>
        <v>8</v>
      </c>
      <c r="Q215">
        <f>SUM(Table9[[#This Row],[Sales]])</f>
        <v>85</v>
      </c>
    </row>
    <row r="216" spans="14:17">
      <c r="N216" s="3">
        <v>14</v>
      </c>
      <c r="O216" s="3">
        <v>131</v>
      </c>
      <c r="P216">
        <f>SUM(Table9[[#This Row],[Marketing]])</f>
        <v>14</v>
      </c>
      <c r="Q216">
        <f>SUM(Table9[[#This Row],[Sales]])</f>
        <v>131</v>
      </c>
    </row>
    <row r="217" spans="14:17">
      <c r="N217" s="5">
        <v>0</v>
      </c>
      <c r="O217" s="5">
        <v>46</v>
      </c>
      <c r="P217">
        <f>SUM(Table9[[#This Row],[Marketing]])</f>
        <v>0</v>
      </c>
      <c r="Q217">
        <f>SUM(Table9[[#This Row],[Sales]])</f>
        <v>46</v>
      </c>
    </row>
    <row r="218" spans="14:17">
      <c r="N218" s="3">
        <v>25</v>
      </c>
      <c r="O218" s="3">
        <v>130</v>
      </c>
      <c r="P218">
        <f>SUM(Table9[[#This Row],[Marketing]])</f>
        <v>25</v>
      </c>
      <c r="Q218">
        <f>SUM(Table9[[#This Row],[Sales]])</f>
        <v>130</v>
      </c>
    </row>
    <row r="219" spans="14:17">
      <c r="N219" s="5">
        <v>6</v>
      </c>
      <c r="O219" s="5">
        <v>60</v>
      </c>
      <c r="P219">
        <f>SUM(Table9[[#This Row],[Marketing]])</f>
        <v>6</v>
      </c>
      <c r="Q219">
        <f>SUM(Table9[[#This Row],[Sales]])</f>
        <v>60</v>
      </c>
    </row>
    <row r="220" spans="14:17">
      <c r="N220" s="3">
        <v>40</v>
      </c>
      <c r="O220" s="3">
        <v>113</v>
      </c>
      <c r="P220">
        <f>SUM(Table9[[#This Row],[Marketing]])</f>
        <v>40</v>
      </c>
      <c r="Q220">
        <f>SUM(Table9[[#This Row],[Sales]])</f>
        <v>113</v>
      </c>
    </row>
    <row r="221" spans="14:17">
      <c r="N221" s="5">
        <v>12</v>
      </c>
      <c r="O221" s="5">
        <v>79</v>
      </c>
      <c r="P221">
        <f>SUM(Table9[[#This Row],[Marketing]])</f>
        <v>12</v>
      </c>
      <c r="Q221">
        <f>SUM(Table9[[#This Row],[Sales]])</f>
        <v>79</v>
      </c>
    </row>
    <row r="222" spans="14:17">
      <c r="N222" s="3">
        <v>40</v>
      </c>
      <c r="O222" s="3">
        <v>113</v>
      </c>
      <c r="P222">
        <f>SUM(Table9[[#This Row],[Marketing]])</f>
        <v>40</v>
      </c>
      <c r="Q222">
        <f>SUM(Table9[[#This Row],[Sales]])</f>
        <v>113</v>
      </c>
    </row>
    <row r="223" spans="14:17">
      <c r="N223" s="5">
        <v>8</v>
      </c>
      <c r="O223" s="5">
        <v>83</v>
      </c>
      <c r="P223">
        <f>SUM(Table9[[#This Row],[Marketing]])</f>
        <v>8</v>
      </c>
      <c r="Q223">
        <f>SUM(Table9[[#This Row],[Sales]])</f>
        <v>83</v>
      </c>
    </row>
    <row r="224" spans="14:17">
      <c r="N224" s="3">
        <v>21</v>
      </c>
      <c r="O224" s="3">
        <v>160</v>
      </c>
      <c r="P224">
        <f>SUM(Table9[[#This Row],[Marketing]])</f>
        <v>21</v>
      </c>
      <c r="Q224">
        <f>SUM(Table9[[#This Row],[Sales]])</f>
        <v>160</v>
      </c>
    </row>
    <row r="225" spans="14:17">
      <c r="N225" s="5">
        <v>15</v>
      </c>
      <c r="O225" s="5">
        <v>128</v>
      </c>
      <c r="P225">
        <f>SUM(Table9[[#This Row],[Marketing]])</f>
        <v>15</v>
      </c>
      <c r="Q225">
        <f>SUM(Table9[[#This Row],[Sales]])</f>
        <v>128</v>
      </c>
    </row>
    <row r="226" spans="14:17">
      <c r="N226" s="3">
        <v>15</v>
      </c>
      <c r="O226" s="3">
        <v>128</v>
      </c>
      <c r="P226">
        <f>SUM(Table9[[#This Row],[Marketing]])</f>
        <v>15</v>
      </c>
      <c r="Q226">
        <f>SUM(Table9[[#This Row],[Sales]])</f>
        <v>128</v>
      </c>
    </row>
    <row r="227" spans="14:17">
      <c r="N227" s="5">
        <v>14</v>
      </c>
      <c r="O227" s="5">
        <v>106</v>
      </c>
      <c r="P227">
        <f>SUM(Table9[[#This Row],[Marketing]])</f>
        <v>14</v>
      </c>
      <c r="Q227">
        <f>SUM(Table9[[#This Row],[Sales]])</f>
        <v>106</v>
      </c>
    </row>
    <row r="228" spans="14:17">
      <c r="N228" s="3">
        <v>13</v>
      </c>
      <c r="O228" s="3">
        <v>108</v>
      </c>
      <c r="P228">
        <f>SUM(Table9[[#This Row],[Marketing]])</f>
        <v>13</v>
      </c>
      <c r="Q228">
        <f>SUM(Table9[[#This Row],[Sales]])</f>
        <v>108</v>
      </c>
    </row>
    <row r="229" spans="14:17">
      <c r="N229" s="5">
        <v>42</v>
      </c>
      <c r="O229" s="5">
        <v>106</v>
      </c>
      <c r="P229">
        <f>SUM(Table9[[#This Row],[Marketing]])</f>
        <v>42</v>
      </c>
      <c r="Q229">
        <f>SUM(Table9[[#This Row],[Sales]])</f>
        <v>106</v>
      </c>
    </row>
    <row r="230" spans="14:17">
      <c r="N230" s="3">
        <v>14</v>
      </c>
      <c r="O230" s="3">
        <v>106</v>
      </c>
      <c r="P230">
        <f>SUM(Table9[[#This Row],[Marketing]])</f>
        <v>14</v>
      </c>
      <c r="Q230">
        <f>SUM(Table9[[#This Row],[Sales]])</f>
        <v>106</v>
      </c>
    </row>
    <row r="231" spans="14:17">
      <c r="N231" s="5">
        <v>14</v>
      </c>
      <c r="O231" s="5">
        <v>106</v>
      </c>
      <c r="P231">
        <f>SUM(Table9[[#This Row],[Marketing]])</f>
        <v>14</v>
      </c>
      <c r="Q231">
        <f>SUM(Table9[[#This Row],[Sales]])</f>
        <v>106</v>
      </c>
    </row>
    <row r="232" spans="14:17">
      <c r="N232" s="3">
        <v>17</v>
      </c>
      <c r="O232" s="3">
        <v>110</v>
      </c>
      <c r="P232">
        <f>SUM(Table9[[#This Row],[Marketing]])</f>
        <v>17</v>
      </c>
      <c r="Q232">
        <f>SUM(Table9[[#This Row],[Sales]])</f>
        <v>110</v>
      </c>
    </row>
    <row r="233" spans="14:17">
      <c r="N233" s="5">
        <v>16</v>
      </c>
      <c r="O233" s="5">
        <v>124</v>
      </c>
      <c r="P233">
        <f>SUM(Table9[[#This Row],[Marketing]])</f>
        <v>16</v>
      </c>
      <c r="Q233">
        <f>SUM(Table9[[#This Row],[Sales]])</f>
        <v>124</v>
      </c>
    </row>
    <row r="234" spans="14:17">
      <c r="N234" s="3">
        <v>9</v>
      </c>
      <c r="O234" s="3">
        <v>87</v>
      </c>
      <c r="P234">
        <f>SUM(Table9[[#This Row],[Marketing]])</f>
        <v>9</v>
      </c>
      <c r="Q234">
        <f>SUM(Table9[[#This Row],[Sales]])</f>
        <v>87</v>
      </c>
    </row>
    <row r="235" spans="14:17">
      <c r="N235" s="5">
        <v>9</v>
      </c>
      <c r="O235" s="5">
        <v>91</v>
      </c>
      <c r="P235">
        <f>SUM(Table9[[#This Row],[Marketing]])</f>
        <v>9</v>
      </c>
      <c r="Q235">
        <f>SUM(Table9[[#This Row],[Sales]])</f>
        <v>91</v>
      </c>
    </row>
    <row r="236" spans="14:17">
      <c r="N236" s="3">
        <v>0</v>
      </c>
      <c r="O236" s="3">
        <v>46</v>
      </c>
      <c r="P236">
        <f>SUM(Table9[[#This Row],[Marketing]])</f>
        <v>0</v>
      </c>
      <c r="Q236">
        <f>SUM(Table9[[#This Row],[Sales]])</f>
        <v>46</v>
      </c>
    </row>
    <row r="237" spans="14:17">
      <c r="N237" s="5">
        <v>13</v>
      </c>
      <c r="O237" s="5">
        <v>113</v>
      </c>
      <c r="P237">
        <f>SUM(Table9[[#This Row],[Marketing]])</f>
        <v>13</v>
      </c>
      <c r="Q237">
        <f>SUM(Table9[[#This Row],[Sales]])</f>
        <v>113</v>
      </c>
    </row>
    <row r="238" spans="14:17">
      <c r="N238" s="3">
        <v>9</v>
      </c>
      <c r="O238" s="3">
        <v>74</v>
      </c>
      <c r="P238">
        <f>SUM(Table9[[#This Row],[Marketing]])</f>
        <v>9</v>
      </c>
      <c r="Q238">
        <f>SUM(Table9[[#This Row],[Sales]])</f>
        <v>74</v>
      </c>
    </row>
    <row r="239" spans="14:17">
      <c r="N239" s="5">
        <v>6</v>
      </c>
      <c r="O239" s="5">
        <v>62</v>
      </c>
      <c r="P239">
        <f>SUM(Table9[[#This Row],[Marketing]])</f>
        <v>6</v>
      </c>
      <c r="Q239">
        <f>SUM(Table9[[#This Row],[Sales]])</f>
        <v>62</v>
      </c>
    </row>
    <row r="240" spans="14:17">
      <c r="N240" s="3">
        <v>12</v>
      </c>
      <c r="O240" s="3">
        <v>114</v>
      </c>
      <c r="P240">
        <f>SUM(Table9[[#This Row],[Marketing]])</f>
        <v>12</v>
      </c>
      <c r="Q240">
        <f>SUM(Table9[[#This Row],[Sales]])</f>
        <v>114</v>
      </c>
    </row>
    <row r="241" spans="14:17">
      <c r="N241" s="5">
        <v>17</v>
      </c>
      <c r="O241" s="5">
        <v>110</v>
      </c>
      <c r="P241">
        <f>SUM(Table9[[#This Row],[Marketing]])</f>
        <v>17</v>
      </c>
      <c r="Q241">
        <f>SUM(Table9[[#This Row],[Sales]])</f>
        <v>110</v>
      </c>
    </row>
    <row r="242" spans="14:17">
      <c r="N242" s="3">
        <v>13</v>
      </c>
      <c r="O242" s="3">
        <v>113</v>
      </c>
      <c r="P242">
        <f>SUM(Table9[[#This Row],[Marketing]])</f>
        <v>13</v>
      </c>
      <c r="Q242">
        <f>SUM(Table9[[#This Row],[Sales]])</f>
        <v>113</v>
      </c>
    </row>
    <row r="243" spans="14:17">
      <c r="N243" s="5">
        <v>9</v>
      </c>
      <c r="O243" s="5">
        <v>87</v>
      </c>
      <c r="P243">
        <f>SUM(Table9[[#This Row],[Marketing]])</f>
        <v>9</v>
      </c>
      <c r="Q243">
        <f>SUM(Table9[[#This Row],[Sales]])</f>
        <v>87</v>
      </c>
    </row>
    <row r="244" spans="14:17">
      <c r="N244" s="3">
        <v>44</v>
      </c>
      <c r="O244" s="3">
        <v>126</v>
      </c>
      <c r="P244">
        <f>SUM(Table9[[#This Row],[Marketing]])</f>
        <v>44</v>
      </c>
      <c r="Q244">
        <f>SUM(Table9[[#This Row],[Sales]])</f>
        <v>126</v>
      </c>
    </row>
    <row r="245" spans="14:17">
      <c r="N245" s="5">
        <v>49</v>
      </c>
      <c r="O245" s="5">
        <v>140</v>
      </c>
      <c r="P245">
        <f>SUM(Table9[[#This Row],[Marketing]])</f>
        <v>49</v>
      </c>
      <c r="Q245">
        <f>SUM(Table9[[#This Row],[Sales]])</f>
        <v>140</v>
      </c>
    </row>
    <row r="246" spans="14:17">
      <c r="N246" s="3">
        <v>12</v>
      </c>
      <c r="O246" s="3">
        <v>90</v>
      </c>
      <c r="P246">
        <f>SUM(Table9[[#This Row],[Marketing]])</f>
        <v>12</v>
      </c>
      <c r="Q246">
        <f>SUM(Table9[[#This Row],[Sales]])</f>
        <v>90</v>
      </c>
    </row>
    <row r="247" spans="14:17">
      <c r="N247" s="5">
        <v>12</v>
      </c>
      <c r="O247" s="5">
        <v>90</v>
      </c>
      <c r="P247">
        <f>SUM(Table9[[#This Row],[Marketing]])</f>
        <v>12</v>
      </c>
      <c r="Q247">
        <f>SUM(Table9[[#This Row],[Sales]])</f>
        <v>90</v>
      </c>
    </row>
    <row r="248" spans="14:17">
      <c r="N248" s="3">
        <v>26</v>
      </c>
      <c r="O248" s="3">
        <v>109</v>
      </c>
      <c r="P248">
        <f>SUM(Table9[[#This Row],[Marketing]])</f>
        <v>26</v>
      </c>
      <c r="Q248">
        <f>SUM(Table9[[#This Row],[Sales]])</f>
        <v>109</v>
      </c>
    </row>
    <row r="249" spans="14:17">
      <c r="N249" s="5">
        <v>14</v>
      </c>
      <c r="O249" s="5">
        <v>113</v>
      </c>
      <c r="P249">
        <f>SUM(Table9[[#This Row],[Marketing]])</f>
        <v>14</v>
      </c>
      <c r="Q249">
        <f>SUM(Table9[[#This Row],[Sales]])</f>
        <v>113</v>
      </c>
    </row>
    <row r="250" spans="14:17">
      <c r="N250" s="3">
        <v>9</v>
      </c>
      <c r="O250" s="3">
        <v>68</v>
      </c>
      <c r="P250">
        <f>SUM(Table9[[#This Row],[Marketing]])</f>
        <v>9</v>
      </c>
      <c r="Q250">
        <f>SUM(Table9[[#This Row],[Sales]])</f>
        <v>68</v>
      </c>
    </row>
    <row r="251" spans="14:17">
      <c r="N251" s="5">
        <v>41</v>
      </c>
      <c r="O251" s="5">
        <v>109</v>
      </c>
      <c r="P251">
        <f>SUM(Table9[[#This Row],[Marketing]])</f>
        <v>41</v>
      </c>
      <c r="Q251">
        <f>SUM(Table9[[#This Row],[Sales]])</f>
        <v>109</v>
      </c>
    </row>
    <row r="252" spans="14:17">
      <c r="N252" s="3">
        <v>8</v>
      </c>
      <c r="O252" s="3">
        <v>79</v>
      </c>
      <c r="P252">
        <f>SUM(Table9[[#This Row],[Marketing]])</f>
        <v>8</v>
      </c>
      <c r="Q252">
        <f>SUM(Table9[[#This Row],[Sales]])</f>
        <v>79</v>
      </c>
    </row>
    <row r="253" spans="14:17">
      <c r="N253" s="5">
        <v>9</v>
      </c>
      <c r="O253" s="5">
        <v>68</v>
      </c>
      <c r="P253">
        <f>SUM(Table9[[#This Row],[Marketing]])</f>
        <v>9</v>
      </c>
      <c r="Q253">
        <f>SUM(Table9[[#This Row],[Sales]])</f>
        <v>68</v>
      </c>
    </row>
    <row r="254" spans="14:17">
      <c r="N254" s="3">
        <v>12</v>
      </c>
      <c r="O254" s="3">
        <v>92</v>
      </c>
      <c r="P254">
        <f>SUM(Table9[[#This Row],[Marketing]])</f>
        <v>12</v>
      </c>
      <c r="Q254">
        <f>SUM(Table9[[#This Row],[Sales]])</f>
        <v>92</v>
      </c>
    </row>
    <row r="255" spans="14:17">
      <c r="N255" s="5">
        <v>6</v>
      </c>
      <c r="O255" s="5">
        <v>60</v>
      </c>
      <c r="P255">
        <f>SUM(Table9[[#This Row],[Marketing]])</f>
        <v>6</v>
      </c>
      <c r="Q255">
        <f>SUM(Table9[[#This Row],[Sales]])</f>
        <v>60</v>
      </c>
    </row>
    <row r="256" spans="14:17">
      <c r="N256" s="3">
        <v>0</v>
      </c>
      <c r="O256" s="3">
        <v>43</v>
      </c>
      <c r="P256">
        <f>SUM(Table9[[#This Row],[Marketing]])</f>
        <v>0</v>
      </c>
      <c r="Q256">
        <f>SUM(Table9[[#This Row],[Sales]])</f>
        <v>43</v>
      </c>
    </row>
    <row r="257" spans="14:17">
      <c r="N257" s="5">
        <v>41</v>
      </c>
      <c r="O257" s="5">
        <v>109</v>
      </c>
      <c r="P257">
        <f>SUM(Table9[[#This Row],[Marketing]])</f>
        <v>41</v>
      </c>
      <c r="Q257">
        <f>SUM(Table9[[#This Row],[Sales]])</f>
        <v>109</v>
      </c>
    </row>
    <row r="258" spans="14:17">
      <c r="N258" s="3">
        <v>54</v>
      </c>
      <c r="O258" s="3">
        <v>144</v>
      </c>
      <c r="P258">
        <f>SUM(Table9[[#This Row],[Marketing]])</f>
        <v>54</v>
      </c>
      <c r="Q258">
        <f>SUM(Table9[[#This Row],[Sales]])</f>
        <v>144</v>
      </c>
    </row>
    <row r="259" spans="14:17">
      <c r="N259" s="5">
        <v>8</v>
      </c>
      <c r="O259" s="5">
        <v>80</v>
      </c>
      <c r="P259">
        <f>SUM(Table9[[#This Row],[Marketing]])</f>
        <v>8</v>
      </c>
      <c r="Q259">
        <f>SUM(Table9[[#This Row],[Sales]])</f>
        <v>80</v>
      </c>
    </row>
    <row r="260" spans="14:17">
      <c r="N260" s="3">
        <v>20</v>
      </c>
      <c r="O260" s="3">
        <v>121</v>
      </c>
      <c r="P260">
        <f>SUM(Table9[[#This Row],[Marketing]])</f>
        <v>20</v>
      </c>
      <c r="Q260">
        <f>SUM(Table9[[#This Row],[Sales]])</f>
        <v>121</v>
      </c>
    </row>
    <row r="261" spans="14:17">
      <c r="N261" s="5">
        <v>7</v>
      </c>
      <c r="O261" s="5">
        <v>52</v>
      </c>
      <c r="P261">
        <f>SUM(Table9[[#This Row],[Marketing]])</f>
        <v>7</v>
      </c>
      <c r="Q261">
        <f>SUM(Table9[[#This Row],[Sales]])</f>
        <v>52</v>
      </c>
    </row>
    <row r="262" spans="14:17">
      <c r="N262" s="3">
        <v>11</v>
      </c>
      <c r="O262" s="3">
        <v>82</v>
      </c>
      <c r="P262">
        <f>SUM(Table9[[#This Row],[Marketing]])</f>
        <v>11</v>
      </c>
      <c r="Q262">
        <f>SUM(Table9[[#This Row],[Sales]])</f>
        <v>82</v>
      </c>
    </row>
    <row r="263" spans="14:17">
      <c r="N263" s="5">
        <v>8</v>
      </c>
      <c r="O263" s="5">
        <v>64</v>
      </c>
      <c r="P263">
        <f>SUM(Table9[[#This Row],[Marketing]])</f>
        <v>8</v>
      </c>
      <c r="Q263">
        <f>SUM(Table9[[#This Row],[Sales]])</f>
        <v>64</v>
      </c>
    </row>
    <row r="264" spans="14:17">
      <c r="N264" s="3">
        <v>8</v>
      </c>
      <c r="O264" s="3">
        <v>64</v>
      </c>
      <c r="P264">
        <f>SUM(Table9[[#This Row],[Marketing]])</f>
        <v>8</v>
      </c>
      <c r="Q264">
        <f>SUM(Table9[[#This Row],[Sales]])</f>
        <v>64</v>
      </c>
    </row>
    <row r="265" spans="14:17">
      <c r="N265" s="5">
        <v>12</v>
      </c>
      <c r="O265" s="5">
        <v>76</v>
      </c>
      <c r="P265">
        <f>SUM(Table9[[#This Row],[Marketing]])</f>
        <v>12</v>
      </c>
      <c r="Q265">
        <f>SUM(Table9[[#This Row],[Sales]])</f>
        <v>76</v>
      </c>
    </row>
    <row r="266" spans="14:17">
      <c r="N266" s="3">
        <v>8</v>
      </c>
      <c r="O266" s="3">
        <v>80</v>
      </c>
      <c r="P266">
        <f>SUM(Table9[[#This Row],[Marketing]])</f>
        <v>8</v>
      </c>
      <c r="Q266">
        <f>SUM(Table9[[#This Row],[Sales]])</f>
        <v>80</v>
      </c>
    </row>
    <row r="267" spans="14:17">
      <c r="N267" s="5">
        <v>0</v>
      </c>
      <c r="O267" s="5">
        <v>43</v>
      </c>
      <c r="P267">
        <f>SUM(Table9[[#This Row],[Marketing]])</f>
        <v>0</v>
      </c>
      <c r="Q267">
        <f>SUM(Table9[[#This Row],[Sales]])</f>
        <v>43</v>
      </c>
    </row>
    <row r="268" spans="14:17">
      <c r="N268" s="3">
        <v>9</v>
      </c>
      <c r="O268" s="3">
        <v>81</v>
      </c>
      <c r="P268">
        <f>SUM(Table9[[#This Row],[Marketing]])</f>
        <v>9</v>
      </c>
      <c r="Q268">
        <f>SUM(Table9[[#This Row],[Sales]])</f>
        <v>81</v>
      </c>
    </row>
    <row r="269" spans="14:17">
      <c r="N269" s="5">
        <v>25</v>
      </c>
      <c r="O269" s="5">
        <v>122</v>
      </c>
      <c r="P269">
        <f>SUM(Table9[[#This Row],[Marketing]])</f>
        <v>25</v>
      </c>
      <c r="Q269">
        <f>SUM(Table9[[#This Row],[Sales]])</f>
        <v>122</v>
      </c>
    </row>
    <row r="270" spans="14:17">
      <c r="N270" s="3">
        <v>25</v>
      </c>
      <c r="O270" s="3">
        <v>122</v>
      </c>
      <c r="P270">
        <f>SUM(Table9[[#This Row],[Marketing]])</f>
        <v>25</v>
      </c>
      <c r="Q270">
        <f>SUM(Table9[[#This Row],[Sales]])</f>
        <v>122</v>
      </c>
    </row>
    <row r="271" spans="14:17">
      <c r="N271" s="5">
        <v>11</v>
      </c>
      <c r="O271" s="5">
        <v>82</v>
      </c>
      <c r="P271">
        <f>SUM(Table9[[#This Row],[Marketing]])</f>
        <v>11</v>
      </c>
      <c r="Q271">
        <f>SUM(Table9[[#This Row],[Sales]])</f>
        <v>82</v>
      </c>
    </row>
    <row r="272" spans="14:17">
      <c r="N272" s="3">
        <v>12</v>
      </c>
      <c r="O272" s="3">
        <v>76</v>
      </c>
      <c r="P272">
        <f>SUM(Table9[[#This Row],[Marketing]])</f>
        <v>12</v>
      </c>
      <c r="Q272">
        <f>SUM(Table9[[#This Row],[Sales]])</f>
        <v>76</v>
      </c>
    </row>
    <row r="273" spans="14:17">
      <c r="N273" s="5">
        <v>12</v>
      </c>
      <c r="O273" s="5">
        <v>74</v>
      </c>
      <c r="P273">
        <f>SUM(Table9[[#This Row],[Marketing]])</f>
        <v>12</v>
      </c>
      <c r="Q273">
        <f>SUM(Table9[[#This Row],[Sales]])</f>
        <v>74</v>
      </c>
    </row>
    <row r="274" spans="14:17">
      <c r="N274" s="3">
        <v>0</v>
      </c>
      <c r="O274" s="3">
        <v>43</v>
      </c>
      <c r="P274">
        <f>SUM(Table9[[#This Row],[Marketing]])</f>
        <v>0</v>
      </c>
      <c r="Q274">
        <f>SUM(Table9[[#This Row],[Sales]])</f>
        <v>43</v>
      </c>
    </row>
    <row r="275" spans="14:17">
      <c r="N275" s="5">
        <v>40</v>
      </c>
      <c r="O275" s="5">
        <v>106</v>
      </c>
      <c r="P275">
        <f>SUM(Table9[[#This Row],[Marketing]])</f>
        <v>40</v>
      </c>
      <c r="Q275">
        <f>SUM(Table9[[#This Row],[Sales]])</f>
        <v>106</v>
      </c>
    </row>
    <row r="276" spans="14:17">
      <c r="N276" s="3">
        <v>8</v>
      </c>
      <c r="O276" s="3">
        <v>73</v>
      </c>
      <c r="P276">
        <f>SUM(Table9[[#This Row],[Marketing]])</f>
        <v>8</v>
      </c>
      <c r="Q276">
        <f>SUM(Table9[[#This Row],[Sales]])</f>
        <v>73</v>
      </c>
    </row>
    <row r="277" spans="14:17">
      <c r="N277" s="5">
        <v>9</v>
      </c>
      <c r="O277" s="5">
        <v>82</v>
      </c>
      <c r="P277">
        <f>SUM(Table9[[#This Row],[Marketing]])</f>
        <v>9</v>
      </c>
      <c r="Q277">
        <f>SUM(Table9[[#This Row],[Sales]])</f>
        <v>82</v>
      </c>
    </row>
    <row r="278" spans="14:17">
      <c r="N278" s="3">
        <v>17</v>
      </c>
      <c r="O278" s="3">
        <v>103</v>
      </c>
      <c r="P278">
        <f>SUM(Table9[[#This Row],[Marketing]])</f>
        <v>17</v>
      </c>
      <c r="Q278">
        <f>SUM(Table9[[#This Row],[Sales]])</f>
        <v>103</v>
      </c>
    </row>
    <row r="279" spans="14:17">
      <c r="N279" s="5">
        <v>8</v>
      </c>
      <c r="O279" s="5">
        <v>75</v>
      </c>
      <c r="P279">
        <f>SUM(Table9[[#This Row],[Marketing]])</f>
        <v>8</v>
      </c>
      <c r="Q279">
        <f>SUM(Table9[[#This Row],[Sales]])</f>
        <v>75</v>
      </c>
    </row>
    <row r="280" spans="14:17">
      <c r="N280" s="3">
        <v>8</v>
      </c>
      <c r="O280" s="3">
        <v>73</v>
      </c>
      <c r="P280">
        <f>SUM(Table9[[#This Row],[Marketing]])</f>
        <v>8</v>
      </c>
      <c r="Q280">
        <f>SUM(Table9[[#This Row],[Sales]])</f>
        <v>73</v>
      </c>
    </row>
    <row r="281" spans="14:17">
      <c r="N281" s="5">
        <v>7</v>
      </c>
      <c r="O281" s="5">
        <v>56</v>
      </c>
      <c r="P281">
        <f>SUM(Table9[[#This Row],[Marketing]])</f>
        <v>7</v>
      </c>
      <c r="Q281">
        <f>SUM(Table9[[#This Row],[Sales]])</f>
        <v>56</v>
      </c>
    </row>
    <row r="282" spans="14:17">
      <c r="N282" s="3">
        <v>0</v>
      </c>
      <c r="O282" s="3">
        <v>43</v>
      </c>
      <c r="P282">
        <f>SUM(Table9[[#This Row],[Marketing]])</f>
        <v>0</v>
      </c>
      <c r="Q282">
        <f>SUM(Table9[[#This Row],[Sales]])</f>
        <v>43</v>
      </c>
    </row>
    <row r="283" spans="14:17">
      <c r="N283" s="5">
        <v>8</v>
      </c>
      <c r="O283" s="5">
        <v>77</v>
      </c>
      <c r="P283">
        <f>SUM(Table9[[#This Row],[Marketing]])</f>
        <v>8</v>
      </c>
      <c r="Q283">
        <f>SUM(Table9[[#This Row],[Sales]])</f>
        <v>77</v>
      </c>
    </row>
    <row r="284" spans="14:17">
      <c r="N284" s="3">
        <v>9</v>
      </c>
      <c r="O284" s="3">
        <v>85</v>
      </c>
      <c r="P284">
        <f>SUM(Table9[[#This Row],[Marketing]])</f>
        <v>9</v>
      </c>
      <c r="Q284">
        <f>SUM(Table9[[#This Row],[Sales]])</f>
        <v>85</v>
      </c>
    </row>
    <row r="285" spans="14:17">
      <c r="N285" s="5">
        <v>14</v>
      </c>
      <c r="O285" s="5">
        <v>88</v>
      </c>
      <c r="P285">
        <f>SUM(Table9[[#This Row],[Marketing]])</f>
        <v>14</v>
      </c>
      <c r="Q285">
        <f>SUM(Table9[[#This Row],[Sales]])</f>
        <v>88</v>
      </c>
    </row>
    <row r="286" spans="14:17">
      <c r="N286" s="3">
        <v>9</v>
      </c>
      <c r="O286" s="3">
        <v>69</v>
      </c>
      <c r="P286">
        <f>SUM(Table9[[#This Row],[Marketing]])</f>
        <v>9</v>
      </c>
      <c r="Q286">
        <f>SUM(Table9[[#This Row],[Sales]])</f>
        <v>69</v>
      </c>
    </row>
    <row r="287" spans="14:17">
      <c r="N287" s="5">
        <v>12</v>
      </c>
      <c r="O287" s="5">
        <v>89</v>
      </c>
      <c r="P287">
        <f>SUM(Table9[[#This Row],[Marketing]])</f>
        <v>12</v>
      </c>
      <c r="Q287">
        <f>SUM(Table9[[#This Row],[Sales]])</f>
        <v>89</v>
      </c>
    </row>
    <row r="288" spans="14:17">
      <c r="N288" s="3">
        <v>14</v>
      </c>
      <c r="O288" s="3">
        <v>88</v>
      </c>
      <c r="P288">
        <f>SUM(Table9[[#This Row],[Marketing]])</f>
        <v>14</v>
      </c>
      <c r="Q288">
        <f>SUM(Table9[[#This Row],[Sales]])</f>
        <v>88</v>
      </c>
    </row>
    <row r="289" spans="14:17">
      <c r="N289" s="5">
        <v>0</v>
      </c>
      <c r="O289" s="5">
        <v>43</v>
      </c>
      <c r="P289">
        <f>SUM(Table9[[#This Row],[Marketing]])</f>
        <v>0</v>
      </c>
      <c r="Q289">
        <f>SUM(Table9[[#This Row],[Sales]])</f>
        <v>43</v>
      </c>
    </row>
    <row r="290" spans="14:17">
      <c r="N290" s="3">
        <v>12</v>
      </c>
      <c r="O290" s="3">
        <v>107</v>
      </c>
      <c r="P290">
        <f>SUM(Table9[[#This Row],[Marketing]])</f>
        <v>12</v>
      </c>
      <c r="Q290">
        <f>SUM(Table9[[#This Row],[Sales]])</f>
        <v>107</v>
      </c>
    </row>
    <row r="291" spans="14:17">
      <c r="N291" s="5">
        <v>12</v>
      </c>
      <c r="O291" s="5">
        <v>89</v>
      </c>
      <c r="P291">
        <f>SUM(Table9[[#This Row],[Marketing]])</f>
        <v>12</v>
      </c>
      <c r="Q291">
        <f>SUM(Table9[[#This Row],[Sales]])</f>
        <v>89</v>
      </c>
    </row>
    <row r="292" spans="14:17">
      <c r="N292" s="3">
        <v>13</v>
      </c>
      <c r="O292" s="3">
        <v>106</v>
      </c>
      <c r="P292">
        <f>SUM(Table9[[#This Row],[Marketing]])</f>
        <v>13</v>
      </c>
      <c r="Q292">
        <f>SUM(Table9[[#This Row],[Sales]])</f>
        <v>106</v>
      </c>
    </row>
    <row r="293" spans="14:17">
      <c r="N293" s="5">
        <v>12</v>
      </c>
      <c r="O293" s="5">
        <v>96</v>
      </c>
      <c r="P293">
        <f>SUM(Table9[[#This Row],[Marketing]])</f>
        <v>12</v>
      </c>
      <c r="Q293">
        <f>SUM(Table9[[#This Row],[Sales]])</f>
        <v>96</v>
      </c>
    </row>
    <row r="294" spans="14:17">
      <c r="N294" s="3">
        <v>12</v>
      </c>
      <c r="O294" s="3">
        <v>96</v>
      </c>
      <c r="P294">
        <f>SUM(Table9[[#This Row],[Marketing]])</f>
        <v>12</v>
      </c>
      <c r="Q294">
        <f>SUM(Table9[[#This Row],[Sales]])</f>
        <v>96</v>
      </c>
    </row>
    <row r="295" spans="14:17">
      <c r="N295" s="5">
        <v>26</v>
      </c>
      <c r="O295" s="5">
        <v>116</v>
      </c>
      <c r="P295">
        <f>SUM(Table9[[#This Row],[Marketing]])</f>
        <v>26</v>
      </c>
      <c r="Q295">
        <f>SUM(Table9[[#This Row],[Sales]])</f>
        <v>116</v>
      </c>
    </row>
    <row r="296" spans="14:17">
      <c r="N296" s="3">
        <v>14</v>
      </c>
      <c r="O296" s="3">
        <v>120</v>
      </c>
      <c r="P296">
        <f>SUM(Table9[[#This Row],[Marketing]])</f>
        <v>14</v>
      </c>
      <c r="Q296">
        <f>SUM(Table9[[#This Row],[Sales]])</f>
        <v>120</v>
      </c>
    </row>
    <row r="297" spans="14:17">
      <c r="N297" s="5">
        <v>9</v>
      </c>
      <c r="O297" s="5">
        <v>72</v>
      </c>
      <c r="P297">
        <f>SUM(Table9[[#This Row],[Marketing]])</f>
        <v>9</v>
      </c>
      <c r="Q297">
        <f>SUM(Table9[[#This Row],[Sales]])</f>
        <v>72</v>
      </c>
    </row>
    <row r="298" spans="14:17">
      <c r="N298" s="3">
        <v>41</v>
      </c>
      <c r="O298" s="3">
        <v>116</v>
      </c>
      <c r="P298">
        <f>SUM(Table9[[#This Row],[Marketing]])</f>
        <v>41</v>
      </c>
      <c r="Q298">
        <f>SUM(Table9[[#This Row],[Sales]])</f>
        <v>116</v>
      </c>
    </row>
    <row r="299" spans="14:17">
      <c r="N299" s="5">
        <v>8</v>
      </c>
      <c r="O299" s="5">
        <v>84</v>
      </c>
      <c r="P299">
        <f>SUM(Table9[[#This Row],[Marketing]])</f>
        <v>8</v>
      </c>
      <c r="Q299">
        <f>SUM(Table9[[#This Row],[Sales]])</f>
        <v>84</v>
      </c>
    </row>
    <row r="300" spans="14:17">
      <c r="N300" s="3">
        <v>9</v>
      </c>
      <c r="O300" s="3">
        <v>72</v>
      </c>
      <c r="P300">
        <f>SUM(Table9[[#This Row],[Marketing]])</f>
        <v>9</v>
      </c>
      <c r="Q300">
        <f>SUM(Table9[[#This Row],[Sales]])</f>
        <v>72</v>
      </c>
    </row>
    <row r="301" spans="14:17">
      <c r="N301" s="5">
        <v>12</v>
      </c>
      <c r="O301" s="5">
        <v>98</v>
      </c>
      <c r="P301">
        <f>SUM(Table9[[#This Row],[Marketing]])</f>
        <v>12</v>
      </c>
      <c r="Q301">
        <f>SUM(Table9[[#This Row],[Sales]])</f>
        <v>98</v>
      </c>
    </row>
    <row r="302" spans="14:17">
      <c r="N302" s="3">
        <v>6</v>
      </c>
      <c r="O302" s="3">
        <v>64</v>
      </c>
      <c r="P302">
        <f>SUM(Table9[[#This Row],[Marketing]])</f>
        <v>6</v>
      </c>
      <c r="Q302">
        <f>SUM(Table9[[#This Row],[Sales]])</f>
        <v>64</v>
      </c>
    </row>
    <row r="303" spans="14:17">
      <c r="N303" s="5">
        <v>0</v>
      </c>
      <c r="O303" s="5">
        <v>46</v>
      </c>
      <c r="P303">
        <f>SUM(Table9[[#This Row],[Marketing]])</f>
        <v>0</v>
      </c>
      <c r="Q303">
        <f>SUM(Table9[[#This Row],[Sales]])</f>
        <v>46</v>
      </c>
    </row>
    <row r="304" spans="14:17">
      <c r="N304" s="3">
        <v>41</v>
      </c>
      <c r="O304" s="3">
        <v>116</v>
      </c>
      <c r="P304">
        <f>SUM(Table9[[#This Row],[Marketing]])</f>
        <v>41</v>
      </c>
      <c r="Q304">
        <f>SUM(Table9[[#This Row],[Sales]])</f>
        <v>116</v>
      </c>
    </row>
    <row r="305" spans="14:17">
      <c r="N305" s="5">
        <v>54</v>
      </c>
      <c r="O305" s="5">
        <v>153</v>
      </c>
      <c r="P305">
        <f>SUM(Table9[[#This Row],[Marketing]])</f>
        <v>54</v>
      </c>
      <c r="Q305">
        <f>SUM(Table9[[#This Row],[Sales]])</f>
        <v>153</v>
      </c>
    </row>
    <row r="306" spans="14:17">
      <c r="N306" s="3">
        <v>8</v>
      </c>
      <c r="O306" s="3">
        <v>85</v>
      </c>
      <c r="P306">
        <f>SUM(Table9[[#This Row],[Marketing]])</f>
        <v>8</v>
      </c>
      <c r="Q306">
        <f>SUM(Table9[[#This Row],[Sales]])</f>
        <v>85</v>
      </c>
    </row>
    <row r="307" spans="14:17">
      <c r="N307" s="5">
        <v>20</v>
      </c>
      <c r="O307" s="5">
        <v>129</v>
      </c>
      <c r="P307">
        <f>SUM(Table9[[#This Row],[Marketing]])</f>
        <v>20</v>
      </c>
      <c r="Q307">
        <f>SUM(Table9[[#This Row],[Sales]])</f>
        <v>129</v>
      </c>
    </row>
    <row r="308" spans="14:17">
      <c r="N308" s="3">
        <v>7</v>
      </c>
      <c r="O308" s="3">
        <v>55</v>
      </c>
      <c r="P308">
        <f>SUM(Table9[[#This Row],[Marketing]])</f>
        <v>7</v>
      </c>
      <c r="Q308">
        <f>SUM(Table9[[#This Row],[Sales]])</f>
        <v>55</v>
      </c>
    </row>
    <row r="309" spans="14:17">
      <c r="N309" s="5">
        <v>11</v>
      </c>
      <c r="O309" s="5">
        <v>87</v>
      </c>
      <c r="P309">
        <f>SUM(Table9[[#This Row],[Marketing]])</f>
        <v>11</v>
      </c>
      <c r="Q309">
        <f>SUM(Table9[[#This Row],[Sales]])</f>
        <v>87</v>
      </c>
    </row>
    <row r="310" spans="14:17">
      <c r="N310" s="3">
        <v>8</v>
      </c>
      <c r="O310" s="3">
        <v>68</v>
      </c>
      <c r="P310">
        <f>SUM(Table9[[#This Row],[Marketing]])</f>
        <v>8</v>
      </c>
      <c r="Q310">
        <f>SUM(Table9[[#This Row],[Sales]])</f>
        <v>68</v>
      </c>
    </row>
    <row r="311" spans="14:17">
      <c r="N311" s="5">
        <v>8</v>
      </c>
      <c r="O311" s="5">
        <v>68</v>
      </c>
      <c r="P311">
        <f>SUM(Table9[[#This Row],[Marketing]])</f>
        <v>8</v>
      </c>
      <c r="Q311">
        <f>SUM(Table9[[#This Row],[Sales]])</f>
        <v>68</v>
      </c>
    </row>
    <row r="312" spans="14:17">
      <c r="N312" s="3">
        <v>12</v>
      </c>
      <c r="O312" s="3">
        <v>81</v>
      </c>
      <c r="P312">
        <f>SUM(Table9[[#This Row],[Marketing]])</f>
        <v>12</v>
      </c>
      <c r="Q312">
        <f>SUM(Table9[[#This Row],[Sales]])</f>
        <v>81</v>
      </c>
    </row>
    <row r="313" spans="14:17">
      <c r="N313" s="5">
        <v>8</v>
      </c>
      <c r="O313" s="5">
        <v>85</v>
      </c>
      <c r="P313">
        <f>SUM(Table9[[#This Row],[Marketing]])</f>
        <v>8</v>
      </c>
      <c r="Q313">
        <f>SUM(Table9[[#This Row],[Sales]])</f>
        <v>85</v>
      </c>
    </row>
    <row r="314" spans="14:17">
      <c r="N314" s="3">
        <v>0</v>
      </c>
      <c r="O314" s="3">
        <v>46</v>
      </c>
      <c r="P314">
        <f>SUM(Table9[[#This Row],[Marketing]])</f>
        <v>0</v>
      </c>
      <c r="Q314">
        <f>SUM(Table9[[#This Row],[Sales]])</f>
        <v>46</v>
      </c>
    </row>
    <row r="315" spans="14:17">
      <c r="N315" s="5">
        <v>9</v>
      </c>
      <c r="O315" s="5">
        <v>86</v>
      </c>
      <c r="P315">
        <f>SUM(Table9[[#This Row],[Marketing]])</f>
        <v>9</v>
      </c>
      <c r="Q315">
        <f>SUM(Table9[[#This Row],[Sales]])</f>
        <v>86</v>
      </c>
    </row>
    <row r="316" spans="14:17">
      <c r="N316" s="3">
        <v>25</v>
      </c>
      <c r="O316" s="3">
        <v>130</v>
      </c>
      <c r="P316">
        <f>SUM(Table9[[#This Row],[Marketing]])</f>
        <v>25</v>
      </c>
      <c r="Q316">
        <f>SUM(Table9[[#This Row],[Sales]])</f>
        <v>130</v>
      </c>
    </row>
    <row r="317" spans="14:17">
      <c r="N317" s="5">
        <v>25</v>
      </c>
      <c r="O317" s="5">
        <v>130</v>
      </c>
      <c r="P317">
        <f>SUM(Table9[[#This Row],[Marketing]])</f>
        <v>25</v>
      </c>
      <c r="Q317">
        <f>SUM(Table9[[#This Row],[Sales]])</f>
        <v>130</v>
      </c>
    </row>
    <row r="318" spans="14:17">
      <c r="N318" s="3">
        <v>11</v>
      </c>
      <c r="O318" s="3">
        <v>87</v>
      </c>
      <c r="P318">
        <f>SUM(Table9[[#This Row],[Marketing]])</f>
        <v>11</v>
      </c>
      <c r="Q318">
        <f>SUM(Table9[[#This Row],[Sales]])</f>
        <v>87</v>
      </c>
    </row>
    <row r="319" spans="14:17">
      <c r="N319" s="5">
        <v>12</v>
      </c>
      <c r="O319" s="5">
        <v>81</v>
      </c>
      <c r="P319">
        <f>SUM(Table9[[#This Row],[Marketing]])</f>
        <v>12</v>
      </c>
      <c r="Q319">
        <f>SUM(Table9[[#This Row],[Sales]])</f>
        <v>81</v>
      </c>
    </row>
    <row r="320" spans="14:17">
      <c r="N320" s="3">
        <v>12</v>
      </c>
      <c r="O320" s="3">
        <v>79</v>
      </c>
      <c r="P320">
        <f>SUM(Table9[[#This Row],[Marketing]])</f>
        <v>12</v>
      </c>
      <c r="Q320">
        <f>SUM(Table9[[#This Row],[Sales]])</f>
        <v>79</v>
      </c>
    </row>
    <row r="321" spans="14:17">
      <c r="N321" s="5">
        <v>0</v>
      </c>
      <c r="O321" s="5">
        <v>46</v>
      </c>
      <c r="P321">
        <f>SUM(Table9[[#This Row],[Marketing]])</f>
        <v>0</v>
      </c>
      <c r="Q321">
        <f>SUM(Table9[[#This Row],[Sales]])</f>
        <v>46</v>
      </c>
    </row>
    <row r="322" spans="14:17">
      <c r="N322" s="3">
        <v>40</v>
      </c>
      <c r="O322" s="3">
        <v>113</v>
      </c>
      <c r="P322">
        <f>SUM(Table9[[#This Row],[Marketing]])</f>
        <v>40</v>
      </c>
      <c r="Q322">
        <f>SUM(Table9[[#This Row],[Sales]])</f>
        <v>113</v>
      </c>
    </row>
    <row r="323" spans="14:17">
      <c r="N323" s="5">
        <v>8</v>
      </c>
      <c r="O323" s="5">
        <v>78</v>
      </c>
      <c r="P323">
        <f>SUM(Table9[[#This Row],[Marketing]])</f>
        <v>8</v>
      </c>
      <c r="Q323">
        <f>SUM(Table9[[#This Row],[Sales]])</f>
        <v>78</v>
      </c>
    </row>
    <row r="324" spans="14:17">
      <c r="N324" s="3">
        <v>9</v>
      </c>
      <c r="O324" s="3">
        <v>87</v>
      </c>
      <c r="P324">
        <f>SUM(Table9[[#This Row],[Marketing]])</f>
        <v>9</v>
      </c>
      <c r="Q324">
        <f>SUM(Table9[[#This Row],[Sales]])</f>
        <v>87</v>
      </c>
    </row>
    <row r="325" spans="14:17">
      <c r="N325" s="5">
        <v>17</v>
      </c>
      <c r="O325" s="5">
        <v>110</v>
      </c>
      <c r="P325">
        <f>SUM(Table9[[#This Row],[Marketing]])</f>
        <v>17</v>
      </c>
      <c r="Q325">
        <f>SUM(Table9[[#This Row],[Sales]])</f>
        <v>110</v>
      </c>
    </row>
    <row r="326" spans="14:17">
      <c r="N326" s="3">
        <v>8</v>
      </c>
      <c r="O326" s="3">
        <v>80</v>
      </c>
      <c r="P326">
        <f>SUM(Table9[[#This Row],[Marketing]])</f>
        <v>8</v>
      </c>
      <c r="Q326">
        <f>SUM(Table9[[#This Row],[Sales]])</f>
        <v>80</v>
      </c>
    </row>
    <row r="327" spans="14:17">
      <c r="N327" s="5">
        <v>8</v>
      </c>
      <c r="O327" s="5">
        <v>78</v>
      </c>
      <c r="P327">
        <f>SUM(Table9[[#This Row],[Marketing]])</f>
        <v>8</v>
      </c>
      <c r="Q327">
        <f>SUM(Table9[[#This Row],[Sales]])</f>
        <v>78</v>
      </c>
    </row>
    <row r="328" spans="14:17">
      <c r="N328" s="3">
        <v>7</v>
      </c>
      <c r="O328" s="3">
        <v>60</v>
      </c>
      <c r="P328">
        <f>SUM(Table9[[#This Row],[Marketing]])</f>
        <v>7</v>
      </c>
      <c r="Q328">
        <f>SUM(Table9[[#This Row],[Sales]])</f>
        <v>60</v>
      </c>
    </row>
    <row r="329" spans="14:17">
      <c r="N329" s="5">
        <v>0</v>
      </c>
      <c r="O329" s="5">
        <v>46</v>
      </c>
      <c r="P329">
        <f>SUM(Table9[[#This Row],[Marketing]])</f>
        <v>0</v>
      </c>
      <c r="Q329">
        <f>SUM(Table9[[#This Row],[Sales]])</f>
        <v>46</v>
      </c>
    </row>
    <row r="330" spans="14:17">
      <c r="N330" s="3">
        <v>8</v>
      </c>
      <c r="O330" s="3">
        <v>82</v>
      </c>
      <c r="P330">
        <f>SUM(Table9[[#This Row],[Marketing]])</f>
        <v>8</v>
      </c>
      <c r="Q330">
        <f>SUM(Table9[[#This Row],[Sales]])</f>
        <v>82</v>
      </c>
    </row>
    <row r="331" spans="14:17">
      <c r="N331" s="5">
        <v>9</v>
      </c>
      <c r="O331" s="5">
        <v>91</v>
      </c>
      <c r="P331">
        <f>SUM(Table9[[#This Row],[Marketing]])</f>
        <v>9</v>
      </c>
      <c r="Q331">
        <f>SUM(Table9[[#This Row],[Sales]])</f>
        <v>91</v>
      </c>
    </row>
    <row r="332" spans="14:17">
      <c r="N332" s="3">
        <v>14</v>
      </c>
      <c r="O332" s="3">
        <v>94</v>
      </c>
      <c r="P332">
        <f>SUM(Table9[[#This Row],[Marketing]])</f>
        <v>14</v>
      </c>
      <c r="Q332">
        <f>SUM(Table9[[#This Row],[Sales]])</f>
        <v>94</v>
      </c>
    </row>
    <row r="333" spans="14:17">
      <c r="N333" s="5">
        <v>9</v>
      </c>
      <c r="O333" s="5">
        <v>74</v>
      </c>
      <c r="P333">
        <f>SUM(Table9[[#This Row],[Marketing]])</f>
        <v>9</v>
      </c>
      <c r="Q333">
        <f>SUM(Table9[[#This Row],[Sales]])</f>
        <v>74</v>
      </c>
    </row>
    <row r="334" spans="14:17">
      <c r="N334" s="3">
        <v>12</v>
      </c>
      <c r="O334" s="3">
        <v>95</v>
      </c>
      <c r="P334">
        <f>SUM(Table9[[#This Row],[Marketing]])</f>
        <v>12</v>
      </c>
      <c r="Q334">
        <f>SUM(Table9[[#This Row],[Sales]])</f>
        <v>95</v>
      </c>
    </row>
    <row r="335" spans="14:17">
      <c r="N335" s="5">
        <v>14</v>
      </c>
      <c r="O335" s="5">
        <v>94</v>
      </c>
      <c r="P335">
        <f>SUM(Table9[[#This Row],[Marketing]])</f>
        <v>14</v>
      </c>
      <c r="Q335">
        <f>SUM(Table9[[#This Row],[Sales]])</f>
        <v>94</v>
      </c>
    </row>
    <row r="336" spans="14:17">
      <c r="N336" s="3">
        <v>0</v>
      </c>
      <c r="O336" s="3">
        <v>46</v>
      </c>
      <c r="P336">
        <f>SUM(Table9[[#This Row],[Marketing]])</f>
        <v>0</v>
      </c>
      <c r="Q336">
        <f>SUM(Table9[[#This Row],[Sales]])</f>
        <v>46</v>
      </c>
    </row>
    <row r="337" spans="14:17">
      <c r="N337" s="5">
        <v>12</v>
      </c>
      <c r="O337" s="5">
        <v>114</v>
      </c>
      <c r="P337">
        <f>SUM(Table9[[#This Row],[Marketing]])</f>
        <v>12</v>
      </c>
      <c r="Q337">
        <f>SUM(Table9[[#This Row],[Sales]])</f>
        <v>114</v>
      </c>
    </row>
    <row r="338" spans="14:17">
      <c r="N338" s="3">
        <v>12</v>
      </c>
      <c r="O338" s="3">
        <v>95</v>
      </c>
      <c r="P338">
        <f>SUM(Table9[[#This Row],[Marketing]])</f>
        <v>12</v>
      </c>
      <c r="Q338">
        <f>SUM(Table9[[#This Row],[Sales]])</f>
        <v>95</v>
      </c>
    </row>
    <row r="339" spans="14:17">
      <c r="N339" s="5">
        <v>13</v>
      </c>
      <c r="O339" s="5">
        <v>113</v>
      </c>
      <c r="P339">
        <f>SUM(Table9[[#This Row],[Marketing]])</f>
        <v>13</v>
      </c>
      <c r="Q339">
        <f>SUM(Table9[[#This Row],[Sales]])</f>
        <v>113</v>
      </c>
    </row>
    <row r="340" spans="14:17">
      <c r="N340" s="3">
        <v>46</v>
      </c>
      <c r="O340" s="3">
        <v>122</v>
      </c>
      <c r="P340">
        <f>SUM(Table9[[#This Row],[Marketing]])</f>
        <v>46</v>
      </c>
      <c r="Q340">
        <f>SUM(Table9[[#This Row],[Sales]])</f>
        <v>122</v>
      </c>
    </row>
    <row r="341" spans="14:17">
      <c r="N341" s="5">
        <v>17</v>
      </c>
      <c r="O341" s="5">
        <v>123</v>
      </c>
      <c r="P341">
        <f>SUM(Table9[[#This Row],[Marketing]])</f>
        <v>17</v>
      </c>
      <c r="Q341">
        <f>SUM(Table9[[#This Row],[Sales]])</f>
        <v>123</v>
      </c>
    </row>
    <row r="342" spans="14:17">
      <c r="N342" s="3">
        <v>13</v>
      </c>
      <c r="O342" s="3">
        <v>107</v>
      </c>
      <c r="P342">
        <f>SUM(Table9[[#This Row],[Marketing]])</f>
        <v>13</v>
      </c>
      <c r="Q342">
        <f>SUM(Table9[[#This Row],[Sales]])</f>
        <v>107</v>
      </c>
    </row>
    <row r="343" spans="14:17">
      <c r="N343" s="5">
        <v>46</v>
      </c>
      <c r="O343" s="5">
        <v>116</v>
      </c>
      <c r="P343">
        <f>SUM(Table9[[#This Row],[Marketing]])</f>
        <v>46</v>
      </c>
      <c r="Q343">
        <f>SUM(Table9[[#This Row],[Sales]])</f>
        <v>116</v>
      </c>
    </row>
    <row r="344" spans="14:17">
      <c r="N344" s="3">
        <v>23</v>
      </c>
      <c r="O344" s="3">
        <v>182</v>
      </c>
      <c r="P344">
        <f>SUM(Table9[[#This Row],[Marketing]])</f>
        <v>23</v>
      </c>
      <c r="Q344">
        <f>SUM(Table9[[#This Row],[Sales]])</f>
        <v>182</v>
      </c>
    </row>
    <row r="345" spans="14:17">
      <c r="N345" s="5">
        <v>13</v>
      </c>
      <c r="O345" s="5">
        <v>118</v>
      </c>
      <c r="P345">
        <f>SUM(Table9[[#This Row],[Marketing]])</f>
        <v>13</v>
      </c>
      <c r="Q345">
        <f>SUM(Table9[[#This Row],[Sales]])</f>
        <v>118</v>
      </c>
    </row>
    <row r="346" spans="14:17">
      <c r="N346" s="3">
        <v>18</v>
      </c>
      <c r="O346" s="3">
        <v>159</v>
      </c>
      <c r="P346">
        <f>SUM(Table9[[#This Row],[Marketing]])</f>
        <v>18</v>
      </c>
      <c r="Q346">
        <f>SUM(Table9[[#This Row],[Sales]])</f>
        <v>159</v>
      </c>
    </row>
    <row r="347" spans="14:17">
      <c r="N347" s="5">
        <v>17</v>
      </c>
      <c r="O347" s="5">
        <v>123</v>
      </c>
      <c r="P347">
        <f>SUM(Table9[[#This Row],[Marketing]])</f>
        <v>17</v>
      </c>
      <c r="Q347">
        <f>SUM(Table9[[#This Row],[Sales]])</f>
        <v>123</v>
      </c>
    </row>
    <row r="348" spans="14:17">
      <c r="N348" s="3">
        <v>21</v>
      </c>
      <c r="O348" s="3">
        <v>126</v>
      </c>
      <c r="P348">
        <f>SUM(Table9[[#This Row],[Marketing]])</f>
        <v>21</v>
      </c>
      <c r="Q348">
        <f>SUM(Table9[[#This Row],[Sales]])</f>
        <v>126</v>
      </c>
    </row>
    <row r="349" spans="14:17">
      <c r="N349" s="5">
        <v>21</v>
      </c>
      <c r="O349" s="5">
        <v>126</v>
      </c>
      <c r="P349">
        <f>SUM(Table9[[#This Row],[Marketing]])</f>
        <v>21</v>
      </c>
      <c r="Q349">
        <f>SUM(Table9[[#This Row],[Sales]])</f>
        <v>126</v>
      </c>
    </row>
    <row r="350" spans="14:17">
      <c r="N350" s="3">
        <v>14</v>
      </c>
      <c r="O350" s="3">
        <v>114</v>
      </c>
      <c r="P350">
        <f>SUM(Table9[[#This Row],[Marketing]])</f>
        <v>14</v>
      </c>
      <c r="Q350">
        <f>SUM(Table9[[#This Row],[Sales]])</f>
        <v>114</v>
      </c>
    </row>
    <row r="351" spans="14:17">
      <c r="N351" s="5">
        <v>47</v>
      </c>
      <c r="O351" s="5">
        <v>125</v>
      </c>
      <c r="P351">
        <f>SUM(Table9[[#This Row],[Marketing]])</f>
        <v>47</v>
      </c>
      <c r="Q351">
        <f>SUM(Table9[[#This Row],[Sales]])</f>
        <v>125</v>
      </c>
    </row>
    <row r="352" spans="14:17">
      <c r="N352" s="3">
        <v>14</v>
      </c>
      <c r="O352" s="3">
        <v>114</v>
      </c>
      <c r="P352">
        <f>SUM(Table9[[#This Row],[Marketing]])</f>
        <v>14</v>
      </c>
      <c r="Q352">
        <f>SUM(Table9[[#This Row],[Sales]])</f>
        <v>114</v>
      </c>
    </row>
    <row r="353" spans="14:17">
      <c r="N353" s="5">
        <v>47</v>
      </c>
      <c r="O353" s="5">
        <v>125</v>
      </c>
      <c r="P353">
        <f>SUM(Table9[[#This Row],[Marketing]])</f>
        <v>47</v>
      </c>
      <c r="Q353">
        <f>SUM(Table9[[#This Row],[Sales]])</f>
        <v>125</v>
      </c>
    </row>
    <row r="354" spans="14:17">
      <c r="N354" s="3">
        <v>19</v>
      </c>
      <c r="O354" s="3">
        <v>138</v>
      </c>
      <c r="P354">
        <f>SUM(Table9[[#This Row],[Marketing]])</f>
        <v>19</v>
      </c>
      <c r="Q354">
        <f>SUM(Table9[[#This Row],[Sales]])</f>
        <v>138</v>
      </c>
    </row>
    <row r="355" spans="14:17">
      <c r="N355" s="5">
        <v>19</v>
      </c>
      <c r="O355" s="5">
        <v>138</v>
      </c>
      <c r="P355">
        <f>SUM(Table9[[#This Row],[Marketing]])</f>
        <v>19</v>
      </c>
      <c r="Q355">
        <f>SUM(Table9[[#This Row],[Sales]])</f>
        <v>138</v>
      </c>
    </row>
    <row r="356" spans="14:17">
      <c r="N356" s="3">
        <v>14</v>
      </c>
      <c r="O356" s="3">
        <v>123</v>
      </c>
      <c r="P356">
        <f>SUM(Table9[[#This Row],[Marketing]])</f>
        <v>14</v>
      </c>
      <c r="Q356">
        <f>SUM(Table9[[#This Row],[Sales]])</f>
        <v>123</v>
      </c>
    </row>
    <row r="357" spans="14:17">
      <c r="N357" s="5">
        <v>17</v>
      </c>
      <c r="O357" s="5">
        <v>124</v>
      </c>
      <c r="P357">
        <f>SUM(Table9[[#This Row],[Marketing]])</f>
        <v>17</v>
      </c>
      <c r="Q357">
        <f>SUM(Table9[[#This Row],[Sales]])</f>
        <v>124</v>
      </c>
    </row>
    <row r="358" spans="14:17">
      <c r="N358" s="3">
        <v>15</v>
      </c>
      <c r="O358" s="3">
        <v>132</v>
      </c>
      <c r="P358">
        <f>SUM(Table9[[#This Row],[Marketing]])</f>
        <v>15</v>
      </c>
      <c r="Q358">
        <f>SUM(Table9[[#This Row],[Sales]])</f>
        <v>132</v>
      </c>
    </row>
    <row r="359" spans="14:17">
      <c r="N359" s="5">
        <v>14</v>
      </c>
      <c r="O359" s="5">
        <v>109</v>
      </c>
      <c r="P359">
        <f>SUM(Table9[[#This Row],[Marketing]])</f>
        <v>14</v>
      </c>
      <c r="Q359">
        <f>SUM(Table9[[#This Row],[Sales]])</f>
        <v>109</v>
      </c>
    </row>
    <row r="360" spans="14:17">
      <c r="N360" s="3">
        <v>55</v>
      </c>
      <c r="O360" s="3">
        <v>147</v>
      </c>
      <c r="P360">
        <f>SUM(Table9[[#This Row],[Marketing]])</f>
        <v>55</v>
      </c>
      <c r="Q360">
        <f>SUM(Table9[[#This Row],[Sales]])</f>
        <v>147</v>
      </c>
    </row>
    <row r="361" spans="14:17">
      <c r="N361" s="5">
        <v>20</v>
      </c>
      <c r="O361" s="5">
        <v>124</v>
      </c>
      <c r="P361">
        <f>SUM(Table9[[#This Row],[Marketing]])</f>
        <v>20</v>
      </c>
      <c r="Q361">
        <f>SUM(Table9[[#This Row],[Sales]])</f>
        <v>124</v>
      </c>
    </row>
    <row r="362" spans="14:17">
      <c r="N362" s="3">
        <v>31</v>
      </c>
      <c r="O362" s="3">
        <v>184</v>
      </c>
      <c r="P362">
        <f>SUM(Table9[[#This Row],[Marketing]])</f>
        <v>31</v>
      </c>
      <c r="Q362">
        <f>SUM(Table9[[#This Row],[Sales]])</f>
        <v>184</v>
      </c>
    </row>
    <row r="363" spans="14:17">
      <c r="N363" s="5">
        <v>55</v>
      </c>
      <c r="O363" s="5">
        <v>147</v>
      </c>
      <c r="P363">
        <f>SUM(Table9[[#This Row],[Marketing]])</f>
        <v>55</v>
      </c>
      <c r="Q363">
        <f>SUM(Table9[[#This Row],[Sales]])</f>
        <v>147</v>
      </c>
    </row>
    <row r="364" spans="14:17">
      <c r="N364" s="3">
        <v>16</v>
      </c>
      <c r="O364" s="3">
        <v>141</v>
      </c>
      <c r="P364">
        <f>SUM(Table9[[#This Row],[Marketing]])</f>
        <v>16</v>
      </c>
      <c r="Q364">
        <f>SUM(Table9[[#This Row],[Sales]])</f>
        <v>141</v>
      </c>
    </row>
    <row r="365" spans="14:17">
      <c r="N365" s="5">
        <v>42</v>
      </c>
      <c r="O365" s="5">
        <v>112</v>
      </c>
      <c r="P365">
        <f>SUM(Table9[[#This Row],[Marketing]])</f>
        <v>42</v>
      </c>
      <c r="Q365">
        <f>SUM(Table9[[#This Row],[Sales]])</f>
        <v>112</v>
      </c>
    </row>
    <row r="366" spans="14:17">
      <c r="N366" s="3">
        <v>17</v>
      </c>
      <c r="O366" s="3">
        <v>127</v>
      </c>
      <c r="P366">
        <f>SUM(Table9[[#This Row],[Marketing]])</f>
        <v>17</v>
      </c>
      <c r="Q366">
        <f>SUM(Table9[[#This Row],[Sales]])</f>
        <v>127</v>
      </c>
    </row>
    <row r="367" spans="14:17">
      <c r="N367" s="5">
        <v>22</v>
      </c>
      <c r="O367" s="5">
        <v>168</v>
      </c>
      <c r="P367">
        <f>SUM(Table9[[#This Row],[Marketing]])</f>
        <v>22</v>
      </c>
      <c r="Q367">
        <f>SUM(Table9[[#This Row],[Sales]])</f>
        <v>168</v>
      </c>
    </row>
    <row r="368" spans="14:17">
      <c r="N368" s="3">
        <v>15</v>
      </c>
      <c r="O368" s="3">
        <v>133</v>
      </c>
      <c r="P368">
        <f>SUM(Table9[[#This Row],[Marketing]])</f>
        <v>15</v>
      </c>
      <c r="Q368">
        <f>SUM(Table9[[#This Row],[Sales]])</f>
        <v>133</v>
      </c>
    </row>
    <row r="369" spans="14:17">
      <c r="N369" s="5">
        <v>19</v>
      </c>
      <c r="O369" s="5">
        <v>139</v>
      </c>
      <c r="P369">
        <f>SUM(Table9[[#This Row],[Marketing]])</f>
        <v>19</v>
      </c>
      <c r="Q369">
        <f>SUM(Table9[[#This Row],[Sales]])</f>
        <v>139</v>
      </c>
    </row>
    <row r="370" spans="14:17">
      <c r="N370" s="3">
        <v>16</v>
      </c>
      <c r="O370" s="3">
        <v>114</v>
      </c>
      <c r="P370">
        <f>SUM(Table9[[#This Row],[Marketing]])</f>
        <v>16</v>
      </c>
      <c r="Q370">
        <f>SUM(Table9[[#This Row],[Sales]])</f>
        <v>114</v>
      </c>
    </row>
    <row r="371" spans="14:17">
      <c r="N371" s="5">
        <v>14</v>
      </c>
      <c r="O371" s="5">
        <v>123</v>
      </c>
      <c r="P371">
        <f>SUM(Table9[[#This Row],[Marketing]])</f>
        <v>14</v>
      </c>
      <c r="Q371">
        <f>SUM(Table9[[#This Row],[Sales]])</f>
        <v>123</v>
      </c>
    </row>
    <row r="372" spans="14:17">
      <c r="N372" s="3">
        <v>16</v>
      </c>
      <c r="O372" s="3">
        <v>127</v>
      </c>
      <c r="P372">
        <f>SUM(Table9[[#This Row],[Marketing]])</f>
        <v>16</v>
      </c>
      <c r="Q372">
        <f>SUM(Table9[[#This Row],[Sales]])</f>
        <v>127</v>
      </c>
    </row>
    <row r="373" spans="14:17">
      <c r="N373" s="5">
        <v>49</v>
      </c>
      <c r="O373" s="5">
        <v>131</v>
      </c>
      <c r="P373">
        <f>SUM(Table9[[#This Row],[Marketing]])</f>
        <v>49</v>
      </c>
      <c r="Q373">
        <f>SUM(Table9[[#This Row],[Sales]])</f>
        <v>131</v>
      </c>
    </row>
    <row r="374" spans="14:17">
      <c r="N374" s="3">
        <v>44</v>
      </c>
      <c r="O374" s="3">
        <v>118</v>
      </c>
      <c r="P374">
        <f>SUM(Table9[[#This Row],[Marketing]])</f>
        <v>44</v>
      </c>
      <c r="Q374">
        <f>SUM(Table9[[#This Row],[Sales]])</f>
        <v>118</v>
      </c>
    </row>
    <row r="375" spans="14:17">
      <c r="N375" s="5">
        <v>13</v>
      </c>
      <c r="O375" s="5">
        <v>98</v>
      </c>
      <c r="P375">
        <f>SUM(Table9[[#This Row],[Marketing]])</f>
        <v>13</v>
      </c>
      <c r="Q375">
        <f>SUM(Table9[[#This Row],[Sales]])</f>
        <v>98</v>
      </c>
    </row>
    <row r="376" spans="14:17">
      <c r="N376" s="3">
        <v>17</v>
      </c>
      <c r="O376" s="3">
        <v>127</v>
      </c>
      <c r="P376">
        <f>SUM(Table9[[#This Row],[Marketing]])</f>
        <v>17</v>
      </c>
      <c r="Q376">
        <f>SUM(Table9[[#This Row],[Sales]])</f>
        <v>127</v>
      </c>
    </row>
    <row r="377" spans="14:17">
      <c r="N377" s="5">
        <v>24</v>
      </c>
      <c r="O377" s="5">
        <v>145</v>
      </c>
      <c r="P377">
        <f>SUM(Table9[[#This Row],[Marketing]])</f>
        <v>24</v>
      </c>
      <c r="Q377">
        <f>SUM(Table9[[#This Row],[Sales]])</f>
        <v>145</v>
      </c>
    </row>
    <row r="378" spans="14:17">
      <c r="N378" s="3">
        <v>16</v>
      </c>
      <c r="O378" s="3">
        <v>127</v>
      </c>
      <c r="P378">
        <f>SUM(Table9[[#This Row],[Marketing]])</f>
        <v>16</v>
      </c>
      <c r="Q378">
        <f>SUM(Table9[[#This Row],[Sales]])</f>
        <v>127</v>
      </c>
    </row>
    <row r="379" spans="14:17">
      <c r="N379" s="5">
        <v>15</v>
      </c>
      <c r="O379" s="5">
        <v>122</v>
      </c>
      <c r="P379">
        <f>SUM(Table9[[#This Row],[Marketing]])</f>
        <v>15</v>
      </c>
      <c r="Q379">
        <f>SUM(Table9[[#This Row],[Sales]])</f>
        <v>122</v>
      </c>
    </row>
    <row r="380" spans="14:17">
      <c r="N380" s="3">
        <v>13</v>
      </c>
      <c r="O380" s="3">
        <v>120</v>
      </c>
      <c r="P380">
        <f>SUM(Table9[[#This Row],[Marketing]])</f>
        <v>13</v>
      </c>
      <c r="Q380">
        <f>SUM(Table9[[#This Row],[Sales]])</f>
        <v>120</v>
      </c>
    </row>
    <row r="381" spans="14:17">
      <c r="N381" s="5">
        <v>14</v>
      </c>
      <c r="O381" s="5">
        <v>123</v>
      </c>
      <c r="P381">
        <f>SUM(Table9[[#This Row],[Marketing]])</f>
        <v>14</v>
      </c>
      <c r="Q381">
        <f>SUM(Table9[[#This Row],[Sales]])</f>
        <v>123</v>
      </c>
    </row>
    <row r="382" spans="14:17">
      <c r="N382" s="3">
        <v>46</v>
      </c>
      <c r="O382" s="3">
        <v>130</v>
      </c>
      <c r="P382">
        <f>SUM(Table9[[#This Row],[Marketing]])</f>
        <v>46</v>
      </c>
      <c r="Q382">
        <f>SUM(Table9[[#This Row],[Sales]])</f>
        <v>130</v>
      </c>
    </row>
    <row r="383" spans="14:17">
      <c r="N383" s="5">
        <v>17</v>
      </c>
      <c r="O383" s="5">
        <v>131</v>
      </c>
      <c r="P383">
        <f>SUM(Table9[[#This Row],[Marketing]])</f>
        <v>17</v>
      </c>
      <c r="Q383">
        <f>SUM(Table9[[#This Row],[Sales]])</f>
        <v>131</v>
      </c>
    </row>
    <row r="384" spans="14:17">
      <c r="N384" s="3">
        <v>13</v>
      </c>
      <c r="O384" s="3">
        <v>114</v>
      </c>
      <c r="P384">
        <f>SUM(Table9[[#This Row],[Marketing]])</f>
        <v>13</v>
      </c>
      <c r="Q384">
        <f>SUM(Table9[[#This Row],[Sales]])</f>
        <v>114</v>
      </c>
    </row>
    <row r="385" spans="14:17">
      <c r="N385" s="5">
        <v>46</v>
      </c>
      <c r="O385" s="5">
        <v>124</v>
      </c>
      <c r="P385">
        <f>SUM(Table9[[#This Row],[Marketing]])</f>
        <v>46</v>
      </c>
      <c r="Q385">
        <f>SUM(Table9[[#This Row],[Sales]])</f>
        <v>124</v>
      </c>
    </row>
    <row r="386" spans="14:17">
      <c r="N386" s="3">
        <v>23</v>
      </c>
      <c r="O386" s="3">
        <v>194</v>
      </c>
      <c r="P386">
        <f>SUM(Table9[[#This Row],[Marketing]])</f>
        <v>23</v>
      </c>
      <c r="Q386">
        <f>SUM(Table9[[#This Row],[Sales]])</f>
        <v>194</v>
      </c>
    </row>
    <row r="387" spans="14:17">
      <c r="N387" s="5">
        <v>13</v>
      </c>
      <c r="O387" s="5">
        <v>126</v>
      </c>
      <c r="P387">
        <f>SUM(Table9[[#This Row],[Marketing]])</f>
        <v>13</v>
      </c>
      <c r="Q387">
        <f>SUM(Table9[[#This Row],[Sales]])</f>
        <v>126</v>
      </c>
    </row>
    <row r="388" spans="14:17">
      <c r="N388" s="3">
        <v>18</v>
      </c>
      <c r="O388" s="3">
        <v>169</v>
      </c>
      <c r="P388">
        <f>SUM(Table9[[#This Row],[Marketing]])</f>
        <v>18</v>
      </c>
      <c r="Q388">
        <f>SUM(Table9[[#This Row],[Sales]])</f>
        <v>169</v>
      </c>
    </row>
    <row r="389" spans="14:17">
      <c r="N389" s="5">
        <v>17</v>
      </c>
      <c r="O389" s="5">
        <v>131</v>
      </c>
      <c r="P389">
        <f>SUM(Table9[[#This Row],[Marketing]])</f>
        <v>17</v>
      </c>
      <c r="Q389">
        <f>SUM(Table9[[#This Row],[Sales]])</f>
        <v>131</v>
      </c>
    </row>
    <row r="390" spans="14:17">
      <c r="N390" s="3">
        <v>21</v>
      </c>
      <c r="O390" s="3">
        <v>134</v>
      </c>
      <c r="P390">
        <f>SUM(Table9[[#This Row],[Marketing]])</f>
        <v>21</v>
      </c>
      <c r="Q390">
        <f>SUM(Table9[[#This Row],[Sales]])</f>
        <v>134</v>
      </c>
    </row>
    <row r="391" spans="14:17">
      <c r="N391" s="5">
        <v>21</v>
      </c>
      <c r="O391" s="5">
        <v>134</v>
      </c>
      <c r="P391">
        <f>SUM(Table9[[#This Row],[Marketing]])</f>
        <v>21</v>
      </c>
      <c r="Q391">
        <f>SUM(Table9[[#This Row],[Sales]])</f>
        <v>134</v>
      </c>
    </row>
    <row r="392" spans="14:17">
      <c r="N392" s="3">
        <v>14</v>
      </c>
      <c r="O392" s="3">
        <v>121</v>
      </c>
      <c r="P392">
        <f>SUM(Table9[[#This Row],[Marketing]])</f>
        <v>14</v>
      </c>
      <c r="Q392">
        <f>SUM(Table9[[#This Row],[Sales]])</f>
        <v>121</v>
      </c>
    </row>
    <row r="393" spans="14:17">
      <c r="N393" s="5">
        <v>47</v>
      </c>
      <c r="O393" s="5">
        <v>133</v>
      </c>
      <c r="P393">
        <f>SUM(Table9[[#This Row],[Marketing]])</f>
        <v>47</v>
      </c>
      <c r="Q393">
        <f>SUM(Table9[[#This Row],[Sales]])</f>
        <v>133</v>
      </c>
    </row>
    <row r="394" spans="14:17">
      <c r="N394" s="3">
        <v>14</v>
      </c>
      <c r="O394" s="3">
        <v>121</v>
      </c>
      <c r="P394">
        <f>SUM(Table9[[#This Row],[Marketing]])</f>
        <v>14</v>
      </c>
      <c r="Q394">
        <f>SUM(Table9[[#This Row],[Sales]])</f>
        <v>121</v>
      </c>
    </row>
    <row r="395" spans="14:17">
      <c r="N395" s="5">
        <v>47</v>
      </c>
      <c r="O395" s="5">
        <v>133</v>
      </c>
      <c r="P395">
        <f>SUM(Table9[[#This Row],[Marketing]])</f>
        <v>47</v>
      </c>
      <c r="Q395">
        <f>SUM(Table9[[#This Row],[Sales]])</f>
        <v>133</v>
      </c>
    </row>
    <row r="396" spans="14:17">
      <c r="N396" s="3">
        <v>19</v>
      </c>
      <c r="O396" s="3">
        <v>147</v>
      </c>
      <c r="P396">
        <f>SUM(Table9[[#This Row],[Marketing]])</f>
        <v>19</v>
      </c>
      <c r="Q396">
        <f>SUM(Table9[[#This Row],[Sales]])</f>
        <v>147</v>
      </c>
    </row>
    <row r="397" spans="14:17">
      <c r="N397" s="5">
        <v>19</v>
      </c>
      <c r="O397" s="5">
        <v>147</v>
      </c>
      <c r="P397">
        <f>SUM(Table9[[#This Row],[Marketing]])</f>
        <v>19</v>
      </c>
      <c r="Q397">
        <f>SUM(Table9[[#This Row],[Sales]])</f>
        <v>147</v>
      </c>
    </row>
    <row r="398" spans="14:17">
      <c r="N398" s="3">
        <v>14</v>
      </c>
      <c r="O398" s="3">
        <v>131</v>
      </c>
      <c r="P398">
        <f>SUM(Table9[[#This Row],[Marketing]])</f>
        <v>14</v>
      </c>
      <c r="Q398">
        <f>SUM(Table9[[#This Row],[Sales]])</f>
        <v>131</v>
      </c>
    </row>
    <row r="399" spans="14:17">
      <c r="N399" s="5">
        <v>17</v>
      </c>
      <c r="O399" s="5">
        <v>132</v>
      </c>
      <c r="P399">
        <f>SUM(Table9[[#This Row],[Marketing]])</f>
        <v>17</v>
      </c>
      <c r="Q399">
        <f>SUM(Table9[[#This Row],[Sales]])</f>
        <v>132</v>
      </c>
    </row>
    <row r="400" spans="14:17">
      <c r="N400" s="3">
        <v>15</v>
      </c>
      <c r="O400" s="3">
        <v>141</v>
      </c>
      <c r="P400">
        <f>SUM(Table9[[#This Row],[Marketing]])</f>
        <v>15</v>
      </c>
      <c r="Q400">
        <f>SUM(Table9[[#This Row],[Sales]])</f>
        <v>141</v>
      </c>
    </row>
    <row r="401" spans="14:17">
      <c r="N401" s="5">
        <v>14</v>
      </c>
      <c r="O401" s="5">
        <v>116</v>
      </c>
      <c r="P401">
        <f>SUM(Table9[[#This Row],[Marketing]])</f>
        <v>14</v>
      </c>
      <c r="Q401">
        <f>SUM(Table9[[#This Row],[Sales]])</f>
        <v>116</v>
      </c>
    </row>
    <row r="402" spans="14:17">
      <c r="N402" s="3">
        <v>55</v>
      </c>
      <c r="O402" s="3">
        <v>157</v>
      </c>
      <c r="P402">
        <f>SUM(Table9[[#This Row],[Marketing]])</f>
        <v>55</v>
      </c>
      <c r="Q402">
        <f>SUM(Table9[[#This Row],[Sales]])</f>
        <v>157</v>
      </c>
    </row>
    <row r="403" spans="14:17">
      <c r="N403" s="5">
        <v>20</v>
      </c>
      <c r="O403" s="5">
        <v>132</v>
      </c>
      <c r="P403">
        <f>SUM(Table9[[#This Row],[Marketing]])</f>
        <v>20</v>
      </c>
      <c r="Q403">
        <f>SUM(Table9[[#This Row],[Sales]])</f>
        <v>132</v>
      </c>
    </row>
    <row r="404" spans="14:17">
      <c r="N404" s="3">
        <v>31</v>
      </c>
      <c r="O404" s="3">
        <v>196</v>
      </c>
      <c r="P404">
        <f>SUM(Table9[[#This Row],[Marketing]])</f>
        <v>31</v>
      </c>
      <c r="Q404">
        <f>SUM(Table9[[#This Row],[Sales]])</f>
        <v>196</v>
      </c>
    </row>
    <row r="405" spans="14:17">
      <c r="N405" s="5">
        <v>55</v>
      </c>
      <c r="O405" s="5">
        <v>157</v>
      </c>
      <c r="P405">
        <f>SUM(Table9[[#This Row],[Marketing]])</f>
        <v>55</v>
      </c>
      <c r="Q405">
        <f>SUM(Table9[[#This Row],[Sales]])</f>
        <v>157</v>
      </c>
    </row>
    <row r="406" spans="14:17">
      <c r="N406" s="3">
        <v>16</v>
      </c>
      <c r="O406" s="3">
        <v>150</v>
      </c>
      <c r="P406">
        <f>SUM(Table9[[#This Row],[Marketing]])</f>
        <v>16</v>
      </c>
      <c r="Q406">
        <f>SUM(Table9[[#This Row],[Sales]])</f>
        <v>150</v>
      </c>
    </row>
    <row r="407" spans="14:17">
      <c r="N407" s="5">
        <v>42</v>
      </c>
      <c r="O407" s="5">
        <v>119</v>
      </c>
      <c r="P407">
        <f>SUM(Table9[[#This Row],[Marketing]])</f>
        <v>42</v>
      </c>
      <c r="Q407">
        <f>SUM(Table9[[#This Row],[Sales]])</f>
        <v>119</v>
      </c>
    </row>
    <row r="408" spans="14:17">
      <c r="N408" s="3">
        <v>17</v>
      </c>
      <c r="O408" s="3">
        <v>135</v>
      </c>
      <c r="P408">
        <f>SUM(Table9[[#This Row],[Marketing]])</f>
        <v>17</v>
      </c>
      <c r="Q408">
        <f>SUM(Table9[[#This Row],[Sales]])</f>
        <v>135</v>
      </c>
    </row>
    <row r="409" spans="14:17">
      <c r="N409" s="5">
        <v>22</v>
      </c>
      <c r="O409" s="5">
        <v>179</v>
      </c>
      <c r="P409">
        <f>SUM(Table9[[#This Row],[Marketing]])</f>
        <v>22</v>
      </c>
      <c r="Q409">
        <f>SUM(Table9[[#This Row],[Sales]])</f>
        <v>179</v>
      </c>
    </row>
    <row r="410" spans="14:17">
      <c r="N410" s="3">
        <v>15</v>
      </c>
      <c r="O410" s="3">
        <v>142</v>
      </c>
      <c r="P410">
        <f>SUM(Table9[[#This Row],[Marketing]])</f>
        <v>15</v>
      </c>
      <c r="Q410">
        <f>SUM(Table9[[#This Row],[Sales]])</f>
        <v>142</v>
      </c>
    </row>
    <row r="411" spans="14:17">
      <c r="N411" s="5">
        <v>19</v>
      </c>
      <c r="O411" s="5">
        <v>148</v>
      </c>
      <c r="P411">
        <f>SUM(Table9[[#This Row],[Marketing]])</f>
        <v>19</v>
      </c>
      <c r="Q411">
        <f>SUM(Table9[[#This Row],[Sales]])</f>
        <v>148</v>
      </c>
    </row>
    <row r="412" spans="14:17">
      <c r="N412" s="3">
        <v>16</v>
      </c>
      <c r="O412" s="3">
        <v>121</v>
      </c>
      <c r="P412">
        <f>SUM(Table9[[#This Row],[Marketing]])</f>
        <v>16</v>
      </c>
      <c r="Q412">
        <f>SUM(Table9[[#This Row],[Sales]])</f>
        <v>121</v>
      </c>
    </row>
    <row r="413" spans="14:17">
      <c r="N413" s="5">
        <v>14</v>
      </c>
      <c r="O413" s="5">
        <v>131</v>
      </c>
      <c r="P413">
        <f>SUM(Table9[[#This Row],[Marketing]])</f>
        <v>14</v>
      </c>
      <c r="Q413">
        <f>SUM(Table9[[#This Row],[Sales]])</f>
        <v>131</v>
      </c>
    </row>
    <row r="414" spans="14:17">
      <c r="N414" s="3">
        <v>16</v>
      </c>
      <c r="O414" s="3">
        <v>135</v>
      </c>
      <c r="P414">
        <f>SUM(Table9[[#This Row],[Marketing]])</f>
        <v>16</v>
      </c>
      <c r="Q414">
        <f>SUM(Table9[[#This Row],[Sales]])</f>
        <v>135</v>
      </c>
    </row>
    <row r="415" spans="14:17">
      <c r="N415" s="5">
        <v>49</v>
      </c>
      <c r="O415" s="5">
        <v>140</v>
      </c>
      <c r="P415">
        <f>SUM(Table9[[#This Row],[Marketing]])</f>
        <v>49</v>
      </c>
      <c r="Q415">
        <f>SUM(Table9[[#This Row],[Sales]])</f>
        <v>140</v>
      </c>
    </row>
    <row r="416" spans="14:17">
      <c r="N416" s="3">
        <v>44</v>
      </c>
      <c r="O416" s="3">
        <v>126</v>
      </c>
      <c r="P416">
        <f>SUM(Table9[[#This Row],[Marketing]])</f>
        <v>44</v>
      </c>
      <c r="Q416">
        <f>SUM(Table9[[#This Row],[Sales]])</f>
        <v>126</v>
      </c>
    </row>
    <row r="417" spans="14:17">
      <c r="N417" s="5">
        <v>13</v>
      </c>
      <c r="O417" s="5">
        <v>104</v>
      </c>
      <c r="P417">
        <f>SUM(Table9[[#This Row],[Marketing]])</f>
        <v>13</v>
      </c>
      <c r="Q417">
        <f>SUM(Table9[[#This Row],[Sales]])</f>
        <v>104</v>
      </c>
    </row>
    <row r="418" spans="14:17">
      <c r="N418" s="3">
        <v>17</v>
      </c>
      <c r="O418" s="3">
        <v>135</v>
      </c>
      <c r="P418">
        <f>SUM(Table9[[#This Row],[Marketing]])</f>
        <v>17</v>
      </c>
      <c r="Q418">
        <f>SUM(Table9[[#This Row],[Sales]])</f>
        <v>135</v>
      </c>
    </row>
    <row r="419" spans="14:17">
      <c r="N419" s="5">
        <v>24</v>
      </c>
      <c r="O419" s="5">
        <v>155</v>
      </c>
      <c r="P419">
        <f>SUM(Table9[[#This Row],[Marketing]])</f>
        <v>24</v>
      </c>
      <c r="Q419">
        <f>SUM(Table9[[#This Row],[Sales]])</f>
        <v>155</v>
      </c>
    </row>
    <row r="420" spans="14:17">
      <c r="N420" s="3">
        <v>16</v>
      </c>
      <c r="O420" s="3">
        <v>135</v>
      </c>
      <c r="P420">
        <f>SUM(Table9[[#This Row],[Marketing]])</f>
        <v>16</v>
      </c>
      <c r="Q420">
        <f>SUM(Table9[[#This Row],[Sales]])</f>
        <v>135</v>
      </c>
    </row>
    <row r="421" spans="14:17">
      <c r="N421" s="5">
        <v>15</v>
      </c>
      <c r="O421" s="5">
        <v>130</v>
      </c>
      <c r="P421">
        <f>SUM(Table9[[#This Row],[Marketing]])</f>
        <v>15</v>
      </c>
      <c r="Q421">
        <f>SUM(Table9[[#This Row],[Sales]])</f>
        <v>130</v>
      </c>
    </row>
    <row r="422" spans="14:17">
      <c r="N422" s="3">
        <v>13</v>
      </c>
      <c r="O422" s="3">
        <v>128</v>
      </c>
      <c r="P422">
        <f>SUM(Table9[[#This Row],[Marketing]])</f>
        <v>13</v>
      </c>
      <c r="Q422">
        <f>SUM(Table9[[#This Row],[Sales]])</f>
        <v>128</v>
      </c>
    </row>
    <row r="423" spans="14:17">
      <c r="N423" s="5">
        <v>14</v>
      </c>
      <c r="O423" s="5">
        <v>131</v>
      </c>
      <c r="P423">
        <f>SUM(Table9[[#This Row],[Marketing]])</f>
        <v>14</v>
      </c>
      <c r="Q423">
        <f>SUM(Table9[[#This Row],[Sales]])</f>
        <v>131</v>
      </c>
    </row>
    <row r="424" spans="14:17">
      <c r="N424" s="3">
        <v>5</v>
      </c>
      <c r="O424" s="3">
        <v>53</v>
      </c>
      <c r="P424">
        <f>SUM(Table9[[#This Row],[Marketing]])</f>
        <v>5</v>
      </c>
      <c r="Q424">
        <f>SUM(Table9[[#This Row],[Sales]])</f>
        <v>53</v>
      </c>
    </row>
    <row r="425" spans="14:17">
      <c r="N425" s="5">
        <v>7</v>
      </c>
      <c r="O425" s="5">
        <v>66</v>
      </c>
      <c r="P425">
        <f>SUM(Table9[[#This Row],[Marketing]])</f>
        <v>7</v>
      </c>
      <c r="Q425">
        <f>SUM(Table9[[#This Row],[Sales]])</f>
        <v>66</v>
      </c>
    </row>
    <row r="426" spans="14:17">
      <c r="N426" s="3">
        <v>21</v>
      </c>
      <c r="O426" s="3">
        <v>126</v>
      </c>
      <c r="P426">
        <f>SUM(Table9[[#This Row],[Marketing]])</f>
        <v>21</v>
      </c>
      <c r="Q426">
        <f>SUM(Table9[[#This Row],[Sales]])</f>
        <v>126</v>
      </c>
    </row>
    <row r="427" spans="14:17">
      <c r="N427" s="5">
        <v>20</v>
      </c>
      <c r="O427" s="5">
        <v>120</v>
      </c>
      <c r="P427">
        <f>SUM(Table9[[#This Row],[Marketing]])</f>
        <v>20</v>
      </c>
      <c r="Q427">
        <f>SUM(Table9[[#This Row],[Sales]])</f>
        <v>120</v>
      </c>
    </row>
    <row r="428" spans="14:17">
      <c r="N428" s="3">
        <v>5</v>
      </c>
      <c r="O428" s="3">
        <v>53</v>
      </c>
      <c r="P428">
        <f>SUM(Table9[[#This Row],[Marketing]])</f>
        <v>5</v>
      </c>
      <c r="Q428">
        <f>SUM(Table9[[#This Row],[Sales]])</f>
        <v>53</v>
      </c>
    </row>
    <row r="429" spans="14:17">
      <c r="N429" s="5">
        <v>12</v>
      </c>
      <c r="O429" s="5">
        <v>92</v>
      </c>
      <c r="P429">
        <f>SUM(Table9[[#This Row],[Marketing]])</f>
        <v>12</v>
      </c>
      <c r="Q429">
        <f>SUM(Table9[[#This Row],[Sales]])</f>
        <v>92</v>
      </c>
    </row>
    <row r="430" spans="14:17">
      <c r="N430" s="3">
        <v>6</v>
      </c>
      <c r="O430" s="3">
        <v>58</v>
      </c>
      <c r="P430">
        <f>SUM(Table9[[#This Row],[Marketing]])</f>
        <v>6</v>
      </c>
      <c r="Q430">
        <f>SUM(Table9[[#This Row],[Sales]])</f>
        <v>58</v>
      </c>
    </row>
    <row r="431" spans="14:17">
      <c r="N431" s="5">
        <v>5</v>
      </c>
      <c r="O431" s="5">
        <v>52</v>
      </c>
      <c r="P431">
        <f>SUM(Table9[[#This Row],[Marketing]])</f>
        <v>5</v>
      </c>
      <c r="Q431">
        <f>SUM(Table9[[#This Row],[Sales]])</f>
        <v>52</v>
      </c>
    </row>
    <row r="432" spans="14:17">
      <c r="N432" s="3">
        <v>9</v>
      </c>
      <c r="O432" s="3">
        <v>56</v>
      </c>
      <c r="P432">
        <f>SUM(Table9[[#This Row],[Marketing]])</f>
        <v>9</v>
      </c>
      <c r="Q432">
        <f>SUM(Table9[[#This Row],[Sales]])</f>
        <v>56</v>
      </c>
    </row>
    <row r="433" spans="14:17">
      <c r="N433" s="5">
        <v>5</v>
      </c>
      <c r="O433" s="5">
        <v>53</v>
      </c>
      <c r="P433">
        <f>SUM(Table9[[#This Row],[Marketing]])</f>
        <v>5</v>
      </c>
      <c r="Q433">
        <f>SUM(Table9[[#This Row],[Sales]])</f>
        <v>53</v>
      </c>
    </row>
    <row r="434" spans="14:17">
      <c r="N434" s="3">
        <v>0</v>
      </c>
      <c r="O434" s="3">
        <v>43</v>
      </c>
      <c r="P434">
        <f>SUM(Table9[[#This Row],[Marketing]])</f>
        <v>0</v>
      </c>
      <c r="Q434">
        <f>SUM(Table9[[#This Row],[Sales]])</f>
        <v>43</v>
      </c>
    </row>
    <row r="435" spans="14:17">
      <c r="N435" s="5">
        <v>12</v>
      </c>
      <c r="O435" s="5">
        <v>77</v>
      </c>
      <c r="P435">
        <f>SUM(Table9[[#This Row],[Marketing]])</f>
        <v>12</v>
      </c>
      <c r="Q435">
        <f>SUM(Table9[[#This Row],[Sales]])</f>
        <v>77</v>
      </c>
    </row>
    <row r="436" spans="14:17">
      <c r="N436" s="3">
        <v>5</v>
      </c>
      <c r="O436" s="3">
        <v>52</v>
      </c>
      <c r="P436">
        <f>SUM(Table9[[#This Row],[Marketing]])</f>
        <v>5</v>
      </c>
      <c r="Q436">
        <f>SUM(Table9[[#This Row],[Sales]])</f>
        <v>52</v>
      </c>
    </row>
    <row r="437" spans="14:17">
      <c r="N437" s="5">
        <v>7</v>
      </c>
      <c r="O437" s="5">
        <v>61</v>
      </c>
      <c r="P437">
        <f>SUM(Table9[[#This Row],[Marketing]])</f>
        <v>7</v>
      </c>
      <c r="Q437">
        <f>SUM(Table9[[#This Row],[Sales]])</f>
        <v>61</v>
      </c>
    </row>
    <row r="438" spans="14:17">
      <c r="N438" s="3">
        <v>12</v>
      </c>
      <c r="O438" s="3">
        <v>77</v>
      </c>
      <c r="P438">
        <f>SUM(Table9[[#This Row],[Marketing]])</f>
        <v>12</v>
      </c>
      <c r="Q438">
        <f>SUM(Table9[[#This Row],[Sales]])</f>
        <v>77</v>
      </c>
    </row>
    <row r="439" spans="14:17">
      <c r="N439" s="5">
        <v>5</v>
      </c>
      <c r="O439" s="5">
        <v>52</v>
      </c>
      <c r="P439">
        <f>SUM(Table9[[#This Row],[Marketing]])</f>
        <v>5</v>
      </c>
      <c r="Q439">
        <f>SUM(Table9[[#This Row],[Sales]])</f>
        <v>52</v>
      </c>
    </row>
    <row r="440" spans="14:17">
      <c r="N440" s="3">
        <v>12</v>
      </c>
      <c r="O440" s="3">
        <v>92</v>
      </c>
      <c r="P440">
        <f>SUM(Table9[[#This Row],[Marketing]])</f>
        <v>12</v>
      </c>
      <c r="Q440">
        <f>SUM(Table9[[#This Row],[Sales]])</f>
        <v>92</v>
      </c>
    </row>
    <row r="441" spans="14:17">
      <c r="N441" s="5">
        <v>14</v>
      </c>
      <c r="O441" s="5">
        <v>113</v>
      </c>
      <c r="P441">
        <f>SUM(Table9[[#This Row],[Marketing]])</f>
        <v>14</v>
      </c>
      <c r="Q441">
        <f>SUM(Table9[[#This Row],[Sales]])</f>
        <v>113</v>
      </c>
    </row>
    <row r="442" spans="14:17">
      <c r="N442" s="3">
        <v>6</v>
      </c>
      <c r="O442" s="3">
        <v>56</v>
      </c>
      <c r="P442">
        <f>SUM(Table9[[#This Row],[Marketing]])</f>
        <v>6</v>
      </c>
      <c r="Q442">
        <f>SUM(Table9[[#This Row],[Sales]])</f>
        <v>56</v>
      </c>
    </row>
    <row r="443" spans="14:17">
      <c r="N443" s="5">
        <v>12</v>
      </c>
      <c r="O443" s="5">
        <v>76</v>
      </c>
      <c r="P443">
        <f>SUM(Table9[[#This Row],[Marketing]])</f>
        <v>12</v>
      </c>
      <c r="Q443">
        <f>SUM(Table9[[#This Row],[Sales]])</f>
        <v>76</v>
      </c>
    </row>
    <row r="444" spans="14:17">
      <c r="N444" s="3">
        <v>7</v>
      </c>
      <c r="O444" s="3">
        <v>52</v>
      </c>
      <c r="P444">
        <f>SUM(Table9[[#This Row],[Marketing]])</f>
        <v>7</v>
      </c>
      <c r="Q444">
        <f>SUM(Table9[[#This Row],[Sales]])</f>
        <v>52</v>
      </c>
    </row>
    <row r="445" spans="14:17">
      <c r="N445" s="5">
        <v>12</v>
      </c>
      <c r="O445" s="5">
        <v>74</v>
      </c>
      <c r="P445">
        <f>SUM(Table9[[#This Row],[Marketing]])</f>
        <v>12</v>
      </c>
      <c r="Q445">
        <f>SUM(Table9[[#This Row],[Sales]])</f>
        <v>74</v>
      </c>
    </row>
    <row r="446" spans="14:17">
      <c r="N446" s="3">
        <v>8</v>
      </c>
      <c r="O446" s="3">
        <v>64</v>
      </c>
      <c r="P446">
        <f>SUM(Table9[[#This Row],[Marketing]])</f>
        <v>8</v>
      </c>
      <c r="Q446">
        <f>SUM(Table9[[#This Row],[Sales]])</f>
        <v>64</v>
      </c>
    </row>
    <row r="447" spans="14:17">
      <c r="N447" s="5">
        <v>7</v>
      </c>
      <c r="O447" s="5">
        <v>63</v>
      </c>
      <c r="P447">
        <f>SUM(Table9[[#This Row],[Marketing]])</f>
        <v>7</v>
      </c>
      <c r="Q447">
        <f>SUM(Table9[[#This Row],[Sales]])</f>
        <v>63</v>
      </c>
    </row>
    <row r="448" spans="14:17">
      <c r="N448" s="3">
        <v>4</v>
      </c>
      <c r="O448" s="3">
        <v>39</v>
      </c>
      <c r="P448">
        <f>SUM(Table9[[#This Row],[Marketing]])</f>
        <v>4</v>
      </c>
      <c r="Q448">
        <f>SUM(Table9[[#This Row],[Sales]])</f>
        <v>39</v>
      </c>
    </row>
    <row r="449" spans="14:17">
      <c r="N449" s="5">
        <v>8</v>
      </c>
      <c r="O449" s="5">
        <v>80</v>
      </c>
      <c r="P449">
        <f>SUM(Table9[[#This Row],[Marketing]])</f>
        <v>8</v>
      </c>
      <c r="Q449">
        <f>SUM(Table9[[#This Row],[Sales]])</f>
        <v>80</v>
      </c>
    </row>
    <row r="450" spans="14:17">
      <c r="N450" s="3">
        <v>11</v>
      </c>
      <c r="O450" s="3">
        <v>82</v>
      </c>
      <c r="P450">
        <f>SUM(Table9[[#This Row],[Marketing]])</f>
        <v>11</v>
      </c>
      <c r="Q450">
        <f>SUM(Table9[[#This Row],[Sales]])</f>
        <v>82</v>
      </c>
    </row>
    <row r="451" spans="14:17">
      <c r="N451" s="5">
        <v>12</v>
      </c>
      <c r="O451" s="5">
        <v>76</v>
      </c>
      <c r="P451">
        <f>SUM(Table9[[#This Row],[Marketing]])</f>
        <v>12</v>
      </c>
      <c r="Q451">
        <f>SUM(Table9[[#This Row],[Sales]])</f>
        <v>76</v>
      </c>
    </row>
    <row r="452" spans="14:17">
      <c r="N452" s="3">
        <v>7</v>
      </c>
      <c r="O452" s="3">
        <v>56</v>
      </c>
      <c r="P452">
        <f>SUM(Table9[[#This Row],[Marketing]])</f>
        <v>7</v>
      </c>
      <c r="Q452">
        <f>SUM(Table9[[#This Row],[Sales]])</f>
        <v>56</v>
      </c>
    </row>
    <row r="453" spans="14:17">
      <c r="N453" s="5">
        <v>12</v>
      </c>
      <c r="O453" s="5">
        <v>89</v>
      </c>
      <c r="P453">
        <f>SUM(Table9[[#This Row],[Marketing]])</f>
        <v>12</v>
      </c>
      <c r="Q453">
        <f>SUM(Table9[[#This Row],[Sales]])</f>
        <v>89</v>
      </c>
    </row>
    <row r="454" spans="14:17">
      <c r="N454" s="3">
        <v>6</v>
      </c>
      <c r="O454" s="3">
        <v>58</v>
      </c>
      <c r="P454">
        <f>SUM(Table9[[#This Row],[Marketing]])</f>
        <v>6</v>
      </c>
      <c r="Q454">
        <f>SUM(Table9[[#This Row],[Sales]])</f>
        <v>58</v>
      </c>
    </row>
    <row r="455" spans="14:17">
      <c r="N455" s="5">
        <v>4</v>
      </c>
      <c r="O455" s="5">
        <v>41</v>
      </c>
      <c r="P455">
        <f>SUM(Table9[[#This Row],[Marketing]])</f>
        <v>4</v>
      </c>
      <c r="Q455">
        <f>SUM(Table9[[#This Row],[Sales]])</f>
        <v>41</v>
      </c>
    </row>
    <row r="456" spans="14:17">
      <c r="N456" s="3">
        <v>9</v>
      </c>
      <c r="O456" s="3">
        <v>69</v>
      </c>
      <c r="P456">
        <f>SUM(Table9[[#This Row],[Marketing]])</f>
        <v>9</v>
      </c>
      <c r="Q456">
        <f>SUM(Table9[[#This Row],[Sales]])</f>
        <v>69</v>
      </c>
    </row>
    <row r="457" spans="14:17">
      <c r="N457" s="5">
        <v>7</v>
      </c>
      <c r="O457" s="5">
        <v>45</v>
      </c>
      <c r="P457">
        <f>SUM(Table9[[#This Row],[Marketing]])</f>
        <v>7</v>
      </c>
      <c r="Q457">
        <f>SUM(Table9[[#This Row],[Sales]])</f>
        <v>45</v>
      </c>
    </row>
    <row r="458" spans="14:17">
      <c r="N458" s="3">
        <v>8</v>
      </c>
      <c r="O458" s="3">
        <v>73</v>
      </c>
      <c r="P458">
        <f>SUM(Table9[[#This Row],[Marketing]])</f>
        <v>8</v>
      </c>
      <c r="Q458">
        <f>SUM(Table9[[#This Row],[Sales]])</f>
        <v>73</v>
      </c>
    </row>
    <row r="459" spans="14:17">
      <c r="N459" s="5">
        <v>7</v>
      </c>
      <c r="O459" s="5">
        <v>56</v>
      </c>
      <c r="P459">
        <f>SUM(Table9[[#This Row],[Marketing]])</f>
        <v>7</v>
      </c>
      <c r="Q459">
        <f>SUM(Table9[[#This Row],[Sales]])</f>
        <v>56</v>
      </c>
    </row>
    <row r="460" spans="14:17">
      <c r="N460" s="3">
        <v>6</v>
      </c>
      <c r="O460" s="3">
        <v>60</v>
      </c>
      <c r="P460">
        <f>SUM(Table9[[#This Row],[Marketing]])</f>
        <v>6</v>
      </c>
      <c r="Q460">
        <f>SUM(Table9[[#This Row],[Sales]])</f>
        <v>60</v>
      </c>
    </row>
    <row r="461" spans="14:17">
      <c r="N461" s="5">
        <v>4</v>
      </c>
      <c r="O461" s="5">
        <v>41</v>
      </c>
      <c r="P461">
        <f>SUM(Table9[[#This Row],[Marketing]])</f>
        <v>4</v>
      </c>
      <c r="Q461">
        <f>SUM(Table9[[#This Row],[Sales]])</f>
        <v>41</v>
      </c>
    </row>
    <row r="462" spans="14:17">
      <c r="N462" s="3">
        <v>8</v>
      </c>
      <c r="O462" s="3">
        <v>73</v>
      </c>
      <c r="P462">
        <f>SUM(Table9[[#This Row],[Marketing]])</f>
        <v>8</v>
      </c>
      <c r="Q462">
        <f>SUM(Table9[[#This Row],[Sales]])</f>
        <v>73</v>
      </c>
    </row>
    <row r="463" spans="14:17">
      <c r="N463" s="5">
        <v>5</v>
      </c>
      <c r="O463" s="5">
        <v>56</v>
      </c>
      <c r="P463">
        <f>SUM(Table9[[#This Row],[Marketing]])</f>
        <v>5</v>
      </c>
      <c r="Q463">
        <f>SUM(Table9[[#This Row],[Sales]])</f>
        <v>56</v>
      </c>
    </row>
    <row r="464" spans="14:17">
      <c r="N464" s="3">
        <v>7</v>
      </c>
      <c r="O464" s="3">
        <v>70</v>
      </c>
      <c r="P464">
        <f>SUM(Table9[[#This Row],[Marketing]])</f>
        <v>7</v>
      </c>
      <c r="Q464">
        <f>SUM(Table9[[#This Row],[Sales]])</f>
        <v>70</v>
      </c>
    </row>
    <row r="465" spans="14:17">
      <c r="N465" s="5">
        <v>21</v>
      </c>
      <c r="O465" s="5">
        <v>134</v>
      </c>
      <c r="P465">
        <f>SUM(Table9[[#This Row],[Marketing]])</f>
        <v>21</v>
      </c>
      <c r="Q465">
        <f>SUM(Table9[[#This Row],[Sales]])</f>
        <v>134</v>
      </c>
    </row>
    <row r="466" spans="14:17">
      <c r="N466" s="3">
        <v>20</v>
      </c>
      <c r="O466" s="3">
        <v>128</v>
      </c>
      <c r="P466">
        <f>SUM(Table9[[#This Row],[Marketing]])</f>
        <v>20</v>
      </c>
      <c r="Q466">
        <f>SUM(Table9[[#This Row],[Sales]])</f>
        <v>128</v>
      </c>
    </row>
    <row r="467" spans="14:17">
      <c r="N467" s="5">
        <v>5</v>
      </c>
      <c r="O467" s="5">
        <v>56</v>
      </c>
      <c r="P467">
        <f>SUM(Table9[[#This Row],[Marketing]])</f>
        <v>5</v>
      </c>
      <c r="Q467">
        <f>SUM(Table9[[#This Row],[Sales]])</f>
        <v>56</v>
      </c>
    </row>
    <row r="468" spans="14:17">
      <c r="N468" s="3">
        <v>12</v>
      </c>
      <c r="O468" s="3">
        <v>98</v>
      </c>
      <c r="P468">
        <f>SUM(Table9[[#This Row],[Marketing]])</f>
        <v>12</v>
      </c>
      <c r="Q468">
        <f>SUM(Table9[[#This Row],[Sales]])</f>
        <v>98</v>
      </c>
    </row>
    <row r="469" spans="14:17">
      <c r="N469" s="5">
        <v>6</v>
      </c>
      <c r="O469" s="5">
        <v>62</v>
      </c>
      <c r="P469">
        <f>SUM(Table9[[#This Row],[Marketing]])</f>
        <v>6</v>
      </c>
      <c r="Q469">
        <f>SUM(Table9[[#This Row],[Sales]])</f>
        <v>62</v>
      </c>
    </row>
    <row r="470" spans="14:17">
      <c r="N470" s="3">
        <v>5</v>
      </c>
      <c r="O470" s="3">
        <v>55</v>
      </c>
      <c r="P470">
        <f>SUM(Table9[[#This Row],[Marketing]])</f>
        <v>5</v>
      </c>
      <c r="Q470">
        <f>SUM(Table9[[#This Row],[Sales]])</f>
        <v>55</v>
      </c>
    </row>
    <row r="471" spans="14:17">
      <c r="N471" s="5">
        <v>9</v>
      </c>
      <c r="O471" s="5">
        <v>60</v>
      </c>
      <c r="P471">
        <f>SUM(Table9[[#This Row],[Marketing]])</f>
        <v>9</v>
      </c>
      <c r="Q471">
        <f>SUM(Table9[[#This Row],[Sales]])</f>
        <v>60</v>
      </c>
    </row>
    <row r="472" spans="14:17">
      <c r="N472" s="3">
        <v>5</v>
      </c>
      <c r="O472" s="3">
        <v>56</v>
      </c>
      <c r="P472">
        <f>SUM(Table9[[#This Row],[Marketing]])</f>
        <v>5</v>
      </c>
      <c r="Q472">
        <f>SUM(Table9[[#This Row],[Sales]])</f>
        <v>56</v>
      </c>
    </row>
    <row r="473" spans="14:17">
      <c r="N473" s="5">
        <v>0</v>
      </c>
      <c r="O473" s="5">
        <v>46</v>
      </c>
      <c r="P473">
        <f>SUM(Table9[[#This Row],[Marketing]])</f>
        <v>0</v>
      </c>
      <c r="Q473">
        <f>SUM(Table9[[#This Row],[Sales]])</f>
        <v>46</v>
      </c>
    </row>
    <row r="474" spans="14:17">
      <c r="N474" s="3">
        <v>12</v>
      </c>
      <c r="O474" s="3">
        <v>82</v>
      </c>
      <c r="P474">
        <f>SUM(Table9[[#This Row],[Marketing]])</f>
        <v>12</v>
      </c>
      <c r="Q474">
        <f>SUM(Table9[[#This Row],[Sales]])</f>
        <v>82</v>
      </c>
    </row>
    <row r="475" spans="14:17">
      <c r="N475" s="5">
        <v>5</v>
      </c>
      <c r="O475" s="5">
        <v>55</v>
      </c>
      <c r="P475">
        <f>SUM(Table9[[#This Row],[Marketing]])</f>
        <v>5</v>
      </c>
      <c r="Q475">
        <f>SUM(Table9[[#This Row],[Sales]])</f>
        <v>55</v>
      </c>
    </row>
    <row r="476" spans="14:17">
      <c r="N476" s="3">
        <v>7</v>
      </c>
      <c r="O476" s="3">
        <v>65</v>
      </c>
      <c r="P476">
        <f>SUM(Table9[[#This Row],[Marketing]])</f>
        <v>7</v>
      </c>
      <c r="Q476">
        <f>SUM(Table9[[#This Row],[Sales]])</f>
        <v>65</v>
      </c>
    </row>
    <row r="477" spans="14:17">
      <c r="N477" s="5">
        <v>12</v>
      </c>
      <c r="O477" s="5">
        <v>82</v>
      </c>
      <c r="P477">
        <f>SUM(Table9[[#This Row],[Marketing]])</f>
        <v>12</v>
      </c>
      <c r="Q477">
        <f>SUM(Table9[[#This Row],[Sales]])</f>
        <v>82</v>
      </c>
    </row>
    <row r="478" spans="14:17">
      <c r="N478" s="3">
        <v>5</v>
      </c>
      <c r="O478" s="3">
        <v>55</v>
      </c>
      <c r="P478">
        <f>SUM(Table9[[#This Row],[Marketing]])</f>
        <v>5</v>
      </c>
      <c r="Q478">
        <f>SUM(Table9[[#This Row],[Sales]])</f>
        <v>55</v>
      </c>
    </row>
    <row r="479" spans="14:17">
      <c r="N479" s="5">
        <v>12</v>
      </c>
      <c r="O479" s="5">
        <v>98</v>
      </c>
      <c r="P479">
        <f>SUM(Table9[[#This Row],[Marketing]])</f>
        <v>12</v>
      </c>
      <c r="Q479">
        <f>SUM(Table9[[#This Row],[Sales]])</f>
        <v>98</v>
      </c>
    </row>
    <row r="480" spans="14:17">
      <c r="N480" s="3">
        <v>14</v>
      </c>
      <c r="O480" s="3">
        <v>120</v>
      </c>
      <c r="P480">
        <f>SUM(Table9[[#This Row],[Marketing]])</f>
        <v>14</v>
      </c>
      <c r="Q480">
        <f>SUM(Table9[[#This Row],[Sales]])</f>
        <v>120</v>
      </c>
    </row>
    <row r="481" spans="14:17">
      <c r="N481" s="5">
        <v>6</v>
      </c>
      <c r="O481" s="5">
        <v>60</v>
      </c>
      <c r="P481">
        <f>SUM(Table9[[#This Row],[Marketing]])</f>
        <v>6</v>
      </c>
      <c r="Q481">
        <f>SUM(Table9[[#This Row],[Sales]])</f>
        <v>60</v>
      </c>
    </row>
    <row r="482" spans="14:17">
      <c r="N482" s="3">
        <v>12</v>
      </c>
      <c r="O482" s="3">
        <v>81</v>
      </c>
      <c r="P482">
        <f>SUM(Table9[[#This Row],[Marketing]])</f>
        <v>12</v>
      </c>
      <c r="Q482">
        <f>SUM(Table9[[#This Row],[Sales]])</f>
        <v>81</v>
      </c>
    </row>
    <row r="483" spans="14:17">
      <c r="N483" s="5">
        <v>7</v>
      </c>
      <c r="O483" s="5">
        <v>55</v>
      </c>
      <c r="P483">
        <f>SUM(Table9[[#This Row],[Marketing]])</f>
        <v>7</v>
      </c>
      <c r="Q483">
        <f>SUM(Table9[[#This Row],[Sales]])</f>
        <v>55</v>
      </c>
    </row>
    <row r="484" spans="14:17">
      <c r="N484" s="3">
        <v>12</v>
      </c>
      <c r="O484" s="3">
        <v>79</v>
      </c>
      <c r="P484">
        <f>SUM(Table9[[#This Row],[Marketing]])</f>
        <v>12</v>
      </c>
      <c r="Q484">
        <f>SUM(Table9[[#This Row],[Sales]])</f>
        <v>79</v>
      </c>
    </row>
    <row r="485" spans="14:17">
      <c r="N485" s="5">
        <v>8</v>
      </c>
      <c r="O485" s="5">
        <v>68</v>
      </c>
      <c r="P485">
        <f>SUM(Table9[[#This Row],[Marketing]])</f>
        <v>8</v>
      </c>
      <c r="Q485">
        <f>SUM(Table9[[#This Row],[Sales]])</f>
        <v>68</v>
      </c>
    </row>
    <row r="486" spans="14:17">
      <c r="N486" s="3">
        <v>7</v>
      </c>
      <c r="O486" s="3">
        <v>67</v>
      </c>
      <c r="P486">
        <f>SUM(Table9[[#This Row],[Marketing]])</f>
        <v>7</v>
      </c>
      <c r="Q486">
        <f>SUM(Table9[[#This Row],[Sales]])</f>
        <v>67</v>
      </c>
    </row>
    <row r="487" spans="14:17">
      <c r="N487" s="5">
        <v>4</v>
      </c>
      <c r="O487" s="5">
        <v>42</v>
      </c>
      <c r="P487">
        <f>SUM(Table9[[#This Row],[Marketing]])</f>
        <v>4</v>
      </c>
      <c r="Q487">
        <f>SUM(Table9[[#This Row],[Sales]])</f>
        <v>42</v>
      </c>
    </row>
    <row r="488" spans="14:17">
      <c r="N488" s="3">
        <v>8</v>
      </c>
      <c r="O488" s="3">
        <v>85</v>
      </c>
      <c r="P488">
        <f>SUM(Table9[[#This Row],[Marketing]])</f>
        <v>8</v>
      </c>
      <c r="Q488">
        <f>SUM(Table9[[#This Row],[Sales]])</f>
        <v>85</v>
      </c>
    </row>
    <row r="489" spans="14:17">
      <c r="N489" s="5">
        <v>11</v>
      </c>
      <c r="O489" s="5">
        <v>87</v>
      </c>
      <c r="P489">
        <f>SUM(Table9[[#This Row],[Marketing]])</f>
        <v>11</v>
      </c>
      <c r="Q489">
        <f>SUM(Table9[[#This Row],[Sales]])</f>
        <v>87</v>
      </c>
    </row>
    <row r="490" spans="14:17">
      <c r="N490" s="3">
        <v>12</v>
      </c>
      <c r="O490" s="3">
        <v>81</v>
      </c>
      <c r="P490">
        <f>SUM(Table9[[#This Row],[Marketing]])</f>
        <v>12</v>
      </c>
      <c r="Q490">
        <f>SUM(Table9[[#This Row],[Sales]])</f>
        <v>81</v>
      </c>
    </row>
    <row r="491" spans="14:17">
      <c r="N491" s="5">
        <v>7</v>
      </c>
      <c r="O491" s="5">
        <v>60</v>
      </c>
      <c r="P491">
        <f>SUM(Table9[[#This Row],[Marketing]])</f>
        <v>7</v>
      </c>
      <c r="Q491">
        <f>SUM(Table9[[#This Row],[Sales]])</f>
        <v>60</v>
      </c>
    </row>
    <row r="492" spans="14:17">
      <c r="N492" s="3">
        <v>12</v>
      </c>
      <c r="O492" s="3">
        <v>95</v>
      </c>
      <c r="P492">
        <f>SUM(Table9[[#This Row],[Marketing]])</f>
        <v>12</v>
      </c>
      <c r="Q492">
        <f>SUM(Table9[[#This Row],[Sales]])</f>
        <v>95</v>
      </c>
    </row>
    <row r="493" spans="14:17">
      <c r="N493" s="5">
        <v>6</v>
      </c>
      <c r="O493" s="5">
        <v>62</v>
      </c>
      <c r="P493">
        <f>SUM(Table9[[#This Row],[Marketing]])</f>
        <v>6</v>
      </c>
      <c r="Q493">
        <f>SUM(Table9[[#This Row],[Sales]])</f>
        <v>62</v>
      </c>
    </row>
    <row r="494" spans="14:17">
      <c r="N494" s="3">
        <v>4</v>
      </c>
      <c r="O494" s="3">
        <v>44</v>
      </c>
      <c r="P494">
        <f>SUM(Table9[[#This Row],[Marketing]])</f>
        <v>4</v>
      </c>
      <c r="Q494">
        <f>SUM(Table9[[#This Row],[Sales]])</f>
        <v>44</v>
      </c>
    </row>
    <row r="495" spans="14:17">
      <c r="N495" s="5">
        <v>9</v>
      </c>
      <c r="O495" s="5">
        <v>74</v>
      </c>
      <c r="P495">
        <f>SUM(Table9[[#This Row],[Marketing]])</f>
        <v>9</v>
      </c>
      <c r="Q495">
        <f>SUM(Table9[[#This Row],[Sales]])</f>
        <v>74</v>
      </c>
    </row>
    <row r="496" spans="14:17">
      <c r="N496" s="3">
        <v>7</v>
      </c>
      <c r="O496" s="3">
        <v>48</v>
      </c>
      <c r="P496">
        <f>SUM(Table9[[#This Row],[Marketing]])</f>
        <v>7</v>
      </c>
      <c r="Q496">
        <f>SUM(Table9[[#This Row],[Sales]])</f>
        <v>48</v>
      </c>
    </row>
    <row r="497" spans="14:17">
      <c r="N497" s="5">
        <v>8</v>
      </c>
      <c r="O497" s="5">
        <v>78</v>
      </c>
      <c r="P497">
        <f>SUM(Table9[[#This Row],[Marketing]])</f>
        <v>8</v>
      </c>
      <c r="Q497">
        <f>SUM(Table9[[#This Row],[Sales]])</f>
        <v>78</v>
      </c>
    </row>
    <row r="498" spans="14:17">
      <c r="N498" s="3">
        <v>7</v>
      </c>
      <c r="O498" s="3">
        <v>60</v>
      </c>
      <c r="P498">
        <f>SUM(Table9[[#This Row],[Marketing]])</f>
        <v>7</v>
      </c>
      <c r="Q498">
        <f>SUM(Table9[[#This Row],[Sales]])</f>
        <v>60</v>
      </c>
    </row>
    <row r="499" spans="14:17">
      <c r="N499" s="5">
        <v>6</v>
      </c>
      <c r="O499" s="5">
        <v>64</v>
      </c>
      <c r="P499">
        <f>SUM(Table9[[#This Row],[Marketing]])</f>
        <v>6</v>
      </c>
      <c r="Q499">
        <f>SUM(Table9[[#This Row],[Sales]])</f>
        <v>64</v>
      </c>
    </row>
    <row r="500" spans="14:17">
      <c r="N500" s="3">
        <v>4</v>
      </c>
      <c r="O500" s="3">
        <v>44</v>
      </c>
      <c r="P500">
        <f>SUM(Table9[[#This Row],[Marketing]])</f>
        <v>4</v>
      </c>
      <c r="Q500">
        <f>SUM(Table9[[#This Row],[Sales]])</f>
        <v>44</v>
      </c>
    </row>
    <row r="501" spans="14:17">
      <c r="N501" s="5">
        <v>8</v>
      </c>
      <c r="O501" s="5">
        <v>78</v>
      </c>
      <c r="P501">
        <f>SUM(Table9[[#This Row],[Marketing]])</f>
        <v>8</v>
      </c>
      <c r="Q501">
        <f>SUM(Table9[[#This Row],[Sales]])</f>
        <v>78</v>
      </c>
    </row>
    <row r="502" spans="14:17">
      <c r="N502" s="3">
        <v>21</v>
      </c>
      <c r="O502" s="3">
        <v>187</v>
      </c>
      <c r="P502">
        <f>SUM(Table9[[#This Row],[Marketing]])</f>
        <v>21</v>
      </c>
      <c r="Q502">
        <f>SUM(Table9[[#This Row],[Sales]])</f>
        <v>187</v>
      </c>
    </row>
    <row r="503" spans="14:17">
      <c r="N503" s="5">
        <v>17</v>
      </c>
      <c r="O503" s="5">
        <v>123</v>
      </c>
      <c r="P503">
        <f>SUM(Table9[[#This Row],[Marketing]])</f>
        <v>17</v>
      </c>
      <c r="Q503">
        <f>SUM(Table9[[#This Row],[Sales]])</f>
        <v>123</v>
      </c>
    </row>
    <row r="504" spans="14:17">
      <c r="N504" s="3">
        <v>21</v>
      </c>
      <c r="O504" s="3">
        <v>187</v>
      </c>
      <c r="P504">
        <f>SUM(Table9[[#This Row],[Marketing]])</f>
        <v>21</v>
      </c>
      <c r="Q504">
        <f>SUM(Table9[[#This Row],[Sales]])</f>
        <v>187</v>
      </c>
    </row>
    <row r="505" spans="14:17">
      <c r="N505" s="5">
        <v>23</v>
      </c>
      <c r="O505" s="5">
        <v>182</v>
      </c>
      <c r="P505">
        <f>SUM(Table9[[#This Row],[Marketing]])</f>
        <v>23</v>
      </c>
      <c r="Q505">
        <f>SUM(Table9[[#This Row],[Sales]])</f>
        <v>182</v>
      </c>
    </row>
    <row r="506" spans="14:17">
      <c r="N506" s="3">
        <v>20</v>
      </c>
      <c r="O506" s="3">
        <v>142</v>
      </c>
      <c r="P506">
        <f>SUM(Table9[[#This Row],[Marketing]])</f>
        <v>20</v>
      </c>
      <c r="Q506">
        <f>SUM(Table9[[#This Row],[Sales]])</f>
        <v>142</v>
      </c>
    </row>
    <row r="507" spans="14:17">
      <c r="N507" s="5">
        <v>8</v>
      </c>
      <c r="O507" s="5">
        <v>79</v>
      </c>
      <c r="P507">
        <f>SUM(Table9[[#This Row],[Marketing]])</f>
        <v>8</v>
      </c>
      <c r="Q507">
        <f>SUM(Table9[[#This Row],[Sales]])</f>
        <v>79</v>
      </c>
    </row>
    <row r="508" spans="14:17">
      <c r="N508" s="3">
        <v>27</v>
      </c>
      <c r="O508" s="3">
        <v>205</v>
      </c>
      <c r="P508">
        <f>SUM(Table9[[#This Row],[Marketing]])</f>
        <v>27</v>
      </c>
      <c r="Q508">
        <f>SUM(Table9[[#This Row],[Sales]])</f>
        <v>205</v>
      </c>
    </row>
    <row r="509" spans="14:17">
      <c r="N509" s="5">
        <v>21</v>
      </c>
      <c r="O509" s="5">
        <v>126</v>
      </c>
      <c r="P509">
        <f>SUM(Table9[[#This Row],[Marketing]])</f>
        <v>21</v>
      </c>
      <c r="Q509">
        <f>SUM(Table9[[#This Row],[Sales]])</f>
        <v>126</v>
      </c>
    </row>
    <row r="510" spans="14:17">
      <c r="N510" s="3">
        <v>28</v>
      </c>
      <c r="O510" s="3">
        <v>218</v>
      </c>
      <c r="P510">
        <f>SUM(Table9[[#This Row],[Marketing]])</f>
        <v>28</v>
      </c>
      <c r="Q510">
        <f>SUM(Table9[[#This Row],[Sales]])</f>
        <v>218</v>
      </c>
    </row>
    <row r="511" spans="14:17">
      <c r="N511" s="5">
        <v>18</v>
      </c>
      <c r="O511" s="5">
        <v>159</v>
      </c>
      <c r="P511">
        <f>SUM(Table9[[#This Row],[Marketing]])</f>
        <v>18</v>
      </c>
      <c r="Q511">
        <f>SUM(Table9[[#This Row],[Sales]])</f>
        <v>159</v>
      </c>
    </row>
    <row r="512" spans="14:17">
      <c r="N512" s="3">
        <v>20</v>
      </c>
      <c r="O512" s="3">
        <v>124</v>
      </c>
      <c r="P512">
        <f>SUM(Table9[[#This Row],[Marketing]])</f>
        <v>20</v>
      </c>
      <c r="Q512">
        <f>SUM(Table9[[#This Row],[Sales]])</f>
        <v>124</v>
      </c>
    </row>
    <row r="513" spans="14:17">
      <c r="N513" s="5">
        <v>19</v>
      </c>
      <c r="O513" s="5">
        <v>138</v>
      </c>
      <c r="P513">
        <f>SUM(Table9[[#This Row],[Marketing]])</f>
        <v>19</v>
      </c>
      <c r="Q513">
        <f>SUM(Table9[[#This Row],[Sales]])</f>
        <v>138</v>
      </c>
    </row>
    <row r="514" spans="14:17">
      <c r="N514" s="3">
        <v>24</v>
      </c>
      <c r="O514" s="3">
        <v>189</v>
      </c>
      <c r="P514">
        <f>SUM(Table9[[#This Row],[Marketing]])</f>
        <v>24</v>
      </c>
      <c r="Q514">
        <f>SUM(Table9[[#This Row],[Sales]])</f>
        <v>189</v>
      </c>
    </row>
    <row r="515" spans="14:17">
      <c r="N515" s="5">
        <v>21</v>
      </c>
      <c r="O515" s="5">
        <v>150</v>
      </c>
      <c r="P515">
        <f>SUM(Table9[[#This Row],[Marketing]])</f>
        <v>21</v>
      </c>
      <c r="Q515">
        <f>SUM(Table9[[#This Row],[Sales]])</f>
        <v>150</v>
      </c>
    </row>
    <row r="516" spans="14:17">
      <c r="N516" s="3">
        <v>14</v>
      </c>
      <c r="O516" s="3">
        <v>114</v>
      </c>
      <c r="P516">
        <f>SUM(Table9[[#This Row],[Marketing]])</f>
        <v>14</v>
      </c>
      <c r="Q516">
        <f>SUM(Table9[[#This Row],[Sales]])</f>
        <v>114</v>
      </c>
    </row>
    <row r="517" spans="14:17">
      <c r="N517" s="5">
        <v>23</v>
      </c>
      <c r="O517" s="5">
        <v>164</v>
      </c>
      <c r="P517">
        <f>SUM(Table9[[#This Row],[Marketing]])</f>
        <v>23</v>
      </c>
      <c r="Q517">
        <f>SUM(Table9[[#This Row],[Sales]])</f>
        <v>164</v>
      </c>
    </row>
    <row r="518" spans="14:17">
      <c r="N518" s="3">
        <v>55</v>
      </c>
      <c r="O518" s="3">
        <v>147</v>
      </c>
      <c r="P518">
        <f>SUM(Table9[[#This Row],[Marketing]])</f>
        <v>55</v>
      </c>
      <c r="Q518">
        <f>SUM(Table9[[#This Row],[Sales]])</f>
        <v>147</v>
      </c>
    </row>
    <row r="519" spans="14:17">
      <c r="N519" s="5">
        <v>13</v>
      </c>
      <c r="O519" s="5">
        <v>115</v>
      </c>
      <c r="P519">
        <f>SUM(Table9[[#This Row],[Marketing]])</f>
        <v>13</v>
      </c>
      <c r="Q519">
        <f>SUM(Table9[[#This Row],[Sales]])</f>
        <v>115</v>
      </c>
    </row>
    <row r="520" spans="14:17">
      <c r="N520" s="3">
        <v>47</v>
      </c>
      <c r="O520" s="3">
        <v>125</v>
      </c>
      <c r="P520">
        <f>SUM(Table9[[#This Row],[Marketing]])</f>
        <v>47</v>
      </c>
      <c r="Q520">
        <f>SUM(Table9[[#This Row],[Sales]])</f>
        <v>125</v>
      </c>
    </row>
    <row r="521" spans="14:17">
      <c r="N521" s="5">
        <v>17</v>
      </c>
      <c r="O521" s="5">
        <v>124</v>
      </c>
      <c r="P521">
        <f>SUM(Table9[[#This Row],[Marketing]])</f>
        <v>17</v>
      </c>
      <c r="Q521">
        <f>SUM(Table9[[#This Row],[Sales]])</f>
        <v>124</v>
      </c>
    </row>
    <row r="522" spans="14:17">
      <c r="N522" s="3">
        <v>19</v>
      </c>
      <c r="O522" s="3">
        <v>138</v>
      </c>
      <c r="P522">
        <f>SUM(Table9[[#This Row],[Marketing]])</f>
        <v>19</v>
      </c>
      <c r="Q522">
        <f>SUM(Table9[[#This Row],[Sales]])</f>
        <v>138</v>
      </c>
    </row>
    <row r="523" spans="14:17">
      <c r="N523" s="5">
        <v>16</v>
      </c>
      <c r="O523" s="5">
        <v>141</v>
      </c>
      <c r="P523">
        <f>SUM(Table9[[#This Row],[Marketing]])</f>
        <v>16</v>
      </c>
      <c r="Q523">
        <f>SUM(Table9[[#This Row],[Sales]])</f>
        <v>141</v>
      </c>
    </row>
    <row r="524" spans="14:17">
      <c r="N524" s="3">
        <v>15</v>
      </c>
      <c r="O524" s="3">
        <v>132</v>
      </c>
      <c r="P524">
        <f>SUM(Table9[[#This Row],[Marketing]])</f>
        <v>15</v>
      </c>
      <c r="Q524">
        <f>SUM(Table9[[#This Row],[Sales]])</f>
        <v>132</v>
      </c>
    </row>
    <row r="525" spans="14:17">
      <c r="N525" s="5">
        <v>17</v>
      </c>
      <c r="O525" s="5">
        <v>103</v>
      </c>
      <c r="P525">
        <f>SUM(Table9[[#This Row],[Marketing]])</f>
        <v>17</v>
      </c>
      <c r="Q525">
        <f>SUM(Table9[[#This Row],[Sales]])</f>
        <v>103</v>
      </c>
    </row>
    <row r="526" spans="14:17">
      <c r="N526" s="3">
        <v>22</v>
      </c>
      <c r="O526" s="3">
        <v>168</v>
      </c>
      <c r="P526">
        <f>SUM(Table9[[#This Row],[Marketing]])</f>
        <v>22</v>
      </c>
      <c r="Q526">
        <f>SUM(Table9[[#This Row],[Sales]])</f>
        <v>168</v>
      </c>
    </row>
    <row r="527" spans="14:17">
      <c r="N527" s="5">
        <v>15</v>
      </c>
      <c r="O527" s="5">
        <v>133</v>
      </c>
      <c r="P527">
        <f>SUM(Table9[[#This Row],[Marketing]])</f>
        <v>15</v>
      </c>
      <c r="Q527">
        <f>SUM(Table9[[#This Row],[Sales]])</f>
        <v>133</v>
      </c>
    </row>
    <row r="528" spans="14:17">
      <c r="N528" s="3">
        <v>22</v>
      </c>
      <c r="O528" s="3">
        <v>168</v>
      </c>
      <c r="P528">
        <f>SUM(Table9[[#This Row],[Marketing]])</f>
        <v>22</v>
      </c>
      <c r="Q528">
        <f>SUM(Table9[[#This Row],[Sales]])</f>
        <v>168</v>
      </c>
    </row>
    <row r="529" spans="14:17">
      <c r="N529" s="5">
        <v>13</v>
      </c>
      <c r="O529" s="5">
        <v>101</v>
      </c>
      <c r="P529">
        <f>SUM(Table9[[#This Row],[Marketing]])</f>
        <v>13</v>
      </c>
      <c r="Q529">
        <f>SUM(Table9[[#This Row],[Sales]])</f>
        <v>101</v>
      </c>
    </row>
    <row r="530" spans="14:17">
      <c r="N530" s="3">
        <v>24</v>
      </c>
      <c r="O530" s="3">
        <v>145</v>
      </c>
      <c r="P530">
        <f>SUM(Table9[[#This Row],[Marketing]])</f>
        <v>24</v>
      </c>
      <c r="Q530">
        <f>SUM(Table9[[#This Row],[Sales]])</f>
        <v>145</v>
      </c>
    </row>
    <row r="531" spans="14:17">
      <c r="N531" s="5">
        <v>42</v>
      </c>
      <c r="O531" s="5">
        <v>112</v>
      </c>
      <c r="P531">
        <f>SUM(Table9[[#This Row],[Marketing]])</f>
        <v>42</v>
      </c>
      <c r="Q531">
        <f>SUM(Table9[[#This Row],[Sales]])</f>
        <v>112</v>
      </c>
    </row>
    <row r="532" spans="14:17">
      <c r="N532" s="3">
        <v>16</v>
      </c>
      <c r="O532" s="3">
        <v>114</v>
      </c>
      <c r="P532">
        <f>SUM(Table9[[#This Row],[Marketing]])</f>
        <v>16</v>
      </c>
      <c r="Q532">
        <f>SUM(Table9[[#This Row],[Sales]])</f>
        <v>114</v>
      </c>
    </row>
    <row r="533" spans="14:17">
      <c r="N533" s="5">
        <v>24</v>
      </c>
      <c r="O533" s="5">
        <v>145</v>
      </c>
      <c r="P533">
        <f>SUM(Table9[[#This Row],[Marketing]])</f>
        <v>24</v>
      </c>
      <c r="Q533">
        <f>SUM(Table9[[#This Row],[Sales]])</f>
        <v>145</v>
      </c>
    </row>
    <row r="534" spans="14:17">
      <c r="N534" s="3">
        <v>25</v>
      </c>
      <c r="O534" s="3">
        <v>153</v>
      </c>
      <c r="P534">
        <f>SUM(Table9[[#This Row],[Marketing]])</f>
        <v>25</v>
      </c>
      <c r="Q534">
        <f>SUM(Table9[[#This Row],[Sales]])</f>
        <v>153</v>
      </c>
    </row>
    <row r="535" spans="14:17">
      <c r="N535" s="5">
        <v>21</v>
      </c>
      <c r="O535" s="5">
        <v>199</v>
      </c>
      <c r="P535">
        <f>SUM(Table9[[#This Row],[Marketing]])</f>
        <v>21</v>
      </c>
      <c r="Q535">
        <f>SUM(Table9[[#This Row],[Sales]])</f>
        <v>199</v>
      </c>
    </row>
    <row r="536" spans="14:17">
      <c r="N536" s="3">
        <v>17</v>
      </c>
      <c r="O536" s="3">
        <v>131</v>
      </c>
      <c r="P536">
        <f>SUM(Table9[[#This Row],[Marketing]])</f>
        <v>17</v>
      </c>
      <c r="Q536">
        <f>SUM(Table9[[#This Row],[Sales]])</f>
        <v>131</v>
      </c>
    </row>
    <row r="537" spans="14:17">
      <c r="N537" s="5">
        <v>21</v>
      </c>
      <c r="O537" s="5">
        <v>199</v>
      </c>
      <c r="P537">
        <f>SUM(Table9[[#This Row],[Marketing]])</f>
        <v>21</v>
      </c>
      <c r="Q537">
        <f>SUM(Table9[[#This Row],[Sales]])</f>
        <v>199</v>
      </c>
    </row>
    <row r="538" spans="14:17">
      <c r="N538" s="3">
        <v>23</v>
      </c>
      <c r="O538" s="3">
        <v>194</v>
      </c>
      <c r="P538">
        <f>SUM(Table9[[#This Row],[Marketing]])</f>
        <v>23</v>
      </c>
      <c r="Q538">
        <f>SUM(Table9[[#This Row],[Sales]])</f>
        <v>194</v>
      </c>
    </row>
    <row r="539" spans="14:17">
      <c r="N539" s="5">
        <v>20</v>
      </c>
      <c r="O539" s="5">
        <v>151</v>
      </c>
      <c r="P539">
        <f>SUM(Table9[[#This Row],[Marketing]])</f>
        <v>20</v>
      </c>
      <c r="Q539">
        <f>SUM(Table9[[#This Row],[Sales]])</f>
        <v>151</v>
      </c>
    </row>
    <row r="540" spans="14:17">
      <c r="N540" s="3">
        <v>8</v>
      </c>
      <c r="O540" s="3">
        <v>84</v>
      </c>
      <c r="P540">
        <f>SUM(Table9[[#This Row],[Marketing]])</f>
        <v>8</v>
      </c>
      <c r="Q540">
        <f>SUM(Table9[[#This Row],[Sales]])</f>
        <v>84</v>
      </c>
    </row>
    <row r="541" spans="14:17">
      <c r="N541" s="5">
        <v>27</v>
      </c>
      <c r="O541" s="5">
        <v>218</v>
      </c>
      <c r="P541">
        <f>SUM(Table9[[#This Row],[Marketing]])</f>
        <v>27</v>
      </c>
      <c r="Q541">
        <f>SUM(Table9[[#This Row],[Sales]])</f>
        <v>218</v>
      </c>
    </row>
    <row r="542" spans="14:17">
      <c r="N542" s="3">
        <v>21</v>
      </c>
      <c r="O542" s="3">
        <v>134</v>
      </c>
      <c r="P542">
        <f>SUM(Table9[[#This Row],[Marketing]])</f>
        <v>21</v>
      </c>
      <c r="Q542">
        <f>SUM(Table9[[#This Row],[Sales]])</f>
        <v>134</v>
      </c>
    </row>
    <row r="543" spans="14:17">
      <c r="N543" s="5">
        <v>28</v>
      </c>
      <c r="O543" s="5">
        <v>232</v>
      </c>
      <c r="P543">
        <f>SUM(Table9[[#This Row],[Marketing]])</f>
        <v>28</v>
      </c>
      <c r="Q543">
        <f>SUM(Table9[[#This Row],[Sales]])</f>
        <v>232</v>
      </c>
    </row>
    <row r="544" spans="14:17">
      <c r="N544" s="3">
        <v>18</v>
      </c>
      <c r="O544" s="3">
        <v>169</v>
      </c>
      <c r="P544">
        <f>SUM(Table9[[#This Row],[Marketing]])</f>
        <v>18</v>
      </c>
      <c r="Q544">
        <f>SUM(Table9[[#This Row],[Sales]])</f>
        <v>169</v>
      </c>
    </row>
    <row r="545" spans="14:17">
      <c r="N545" s="5">
        <v>20</v>
      </c>
      <c r="O545" s="5">
        <v>132</v>
      </c>
      <c r="P545">
        <f>SUM(Table9[[#This Row],[Marketing]])</f>
        <v>20</v>
      </c>
      <c r="Q545">
        <f>SUM(Table9[[#This Row],[Sales]])</f>
        <v>132</v>
      </c>
    </row>
    <row r="546" spans="14:17">
      <c r="N546" s="3">
        <v>19</v>
      </c>
      <c r="O546" s="3">
        <v>147</v>
      </c>
      <c r="P546">
        <f>SUM(Table9[[#This Row],[Marketing]])</f>
        <v>19</v>
      </c>
      <c r="Q546">
        <f>SUM(Table9[[#This Row],[Sales]])</f>
        <v>147</v>
      </c>
    </row>
    <row r="547" spans="14:17">
      <c r="N547" s="5">
        <v>24</v>
      </c>
      <c r="O547" s="5">
        <v>201</v>
      </c>
      <c r="P547">
        <f>SUM(Table9[[#This Row],[Marketing]])</f>
        <v>24</v>
      </c>
      <c r="Q547">
        <f>SUM(Table9[[#This Row],[Sales]])</f>
        <v>201</v>
      </c>
    </row>
    <row r="548" spans="14:17">
      <c r="N548" s="3">
        <v>21</v>
      </c>
      <c r="O548" s="3">
        <v>160</v>
      </c>
      <c r="P548">
        <f>SUM(Table9[[#This Row],[Marketing]])</f>
        <v>21</v>
      </c>
      <c r="Q548">
        <f>SUM(Table9[[#This Row],[Sales]])</f>
        <v>160</v>
      </c>
    </row>
    <row r="549" spans="14:17">
      <c r="N549" s="5">
        <v>14</v>
      </c>
      <c r="O549" s="5">
        <v>121</v>
      </c>
      <c r="P549">
        <f>SUM(Table9[[#This Row],[Marketing]])</f>
        <v>14</v>
      </c>
      <c r="Q549">
        <f>SUM(Table9[[#This Row],[Sales]])</f>
        <v>121</v>
      </c>
    </row>
    <row r="550" spans="14:17">
      <c r="N550" s="3">
        <v>23</v>
      </c>
      <c r="O550" s="3">
        <v>175</v>
      </c>
      <c r="P550">
        <f>SUM(Table9[[#This Row],[Marketing]])</f>
        <v>23</v>
      </c>
      <c r="Q550">
        <f>SUM(Table9[[#This Row],[Sales]])</f>
        <v>175</v>
      </c>
    </row>
    <row r="551" spans="14:17">
      <c r="N551" s="5">
        <v>55</v>
      </c>
      <c r="O551" s="5">
        <v>157</v>
      </c>
      <c r="P551">
        <f>SUM(Table9[[#This Row],[Marketing]])</f>
        <v>55</v>
      </c>
      <c r="Q551">
        <f>SUM(Table9[[#This Row],[Sales]])</f>
        <v>157</v>
      </c>
    </row>
    <row r="552" spans="14:17">
      <c r="N552" s="3">
        <v>13</v>
      </c>
      <c r="O552" s="3">
        <v>123</v>
      </c>
      <c r="P552">
        <f>SUM(Table9[[#This Row],[Marketing]])</f>
        <v>13</v>
      </c>
      <c r="Q552">
        <f>SUM(Table9[[#This Row],[Sales]])</f>
        <v>123</v>
      </c>
    </row>
    <row r="553" spans="14:17">
      <c r="N553" s="5">
        <v>47</v>
      </c>
      <c r="O553" s="5">
        <v>133</v>
      </c>
      <c r="P553">
        <f>SUM(Table9[[#This Row],[Marketing]])</f>
        <v>47</v>
      </c>
      <c r="Q553">
        <f>SUM(Table9[[#This Row],[Sales]])</f>
        <v>133</v>
      </c>
    </row>
    <row r="554" spans="14:17">
      <c r="N554" s="3">
        <v>17</v>
      </c>
      <c r="O554" s="3">
        <v>132</v>
      </c>
      <c r="P554">
        <f>SUM(Table9[[#This Row],[Marketing]])</f>
        <v>17</v>
      </c>
      <c r="Q554">
        <f>SUM(Table9[[#This Row],[Sales]])</f>
        <v>132</v>
      </c>
    </row>
    <row r="555" spans="14:17">
      <c r="N555" s="5">
        <v>19</v>
      </c>
      <c r="O555" s="5">
        <v>147</v>
      </c>
      <c r="P555">
        <f>SUM(Table9[[#This Row],[Marketing]])</f>
        <v>19</v>
      </c>
      <c r="Q555">
        <f>SUM(Table9[[#This Row],[Sales]])</f>
        <v>147</v>
      </c>
    </row>
    <row r="556" spans="14:17">
      <c r="N556" s="3">
        <v>16</v>
      </c>
      <c r="O556" s="3">
        <v>150</v>
      </c>
      <c r="P556">
        <f>SUM(Table9[[#This Row],[Marketing]])</f>
        <v>16</v>
      </c>
      <c r="Q556">
        <f>SUM(Table9[[#This Row],[Sales]])</f>
        <v>150</v>
      </c>
    </row>
    <row r="557" spans="14:17">
      <c r="N557" s="5">
        <v>15</v>
      </c>
      <c r="O557" s="5">
        <v>141</v>
      </c>
      <c r="P557">
        <f>SUM(Table9[[#This Row],[Marketing]])</f>
        <v>15</v>
      </c>
      <c r="Q557">
        <f>SUM(Table9[[#This Row],[Sales]])</f>
        <v>141</v>
      </c>
    </row>
    <row r="558" spans="14:17">
      <c r="N558" s="3">
        <v>17</v>
      </c>
      <c r="O558" s="3">
        <v>110</v>
      </c>
      <c r="P558">
        <f>SUM(Table9[[#This Row],[Marketing]])</f>
        <v>17</v>
      </c>
      <c r="Q558">
        <f>SUM(Table9[[#This Row],[Sales]])</f>
        <v>110</v>
      </c>
    </row>
    <row r="559" spans="14:17">
      <c r="N559" s="5">
        <v>22</v>
      </c>
      <c r="O559" s="5">
        <v>179</v>
      </c>
      <c r="P559">
        <f>SUM(Table9[[#This Row],[Marketing]])</f>
        <v>22</v>
      </c>
      <c r="Q559">
        <f>SUM(Table9[[#This Row],[Sales]])</f>
        <v>179</v>
      </c>
    </row>
    <row r="560" spans="14:17">
      <c r="N560" s="3">
        <v>15</v>
      </c>
      <c r="O560" s="3">
        <v>142</v>
      </c>
      <c r="P560">
        <f>SUM(Table9[[#This Row],[Marketing]])</f>
        <v>15</v>
      </c>
      <c r="Q560">
        <f>SUM(Table9[[#This Row],[Sales]])</f>
        <v>142</v>
      </c>
    </row>
    <row r="561" spans="14:17">
      <c r="N561" s="5">
        <v>22</v>
      </c>
      <c r="O561" s="5">
        <v>179</v>
      </c>
      <c r="P561">
        <f>SUM(Table9[[#This Row],[Marketing]])</f>
        <v>22</v>
      </c>
      <c r="Q561">
        <f>SUM(Table9[[#This Row],[Sales]])</f>
        <v>179</v>
      </c>
    </row>
    <row r="562" spans="14:17">
      <c r="N562" s="3">
        <v>13</v>
      </c>
      <c r="O562" s="3">
        <v>108</v>
      </c>
      <c r="P562">
        <f>SUM(Table9[[#This Row],[Marketing]])</f>
        <v>13</v>
      </c>
      <c r="Q562">
        <f>SUM(Table9[[#This Row],[Sales]])</f>
        <v>108</v>
      </c>
    </row>
    <row r="563" spans="14:17">
      <c r="N563" s="5">
        <v>24</v>
      </c>
      <c r="O563" s="5">
        <v>155</v>
      </c>
      <c r="P563">
        <f>SUM(Table9[[#This Row],[Marketing]])</f>
        <v>24</v>
      </c>
      <c r="Q563">
        <f>SUM(Table9[[#This Row],[Sales]])</f>
        <v>155</v>
      </c>
    </row>
    <row r="564" spans="14:17">
      <c r="N564" s="3">
        <v>42</v>
      </c>
      <c r="O564" s="3">
        <v>119</v>
      </c>
      <c r="P564">
        <f>SUM(Table9[[#This Row],[Marketing]])</f>
        <v>42</v>
      </c>
      <c r="Q564">
        <f>SUM(Table9[[#This Row],[Sales]])</f>
        <v>119</v>
      </c>
    </row>
    <row r="565" spans="14:17">
      <c r="N565" s="5">
        <v>16</v>
      </c>
      <c r="O565" s="5">
        <v>121</v>
      </c>
      <c r="P565">
        <f>SUM(Table9[[#This Row],[Marketing]])</f>
        <v>16</v>
      </c>
      <c r="Q565">
        <f>SUM(Table9[[#This Row],[Sales]])</f>
        <v>121</v>
      </c>
    </row>
    <row r="566" spans="14:17">
      <c r="N566" s="3">
        <v>24</v>
      </c>
      <c r="O566" s="3">
        <v>155</v>
      </c>
      <c r="P566">
        <f>SUM(Table9[[#This Row],[Marketing]])</f>
        <v>24</v>
      </c>
      <c r="Q566">
        <f>SUM(Table9[[#This Row],[Sales]])</f>
        <v>155</v>
      </c>
    </row>
    <row r="567" spans="14:17">
      <c r="N567" s="5">
        <v>25</v>
      </c>
      <c r="O567" s="5">
        <v>163</v>
      </c>
      <c r="P567">
        <f>SUM(Table9[[#This Row],[Marketing]])</f>
        <v>25</v>
      </c>
      <c r="Q567">
        <f>SUM(Table9[[#This Row],[Sales]])</f>
        <v>163</v>
      </c>
    </row>
    <row r="568" spans="14:17">
      <c r="N568" s="3">
        <v>12</v>
      </c>
      <c r="O568" s="3">
        <v>90</v>
      </c>
      <c r="P568">
        <f>SUM(Table9[[#This Row],[Marketing]])</f>
        <v>12</v>
      </c>
      <c r="Q568">
        <f>SUM(Table9[[#This Row],[Sales]])</f>
        <v>90</v>
      </c>
    </row>
    <row r="569" spans="14:17">
      <c r="N569" s="5">
        <v>74</v>
      </c>
      <c r="O569" s="5">
        <v>520</v>
      </c>
      <c r="P569">
        <f>SUM(Table9[[#This Row],[Marketing]])</f>
        <v>74</v>
      </c>
      <c r="Q569">
        <f>SUM(Table9[[#This Row],[Sales]])</f>
        <v>520</v>
      </c>
    </row>
    <row r="570" spans="14:17">
      <c r="N570" s="3">
        <v>34</v>
      </c>
      <c r="O570" s="3">
        <v>302</v>
      </c>
      <c r="P570">
        <f>SUM(Table9[[#This Row],[Marketing]])</f>
        <v>34</v>
      </c>
      <c r="Q570">
        <f>SUM(Table9[[#This Row],[Sales]])</f>
        <v>302</v>
      </c>
    </row>
    <row r="571" spans="14:17">
      <c r="N571" s="5">
        <v>13</v>
      </c>
      <c r="O571" s="5">
        <v>118</v>
      </c>
      <c r="P571">
        <f>SUM(Table9[[#This Row],[Marketing]])</f>
        <v>13</v>
      </c>
      <c r="Q571">
        <f>SUM(Table9[[#This Row],[Sales]])</f>
        <v>118</v>
      </c>
    </row>
    <row r="572" spans="14:17">
      <c r="N572" s="3">
        <v>13</v>
      </c>
      <c r="O572" s="3">
        <v>119</v>
      </c>
      <c r="P572">
        <f>SUM(Table9[[#This Row],[Marketing]])</f>
        <v>13</v>
      </c>
      <c r="Q572">
        <f>SUM(Table9[[#This Row],[Sales]])</f>
        <v>119</v>
      </c>
    </row>
    <row r="573" spans="14:17">
      <c r="N573" s="5">
        <v>14</v>
      </c>
      <c r="O573" s="5">
        <v>114</v>
      </c>
      <c r="P573">
        <f>SUM(Table9[[#This Row],[Marketing]])</f>
        <v>14</v>
      </c>
      <c r="Q573">
        <f>SUM(Table9[[#This Row],[Sales]])</f>
        <v>114</v>
      </c>
    </row>
    <row r="574" spans="14:17">
      <c r="N574" s="3">
        <v>29</v>
      </c>
      <c r="O574" s="3">
        <v>205</v>
      </c>
      <c r="P574">
        <f>SUM(Table9[[#This Row],[Marketing]])</f>
        <v>29</v>
      </c>
      <c r="Q574">
        <f>SUM(Table9[[#This Row],[Sales]])</f>
        <v>205</v>
      </c>
    </row>
    <row r="575" spans="14:17">
      <c r="N575" s="5">
        <v>9</v>
      </c>
      <c r="O575" s="5">
        <v>56</v>
      </c>
      <c r="P575">
        <f>SUM(Table9[[#This Row],[Marketing]])</f>
        <v>9</v>
      </c>
      <c r="Q575">
        <f>SUM(Table9[[#This Row],[Sales]])</f>
        <v>56</v>
      </c>
    </row>
    <row r="576" spans="14:17">
      <c r="N576" s="3">
        <v>33</v>
      </c>
      <c r="O576" s="3">
        <v>236</v>
      </c>
      <c r="P576">
        <f>SUM(Table9[[#This Row],[Marketing]])</f>
        <v>33</v>
      </c>
      <c r="Q576">
        <f>SUM(Table9[[#This Row],[Sales]])</f>
        <v>236</v>
      </c>
    </row>
    <row r="577" spans="14:17">
      <c r="N577" s="5">
        <v>30</v>
      </c>
      <c r="O577" s="5">
        <v>177</v>
      </c>
      <c r="P577">
        <f>SUM(Table9[[#This Row],[Marketing]])</f>
        <v>30</v>
      </c>
      <c r="Q577">
        <f>SUM(Table9[[#This Row],[Sales]])</f>
        <v>177</v>
      </c>
    </row>
    <row r="578" spans="14:17">
      <c r="N578" s="3">
        <v>87</v>
      </c>
      <c r="O578" s="3">
        <v>230</v>
      </c>
      <c r="P578">
        <f>SUM(Table9[[#This Row],[Marketing]])</f>
        <v>87</v>
      </c>
      <c r="Q578">
        <f>SUM(Table9[[#This Row],[Sales]])</f>
        <v>230</v>
      </c>
    </row>
    <row r="579" spans="14:17">
      <c r="N579" s="5">
        <v>69</v>
      </c>
      <c r="O579" s="5">
        <v>490</v>
      </c>
      <c r="P579">
        <f>SUM(Table9[[#This Row],[Marketing]])</f>
        <v>69</v>
      </c>
      <c r="Q579">
        <f>SUM(Table9[[#This Row],[Sales]])</f>
        <v>490</v>
      </c>
    </row>
    <row r="580" spans="14:17">
      <c r="N580" s="3">
        <v>24</v>
      </c>
      <c r="O580" s="3">
        <v>189</v>
      </c>
      <c r="P580">
        <f>SUM(Table9[[#This Row],[Marketing]])</f>
        <v>24</v>
      </c>
      <c r="Q580">
        <f>SUM(Table9[[#This Row],[Sales]])</f>
        <v>189</v>
      </c>
    </row>
    <row r="581" spans="14:17">
      <c r="N581" s="5">
        <v>33</v>
      </c>
      <c r="O581" s="5">
        <v>290</v>
      </c>
      <c r="P581">
        <f>SUM(Table9[[#This Row],[Marketing]])</f>
        <v>33</v>
      </c>
      <c r="Q581">
        <f>SUM(Table9[[#This Row],[Sales]])</f>
        <v>290</v>
      </c>
    </row>
    <row r="582" spans="14:17">
      <c r="N582" s="3">
        <v>25</v>
      </c>
      <c r="O582" s="3">
        <v>197</v>
      </c>
      <c r="P582">
        <f>SUM(Table9[[#This Row],[Marketing]])</f>
        <v>25</v>
      </c>
      <c r="Q582">
        <f>SUM(Table9[[#This Row],[Sales]])</f>
        <v>197</v>
      </c>
    </row>
    <row r="583" spans="14:17">
      <c r="N583" s="5">
        <v>29</v>
      </c>
      <c r="O583" s="5">
        <v>200</v>
      </c>
      <c r="P583">
        <f>SUM(Table9[[#This Row],[Marketing]])</f>
        <v>29</v>
      </c>
      <c r="Q583">
        <f>SUM(Table9[[#This Row],[Sales]])</f>
        <v>200</v>
      </c>
    </row>
    <row r="584" spans="14:17">
      <c r="N584" s="3">
        <v>31</v>
      </c>
      <c r="O584" s="3">
        <v>245</v>
      </c>
      <c r="P584">
        <f>SUM(Table9[[#This Row],[Marketing]])</f>
        <v>31</v>
      </c>
      <c r="Q584">
        <f>SUM(Table9[[#This Row],[Sales]])</f>
        <v>245</v>
      </c>
    </row>
    <row r="585" spans="14:17">
      <c r="N585" s="5">
        <v>33</v>
      </c>
      <c r="O585" s="5">
        <v>231</v>
      </c>
      <c r="P585">
        <f>SUM(Table9[[#This Row],[Marketing]])</f>
        <v>33</v>
      </c>
      <c r="Q585">
        <f>SUM(Table9[[#This Row],[Sales]])</f>
        <v>231</v>
      </c>
    </row>
    <row r="586" spans="14:17">
      <c r="N586" s="3">
        <v>4</v>
      </c>
      <c r="O586" s="3">
        <v>39</v>
      </c>
      <c r="P586">
        <f>SUM(Table9[[#This Row],[Marketing]])</f>
        <v>4</v>
      </c>
      <c r="Q586">
        <f>SUM(Table9[[#This Row],[Sales]])</f>
        <v>39</v>
      </c>
    </row>
    <row r="587" spans="14:17">
      <c r="N587" s="5">
        <v>31</v>
      </c>
      <c r="O587" s="5">
        <v>184</v>
      </c>
      <c r="P587">
        <f>SUM(Table9[[#This Row],[Marketing]])</f>
        <v>31</v>
      </c>
      <c r="Q587">
        <f>SUM(Table9[[#This Row],[Sales]])</f>
        <v>184</v>
      </c>
    </row>
    <row r="588" spans="14:17">
      <c r="N588" s="3">
        <v>85</v>
      </c>
      <c r="O588" s="3">
        <v>224</v>
      </c>
      <c r="P588">
        <f>SUM(Table9[[#This Row],[Marketing]])</f>
        <v>85</v>
      </c>
      <c r="Q588">
        <f>SUM(Table9[[#This Row],[Sales]])</f>
        <v>224</v>
      </c>
    </row>
    <row r="589" spans="14:17">
      <c r="N589" s="5">
        <v>74</v>
      </c>
      <c r="O589" s="5">
        <v>525</v>
      </c>
      <c r="P589">
        <f>SUM(Table9[[#This Row],[Marketing]])</f>
        <v>74</v>
      </c>
      <c r="Q589">
        <f>SUM(Table9[[#This Row],[Sales]])</f>
        <v>525</v>
      </c>
    </row>
    <row r="590" spans="14:17">
      <c r="N590" s="3">
        <v>34</v>
      </c>
      <c r="O590" s="3">
        <v>302</v>
      </c>
      <c r="P590">
        <f>SUM(Table9[[#This Row],[Marketing]])</f>
        <v>34</v>
      </c>
      <c r="Q590">
        <f>SUM(Table9[[#This Row],[Sales]])</f>
        <v>302</v>
      </c>
    </row>
    <row r="591" spans="14:17">
      <c r="N591" s="5">
        <v>28</v>
      </c>
      <c r="O591" s="5">
        <v>160</v>
      </c>
      <c r="P591">
        <f>SUM(Table9[[#This Row],[Marketing]])</f>
        <v>28</v>
      </c>
      <c r="Q591">
        <f>SUM(Table9[[#This Row],[Sales]])</f>
        <v>160</v>
      </c>
    </row>
    <row r="592" spans="14:17">
      <c r="N592" s="3">
        <v>29</v>
      </c>
      <c r="O592" s="3">
        <v>221</v>
      </c>
      <c r="P592">
        <f>SUM(Table9[[#This Row],[Marketing]])</f>
        <v>29</v>
      </c>
      <c r="Q592">
        <f>SUM(Table9[[#This Row],[Sales]])</f>
        <v>221</v>
      </c>
    </row>
    <row r="593" spans="14:17">
      <c r="N593" s="5">
        <v>13</v>
      </c>
      <c r="O593" s="5">
        <v>120</v>
      </c>
      <c r="P593">
        <f>SUM(Table9[[#This Row],[Marketing]])</f>
        <v>13</v>
      </c>
      <c r="Q593">
        <f>SUM(Table9[[#This Row],[Sales]])</f>
        <v>120</v>
      </c>
    </row>
    <row r="594" spans="14:17">
      <c r="N594" s="3">
        <v>15</v>
      </c>
      <c r="O594" s="3">
        <v>122</v>
      </c>
      <c r="P594">
        <f>SUM(Table9[[#This Row],[Marketing]])</f>
        <v>15</v>
      </c>
      <c r="Q594">
        <f>SUM(Table9[[#This Row],[Sales]])</f>
        <v>122</v>
      </c>
    </row>
    <row r="595" spans="14:17">
      <c r="N595" s="5">
        <v>26</v>
      </c>
      <c r="O595" s="5">
        <v>185</v>
      </c>
      <c r="P595">
        <f>SUM(Table9[[#This Row],[Marketing]])</f>
        <v>26</v>
      </c>
      <c r="Q595">
        <f>SUM(Table9[[#This Row],[Sales]])</f>
        <v>185</v>
      </c>
    </row>
    <row r="596" spans="14:17">
      <c r="N596" s="3">
        <v>7</v>
      </c>
      <c r="O596" s="3">
        <v>45</v>
      </c>
      <c r="P596">
        <f>SUM(Table9[[#This Row],[Marketing]])</f>
        <v>7</v>
      </c>
      <c r="Q596">
        <f>SUM(Table9[[#This Row],[Sales]])</f>
        <v>45</v>
      </c>
    </row>
    <row r="597" spans="14:17">
      <c r="N597" s="5">
        <v>41</v>
      </c>
      <c r="O597" s="5">
        <v>320</v>
      </c>
      <c r="P597">
        <f>SUM(Table9[[#This Row],[Marketing]])</f>
        <v>41</v>
      </c>
      <c r="Q597">
        <f>SUM(Table9[[#This Row],[Sales]])</f>
        <v>320</v>
      </c>
    </row>
    <row r="598" spans="14:17">
      <c r="N598" s="3">
        <v>31</v>
      </c>
      <c r="O598" s="3">
        <v>214</v>
      </c>
      <c r="P598">
        <f>SUM(Table9[[#This Row],[Marketing]])</f>
        <v>31</v>
      </c>
      <c r="Q598">
        <f>SUM(Table9[[#This Row],[Sales]])</f>
        <v>214</v>
      </c>
    </row>
    <row r="599" spans="14:17">
      <c r="N599" s="5">
        <v>4</v>
      </c>
      <c r="O599" s="5">
        <v>41</v>
      </c>
      <c r="P599">
        <f>SUM(Table9[[#This Row],[Marketing]])</f>
        <v>4</v>
      </c>
      <c r="Q599">
        <f>SUM(Table9[[#This Row],[Sales]])</f>
        <v>41</v>
      </c>
    </row>
    <row r="600" spans="14:17">
      <c r="N600" s="3">
        <v>95</v>
      </c>
      <c r="O600" s="3">
        <v>250</v>
      </c>
      <c r="P600">
        <f>SUM(Table9[[#This Row],[Marketing]])</f>
        <v>95</v>
      </c>
      <c r="Q600">
        <f>SUM(Table9[[#This Row],[Sales]])</f>
        <v>250</v>
      </c>
    </row>
    <row r="601" spans="14:17">
      <c r="N601" s="5">
        <v>12</v>
      </c>
      <c r="O601" s="5">
        <v>96</v>
      </c>
      <c r="P601">
        <f>SUM(Table9[[#This Row],[Marketing]])</f>
        <v>12</v>
      </c>
      <c r="Q601">
        <f>SUM(Table9[[#This Row],[Sales]])</f>
        <v>96</v>
      </c>
    </row>
    <row r="602" spans="14:17">
      <c r="N602" s="3">
        <v>74</v>
      </c>
      <c r="O602" s="3">
        <v>554</v>
      </c>
      <c r="P602">
        <f>SUM(Table9[[#This Row],[Marketing]])</f>
        <v>74</v>
      </c>
      <c r="Q602">
        <f>SUM(Table9[[#This Row],[Sales]])</f>
        <v>554</v>
      </c>
    </row>
    <row r="603" spans="14:17">
      <c r="N603" s="5">
        <v>34</v>
      </c>
      <c r="O603" s="5">
        <v>322</v>
      </c>
      <c r="P603">
        <f>SUM(Table9[[#This Row],[Marketing]])</f>
        <v>34</v>
      </c>
      <c r="Q603">
        <f>SUM(Table9[[#This Row],[Sales]])</f>
        <v>322</v>
      </c>
    </row>
    <row r="604" spans="14:17">
      <c r="N604" s="3">
        <v>13</v>
      </c>
      <c r="O604" s="3">
        <v>126</v>
      </c>
      <c r="P604">
        <f>SUM(Table9[[#This Row],[Marketing]])</f>
        <v>13</v>
      </c>
      <c r="Q604">
        <f>SUM(Table9[[#This Row],[Sales]])</f>
        <v>126</v>
      </c>
    </row>
    <row r="605" spans="14:17">
      <c r="N605" s="5">
        <v>13</v>
      </c>
      <c r="O605" s="5">
        <v>127</v>
      </c>
      <c r="P605">
        <f>SUM(Table9[[#This Row],[Marketing]])</f>
        <v>13</v>
      </c>
      <c r="Q605">
        <f>SUM(Table9[[#This Row],[Sales]])</f>
        <v>127</v>
      </c>
    </row>
    <row r="606" spans="14:17">
      <c r="N606" s="3">
        <v>14</v>
      </c>
      <c r="O606" s="3">
        <v>121</v>
      </c>
      <c r="P606">
        <f>SUM(Table9[[#This Row],[Marketing]])</f>
        <v>14</v>
      </c>
      <c r="Q606">
        <f>SUM(Table9[[#This Row],[Sales]])</f>
        <v>121</v>
      </c>
    </row>
    <row r="607" spans="14:17">
      <c r="N607" s="5">
        <v>29</v>
      </c>
      <c r="O607" s="5">
        <v>218</v>
      </c>
      <c r="P607">
        <f>SUM(Table9[[#This Row],[Marketing]])</f>
        <v>29</v>
      </c>
      <c r="Q607">
        <f>SUM(Table9[[#This Row],[Sales]])</f>
        <v>218</v>
      </c>
    </row>
    <row r="608" spans="14:17">
      <c r="N608" s="3">
        <v>9</v>
      </c>
      <c r="O608" s="3">
        <v>60</v>
      </c>
      <c r="P608">
        <f>SUM(Table9[[#This Row],[Marketing]])</f>
        <v>9</v>
      </c>
      <c r="Q608">
        <f>SUM(Table9[[#This Row],[Sales]])</f>
        <v>60</v>
      </c>
    </row>
    <row r="609" spans="14:17">
      <c r="N609" s="5">
        <v>33</v>
      </c>
      <c r="O609" s="5">
        <v>251</v>
      </c>
      <c r="P609">
        <f>SUM(Table9[[#This Row],[Marketing]])</f>
        <v>33</v>
      </c>
      <c r="Q609">
        <f>SUM(Table9[[#This Row],[Sales]])</f>
        <v>251</v>
      </c>
    </row>
    <row r="610" spans="14:17">
      <c r="N610" s="3">
        <v>30</v>
      </c>
      <c r="O610" s="3">
        <v>189</v>
      </c>
      <c r="P610">
        <f>SUM(Table9[[#This Row],[Marketing]])</f>
        <v>30</v>
      </c>
      <c r="Q610">
        <f>SUM(Table9[[#This Row],[Sales]])</f>
        <v>189</v>
      </c>
    </row>
    <row r="611" spans="14:17">
      <c r="N611" s="5">
        <v>87</v>
      </c>
      <c r="O611" s="5">
        <v>245</v>
      </c>
      <c r="P611">
        <f>SUM(Table9[[#This Row],[Marketing]])</f>
        <v>87</v>
      </c>
      <c r="Q611">
        <f>SUM(Table9[[#This Row],[Sales]])</f>
        <v>245</v>
      </c>
    </row>
    <row r="612" spans="14:17">
      <c r="N612" s="3">
        <v>69</v>
      </c>
      <c r="O612" s="3">
        <v>522</v>
      </c>
      <c r="P612">
        <f>SUM(Table9[[#This Row],[Marketing]])</f>
        <v>69</v>
      </c>
      <c r="Q612">
        <f>SUM(Table9[[#This Row],[Sales]])</f>
        <v>522</v>
      </c>
    </row>
    <row r="613" spans="14:17">
      <c r="N613" s="5">
        <v>24</v>
      </c>
      <c r="O613" s="5">
        <v>201</v>
      </c>
      <c r="P613">
        <f>SUM(Table9[[#This Row],[Marketing]])</f>
        <v>24</v>
      </c>
      <c r="Q613">
        <f>SUM(Table9[[#This Row],[Sales]])</f>
        <v>201</v>
      </c>
    </row>
    <row r="614" spans="14:17">
      <c r="N614" s="3">
        <v>33</v>
      </c>
      <c r="O614" s="3">
        <v>309</v>
      </c>
      <c r="P614">
        <f>SUM(Table9[[#This Row],[Marketing]])</f>
        <v>33</v>
      </c>
      <c r="Q614">
        <f>SUM(Table9[[#This Row],[Sales]])</f>
        <v>309</v>
      </c>
    </row>
    <row r="615" spans="14:17">
      <c r="N615" s="5">
        <v>25</v>
      </c>
      <c r="O615" s="5">
        <v>210</v>
      </c>
      <c r="P615">
        <f>SUM(Table9[[#This Row],[Marketing]])</f>
        <v>25</v>
      </c>
      <c r="Q615">
        <f>SUM(Table9[[#This Row],[Sales]])</f>
        <v>210</v>
      </c>
    </row>
    <row r="616" spans="14:17">
      <c r="N616" s="3">
        <v>29</v>
      </c>
      <c r="O616" s="3">
        <v>213</v>
      </c>
      <c r="P616">
        <f>SUM(Table9[[#This Row],[Marketing]])</f>
        <v>29</v>
      </c>
      <c r="Q616">
        <f>SUM(Table9[[#This Row],[Sales]])</f>
        <v>213</v>
      </c>
    </row>
    <row r="617" spans="14:17">
      <c r="N617" s="5">
        <v>31</v>
      </c>
      <c r="O617" s="5">
        <v>261</v>
      </c>
      <c r="P617">
        <f>SUM(Table9[[#This Row],[Marketing]])</f>
        <v>31</v>
      </c>
      <c r="Q617">
        <f>SUM(Table9[[#This Row],[Sales]])</f>
        <v>261</v>
      </c>
    </row>
    <row r="618" spans="14:17">
      <c r="N618" s="3">
        <v>33</v>
      </c>
      <c r="O618" s="3">
        <v>246</v>
      </c>
      <c r="P618">
        <f>SUM(Table9[[#This Row],[Marketing]])</f>
        <v>33</v>
      </c>
      <c r="Q618">
        <f>SUM(Table9[[#This Row],[Sales]])</f>
        <v>246</v>
      </c>
    </row>
    <row r="619" spans="14:17">
      <c r="N619" s="5">
        <v>4</v>
      </c>
      <c r="O619" s="5">
        <v>42</v>
      </c>
      <c r="P619">
        <f>SUM(Table9[[#This Row],[Marketing]])</f>
        <v>4</v>
      </c>
      <c r="Q619">
        <f>SUM(Table9[[#This Row],[Sales]])</f>
        <v>42</v>
      </c>
    </row>
    <row r="620" spans="14:17">
      <c r="N620" s="3">
        <v>31</v>
      </c>
      <c r="O620" s="3">
        <v>196</v>
      </c>
      <c r="P620">
        <f>SUM(Table9[[#This Row],[Marketing]])</f>
        <v>31</v>
      </c>
      <c r="Q620">
        <f>SUM(Table9[[#This Row],[Sales]])</f>
        <v>196</v>
      </c>
    </row>
    <row r="621" spans="14:17">
      <c r="N621" s="5">
        <v>85</v>
      </c>
      <c r="O621" s="5">
        <v>239</v>
      </c>
      <c r="P621">
        <f>SUM(Table9[[#This Row],[Marketing]])</f>
        <v>85</v>
      </c>
      <c r="Q621">
        <f>SUM(Table9[[#This Row],[Sales]])</f>
        <v>239</v>
      </c>
    </row>
    <row r="622" spans="14:17">
      <c r="N622" s="3">
        <v>74</v>
      </c>
      <c r="O622" s="3">
        <v>559</v>
      </c>
      <c r="P622">
        <f>SUM(Table9[[#This Row],[Marketing]])</f>
        <v>74</v>
      </c>
      <c r="Q622">
        <f>SUM(Table9[[#This Row],[Sales]])</f>
        <v>559</v>
      </c>
    </row>
    <row r="623" spans="14:17">
      <c r="N623" s="5">
        <v>34</v>
      </c>
      <c r="O623" s="5">
        <v>322</v>
      </c>
      <c r="P623">
        <f>SUM(Table9[[#This Row],[Marketing]])</f>
        <v>34</v>
      </c>
      <c r="Q623">
        <f>SUM(Table9[[#This Row],[Sales]])</f>
        <v>322</v>
      </c>
    </row>
    <row r="624" spans="14:17">
      <c r="N624" s="3">
        <v>28</v>
      </c>
      <c r="O624" s="3">
        <v>171</v>
      </c>
      <c r="P624">
        <f>SUM(Table9[[#This Row],[Marketing]])</f>
        <v>28</v>
      </c>
      <c r="Q624">
        <f>SUM(Table9[[#This Row],[Sales]])</f>
        <v>171</v>
      </c>
    </row>
    <row r="625" spans="14:17">
      <c r="N625" s="5">
        <v>29</v>
      </c>
      <c r="O625" s="5">
        <v>236</v>
      </c>
      <c r="P625">
        <f>SUM(Table9[[#This Row],[Marketing]])</f>
        <v>29</v>
      </c>
      <c r="Q625">
        <f>SUM(Table9[[#This Row],[Sales]])</f>
        <v>236</v>
      </c>
    </row>
    <row r="626" spans="14:17">
      <c r="N626" s="3">
        <v>13</v>
      </c>
      <c r="O626" s="3">
        <v>128</v>
      </c>
      <c r="P626">
        <f>SUM(Table9[[#This Row],[Marketing]])</f>
        <v>13</v>
      </c>
      <c r="Q626">
        <f>SUM(Table9[[#This Row],[Sales]])</f>
        <v>128</v>
      </c>
    </row>
    <row r="627" spans="14:17">
      <c r="N627" s="5">
        <v>15</v>
      </c>
      <c r="O627" s="5">
        <v>130</v>
      </c>
      <c r="P627">
        <f>SUM(Table9[[#This Row],[Marketing]])</f>
        <v>15</v>
      </c>
      <c r="Q627">
        <f>SUM(Table9[[#This Row],[Sales]])</f>
        <v>130</v>
      </c>
    </row>
    <row r="628" spans="14:17">
      <c r="N628" s="3">
        <v>26</v>
      </c>
      <c r="O628" s="3">
        <v>197</v>
      </c>
      <c r="P628">
        <f>SUM(Table9[[#This Row],[Marketing]])</f>
        <v>26</v>
      </c>
      <c r="Q628">
        <f>SUM(Table9[[#This Row],[Sales]])</f>
        <v>197</v>
      </c>
    </row>
    <row r="629" spans="14:17">
      <c r="N629" s="5">
        <v>7</v>
      </c>
      <c r="O629" s="5">
        <v>48</v>
      </c>
      <c r="P629">
        <f>SUM(Table9[[#This Row],[Marketing]])</f>
        <v>7</v>
      </c>
      <c r="Q629">
        <f>SUM(Table9[[#This Row],[Sales]])</f>
        <v>48</v>
      </c>
    </row>
    <row r="630" spans="14:17">
      <c r="N630" s="3">
        <v>41</v>
      </c>
      <c r="O630" s="3">
        <v>341</v>
      </c>
      <c r="P630">
        <f>SUM(Table9[[#This Row],[Marketing]])</f>
        <v>41</v>
      </c>
      <c r="Q630">
        <f>SUM(Table9[[#This Row],[Sales]])</f>
        <v>341</v>
      </c>
    </row>
    <row r="631" spans="14:17">
      <c r="N631" s="5">
        <v>31</v>
      </c>
      <c r="O631" s="5">
        <v>228</v>
      </c>
      <c r="P631">
        <f>SUM(Table9[[#This Row],[Marketing]])</f>
        <v>31</v>
      </c>
      <c r="Q631">
        <f>SUM(Table9[[#This Row],[Sales]])</f>
        <v>228</v>
      </c>
    </row>
    <row r="632" spans="14:17">
      <c r="N632" s="3">
        <v>4</v>
      </c>
      <c r="O632" s="3">
        <v>44</v>
      </c>
      <c r="P632">
        <f>SUM(Table9[[#This Row],[Marketing]])</f>
        <v>4</v>
      </c>
      <c r="Q632">
        <f>SUM(Table9[[#This Row],[Sales]])</f>
        <v>44</v>
      </c>
    </row>
    <row r="633" spans="14:17">
      <c r="N633" s="5">
        <v>95</v>
      </c>
      <c r="O633" s="5">
        <v>266</v>
      </c>
      <c r="P633">
        <f>SUM(Table9[[#This Row],[Marketing]])</f>
        <v>95</v>
      </c>
      <c r="Q633">
        <f>SUM(Table9[[#This Row],[Sales]])</f>
        <v>266</v>
      </c>
    </row>
    <row r="634" spans="14:17">
      <c r="N634" s="3">
        <v>41</v>
      </c>
      <c r="O634" s="3">
        <v>313</v>
      </c>
      <c r="P634">
        <f>SUM(Table9[[#This Row],[Marketing]])</f>
        <v>41</v>
      </c>
      <c r="Q634">
        <f>SUM(Table9[[#This Row],[Sales]])</f>
        <v>313</v>
      </c>
    </row>
    <row r="635" spans="14:17">
      <c r="N635" s="5">
        <v>54</v>
      </c>
      <c r="O635" s="5">
        <v>144</v>
      </c>
      <c r="P635">
        <f>SUM(Table9[[#This Row],[Marketing]])</f>
        <v>54</v>
      </c>
      <c r="Q635">
        <f>SUM(Table9[[#This Row],[Sales]])</f>
        <v>144</v>
      </c>
    </row>
    <row r="636" spans="14:17">
      <c r="N636" s="3">
        <v>42</v>
      </c>
      <c r="O636" s="3">
        <v>325</v>
      </c>
      <c r="P636">
        <f>SUM(Table9[[#This Row],[Marketing]])</f>
        <v>42</v>
      </c>
      <c r="Q636">
        <f>SUM(Table9[[#This Row],[Sales]])</f>
        <v>325</v>
      </c>
    </row>
    <row r="637" spans="14:17">
      <c r="N637" s="5">
        <v>37</v>
      </c>
      <c r="O637" s="5">
        <v>289</v>
      </c>
      <c r="P637">
        <f>SUM(Table9[[#This Row],[Marketing]])</f>
        <v>37</v>
      </c>
      <c r="Q637">
        <f>SUM(Table9[[#This Row],[Sales]])</f>
        <v>289</v>
      </c>
    </row>
    <row r="638" spans="14:17">
      <c r="N638" s="3">
        <v>41</v>
      </c>
      <c r="O638" s="3">
        <v>334</v>
      </c>
      <c r="P638">
        <f>SUM(Table9[[#This Row],[Marketing]])</f>
        <v>41</v>
      </c>
      <c r="Q638">
        <f>SUM(Table9[[#This Row],[Sales]])</f>
        <v>334</v>
      </c>
    </row>
    <row r="639" spans="14:17">
      <c r="N639" s="5">
        <v>54</v>
      </c>
      <c r="O639" s="5">
        <v>153</v>
      </c>
      <c r="P639">
        <f>SUM(Table9[[#This Row],[Marketing]])</f>
        <v>54</v>
      </c>
      <c r="Q639">
        <f>SUM(Table9[[#This Row],[Sales]])</f>
        <v>153</v>
      </c>
    </row>
    <row r="640" spans="14:17">
      <c r="N640" s="3">
        <v>42</v>
      </c>
      <c r="O640" s="3">
        <v>346</v>
      </c>
      <c r="P640">
        <f>SUM(Table9[[#This Row],[Marketing]])</f>
        <v>42</v>
      </c>
      <c r="Q640">
        <f>SUM(Table9[[#This Row],[Sales]])</f>
        <v>346</v>
      </c>
    </row>
    <row r="641" spans="14:17">
      <c r="N641" s="5">
        <v>37</v>
      </c>
      <c r="O641" s="5">
        <v>308</v>
      </c>
      <c r="P641">
        <f>SUM(Table9[[#This Row],[Marketing]])</f>
        <v>37</v>
      </c>
      <c r="Q641">
        <f>SUM(Table9[[#This Row],[Sales]])</f>
        <v>308</v>
      </c>
    </row>
    <row r="642" spans="14:17">
      <c r="N642" s="3">
        <v>28</v>
      </c>
      <c r="O642" s="3">
        <v>218</v>
      </c>
      <c r="P642">
        <f>SUM(Table9[[#This Row],[Marketing]])</f>
        <v>28</v>
      </c>
      <c r="Q642">
        <f>SUM(Table9[[#This Row],[Sales]])</f>
        <v>218</v>
      </c>
    </row>
    <row r="643" spans="14:17">
      <c r="N643" s="5">
        <v>28</v>
      </c>
      <c r="O643" s="5">
        <v>202</v>
      </c>
      <c r="P643">
        <f>SUM(Table9[[#This Row],[Marketing]])</f>
        <v>28</v>
      </c>
      <c r="Q643">
        <f>SUM(Table9[[#This Row],[Sales]])</f>
        <v>202</v>
      </c>
    </row>
    <row r="644" spans="14:17">
      <c r="N644" s="3">
        <v>27</v>
      </c>
      <c r="O644" s="3">
        <v>205</v>
      </c>
      <c r="P644">
        <f>SUM(Table9[[#This Row],[Marketing]])</f>
        <v>27</v>
      </c>
      <c r="Q644">
        <f>SUM(Table9[[#This Row],[Sales]])</f>
        <v>205</v>
      </c>
    </row>
    <row r="645" spans="14:17">
      <c r="N645" s="5">
        <v>23</v>
      </c>
      <c r="O645" s="5">
        <v>474</v>
      </c>
      <c r="P645">
        <f>SUM(Table9[[#This Row],[Marketing]])</f>
        <v>23</v>
      </c>
      <c r="Q645">
        <f>SUM(Table9[[#This Row],[Sales]])</f>
        <v>474</v>
      </c>
    </row>
    <row r="646" spans="14:17">
      <c r="N646" s="3">
        <v>91</v>
      </c>
      <c r="O646" s="3">
        <v>650</v>
      </c>
      <c r="P646">
        <f>SUM(Table9[[#This Row],[Marketing]])</f>
        <v>91</v>
      </c>
      <c r="Q646">
        <f>SUM(Table9[[#This Row],[Sales]])</f>
        <v>650</v>
      </c>
    </row>
    <row r="647" spans="14:17">
      <c r="N647" s="5">
        <v>87</v>
      </c>
      <c r="O647" s="5">
        <v>230</v>
      </c>
      <c r="P647">
        <f>SUM(Table9[[#This Row],[Marketing]])</f>
        <v>87</v>
      </c>
      <c r="Q647">
        <f>SUM(Table9[[#This Row],[Sales]])</f>
        <v>230</v>
      </c>
    </row>
    <row r="648" spans="14:17">
      <c r="N648" s="3">
        <v>113</v>
      </c>
      <c r="O648" s="3">
        <v>69</v>
      </c>
      <c r="P648">
        <f>SUM(Table9[[#This Row],[Marketing]])</f>
        <v>113</v>
      </c>
      <c r="Q648">
        <f>SUM(Table9[[#This Row],[Sales]])</f>
        <v>69</v>
      </c>
    </row>
    <row r="649" spans="14:17">
      <c r="N649" s="5">
        <v>45</v>
      </c>
      <c r="O649" s="5">
        <v>322</v>
      </c>
      <c r="P649">
        <f>SUM(Table9[[#This Row],[Marketing]])</f>
        <v>45</v>
      </c>
      <c r="Q649">
        <f>SUM(Table9[[#This Row],[Sales]])</f>
        <v>322</v>
      </c>
    </row>
    <row r="650" spans="14:17">
      <c r="N650" s="3">
        <v>66</v>
      </c>
      <c r="O650" s="3">
        <v>765</v>
      </c>
      <c r="P650">
        <f>SUM(Table9[[#This Row],[Marketing]])</f>
        <v>66</v>
      </c>
      <c r="Q650">
        <f>SUM(Table9[[#This Row],[Sales]])</f>
        <v>765</v>
      </c>
    </row>
    <row r="651" spans="14:17">
      <c r="N651" s="5">
        <v>7</v>
      </c>
      <c r="O651" s="5">
        <v>51</v>
      </c>
      <c r="P651">
        <f>SUM(Table9[[#This Row],[Marketing]])</f>
        <v>7</v>
      </c>
      <c r="Q651">
        <f>SUM(Table9[[#This Row],[Sales]])</f>
        <v>51</v>
      </c>
    </row>
    <row r="652" spans="14:17">
      <c r="N652" s="3">
        <v>96</v>
      </c>
      <c r="O652" s="3">
        <v>513</v>
      </c>
      <c r="P652">
        <f>SUM(Table9[[#This Row],[Marketing]])</f>
        <v>96</v>
      </c>
      <c r="Q652">
        <f>SUM(Table9[[#This Row],[Sales]])</f>
        <v>513</v>
      </c>
    </row>
    <row r="653" spans="14:17">
      <c r="N653" s="5">
        <v>74</v>
      </c>
      <c r="O653" s="5">
        <v>164</v>
      </c>
      <c r="P653">
        <f>SUM(Table9[[#This Row],[Marketing]])</f>
        <v>74</v>
      </c>
      <c r="Q653">
        <f>SUM(Table9[[#This Row],[Sales]])</f>
        <v>164</v>
      </c>
    </row>
    <row r="654" spans="14:17">
      <c r="N654" s="3">
        <v>30</v>
      </c>
      <c r="O654" s="3">
        <v>265</v>
      </c>
      <c r="P654">
        <f>SUM(Table9[[#This Row],[Marketing]])</f>
        <v>30</v>
      </c>
      <c r="Q654">
        <f>SUM(Table9[[#This Row],[Sales]])</f>
        <v>265</v>
      </c>
    </row>
    <row r="655" spans="14:17">
      <c r="N655" s="5">
        <v>34</v>
      </c>
      <c r="O655" s="5">
        <v>302</v>
      </c>
      <c r="P655">
        <f>SUM(Table9[[#This Row],[Marketing]])</f>
        <v>34</v>
      </c>
      <c r="Q655">
        <f>SUM(Table9[[#This Row],[Sales]])</f>
        <v>302</v>
      </c>
    </row>
    <row r="656" spans="14:17">
      <c r="N656" s="3">
        <v>21</v>
      </c>
      <c r="O656" s="3">
        <v>187</v>
      </c>
      <c r="P656">
        <f>SUM(Table9[[#This Row],[Marketing]])</f>
        <v>21</v>
      </c>
      <c r="Q656">
        <f>SUM(Table9[[#This Row],[Sales]])</f>
        <v>187</v>
      </c>
    </row>
    <row r="657" spans="14:17">
      <c r="N657" s="5">
        <v>31</v>
      </c>
      <c r="O657" s="5">
        <v>245</v>
      </c>
      <c r="P657">
        <f>SUM(Table9[[#This Row],[Marketing]])</f>
        <v>31</v>
      </c>
      <c r="Q657">
        <f>SUM(Table9[[#This Row],[Sales]])</f>
        <v>245</v>
      </c>
    </row>
    <row r="658" spans="14:17">
      <c r="N658" s="3">
        <v>25</v>
      </c>
      <c r="O658" s="3">
        <v>180</v>
      </c>
      <c r="P658">
        <f>SUM(Table9[[#This Row],[Marketing]])</f>
        <v>25</v>
      </c>
      <c r="Q658">
        <f>SUM(Table9[[#This Row],[Sales]])</f>
        <v>180</v>
      </c>
    </row>
    <row r="659" spans="14:17">
      <c r="N659" s="5">
        <v>25</v>
      </c>
      <c r="O659" s="5">
        <v>197</v>
      </c>
      <c r="P659">
        <f>SUM(Table9[[#This Row],[Marketing]])</f>
        <v>25</v>
      </c>
      <c r="Q659">
        <f>SUM(Table9[[#This Row],[Sales]])</f>
        <v>197</v>
      </c>
    </row>
    <row r="660" spans="14:17">
      <c r="N660" s="3">
        <v>24</v>
      </c>
      <c r="O660" s="3">
        <v>454</v>
      </c>
      <c r="P660">
        <f>SUM(Table9[[#This Row],[Marketing]])</f>
        <v>24</v>
      </c>
      <c r="Q660">
        <f>SUM(Table9[[#This Row],[Sales]])</f>
        <v>454</v>
      </c>
    </row>
    <row r="661" spans="14:17">
      <c r="N661" s="5">
        <v>87</v>
      </c>
      <c r="O661" s="5">
        <v>623</v>
      </c>
      <c r="P661">
        <f>SUM(Table9[[#This Row],[Marketing]])</f>
        <v>87</v>
      </c>
      <c r="Q661">
        <f>SUM(Table9[[#This Row],[Sales]])</f>
        <v>623</v>
      </c>
    </row>
    <row r="662" spans="14:17">
      <c r="N662" s="3">
        <v>85</v>
      </c>
      <c r="O662" s="3">
        <v>224</v>
      </c>
      <c r="P662">
        <f>SUM(Table9[[#This Row],[Marketing]])</f>
        <v>85</v>
      </c>
      <c r="Q662">
        <f>SUM(Table9[[#This Row],[Sales]])</f>
        <v>224</v>
      </c>
    </row>
    <row r="663" spans="14:17">
      <c r="N663" s="5">
        <v>109</v>
      </c>
      <c r="O663" s="5">
        <v>61</v>
      </c>
      <c r="P663">
        <f>SUM(Table9[[#This Row],[Marketing]])</f>
        <v>109</v>
      </c>
      <c r="Q663">
        <f>SUM(Table9[[#This Row],[Sales]])</f>
        <v>61</v>
      </c>
    </row>
    <row r="664" spans="14:17">
      <c r="N664" s="3">
        <v>50</v>
      </c>
      <c r="O664" s="3">
        <v>363</v>
      </c>
      <c r="P664">
        <f>SUM(Table9[[#This Row],[Marketing]])</f>
        <v>50</v>
      </c>
      <c r="Q664">
        <f>SUM(Table9[[#This Row],[Sales]])</f>
        <v>363</v>
      </c>
    </row>
    <row r="665" spans="14:17">
      <c r="N665" s="5">
        <v>59</v>
      </c>
      <c r="O665" s="5">
        <v>675</v>
      </c>
      <c r="P665">
        <f>SUM(Table9[[#This Row],[Marketing]])</f>
        <v>59</v>
      </c>
      <c r="Q665">
        <f>SUM(Table9[[#This Row],[Sales]])</f>
        <v>675</v>
      </c>
    </row>
    <row r="666" spans="14:17">
      <c r="N666" s="3">
        <v>7</v>
      </c>
      <c r="O666" s="3">
        <v>52</v>
      </c>
      <c r="P666">
        <f>SUM(Table9[[#This Row],[Marketing]])</f>
        <v>7</v>
      </c>
      <c r="Q666">
        <f>SUM(Table9[[#This Row],[Sales]])</f>
        <v>52</v>
      </c>
    </row>
    <row r="667" spans="14:17">
      <c r="N667" s="5">
        <v>93</v>
      </c>
      <c r="O667" s="5">
        <v>576</v>
      </c>
      <c r="P667">
        <f>SUM(Table9[[#This Row],[Marketing]])</f>
        <v>93</v>
      </c>
      <c r="Q667">
        <f>SUM(Table9[[#This Row],[Sales]])</f>
        <v>576</v>
      </c>
    </row>
    <row r="668" spans="14:17">
      <c r="N668" s="3">
        <v>69</v>
      </c>
      <c r="O668" s="3">
        <v>160</v>
      </c>
      <c r="P668">
        <f>SUM(Table9[[#This Row],[Marketing]])</f>
        <v>69</v>
      </c>
      <c r="Q668">
        <f>SUM(Table9[[#This Row],[Sales]])</f>
        <v>160</v>
      </c>
    </row>
    <row r="669" spans="14:17">
      <c r="N669" s="5">
        <v>22</v>
      </c>
      <c r="O669" s="5">
        <v>198</v>
      </c>
      <c r="P669">
        <f>SUM(Table9[[#This Row],[Marketing]])</f>
        <v>22</v>
      </c>
      <c r="Q669">
        <f>SUM(Table9[[#This Row],[Sales]])</f>
        <v>198</v>
      </c>
    </row>
    <row r="670" spans="14:17">
      <c r="N670" s="3">
        <v>33</v>
      </c>
      <c r="O670" s="3">
        <v>290</v>
      </c>
      <c r="P670">
        <f>SUM(Table9[[#This Row],[Marketing]])</f>
        <v>33</v>
      </c>
      <c r="Q670">
        <f>SUM(Table9[[#This Row],[Sales]])</f>
        <v>290</v>
      </c>
    </row>
    <row r="671" spans="14:17">
      <c r="N671" s="5">
        <v>41</v>
      </c>
      <c r="O671" s="5">
        <v>320</v>
      </c>
      <c r="P671">
        <f>SUM(Table9[[#This Row],[Marketing]])</f>
        <v>41</v>
      </c>
      <c r="Q671">
        <f>SUM(Table9[[#This Row],[Sales]])</f>
        <v>320</v>
      </c>
    </row>
    <row r="672" spans="14:17">
      <c r="N672" s="3">
        <v>27</v>
      </c>
      <c r="O672" s="3">
        <v>195</v>
      </c>
      <c r="P672">
        <f>SUM(Table9[[#This Row],[Marketing]])</f>
        <v>27</v>
      </c>
      <c r="Q672">
        <f>SUM(Table9[[#This Row],[Sales]])</f>
        <v>195</v>
      </c>
    </row>
    <row r="673" spans="14:17">
      <c r="N673" s="5">
        <v>29</v>
      </c>
      <c r="O673" s="5">
        <v>221</v>
      </c>
      <c r="P673">
        <f>SUM(Table9[[#This Row],[Marketing]])</f>
        <v>29</v>
      </c>
      <c r="Q673">
        <f>SUM(Table9[[#This Row],[Sales]])</f>
        <v>221</v>
      </c>
    </row>
    <row r="674" spans="14:17">
      <c r="N674" s="3">
        <v>22</v>
      </c>
      <c r="O674" s="3">
        <v>510</v>
      </c>
      <c r="P674">
        <f>SUM(Table9[[#This Row],[Marketing]])</f>
        <v>22</v>
      </c>
      <c r="Q674">
        <f>SUM(Table9[[#This Row],[Sales]])</f>
        <v>510</v>
      </c>
    </row>
    <row r="675" spans="14:17">
      <c r="N675" s="5">
        <v>97</v>
      </c>
      <c r="O675" s="5">
        <v>699</v>
      </c>
      <c r="P675">
        <f>SUM(Table9[[#This Row],[Marketing]])</f>
        <v>97</v>
      </c>
      <c r="Q675">
        <f>SUM(Table9[[#This Row],[Sales]])</f>
        <v>699</v>
      </c>
    </row>
    <row r="676" spans="14:17">
      <c r="N676" s="3">
        <v>95</v>
      </c>
      <c r="O676" s="3">
        <v>250</v>
      </c>
      <c r="P676">
        <f>SUM(Table9[[#This Row],[Marketing]])</f>
        <v>95</v>
      </c>
      <c r="Q676">
        <f>SUM(Table9[[#This Row],[Sales]])</f>
        <v>250</v>
      </c>
    </row>
    <row r="677" spans="14:17">
      <c r="N677" s="5">
        <v>122</v>
      </c>
      <c r="O677" s="5">
        <v>66</v>
      </c>
      <c r="P677">
        <f>SUM(Table9[[#This Row],[Marketing]])</f>
        <v>122</v>
      </c>
      <c r="Q677">
        <f>SUM(Table9[[#This Row],[Sales]])</f>
        <v>66</v>
      </c>
    </row>
    <row r="678" spans="14:17">
      <c r="N678" s="3">
        <v>42</v>
      </c>
      <c r="O678" s="3">
        <v>306</v>
      </c>
      <c r="P678">
        <f>SUM(Table9[[#This Row],[Marketing]])</f>
        <v>42</v>
      </c>
      <c r="Q678">
        <f>SUM(Table9[[#This Row],[Sales]])</f>
        <v>306</v>
      </c>
    </row>
    <row r="679" spans="14:17">
      <c r="N679" s="5">
        <v>70</v>
      </c>
      <c r="O679" s="5">
        <v>657</v>
      </c>
      <c r="P679">
        <f>SUM(Table9[[#This Row],[Marketing]])</f>
        <v>70</v>
      </c>
      <c r="Q679">
        <f>SUM(Table9[[#This Row],[Sales]])</f>
        <v>657</v>
      </c>
    </row>
    <row r="680" spans="14:17">
      <c r="N680" s="3">
        <v>111</v>
      </c>
      <c r="O680" s="3">
        <v>747</v>
      </c>
      <c r="P680">
        <f>SUM(Table9[[#This Row],[Marketing]])</f>
        <v>111</v>
      </c>
      <c r="Q680">
        <f>SUM(Table9[[#This Row],[Sales]])</f>
        <v>747</v>
      </c>
    </row>
    <row r="681" spans="14:17">
      <c r="N681" s="5">
        <v>74</v>
      </c>
      <c r="O681" s="5">
        <v>148</v>
      </c>
      <c r="P681">
        <f>SUM(Table9[[#This Row],[Marketing]])</f>
        <v>74</v>
      </c>
      <c r="Q681">
        <f>SUM(Table9[[#This Row],[Sales]])</f>
        <v>148</v>
      </c>
    </row>
    <row r="682" spans="14:17">
      <c r="N682" s="3">
        <v>24</v>
      </c>
      <c r="O682" s="3">
        <v>210</v>
      </c>
      <c r="P682">
        <f>SUM(Table9[[#This Row],[Marketing]])</f>
        <v>24</v>
      </c>
      <c r="Q682">
        <f>SUM(Table9[[#This Row],[Sales]])</f>
        <v>210</v>
      </c>
    </row>
    <row r="683" spans="14:17">
      <c r="N683" s="5">
        <v>34</v>
      </c>
      <c r="O683" s="5">
        <v>302</v>
      </c>
      <c r="P683">
        <f>SUM(Table9[[#This Row],[Marketing]])</f>
        <v>34</v>
      </c>
      <c r="Q683">
        <f>SUM(Table9[[#This Row],[Sales]])</f>
        <v>302</v>
      </c>
    </row>
    <row r="684" spans="14:17">
      <c r="N684" s="3">
        <v>28</v>
      </c>
      <c r="O684" s="3">
        <v>232</v>
      </c>
      <c r="P684">
        <f>SUM(Table9[[#This Row],[Marketing]])</f>
        <v>28</v>
      </c>
      <c r="Q684">
        <f>SUM(Table9[[#This Row],[Sales]])</f>
        <v>232</v>
      </c>
    </row>
    <row r="685" spans="14:17">
      <c r="N685" s="5">
        <v>28</v>
      </c>
      <c r="O685" s="5">
        <v>215</v>
      </c>
      <c r="P685">
        <f>SUM(Table9[[#This Row],[Marketing]])</f>
        <v>28</v>
      </c>
      <c r="Q685">
        <f>SUM(Table9[[#This Row],[Sales]])</f>
        <v>215</v>
      </c>
    </row>
    <row r="686" spans="14:17">
      <c r="N686" s="3">
        <v>27</v>
      </c>
      <c r="O686" s="3">
        <v>218</v>
      </c>
      <c r="P686">
        <f>SUM(Table9[[#This Row],[Marketing]])</f>
        <v>27</v>
      </c>
      <c r="Q686">
        <f>SUM(Table9[[#This Row],[Sales]])</f>
        <v>218</v>
      </c>
    </row>
    <row r="687" spans="14:17">
      <c r="N687" s="5">
        <v>23</v>
      </c>
      <c r="O687" s="5">
        <v>505</v>
      </c>
      <c r="P687">
        <f>SUM(Table9[[#This Row],[Marketing]])</f>
        <v>23</v>
      </c>
      <c r="Q687">
        <f>SUM(Table9[[#This Row],[Sales]])</f>
        <v>505</v>
      </c>
    </row>
    <row r="688" spans="14:17">
      <c r="N688" s="3">
        <v>91</v>
      </c>
      <c r="O688" s="3">
        <v>693</v>
      </c>
      <c r="P688">
        <f>SUM(Table9[[#This Row],[Marketing]])</f>
        <v>91</v>
      </c>
      <c r="Q688">
        <f>SUM(Table9[[#This Row],[Sales]])</f>
        <v>693</v>
      </c>
    </row>
    <row r="689" spans="14:17">
      <c r="N689" s="5">
        <v>87</v>
      </c>
      <c r="O689" s="5">
        <v>245</v>
      </c>
      <c r="P689">
        <f>SUM(Table9[[#This Row],[Marketing]])</f>
        <v>87</v>
      </c>
      <c r="Q689">
        <f>SUM(Table9[[#This Row],[Sales]])</f>
        <v>245</v>
      </c>
    </row>
    <row r="690" spans="14:17">
      <c r="N690" s="3">
        <v>113</v>
      </c>
      <c r="O690" s="3">
        <v>74</v>
      </c>
      <c r="P690">
        <f>SUM(Table9[[#This Row],[Marketing]])</f>
        <v>113</v>
      </c>
      <c r="Q690">
        <f>SUM(Table9[[#This Row],[Sales]])</f>
        <v>74</v>
      </c>
    </row>
    <row r="691" spans="14:17">
      <c r="N691" s="5">
        <v>45</v>
      </c>
      <c r="O691" s="5">
        <v>343</v>
      </c>
      <c r="P691">
        <f>SUM(Table9[[#This Row],[Marketing]])</f>
        <v>45</v>
      </c>
      <c r="Q691">
        <f>SUM(Table9[[#This Row],[Sales]])</f>
        <v>343</v>
      </c>
    </row>
    <row r="692" spans="14:17">
      <c r="N692" s="3">
        <v>66</v>
      </c>
      <c r="O692" s="3">
        <v>815</v>
      </c>
      <c r="P692">
        <f>SUM(Table9[[#This Row],[Marketing]])</f>
        <v>66</v>
      </c>
      <c r="Q692">
        <f>SUM(Table9[[#This Row],[Sales]])</f>
        <v>815</v>
      </c>
    </row>
    <row r="693" spans="14:17">
      <c r="N693" s="5">
        <v>7</v>
      </c>
      <c r="O693" s="5">
        <v>54</v>
      </c>
      <c r="P693">
        <f>SUM(Table9[[#This Row],[Marketing]])</f>
        <v>7</v>
      </c>
      <c r="Q693">
        <f>SUM(Table9[[#This Row],[Sales]])</f>
        <v>54</v>
      </c>
    </row>
    <row r="694" spans="14:17">
      <c r="N694" s="3">
        <v>96</v>
      </c>
      <c r="O694" s="3">
        <v>547</v>
      </c>
      <c r="P694">
        <f>SUM(Table9[[#This Row],[Marketing]])</f>
        <v>96</v>
      </c>
      <c r="Q694">
        <f>SUM(Table9[[#This Row],[Sales]])</f>
        <v>547</v>
      </c>
    </row>
    <row r="695" spans="14:17">
      <c r="N695" s="5">
        <v>74</v>
      </c>
      <c r="O695" s="5">
        <v>175</v>
      </c>
      <c r="P695">
        <f>SUM(Table9[[#This Row],[Marketing]])</f>
        <v>74</v>
      </c>
      <c r="Q695">
        <f>SUM(Table9[[#This Row],[Sales]])</f>
        <v>175</v>
      </c>
    </row>
    <row r="696" spans="14:17">
      <c r="N696" s="3">
        <v>30</v>
      </c>
      <c r="O696" s="3">
        <v>282</v>
      </c>
      <c r="P696">
        <f>SUM(Table9[[#This Row],[Marketing]])</f>
        <v>30</v>
      </c>
      <c r="Q696">
        <f>SUM(Table9[[#This Row],[Sales]])</f>
        <v>282</v>
      </c>
    </row>
    <row r="697" spans="14:17">
      <c r="N697" s="5">
        <v>34</v>
      </c>
      <c r="O697" s="5">
        <v>322</v>
      </c>
      <c r="P697">
        <f>SUM(Table9[[#This Row],[Marketing]])</f>
        <v>34</v>
      </c>
      <c r="Q697">
        <f>SUM(Table9[[#This Row],[Sales]])</f>
        <v>322</v>
      </c>
    </row>
    <row r="698" spans="14:17">
      <c r="N698" s="3">
        <v>21</v>
      </c>
      <c r="O698" s="3">
        <v>199</v>
      </c>
      <c r="P698">
        <f>SUM(Table9[[#This Row],[Marketing]])</f>
        <v>21</v>
      </c>
      <c r="Q698">
        <f>SUM(Table9[[#This Row],[Sales]])</f>
        <v>199</v>
      </c>
    </row>
    <row r="699" spans="14:17">
      <c r="N699" s="5">
        <v>31</v>
      </c>
      <c r="O699" s="5">
        <v>261</v>
      </c>
      <c r="P699">
        <f>SUM(Table9[[#This Row],[Marketing]])</f>
        <v>31</v>
      </c>
      <c r="Q699">
        <f>SUM(Table9[[#This Row],[Sales]])</f>
        <v>261</v>
      </c>
    </row>
    <row r="700" spans="14:17">
      <c r="N700" s="3">
        <v>25</v>
      </c>
      <c r="O700" s="3">
        <v>192</v>
      </c>
      <c r="P700">
        <f>SUM(Table9[[#This Row],[Marketing]])</f>
        <v>25</v>
      </c>
      <c r="Q700">
        <f>SUM(Table9[[#This Row],[Sales]])</f>
        <v>192</v>
      </c>
    </row>
    <row r="701" spans="14:17">
      <c r="N701" s="5">
        <v>25</v>
      </c>
      <c r="O701" s="5">
        <v>210</v>
      </c>
      <c r="P701">
        <f>SUM(Table9[[#This Row],[Marketing]])</f>
        <v>25</v>
      </c>
      <c r="Q701">
        <f>SUM(Table9[[#This Row],[Sales]])</f>
        <v>210</v>
      </c>
    </row>
    <row r="702" spans="14:17">
      <c r="N702" s="3">
        <v>24</v>
      </c>
      <c r="O702" s="3">
        <v>484</v>
      </c>
      <c r="P702">
        <f>SUM(Table9[[#This Row],[Marketing]])</f>
        <v>24</v>
      </c>
      <c r="Q702">
        <f>SUM(Table9[[#This Row],[Sales]])</f>
        <v>484</v>
      </c>
    </row>
    <row r="703" spans="14:17">
      <c r="N703" s="5">
        <v>87</v>
      </c>
      <c r="O703" s="5">
        <v>664</v>
      </c>
      <c r="P703">
        <f>SUM(Table9[[#This Row],[Marketing]])</f>
        <v>87</v>
      </c>
      <c r="Q703">
        <f>SUM(Table9[[#This Row],[Sales]])</f>
        <v>664</v>
      </c>
    </row>
    <row r="704" spans="14:17">
      <c r="N704" s="3">
        <v>85</v>
      </c>
      <c r="O704" s="3">
        <v>239</v>
      </c>
      <c r="P704">
        <f>SUM(Table9[[#This Row],[Marketing]])</f>
        <v>85</v>
      </c>
      <c r="Q704">
        <f>SUM(Table9[[#This Row],[Sales]])</f>
        <v>239</v>
      </c>
    </row>
    <row r="705" spans="14:17">
      <c r="N705" s="5">
        <v>109</v>
      </c>
      <c r="O705" s="5">
        <v>65</v>
      </c>
      <c r="P705">
        <f>SUM(Table9[[#This Row],[Marketing]])</f>
        <v>109</v>
      </c>
      <c r="Q705">
        <f>SUM(Table9[[#This Row],[Sales]])</f>
        <v>65</v>
      </c>
    </row>
    <row r="706" spans="14:17">
      <c r="N706" s="3">
        <v>50</v>
      </c>
      <c r="O706" s="3">
        <v>387</v>
      </c>
      <c r="P706">
        <f>SUM(Table9[[#This Row],[Marketing]])</f>
        <v>50</v>
      </c>
      <c r="Q706">
        <f>SUM(Table9[[#This Row],[Sales]])</f>
        <v>387</v>
      </c>
    </row>
    <row r="707" spans="14:17">
      <c r="N707" s="5">
        <v>59</v>
      </c>
      <c r="O707" s="5">
        <v>719</v>
      </c>
      <c r="P707">
        <f>SUM(Table9[[#This Row],[Marketing]])</f>
        <v>59</v>
      </c>
      <c r="Q707">
        <f>SUM(Table9[[#This Row],[Sales]])</f>
        <v>719</v>
      </c>
    </row>
    <row r="708" spans="14:17">
      <c r="N708" s="3">
        <v>7</v>
      </c>
      <c r="O708" s="3">
        <v>55</v>
      </c>
      <c r="P708">
        <f>SUM(Table9[[#This Row],[Marketing]])</f>
        <v>7</v>
      </c>
      <c r="Q708">
        <f>SUM(Table9[[#This Row],[Sales]])</f>
        <v>55</v>
      </c>
    </row>
    <row r="709" spans="14:17">
      <c r="N709" s="5">
        <v>93</v>
      </c>
      <c r="O709" s="5">
        <v>614</v>
      </c>
      <c r="P709">
        <f>SUM(Table9[[#This Row],[Marketing]])</f>
        <v>93</v>
      </c>
      <c r="Q709">
        <f>SUM(Table9[[#This Row],[Sales]])</f>
        <v>614</v>
      </c>
    </row>
    <row r="710" spans="14:17">
      <c r="N710" s="3">
        <v>69</v>
      </c>
      <c r="O710" s="3">
        <v>171</v>
      </c>
      <c r="P710">
        <f>SUM(Table9[[#This Row],[Marketing]])</f>
        <v>69</v>
      </c>
      <c r="Q710">
        <f>SUM(Table9[[#This Row],[Sales]])</f>
        <v>171</v>
      </c>
    </row>
    <row r="711" spans="14:17">
      <c r="N711" s="5">
        <v>22</v>
      </c>
      <c r="O711" s="5">
        <v>211</v>
      </c>
      <c r="P711">
        <f>SUM(Table9[[#This Row],[Marketing]])</f>
        <v>22</v>
      </c>
      <c r="Q711">
        <f>SUM(Table9[[#This Row],[Sales]])</f>
        <v>211</v>
      </c>
    </row>
    <row r="712" spans="14:17">
      <c r="N712" s="3">
        <v>33</v>
      </c>
      <c r="O712" s="3">
        <v>309</v>
      </c>
      <c r="P712">
        <f>SUM(Table9[[#This Row],[Marketing]])</f>
        <v>33</v>
      </c>
      <c r="Q712">
        <f>SUM(Table9[[#This Row],[Sales]])</f>
        <v>309</v>
      </c>
    </row>
    <row r="713" spans="14:17">
      <c r="N713" s="5">
        <v>41</v>
      </c>
      <c r="O713" s="5">
        <v>341</v>
      </c>
      <c r="P713">
        <f>SUM(Table9[[#This Row],[Marketing]])</f>
        <v>41</v>
      </c>
      <c r="Q713">
        <f>SUM(Table9[[#This Row],[Sales]])</f>
        <v>341</v>
      </c>
    </row>
    <row r="714" spans="14:17">
      <c r="N714" s="3">
        <v>27</v>
      </c>
      <c r="O714" s="3">
        <v>208</v>
      </c>
      <c r="P714">
        <f>SUM(Table9[[#This Row],[Marketing]])</f>
        <v>27</v>
      </c>
      <c r="Q714">
        <f>SUM(Table9[[#This Row],[Sales]])</f>
        <v>208</v>
      </c>
    </row>
    <row r="715" spans="14:17">
      <c r="N715" s="5">
        <v>29</v>
      </c>
      <c r="O715" s="5">
        <v>236</v>
      </c>
      <c r="P715">
        <f>SUM(Table9[[#This Row],[Marketing]])</f>
        <v>29</v>
      </c>
      <c r="Q715">
        <f>SUM(Table9[[#This Row],[Sales]])</f>
        <v>236</v>
      </c>
    </row>
    <row r="716" spans="14:17">
      <c r="N716" s="3">
        <v>22</v>
      </c>
      <c r="O716" s="3">
        <v>543</v>
      </c>
      <c r="P716">
        <f>SUM(Table9[[#This Row],[Marketing]])</f>
        <v>22</v>
      </c>
      <c r="Q716">
        <f>SUM(Table9[[#This Row],[Sales]])</f>
        <v>543</v>
      </c>
    </row>
    <row r="717" spans="14:17">
      <c r="N717" s="5">
        <v>97</v>
      </c>
      <c r="O717" s="5">
        <v>745</v>
      </c>
      <c r="P717">
        <f>SUM(Table9[[#This Row],[Marketing]])</f>
        <v>97</v>
      </c>
      <c r="Q717">
        <f>SUM(Table9[[#This Row],[Sales]])</f>
        <v>745</v>
      </c>
    </row>
    <row r="718" spans="14:17">
      <c r="N718" s="3">
        <v>95</v>
      </c>
      <c r="O718" s="3">
        <v>266</v>
      </c>
      <c r="P718">
        <f>SUM(Table9[[#This Row],[Marketing]])</f>
        <v>95</v>
      </c>
      <c r="Q718">
        <f>SUM(Table9[[#This Row],[Sales]])</f>
        <v>266</v>
      </c>
    </row>
    <row r="719" spans="14:17">
      <c r="N719" s="5">
        <v>122</v>
      </c>
      <c r="O719" s="5">
        <v>70</v>
      </c>
      <c r="P719">
        <f>SUM(Table9[[#This Row],[Marketing]])</f>
        <v>122</v>
      </c>
      <c r="Q719">
        <f>SUM(Table9[[#This Row],[Sales]])</f>
        <v>70</v>
      </c>
    </row>
    <row r="720" spans="14:17">
      <c r="N720" s="3">
        <v>42</v>
      </c>
      <c r="O720" s="3">
        <v>326</v>
      </c>
      <c r="P720">
        <f>SUM(Table9[[#This Row],[Marketing]])</f>
        <v>42</v>
      </c>
      <c r="Q720">
        <f>SUM(Table9[[#This Row],[Sales]])</f>
        <v>326</v>
      </c>
    </row>
    <row r="721" spans="14:17">
      <c r="N721" s="5">
        <v>70</v>
      </c>
      <c r="O721" s="5">
        <v>700</v>
      </c>
      <c r="P721">
        <f>SUM(Table9[[#This Row],[Marketing]])</f>
        <v>70</v>
      </c>
      <c r="Q721">
        <f>SUM(Table9[[#This Row],[Sales]])</f>
        <v>700</v>
      </c>
    </row>
    <row r="722" spans="14:17">
      <c r="N722" s="3">
        <v>111</v>
      </c>
      <c r="O722" s="3">
        <v>796</v>
      </c>
      <c r="P722">
        <f>SUM(Table9[[#This Row],[Marketing]])</f>
        <v>111</v>
      </c>
      <c r="Q722">
        <f>SUM(Table9[[#This Row],[Sales]])</f>
        <v>796</v>
      </c>
    </row>
    <row r="723" spans="14:17">
      <c r="N723" s="5">
        <v>74</v>
      </c>
      <c r="O723" s="5">
        <v>158</v>
      </c>
      <c r="P723">
        <f>SUM(Table9[[#This Row],[Marketing]])</f>
        <v>74</v>
      </c>
      <c r="Q723">
        <f>SUM(Table9[[#This Row],[Sales]])</f>
        <v>158</v>
      </c>
    </row>
    <row r="724" spans="14:17">
      <c r="N724" s="3">
        <v>24</v>
      </c>
      <c r="O724" s="3">
        <v>224</v>
      </c>
      <c r="P724">
        <f>SUM(Table9[[#This Row],[Marketing]])</f>
        <v>24</v>
      </c>
      <c r="Q724">
        <f>SUM(Table9[[#This Row],[Sales]])</f>
        <v>224</v>
      </c>
    </row>
    <row r="725" spans="14:17">
      <c r="N725" s="5">
        <v>34</v>
      </c>
      <c r="O725" s="5">
        <v>322</v>
      </c>
      <c r="P725">
        <f>SUM(Table9[[#This Row],[Marketing]])</f>
        <v>34</v>
      </c>
      <c r="Q725">
        <f>SUM(Table9[[#This Row],[Sales]])</f>
        <v>322</v>
      </c>
    </row>
    <row r="726" spans="14:17">
      <c r="N726" s="3">
        <v>30</v>
      </c>
      <c r="O726" s="3">
        <v>265</v>
      </c>
      <c r="P726">
        <f>SUM(Table9[[#This Row],[Marketing]])</f>
        <v>30</v>
      </c>
      <c r="Q726">
        <f>SUM(Table9[[#This Row],[Sales]])</f>
        <v>265</v>
      </c>
    </row>
    <row r="727" spans="14:17">
      <c r="N727" s="5">
        <v>39</v>
      </c>
      <c r="O727" s="5">
        <v>298</v>
      </c>
      <c r="P727">
        <f>SUM(Table9[[#This Row],[Marketing]])</f>
        <v>39</v>
      </c>
      <c r="Q727">
        <f>SUM(Table9[[#This Row],[Sales]])</f>
        <v>298</v>
      </c>
    </row>
    <row r="728" spans="14:17">
      <c r="N728" s="3">
        <v>23</v>
      </c>
      <c r="O728" s="3">
        <v>182</v>
      </c>
      <c r="P728">
        <f>SUM(Table9[[#This Row],[Marketing]])</f>
        <v>23</v>
      </c>
      <c r="Q728">
        <f>SUM(Table9[[#This Row],[Sales]])</f>
        <v>182</v>
      </c>
    </row>
    <row r="729" spans="14:17">
      <c r="N729" s="5">
        <v>66</v>
      </c>
      <c r="O729" s="5">
        <v>478</v>
      </c>
      <c r="P729">
        <f>SUM(Table9[[#This Row],[Marketing]])</f>
        <v>66</v>
      </c>
      <c r="Q729">
        <f>SUM(Table9[[#This Row],[Sales]])</f>
        <v>478</v>
      </c>
    </row>
    <row r="730" spans="14:17">
      <c r="N730" s="3">
        <v>20</v>
      </c>
      <c r="O730" s="3">
        <v>120</v>
      </c>
      <c r="P730">
        <f>SUM(Table9[[#This Row],[Marketing]])</f>
        <v>20</v>
      </c>
      <c r="Q730">
        <f>SUM(Table9[[#This Row],[Sales]])</f>
        <v>120</v>
      </c>
    </row>
    <row r="731" spans="14:17">
      <c r="N731" s="5">
        <v>34</v>
      </c>
      <c r="O731" s="5">
        <v>302</v>
      </c>
      <c r="P731">
        <f>SUM(Table9[[#This Row],[Marketing]])</f>
        <v>34</v>
      </c>
      <c r="Q731">
        <f>SUM(Table9[[#This Row],[Sales]])</f>
        <v>302</v>
      </c>
    </row>
    <row r="732" spans="14:17">
      <c r="N732" s="3">
        <v>50</v>
      </c>
      <c r="O732" s="3">
        <v>367</v>
      </c>
      <c r="P732">
        <f>SUM(Table9[[#This Row],[Marketing]])</f>
        <v>50</v>
      </c>
      <c r="Q732">
        <f>SUM(Table9[[#This Row],[Sales]])</f>
        <v>367</v>
      </c>
    </row>
    <row r="733" spans="14:17">
      <c r="N733" s="5">
        <v>21</v>
      </c>
      <c r="O733" s="5">
        <v>187</v>
      </c>
      <c r="P733">
        <f>SUM(Table9[[#This Row],[Marketing]])</f>
        <v>21</v>
      </c>
      <c r="Q733">
        <f>SUM(Table9[[#This Row],[Sales]])</f>
        <v>187</v>
      </c>
    </row>
    <row r="734" spans="14:17">
      <c r="N734" s="3">
        <v>84</v>
      </c>
      <c r="O734" s="3">
        <v>598</v>
      </c>
      <c r="P734">
        <f>SUM(Table9[[#This Row],[Marketing]])</f>
        <v>84</v>
      </c>
      <c r="Q734">
        <f>SUM(Table9[[#This Row],[Sales]])</f>
        <v>598</v>
      </c>
    </row>
    <row r="735" spans="14:17">
      <c r="N735" s="5">
        <v>45</v>
      </c>
      <c r="O735" s="5">
        <v>322</v>
      </c>
      <c r="P735">
        <f>SUM(Table9[[#This Row],[Marketing]])</f>
        <v>45</v>
      </c>
      <c r="Q735">
        <f>SUM(Table9[[#This Row],[Sales]])</f>
        <v>322</v>
      </c>
    </row>
    <row r="736" spans="14:17">
      <c r="N736" s="3">
        <v>45</v>
      </c>
      <c r="O736" s="3">
        <v>322</v>
      </c>
      <c r="P736">
        <f>SUM(Table9[[#This Row],[Marketing]])</f>
        <v>45</v>
      </c>
      <c r="Q736">
        <f>SUM(Table9[[#This Row],[Sales]])</f>
        <v>322</v>
      </c>
    </row>
    <row r="737" spans="14:17">
      <c r="N737" s="5">
        <v>34</v>
      </c>
      <c r="O737" s="5">
        <v>302</v>
      </c>
      <c r="P737">
        <f>SUM(Table9[[#This Row],[Marketing]])</f>
        <v>34</v>
      </c>
      <c r="Q737">
        <f>SUM(Table9[[#This Row],[Sales]])</f>
        <v>302</v>
      </c>
    </row>
    <row r="738" spans="14:17">
      <c r="N738" s="3">
        <v>30</v>
      </c>
      <c r="O738" s="3">
        <v>265</v>
      </c>
      <c r="P738">
        <f>SUM(Table9[[#This Row],[Marketing]])</f>
        <v>30</v>
      </c>
      <c r="Q738">
        <f>SUM(Table9[[#This Row],[Sales]])</f>
        <v>265</v>
      </c>
    </row>
    <row r="739" spans="14:17">
      <c r="N739" s="5">
        <v>27</v>
      </c>
      <c r="O739" s="5">
        <v>205</v>
      </c>
      <c r="P739">
        <f>SUM(Table9[[#This Row],[Marketing]])</f>
        <v>27</v>
      </c>
      <c r="Q739">
        <f>SUM(Table9[[#This Row],[Sales]])</f>
        <v>205</v>
      </c>
    </row>
    <row r="740" spans="14:17">
      <c r="N740" s="3">
        <v>28</v>
      </c>
      <c r="O740" s="3">
        <v>218</v>
      </c>
      <c r="P740">
        <f>SUM(Table9[[#This Row],[Marketing]])</f>
        <v>28</v>
      </c>
      <c r="Q740">
        <f>SUM(Table9[[#This Row],[Sales]])</f>
        <v>218</v>
      </c>
    </row>
    <row r="741" spans="14:17">
      <c r="N741" s="5">
        <v>29</v>
      </c>
      <c r="O741" s="5">
        <v>205</v>
      </c>
      <c r="P741">
        <f>SUM(Table9[[#This Row],[Marketing]])</f>
        <v>29</v>
      </c>
      <c r="Q741">
        <f>SUM(Table9[[#This Row],[Sales]])</f>
        <v>205</v>
      </c>
    </row>
    <row r="742" spans="14:17">
      <c r="N742" s="3">
        <v>3</v>
      </c>
      <c r="O742" s="3">
        <v>23</v>
      </c>
      <c r="P742">
        <f>SUM(Table9[[#This Row],[Marketing]])</f>
        <v>3</v>
      </c>
      <c r="Q742">
        <f>SUM(Table9[[#This Row],[Sales]])</f>
        <v>23</v>
      </c>
    </row>
    <row r="743" spans="14:17">
      <c r="N743" s="5">
        <v>28</v>
      </c>
      <c r="O743" s="5">
        <v>202</v>
      </c>
      <c r="P743">
        <f>SUM(Table9[[#This Row],[Marketing]])</f>
        <v>28</v>
      </c>
      <c r="Q743">
        <f>SUM(Table9[[#This Row],[Sales]])</f>
        <v>202</v>
      </c>
    </row>
    <row r="744" spans="14:17">
      <c r="N744" s="3">
        <v>30</v>
      </c>
      <c r="O744" s="3">
        <v>177</v>
      </c>
      <c r="P744">
        <f>SUM(Table9[[#This Row],[Marketing]])</f>
        <v>30</v>
      </c>
      <c r="Q744">
        <f>SUM(Table9[[#This Row],[Sales]])</f>
        <v>177</v>
      </c>
    </row>
    <row r="745" spans="14:17">
      <c r="N745" s="5">
        <v>87</v>
      </c>
      <c r="O745" s="5">
        <v>230</v>
      </c>
      <c r="P745">
        <f>SUM(Table9[[#This Row],[Marketing]])</f>
        <v>87</v>
      </c>
      <c r="Q745">
        <f>SUM(Table9[[#This Row],[Sales]])</f>
        <v>230</v>
      </c>
    </row>
    <row r="746" spans="14:17">
      <c r="N746" s="3">
        <v>11</v>
      </c>
      <c r="O746" s="3">
        <v>99</v>
      </c>
      <c r="P746">
        <f>SUM(Table9[[#This Row],[Marketing]])</f>
        <v>11</v>
      </c>
      <c r="Q746">
        <f>SUM(Table9[[#This Row],[Sales]])</f>
        <v>99</v>
      </c>
    </row>
    <row r="747" spans="14:17">
      <c r="N747" s="5">
        <v>24</v>
      </c>
      <c r="O747" s="5">
        <v>174</v>
      </c>
      <c r="P747">
        <f>SUM(Table9[[#This Row],[Marketing]])</f>
        <v>24</v>
      </c>
      <c r="Q747">
        <f>SUM(Table9[[#This Row],[Sales]])</f>
        <v>174</v>
      </c>
    </row>
    <row r="748" spans="14:17">
      <c r="N748" s="3">
        <v>84</v>
      </c>
      <c r="O748" s="3">
        <v>598</v>
      </c>
      <c r="P748">
        <f>SUM(Table9[[#This Row],[Marketing]])</f>
        <v>84</v>
      </c>
      <c r="Q748">
        <f>SUM(Table9[[#This Row],[Sales]])</f>
        <v>598</v>
      </c>
    </row>
    <row r="749" spans="14:17">
      <c r="N749" s="5">
        <v>39</v>
      </c>
      <c r="O749" s="5">
        <v>298</v>
      </c>
      <c r="P749">
        <f>SUM(Table9[[#This Row],[Marketing]])</f>
        <v>39</v>
      </c>
      <c r="Q749">
        <f>SUM(Table9[[#This Row],[Sales]])</f>
        <v>298</v>
      </c>
    </row>
    <row r="750" spans="14:17">
      <c r="N750" s="3">
        <v>26</v>
      </c>
      <c r="O750" s="3">
        <v>109</v>
      </c>
      <c r="P750">
        <f>SUM(Table9[[#This Row],[Marketing]])</f>
        <v>26</v>
      </c>
      <c r="Q750">
        <f>SUM(Table9[[#This Row],[Sales]])</f>
        <v>109</v>
      </c>
    </row>
    <row r="751" spans="14:17">
      <c r="N751" s="5">
        <v>66</v>
      </c>
      <c r="O751" s="5">
        <v>478</v>
      </c>
      <c r="P751">
        <f>SUM(Table9[[#This Row],[Marketing]])</f>
        <v>66</v>
      </c>
      <c r="Q751">
        <f>SUM(Table9[[#This Row],[Sales]])</f>
        <v>478</v>
      </c>
    </row>
    <row r="752" spans="14:17">
      <c r="N752" s="3">
        <v>96</v>
      </c>
      <c r="O752" s="3">
        <v>567</v>
      </c>
      <c r="P752">
        <f>SUM(Table9[[#This Row],[Marketing]])</f>
        <v>96</v>
      </c>
      <c r="Q752">
        <f>SUM(Table9[[#This Row],[Sales]])</f>
        <v>567</v>
      </c>
    </row>
    <row r="753" spans="14:17">
      <c r="N753" s="5">
        <v>9</v>
      </c>
      <c r="O753" s="5">
        <v>56</v>
      </c>
      <c r="P753">
        <f>SUM(Table9[[#This Row],[Marketing]])</f>
        <v>9</v>
      </c>
      <c r="Q753">
        <f>SUM(Table9[[#This Row],[Sales]])</f>
        <v>56</v>
      </c>
    </row>
    <row r="754" spans="14:17">
      <c r="N754" s="3">
        <v>22</v>
      </c>
      <c r="O754" s="3">
        <v>198</v>
      </c>
      <c r="P754">
        <f>SUM(Table9[[#This Row],[Marketing]])</f>
        <v>22</v>
      </c>
      <c r="Q754">
        <f>SUM(Table9[[#This Row],[Sales]])</f>
        <v>198</v>
      </c>
    </row>
    <row r="755" spans="14:17">
      <c r="N755" s="5">
        <v>36</v>
      </c>
      <c r="O755" s="5">
        <v>278</v>
      </c>
      <c r="P755">
        <f>SUM(Table9[[#This Row],[Marketing]])</f>
        <v>36</v>
      </c>
      <c r="Q755">
        <f>SUM(Table9[[#This Row],[Sales]])</f>
        <v>278</v>
      </c>
    </row>
    <row r="756" spans="14:17">
      <c r="N756" s="3">
        <v>24</v>
      </c>
      <c r="O756" s="3">
        <v>189</v>
      </c>
      <c r="P756">
        <f>SUM(Table9[[#This Row],[Marketing]])</f>
        <v>24</v>
      </c>
      <c r="Q756">
        <f>SUM(Table9[[#This Row],[Sales]])</f>
        <v>189</v>
      </c>
    </row>
    <row r="757" spans="14:17">
      <c r="N757" s="5">
        <v>59</v>
      </c>
      <c r="O757" s="5">
        <v>423</v>
      </c>
      <c r="P757">
        <f>SUM(Table9[[#This Row],[Marketing]])</f>
        <v>59</v>
      </c>
      <c r="Q757">
        <f>SUM(Table9[[#This Row],[Sales]])</f>
        <v>423</v>
      </c>
    </row>
    <row r="758" spans="14:17">
      <c r="N758" s="3">
        <v>33</v>
      </c>
      <c r="O758" s="3">
        <v>290</v>
      </c>
      <c r="P758">
        <f>SUM(Table9[[#This Row],[Marketing]])</f>
        <v>33</v>
      </c>
      <c r="Q758">
        <f>SUM(Table9[[#This Row],[Sales]])</f>
        <v>290</v>
      </c>
    </row>
    <row r="759" spans="14:17">
      <c r="N759" s="5">
        <v>57</v>
      </c>
      <c r="O759" s="5">
        <v>412</v>
      </c>
      <c r="P759">
        <f>SUM(Table9[[#This Row],[Marketing]])</f>
        <v>57</v>
      </c>
      <c r="Q759">
        <f>SUM(Table9[[#This Row],[Sales]])</f>
        <v>412</v>
      </c>
    </row>
    <row r="760" spans="14:17">
      <c r="N760" s="3">
        <v>14</v>
      </c>
      <c r="O760" s="3">
        <v>123</v>
      </c>
      <c r="P760">
        <f>SUM(Table9[[#This Row],[Marketing]])</f>
        <v>14</v>
      </c>
      <c r="Q760">
        <f>SUM(Table9[[#This Row],[Sales]])</f>
        <v>123</v>
      </c>
    </row>
    <row r="761" spans="14:17">
      <c r="N761" s="5">
        <v>75</v>
      </c>
      <c r="O761" s="5">
        <v>532</v>
      </c>
      <c r="P761">
        <f>SUM(Table9[[#This Row],[Marketing]])</f>
        <v>75</v>
      </c>
      <c r="Q761">
        <f>SUM(Table9[[#This Row],[Sales]])</f>
        <v>532</v>
      </c>
    </row>
    <row r="762" spans="14:17">
      <c r="N762" s="3">
        <v>50</v>
      </c>
      <c r="O762" s="3">
        <v>363</v>
      </c>
      <c r="P762">
        <f>SUM(Table9[[#This Row],[Marketing]])</f>
        <v>50</v>
      </c>
      <c r="Q762">
        <f>SUM(Table9[[#This Row],[Sales]])</f>
        <v>363</v>
      </c>
    </row>
    <row r="763" spans="14:17">
      <c r="N763" s="5">
        <v>50</v>
      </c>
      <c r="O763" s="5">
        <v>363</v>
      </c>
      <c r="P763">
        <f>SUM(Table9[[#This Row],[Marketing]])</f>
        <v>50</v>
      </c>
      <c r="Q763">
        <f>SUM(Table9[[#This Row],[Sales]])</f>
        <v>363</v>
      </c>
    </row>
    <row r="764" spans="14:17">
      <c r="N764" s="3">
        <v>33</v>
      </c>
      <c r="O764" s="3">
        <v>290</v>
      </c>
      <c r="P764">
        <f>SUM(Table9[[#This Row],[Marketing]])</f>
        <v>33</v>
      </c>
      <c r="Q764">
        <f>SUM(Table9[[#This Row],[Sales]])</f>
        <v>290</v>
      </c>
    </row>
    <row r="765" spans="14:17">
      <c r="N765" s="5">
        <v>22</v>
      </c>
      <c r="O765" s="5">
        <v>198</v>
      </c>
      <c r="P765">
        <f>SUM(Table9[[#This Row],[Marketing]])</f>
        <v>22</v>
      </c>
      <c r="Q765">
        <f>SUM(Table9[[#This Row],[Sales]])</f>
        <v>198</v>
      </c>
    </row>
    <row r="766" spans="14:17">
      <c r="N766" s="3">
        <v>25</v>
      </c>
      <c r="O766" s="3">
        <v>197</v>
      </c>
      <c r="P766">
        <f>SUM(Table9[[#This Row],[Marketing]])</f>
        <v>25</v>
      </c>
      <c r="Q766">
        <f>SUM(Table9[[#This Row],[Sales]])</f>
        <v>197</v>
      </c>
    </row>
    <row r="767" spans="14:17">
      <c r="N767" s="5">
        <v>24</v>
      </c>
      <c r="O767" s="5">
        <v>189</v>
      </c>
      <c r="P767">
        <f>SUM(Table9[[#This Row],[Marketing]])</f>
        <v>24</v>
      </c>
      <c r="Q767">
        <f>SUM(Table9[[#This Row],[Sales]])</f>
        <v>189</v>
      </c>
    </row>
    <row r="768" spans="14:17">
      <c r="N768" s="3">
        <v>31</v>
      </c>
      <c r="O768" s="3">
        <v>245</v>
      </c>
      <c r="P768">
        <f>SUM(Table9[[#This Row],[Marketing]])</f>
        <v>31</v>
      </c>
      <c r="Q768">
        <f>SUM(Table9[[#This Row],[Sales]])</f>
        <v>245</v>
      </c>
    </row>
    <row r="769" spans="14:17">
      <c r="N769" s="5">
        <v>29</v>
      </c>
      <c r="O769" s="5">
        <v>200</v>
      </c>
      <c r="P769">
        <f>SUM(Table9[[#This Row],[Marketing]])</f>
        <v>29</v>
      </c>
      <c r="Q769">
        <f>SUM(Table9[[#This Row],[Sales]])</f>
        <v>200</v>
      </c>
    </row>
    <row r="770" spans="14:17">
      <c r="N770" s="3">
        <v>3</v>
      </c>
      <c r="O770" s="3">
        <v>23</v>
      </c>
      <c r="P770">
        <f>SUM(Table9[[#This Row],[Marketing]])</f>
        <v>3</v>
      </c>
      <c r="Q770">
        <f>SUM(Table9[[#This Row],[Sales]])</f>
        <v>23</v>
      </c>
    </row>
    <row r="771" spans="14:17">
      <c r="N771" s="5">
        <v>25</v>
      </c>
      <c r="O771" s="5">
        <v>180</v>
      </c>
      <c r="P771">
        <f>SUM(Table9[[#This Row],[Marketing]])</f>
        <v>25</v>
      </c>
      <c r="Q771">
        <f>SUM(Table9[[#This Row],[Sales]])</f>
        <v>180</v>
      </c>
    </row>
    <row r="772" spans="14:17">
      <c r="N772" s="3">
        <v>4</v>
      </c>
      <c r="O772" s="3">
        <v>39</v>
      </c>
      <c r="P772">
        <f>SUM(Table9[[#This Row],[Marketing]])</f>
        <v>4</v>
      </c>
      <c r="Q772">
        <f>SUM(Table9[[#This Row],[Sales]])</f>
        <v>39</v>
      </c>
    </row>
    <row r="773" spans="14:17">
      <c r="N773" s="5">
        <v>31</v>
      </c>
      <c r="O773" s="5">
        <v>184</v>
      </c>
      <c r="P773">
        <f>SUM(Table9[[#This Row],[Marketing]])</f>
        <v>31</v>
      </c>
      <c r="Q773">
        <f>SUM(Table9[[#This Row],[Sales]])</f>
        <v>184</v>
      </c>
    </row>
    <row r="774" spans="14:17">
      <c r="N774" s="3">
        <v>85</v>
      </c>
      <c r="O774" s="3">
        <v>224</v>
      </c>
      <c r="P774">
        <f>SUM(Table9[[#This Row],[Marketing]])</f>
        <v>85</v>
      </c>
      <c r="Q774">
        <f>SUM(Table9[[#This Row],[Sales]])</f>
        <v>224</v>
      </c>
    </row>
    <row r="775" spans="14:17">
      <c r="N775" s="5">
        <v>15</v>
      </c>
      <c r="O775" s="5">
        <v>132</v>
      </c>
      <c r="P775">
        <f>SUM(Table9[[#This Row],[Marketing]])</f>
        <v>15</v>
      </c>
      <c r="Q775">
        <f>SUM(Table9[[#This Row],[Sales]])</f>
        <v>132</v>
      </c>
    </row>
    <row r="776" spans="14:17">
      <c r="N776" s="3">
        <v>23</v>
      </c>
      <c r="O776" s="3">
        <v>164</v>
      </c>
      <c r="P776">
        <f>SUM(Table9[[#This Row],[Marketing]])</f>
        <v>23</v>
      </c>
      <c r="Q776">
        <f>SUM(Table9[[#This Row],[Sales]])</f>
        <v>164</v>
      </c>
    </row>
    <row r="777" spans="14:17">
      <c r="N777" s="5">
        <v>75</v>
      </c>
      <c r="O777" s="5">
        <v>532</v>
      </c>
      <c r="P777">
        <f>SUM(Table9[[#This Row],[Marketing]])</f>
        <v>75</v>
      </c>
      <c r="Q777">
        <f>SUM(Table9[[#This Row],[Sales]])</f>
        <v>532</v>
      </c>
    </row>
    <row r="778" spans="14:17">
      <c r="N778" s="3">
        <v>36</v>
      </c>
      <c r="O778" s="3">
        <v>278</v>
      </c>
      <c r="P778">
        <f>SUM(Table9[[#This Row],[Marketing]])</f>
        <v>36</v>
      </c>
      <c r="Q778">
        <f>SUM(Table9[[#This Row],[Sales]])</f>
        <v>278</v>
      </c>
    </row>
    <row r="779" spans="14:17">
      <c r="N779" s="5">
        <v>59</v>
      </c>
      <c r="O779" s="5">
        <v>423</v>
      </c>
      <c r="P779">
        <f>SUM(Table9[[#This Row],[Marketing]])</f>
        <v>59</v>
      </c>
      <c r="Q779">
        <f>SUM(Table9[[#This Row],[Sales]])</f>
        <v>423</v>
      </c>
    </row>
    <row r="780" spans="14:17">
      <c r="N780" s="3">
        <v>93</v>
      </c>
      <c r="O780" s="3">
        <v>545</v>
      </c>
      <c r="P780">
        <f>SUM(Table9[[#This Row],[Marketing]])</f>
        <v>93</v>
      </c>
      <c r="Q780">
        <f>SUM(Table9[[#This Row],[Sales]])</f>
        <v>545</v>
      </c>
    </row>
    <row r="781" spans="14:17">
      <c r="N781" s="5">
        <v>24</v>
      </c>
      <c r="O781" s="5">
        <v>210</v>
      </c>
      <c r="P781">
        <f>SUM(Table9[[#This Row],[Marketing]])</f>
        <v>24</v>
      </c>
      <c r="Q781">
        <f>SUM(Table9[[#This Row],[Sales]])</f>
        <v>210</v>
      </c>
    </row>
    <row r="782" spans="14:17">
      <c r="N782" s="3">
        <v>40</v>
      </c>
      <c r="O782" s="3">
        <v>312</v>
      </c>
      <c r="P782">
        <f>SUM(Table9[[#This Row],[Marketing]])</f>
        <v>40</v>
      </c>
      <c r="Q782">
        <f>SUM(Table9[[#This Row],[Sales]])</f>
        <v>312</v>
      </c>
    </row>
    <row r="783" spans="14:17">
      <c r="N783" s="5">
        <v>22</v>
      </c>
      <c r="O783" s="5">
        <v>168</v>
      </c>
      <c r="P783">
        <f>SUM(Table9[[#This Row],[Marketing]])</f>
        <v>22</v>
      </c>
      <c r="Q783">
        <f>SUM(Table9[[#This Row],[Sales]])</f>
        <v>168</v>
      </c>
    </row>
    <row r="784" spans="14:17">
      <c r="N784" s="3">
        <v>70</v>
      </c>
      <c r="O784" s="3">
        <v>501</v>
      </c>
      <c r="P784">
        <f>SUM(Table9[[#This Row],[Marketing]])</f>
        <v>70</v>
      </c>
      <c r="Q784">
        <f>SUM(Table9[[#This Row],[Sales]])</f>
        <v>501</v>
      </c>
    </row>
    <row r="785" spans="14:17">
      <c r="N785" s="5">
        <v>34</v>
      </c>
      <c r="O785" s="5">
        <v>302</v>
      </c>
      <c r="P785">
        <f>SUM(Table9[[#This Row],[Marketing]])</f>
        <v>34</v>
      </c>
      <c r="Q785">
        <f>SUM(Table9[[#This Row],[Sales]])</f>
        <v>302</v>
      </c>
    </row>
    <row r="786" spans="14:17">
      <c r="N786" s="3">
        <v>73</v>
      </c>
      <c r="O786" s="3">
        <v>534</v>
      </c>
      <c r="P786">
        <f>SUM(Table9[[#This Row],[Marketing]])</f>
        <v>73</v>
      </c>
      <c r="Q786">
        <f>SUM(Table9[[#This Row],[Sales]])</f>
        <v>534</v>
      </c>
    </row>
    <row r="787" spans="14:17">
      <c r="N787" s="5">
        <v>15</v>
      </c>
      <c r="O787" s="5">
        <v>133</v>
      </c>
      <c r="P787">
        <f>SUM(Table9[[#This Row],[Marketing]])</f>
        <v>15</v>
      </c>
      <c r="Q787">
        <f>SUM(Table9[[#This Row],[Sales]])</f>
        <v>133</v>
      </c>
    </row>
    <row r="788" spans="14:17">
      <c r="N788" s="3">
        <v>81</v>
      </c>
      <c r="O788" s="3">
        <v>576</v>
      </c>
      <c r="P788">
        <f>SUM(Table9[[#This Row],[Marketing]])</f>
        <v>81</v>
      </c>
      <c r="Q788">
        <f>SUM(Table9[[#This Row],[Sales]])</f>
        <v>576</v>
      </c>
    </row>
    <row r="789" spans="14:17">
      <c r="N789" s="5">
        <v>42</v>
      </c>
      <c r="O789" s="5">
        <v>306</v>
      </c>
      <c r="P789">
        <f>SUM(Table9[[#This Row],[Marketing]])</f>
        <v>42</v>
      </c>
      <c r="Q789">
        <f>SUM(Table9[[#This Row],[Sales]])</f>
        <v>306</v>
      </c>
    </row>
    <row r="790" spans="14:17">
      <c r="N790" s="3">
        <v>42</v>
      </c>
      <c r="O790" s="3">
        <v>306</v>
      </c>
      <c r="P790">
        <f>SUM(Table9[[#This Row],[Marketing]])</f>
        <v>42</v>
      </c>
      <c r="Q790">
        <f>SUM(Table9[[#This Row],[Sales]])</f>
        <v>306</v>
      </c>
    </row>
    <row r="791" spans="14:17">
      <c r="N791" s="5">
        <v>34</v>
      </c>
      <c r="O791" s="5">
        <v>302</v>
      </c>
      <c r="P791">
        <f>SUM(Table9[[#This Row],[Marketing]])</f>
        <v>34</v>
      </c>
      <c r="Q791">
        <f>SUM(Table9[[#This Row],[Sales]])</f>
        <v>302</v>
      </c>
    </row>
    <row r="792" spans="14:17">
      <c r="N792" s="3">
        <v>24</v>
      </c>
      <c r="O792" s="3">
        <v>210</v>
      </c>
      <c r="P792">
        <f>SUM(Table9[[#This Row],[Marketing]])</f>
        <v>24</v>
      </c>
      <c r="Q792">
        <f>SUM(Table9[[#This Row],[Sales]])</f>
        <v>210</v>
      </c>
    </row>
    <row r="793" spans="14:17">
      <c r="N793" s="5">
        <v>29</v>
      </c>
      <c r="O793" s="5">
        <v>221</v>
      </c>
      <c r="P793">
        <f>SUM(Table9[[#This Row],[Marketing]])</f>
        <v>29</v>
      </c>
      <c r="Q793">
        <f>SUM(Table9[[#This Row],[Sales]])</f>
        <v>221</v>
      </c>
    </row>
    <row r="794" spans="14:17">
      <c r="N794" s="3">
        <v>41</v>
      </c>
      <c r="O794" s="3">
        <v>320</v>
      </c>
      <c r="P794">
        <f>SUM(Table9[[#This Row],[Marketing]])</f>
        <v>41</v>
      </c>
      <c r="Q794">
        <f>SUM(Table9[[#This Row],[Sales]])</f>
        <v>320</v>
      </c>
    </row>
    <row r="795" spans="14:17">
      <c r="N795" s="5">
        <v>26</v>
      </c>
      <c r="O795" s="5">
        <v>185</v>
      </c>
      <c r="P795">
        <f>SUM(Table9[[#This Row],[Marketing]])</f>
        <v>26</v>
      </c>
      <c r="Q795">
        <f>SUM(Table9[[#This Row],[Sales]])</f>
        <v>185</v>
      </c>
    </row>
    <row r="796" spans="14:17">
      <c r="N796" s="3">
        <v>3</v>
      </c>
      <c r="O796" s="3">
        <v>24</v>
      </c>
      <c r="P796">
        <f>SUM(Table9[[#This Row],[Marketing]])</f>
        <v>3</v>
      </c>
      <c r="Q796">
        <f>SUM(Table9[[#This Row],[Sales]])</f>
        <v>24</v>
      </c>
    </row>
    <row r="797" spans="14:17">
      <c r="N797" s="5">
        <v>27</v>
      </c>
      <c r="O797" s="5">
        <v>195</v>
      </c>
      <c r="P797">
        <f>SUM(Table9[[#This Row],[Marketing]])</f>
        <v>27</v>
      </c>
      <c r="Q797">
        <f>SUM(Table9[[#This Row],[Sales]])</f>
        <v>195</v>
      </c>
    </row>
    <row r="798" spans="14:17">
      <c r="N798" s="3">
        <v>25</v>
      </c>
      <c r="O798" s="3">
        <v>153</v>
      </c>
      <c r="P798">
        <f>SUM(Table9[[#This Row],[Marketing]])</f>
        <v>25</v>
      </c>
      <c r="Q798">
        <f>SUM(Table9[[#This Row],[Sales]])</f>
        <v>153</v>
      </c>
    </row>
    <row r="799" spans="14:17">
      <c r="N799" s="5">
        <v>95</v>
      </c>
      <c r="O799" s="5">
        <v>250</v>
      </c>
      <c r="P799">
        <f>SUM(Table9[[#This Row],[Marketing]])</f>
        <v>95</v>
      </c>
      <c r="Q799">
        <f>SUM(Table9[[#This Row],[Sales]])</f>
        <v>250</v>
      </c>
    </row>
    <row r="800" spans="14:17">
      <c r="N800" s="3">
        <v>14</v>
      </c>
      <c r="O800" s="3">
        <v>123</v>
      </c>
      <c r="P800">
        <f>SUM(Table9[[#This Row],[Marketing]])</f>
        <v>14</v>
      </c>
      <c r="Q800">
        <f>SUM(Table9[[#This Row],[Sales]])</f>
        <v>123</v>
      </c>
    </row>
    <row r="801" spans="14:17">
      <c r="N801" s="5">
        <v>24</v>
      </c>
      <c r="O801" s="5">
        <v>176</v>
      </c>
      <c r="P801">
        <f>SUM(Table9[[#This Row],[Marketing]])</f>
        <v>24</v>
      </c>
      <c r="Q801">
        <f>SUM(Table9[[#This Row],[Sales]])</f>
        <v>176</v>
      </c>
    </row>
    <row r="802" spans="14:17">
      <c r="N802" s="3">
        <v>81</v>
      </c>
      <c r="O802" s="3">
        <v>576</v>
      </c>
      <c r="P802">
        <f>SUM(Table9[[#This Row],[Marketing]])</f>
        <v>81</v>
      </c>
      <c r="Q802">
        <f>SUM(Table9[[#This Row],[Sales]])</f>
        <v>576</v>
      </c>
    </row>
    <row r="803" spans="14:17">
      <c r="N803" s="5">
        <v>40</v>
      </c>
      <c r="O803" s="5">
        <v>312</v>
      </c>
      <c r="P803">
        <f>SUM(Table9[[#This Row],[Marketing]])</f>
        <v>40</v>
      </c>
      <c r="Q803">
        <f>SUM(Table9[[#This Row],[Sales]])</f>
        <v>312</v>
      </c>
    </row>
    <row r="804" spans="14:17">
      <c r="N804" s="3">
        <v>70</v>
      </c>
      <c r="O804" s="3">
        <v>501</v>
      </c>
      <c r="P804">
        <f>SUM(Table9[[#This Row],[Marketing]])</f>
        <v>70</v>
      </c>
      <c r="Q804">
        <f>SUM(Table9[[#This Row],[Sales]])</f>
        <v>501</v>
      </c>
    </row>
    <row r="805" spans="14:17">
      <c r="N805" s="5">
        <v>111</v>
      </c>
      <c r="O805" s="5">
        <v>654</v>
      </c>
      <c r="P805">
        <f>SUM(Table9[[#This Row],[Marketing]])</f>
        <v>111</v>
      </c>
      <c r="Q805">
        <f>SUM(Table9[[#This Row],[Sales]])</f>
        <v>654</v>
      </c>
    </row>
    <row r="806" spans="14:17">
      <c r="N806" s="3">
        <v>7</v>
      </c>
      <c r="O806" s="3">
        <v>45</v>
      </c>
      <c r="P806">
        <f>SUM(Table9[[#This Row],[Marketing]])</f>
        <v>7</v>
      </c>
      <c r="Q806">
        <f>SUM(Table9[[#This Row],[Sales]])</f>
        <v>45</v>
      </c>
    </row>
    <row r="807" spans="14:17">
      <c r="N807" s="5">
        <v>30</v>
      </c>
      <c r="O807" s="5">
        <v>282</v>
      </c>
      <c r="P807">
        <f>SUM(Table9[[#This Row],[Marketing]])</f>
        <v>30</v>
      </c>
      <c r="Q807">
        <f>SUM(Table9[[#This Row],[Sales]])</f>
        <v>282</v>
      </c>
    </row>
    <row r="808" spans="14:17">
      <c r="N808" s="3">
        <v>39</v>
      </c>
      <c r="O808" s="3">
        <v>318</v>
      </c>
      <c r="P808">
        <f>SUM(Table9[[#This Row],[Marketing]])</f>
        <v>39</v>
      </c>
      <c r="Q808">
        <f>SUM(Table9[[#This Row],[Sales]])</f>
        <v>318</v>
      </c>
    </row>
    <row r="809" spans="14:17">
      <c r="N809" s="5">
        <v>23</v>
      </c>
      <c r="O809" s="5">
        <v>194</v>
      </c>
      <c r="P809">
        <f>SUM(Table9[[#This Row],[Marketing]])</f>
        <v>23</v>
      </c>
      <c r="Q809">
        <f>SUM(Table9[[#This Row],[Sales]])</f>
        <v>194</v>
      </c>
    </row>
    <row r="810" spans="14:17">
      <c r="N810" s="3">
        <v>66</v>
      </c>
      <c r="O810" s="3">
        <v>509</v>
      </c>
      <c r="P810">
        <f>SUM(Table9[[#This Row],[Marketing]])</f>
        <v>66</v>
      </c>
      <c r="Q810">
        <f>SUM(Table9[[#This Row],[Sales]])</f>
        <v>509</v>
      </c>
    </row>
    <row r="811" spans="14:17">
      <c r="N811" s="5">
        <v>20</v>
      </c>
      <c r="O811" s="5">
        <v>128</v>
      </c>
      <c r="P811">
        <f>SUM(Table9[[#This Row],[Marketing]])</f>
        <v>20</v>
      </c>
      <c r="Q811">
        <f>SUM(Table9[[#This Row],[Sales]])</f>
        <v>128</v>
      </c>
    </row>
    <row r="812" spans="14:17">
      <c r="N812" s="3">
        <v>34</v>
      </c>
      <c r="O812" s="3">
        <v>322</v>
      </c>
      <c r="P812">
        <f>SUM(Table9[[#This Row],[Marketing]])</f>
        <v>34</v>
      </c>
      <c r="Q812">
        <f>SUM(Table9[[#This Row],[Sales]])</f>
        <v>322</v>
      </c>
    </row>
    <row r="813" spans="14:17">
      <c r="N813" s="5">
        <v>50</v>
      </c>
      <c r="O813" s="5">
        <v>391</v>
      </c>
      <c r="P813">
        <f>SUM(Table9[[#This Row],[Marketing]])</f>
        <v>50</v>
      </c>
      <c r="Q813">
        <f>SUM(Table9[[#This Row],[Sales]])</f>
        <v>391</v>
      </c>
    </row>
    <row r="814" spans="14:17">
      <c r="N814" s="3">
        <v>21</v>
      </c>
      <c r="O814" s="3">
        <v>199</v>
      </c>
      <c r="P814">
        <f>SUM(Table9[[#This Row],[Marketing]])</f>
        <v>21</v>
      </c>
      <c r="Q814">
        <f>SUM(Table9[[#This Row],[Sales]])</f>
        <v>199</v>
      </c>
    </row>
    <row r="815" spans="14:17">
      <c r="N815" s="5">
        <v>84</v>
      </c>
      <c r="O815" s="5">
        <v>637</v>
      </c>
      <c r="P815">
        <f>SUM(Table9[[#This Row],[Marketing]])</f>
        <v>84</v>
      </c>
      <c r="Q815">
        <f>SUM(Table9[[#This Row],[Sales]])</f>
        <v>637</v>
      </c>
    </row>
    <row r="816" spans="14:17">
      <c r="N816" s="3">
        <v>45</v>
      </c>
      <c r="O816" s="3">
        <v>343</v>
      </c>
      <c r="P816">
        <f>SUM(Table9[[#This Row],[Marketing]])</f>
        <v>45</v>
      </c>
      <c r="Q816">
        <f>SUM(Table9[[#This Row],[Sales]])</f>
        <v>343</v>
      </c>
    </row>
    <row r="817" spans="14:17">
      <c r="N817" s="5">
        <v>45</v>
      </c>
      <c r="O817" s="5">
        <v>343</v>
      </c>
      <c r="P817">
        <f>SUM(Table9[[#This Row],[Marketing]])</f>
        <v>45</v>
      </c>
      <c r="Q817">
        <f>SUM(Table9[[#This Row],[Sales]])</f>
        <v>343</v>
      </c>
    </row>
    <row r="818" spans="14:17">
      <c r="N818" s="3">
        <v>34</v>
      </c>
      <c r="O818" s="3">
        <v>322</v>
      </c>
      <c r="P818">
        <f>SUM(Table9[[#This Row],[Marketing]])</f>
        <v>34</v>
      </c>
      <c r="Q818">
        <f>SUM(Table9[[#This Row],[Sales]])</f>
        <v>322</v>
      </c>
    </row>
    <row r="819" spans="14:17">
      <c r="N819" s="5">
        <v>30</v>
      </c>
      <c r="O819" s="5">
        <v>282</v>
      </c>
      <c r="P819">
        <f>SUM(Table9[[#This Row],[Marketing]])</f>
        <v>30</v>
      </c>
      <c r="Q819">
        <f>SUM(Table9[[#This Row],[Sales]])</f>
        <v>282</v>
      </c>
    </row>
    <row r="820" spans="14:17">
      <c r="N820" s="3">
        <v>27</v>
      </c>
      <c r="O820" s="3">
        <v>218</v>
      </c>
      <c r="P820">
        <f>SUM(Table9[[#This Row],[Marketing]])</f>
        <v>27</v>
      </c>
      <c r="Q820">
        <f>SUM(Table9[[#This Row],[Sales]])</f>
        <v>218</v>
      </c>
    </row>
    <row r="821" spans="14:17">
      <c r="N821" s="5">
        <v>28</v>
      </c>
      <c r="O821" s="5">
        <v>232</v>
      </c>
      <c r="P821">
        <f>SUM(Table9[[#This Row],[Marketing]])</f>
        <v>28</v>
      </c>
      <c r="Q821">
        <f>SUM(Table9[[#This Row],[Sales]])</f>
        <v>232</v>
      </c>
    </row>
    <row r="822" spans="14:17">
      <c r="N822" s="3">
        <v>29</v>
      </c>
      <c r="O822" s="3">
        <v>218</v>
      </c>
      <c r="P822">
        <f>SUM(Table9[[#This Row],[Marketing]])</f>
        <v>29</v>
      </c>
      <c r="Q822">
        <f>SUM(Table9[[#This Row],[Sales]])</f>
        <v>218</v>
      </c>
    </row>
    <row r="823" spans="14:17">
      <c r="N823" s="5">
        <v>3</v>
      </c>
      <c r="O823" s="5">
        <v>25</v>
      </c>
      <c r="P823">
        <f>SUM(Table9[[#This Row],[Marketing]])</f>
        <v>3</v>
      </c>
      <c r="Q823">
        <f>SUM(Table9[[#This Row],[Sales]])</f>
        <v>25</v>
      </c>
    </row>
    <row r="824" spans="14:17">
      <c r="N824" s="3">
        <v>28</v>
      </c>
      <c r="O824" s="3">
        <v>215</v>
      </c>
      <c r="P824">
        <f>SUM(Table9[[#This Row],[Marketing]])</f>
        <v>28</v>
      </c>
      <c r="Q824">
        <f>SUM(Table9[[#This Row],[Sales]])</f>
        <v>215</v>
      </c>
    </row>
    <row r="825" spans="14:17">
      <c r="N825" s="5">
        <v>30</v>
      </c>
      <c r="O825" s="5">
        <v>189</v>
      </c>
      <c r="P825">
        <f>SUM(Table9[[#This Row],[Marketing]])</f>
        <v>30</v>
      </c>
      <c r="Q825">
        <f>SUM(Table9[[#This Row],[Sales]])</f>
        <v>189</v>
      </c>
    </row>
    <row r="826" spans="14:17">
      <c r="N826" s="3">
        <v>87</v>
      </c>
      <c r="O826" s="3">
        <v>245</v>
      </c>
      <c r="P826">
        <f>SUM(Table9[[#This Row],[Marketing]])</f>
        <v>87</v>
      </c>
      <c r="Q826">
        <f>SUM(Table9[[#This Row],[Sales]])</f>
        <v>245</v>
      </c>
    </row>
    <row r="827" spans="14:17">
      <c r="N827" s="5">
        <v>11</v>
      </c>
      <c r="O827" s="5">
        <v>106</v>
      </c>
      <c r="P827">
        <f>SUM(Table9[[#This Row],[Marketing]])</f>
        <v>11</v>
      </c>
      <c r="Q827">
        <f>SUM(Table9[[#This Row],[Sales]])</f>
        <v>106</v>
      </c>
    </row>
    <row r="828" spans="14:17">
      <c r="N828" s="3">
        <v>24</v>
      </c>
      <c r="O828" s="3">
        <v>185</v>
      </c>
      <c r="P828">
        <f>SUM(Table9[[#This Row],[Marketing]])</f>
        <v>24</v>
      </c>
      <c r="Q828">
        <f>SUM(Table9[[#This Row],[Sales]])</f>
        <v>185</v>
      </c>
    </row>
    <row r="829" spans="14:17">
      <c r="N829" s="5">
        <v>84</v>
      </c>
      <c r="O829" s="5">
        <v>637</v>
      </c>
      <c r="P829">
        <f>SUM(Table9[[#This Row],[Marketing]])</f>
        <v>84</v>
      </c>
      <c r="Q829">
        <f>SUM(Table9[[#This Row],[Sales]])</f>
        <v>637</v>
      </c>
    </row>
    <row r="830" spans="14:17">
      <c r="N830" s="3">
        <v>39</v>
      </c>
      <c r="O830" s="3">
        <v>318</v>
      </c>
      <c r="P830">
        <f>SUM(Table9[[#This Row],[Marketing]])</f>
        <v>39</v>
      </c>
      <c r="Q830">
        <f>SUM(Table9[[#This Row],[Sales]])</f>
        <v>318</v>
      </c>
    </row>
    <row r="831" spans="14:17">
      <c r="N831" s="5">
        <v>26</v>
      </c>
      <c r="O831" s="5">
        <v>116</v>
      </c>
      <c r="P831">
        <f>SUM(Table9[[#This Row],[Marketing]])</f>
        <v>26</v>
      </c>
      <c r="Q831">
        <f>SUM(Table9[[#This Row],[Sales]])</f>
        <v>116</v>
      </c>
    </row>
    <row r="832" spans="14:17">
      <c r="N832" s="3">
        <v>66</v>
      </c>
      <c r="O832" s="3">
        <v>509</v>
      </c>
      <c r="P832">
        <f>SUM(Table9[[#This Row],[Marketing]])</f>
        <v>66</v>
      </c>
      <c r="Q832">
        <f>SUM(Table9[[#This Row],[Sales]])</f>
        <v>509</v>
      </c>
    </row>
    <row r="833" spans="14:17">
      <c r="N833" s="5">
        <v>96</v>
      </c>
      <c r="O833" s="5">
        <v>604</v>
      </c>
      <c r="P833">
        <f>SUM(Table9[[#This Row],[Marketing]])</f>
        <v>96</v>
      </c>
      <c r="Q833">
        <f>SUM(Table9[[#This Row],[Sales]])</f>
        <v>604</v>
      </c>
    </row>
    <row r="834" spans="14:17">
      <c r="N834" s="3">
        <v>9</v>
      </c>
      <c r="O834" s="3">
        <v>60</v>
      </c>
      <c r="P834">
        <f>SUM(Table9[[#This Row],[Marketing]])</f>
        <v>9</v>
      </c>
      <c r="Q834">
        <f>SUM(Table9[[#This Row],[Sales]])</f>
        <v>60</v>
      </c>
    </row>
    <row r="835" spans="14:17">
      <c r="N835" s="5">
        <v>22</v>
      </c>
      <c r="O835" s="5">
        <v>211</v>
      </c>
      <c r="P835">
        <f>SUM(Table9[[#This Row],[Marketing]])</f>
        <v>22</v>
      </c>
      <c r="Q835">
        <f>SUM(Table9[[#This Row],[Sales]])</f>
        <v>211</v>
      </c>
    </row>
    <row r="836" spans="14:17">
      <c r="N836" s="3">
        <v>36</v>
      </c>
      <c r="O836" s="3">
        <v>296</v>
      </c>
      <c r="P836">
        <f>SUM(Table9[[#This Row],[Marketing]])</f>
        <v>36</v>
      </c>
      <c r="Q836">
        <f>SUM(Table9[[#This Row],[Sales]])</f>
        <v>296</v>
      </c>
    </row>
    <row r="837" spans="14:17">
      <c r="N837" s="5">
        <v>24</v>
      </c>
      <c r="O837" s="5">
        <v>201</v>
      </c>
      <c r="P837">
        <f>SUM(Table9[[#This Row],[Marketing]])</f>
        <v>24</v>
      </c>
      <c r="Q837">
        <f>SUM(Table9[[#This Row],[Sales]])</f>
        <v>201</v>
      </c>
    </row>
    <row r="838" spans="14:17">
      <c r="N838" s="3">
        <v>59</v>
      </c>
      <c r="O838" s="3">
        <v>451</v>
      </c>
      <c r="P838">
        <f>SUM(Table9[[#This Row],[Marketing]])</f>
        <v>59</v>
      </c>
      <c r="Q838">
        <f>SUM(Table9[[#This Row],[Sales]])</f>
        <v>451</v>
      </c>
    </row>
    <row r="839" spans="14:17">
      <c r="N839" s="5">
        <v>33</v>
      </c>
      <c r="O839" s="5">
        <v>309</v>
      </c>
      <c r="P839">
        <f>SUM(Table9[[#This Row],[Marketing]])</f>
        <v>33</v>
      </c>
      <c r="Q839">
        <f>SUM(Table9[[#This Row],[Sales]])</f>
        <v>309</v>
      </c>
    </row>
    <row r="840" spans="14:17">
      <c r="N840" s="3">
        <v>57</v>
      </c>
      <c r="O840" s="3">
        <v>439</v>
      </c>
      <c r="P840">
        <f>SUM(Table9[[#This Row],[Marketing]])</f>
        <v>57</v>
      </c>
      <c r="Q840">
        <f>SUM(Table9[[#This Row],[Sales]])</f>
        <v>439</v>
      </c>
    </row>
    <row r="841" spans="14:17">
      <c r="N841" s="5">
        <v>14</v>
      </c>
      <c r="O841" s="5">
        <v>131</v>
      </c>
      <c r="P841">
        <f>SUM(Table9[[#This Row],[Marketing]])</f>
        <v>14</v>
      </c>
      <c r="Q841">
        <f>SUM(Table9[[#This Row],[Sales]])</f>
        <v>131</v>
      </c>
    </row>
    <row r="842" spans="14:17">
      <c r="N842" s="3">
        <v>75</v>
      </c>
      <c r="O842" s="3">
        <v>567</v>
      </c>
      <c r="P842">
        <f>SUM(Table9[[#This Row],[Marketing]])</f>
        <v>75</v>
      </c>
      <c r="Q842">
        <f>SUM(Table9[[#This Row],[Sales]])</f>
        <v>567</v>
      </c>
    </row>
    <row r="843" spans="14:17">
      <c r="N843" s="5">
        <v>50</v>
      </c>
      <c r="O843" s="5">
        <v>387</v>
      </c>
      <c r="P843">
        <f>SUM(Table9[[#This Row],[Marketing]])</f>
        <v>50</v>
      </c>
      <c r="Q843">
        <f>SUM(Table9[[#This Row],[Sales]])</f>
        <v>387</v>
      </c>
    </row>
    <row r="844" spans="14:17">
      <c r="N844" s="3">
        <v>50</v>
      </c>
      <c r="O844" s="3">
        <v>387</v>
      </c>
      <c r="P844">
        <f>SUM(Table9[[#This Row],[Marketing]])</f>
        <v>50</v>
      </c>
      <c r="Q844">
        <f>SUM(Table9[[#This Row],[Sales]])</f>
        <v>387</v>
      </c>
    </row>
    <row r="845" spans="14:17">
      <c r="N845" s="5">
        <v>33</v>
      </c>
      <c r="O845" s="5">
        <v>309</v>
      </c>
      <c r="P845">
        <f>SUM(Table9[[#This Row],[Marketing]])</f>
        <v>33</v>
      </c>
      <c r="Q845">
        <f>SUM(Table9[[#This Row],[Sales]])</f>
        <v>309</v>
      </c>
    </row>
    <row r="846" spans="14:17">
      <c r="N846" s="3">
        <v>22</v>
      </c>
      <c r="O846" s="3">
        <v>211</v>
      </c>
      <c r="P846">
        <f>SUM(Table9[[#This Row],[Marketing]])</f>
        <v>22</v>
      </c>
      <c r="Q846">
        <f>SUM(Table9[[#This Row],[Sales]])</f>
        <v>211</v>
      </c>
    </row>
    <row r="847" spans="14:17">
      <c r="N847" s="5">
        <v>25</v>
      </c>
      <c r="O847" s="5">
        <v>210</v>
      </c>
      <c r="P847">
        <f>SUM(Table9[[#This Row],[Marketing]])</f>
        <v>25</v>
      </c>
      <c r="Q847">
        <f>SUM(Table9[[#This Row],[Sales]])</f>
        <v>210</v>
      </c>
    </row>
    <row r="848" spans="14:17">
      <c r="N848" s="3">
        <v>24</v>
      </c>
      <c r="O848" s="3">
        <v>201</v>
      </c>
      <c r="P848">
        <f>SUM(Table9[[#This Row],[Marketing]])</f>
        <v>24</v>
      </c>
      <c r="Q848">
        <f>SUM(Table9[[#This Row],[Sales]])</f>
        <v>201</v>
      </c>
    </row>
    <row r="849" spans="14:17">
      <c r="N849" s="5">
        <v>31</v>
      </c>
      <c r="O849" s="5">
        <v>261</v>
      </c>
      <c r="P849">
        <f>SUM(Table9[[#This Row],[Marketing]])</f>
        <v>31</v>
      </c>
      <c r="Q849">
        <f>SUM(Table9[[#This Row],[Sales]])</f>
        <v>261</v>
      </c>
    </row>
    <row r="850" spans="14:17">
      <c r="N850" s="3">
        <v>29</v>
      </c>
      <c r="O850" s="3">
        <v>213</v>
      </c>
      <c r="P850">
        <f>SUM(Table9[[#This Row],[Marketing]])</f>
        <v>29</v>
      </c>
      <c r="Q850">
        <f>SUM(Table9[[#This Row],[Sales]])</f>
        <v>213</v>
      </c>
    </row>
    <row r="851" spans="14:17">
      <c r="N851" s="5">
        <v>3</v>
      </c>
      <c r="O851" s="5">
        <v>25</v>
      </c>
      <c r="P851">
        <f>SUM(Table9[[#This Row],[Marketing]])</f>
        <v>3</v>
      </c>
      <c r="Q851">
        <f>SUM(Table9[[#This Row],[Sales]])</f>
        <v>25</v>
      </c>
    </row>
    <row r="852" spans="14:17">
      <c r="N852" s="3">
        <v>25</v>
      </c>
      <c r="O852" s="3">
        <v>192</v>
      </c>
      <c r="P852">
        <f>SUM(Table9[[#This Row],[Marketing]])</f>
        <v>25</v>
      </c>
      <c r="Q852">
        <f>SUM(Table9[[#This Row],[Sales]])</f>
        <v>192</v>
      </c>
    </row>
    <row r="853" spans="14:17">
      <c r="N853" s="5">
        <v>4</v>
      </c>
      <c r="O853" s="5">
        <v>42</v>
      </c>
      <c r="P853">
        <f>SUM(Table9[[#This Row],[Marketing]])</f>
        <v>4</v>
      </c>
      <c r="Q853">
        <f>SUM(Table9[[#This Row],[Sales]])</f>
        <v>42</v>
      </c>
    </row>
    <row r="854" spans="14:17">
      <c r="N854" s="3">
        <v>31</v>
      </c>
      <c r="O854" s="3">
        <v>196</v>
      </c>
      <c r="P854">
        <f>SUM(Table9[[#This Row],[Marketing]])</f>
        <v>31</v>
      </c>
      <c r="Q854">
        <f>SUM(Table9[[#This Row],[Sales]])</f>
        <v>196</v>
      </c>
    </row>
    <row r="855" spans="14:17">
      <c r="N855" s="5">
        <v>85</v>
      </c>
      <c r="O855" s="5">
        <v>239</v>
      </c>
      <c r="P855">
        <f>SUM(Table9[[#This Row],[Marketing]])</f>
        <v>85</v>
      </c>
      <c r="Q855">
        <f>SUM(Table9[[#This Row],[Sales]])</f>
        <v>239</v>
      </c>
    </row>
    <row r="856" spans="14:17">
      <c r="N856" s="3">
        <v>15</v>
      </c>
      <c r="O856" s="3">
        <v>141</v>
      </c>
      <c r="P856">
        <f>SUM(Table9[[#This Row],[Marketing]])</f>
        <v>15</v>
      </c>
      <c r="Q856">
        <f>SUM(Table9[[#This Row],[Sales]])</f>
        <v>141</v>
      </c>
    </row>
    <row r="857" spans="14:17">
      <c r="N857" s="5">
        <v>23</v>
      </c>
      <c r="O857" s="5">
        <v>175</v>
      </c>
      <c r="P857">
        <f>SUM(Table9[[#This Row],[Marketing]])</f>
        <v>23</v>
      </c>
      <c r="Q857">
        <f>SUM(Table9[[#This Row],[Sales]])</f>
        <v>175</v>
      </c>
    </row>
    <row r="858" spans="14:17">
      <c r="N858" s="3">
        <v>75</v>
      </c>
      <c r="O858" s="3">
        <v>567</v>
      </c>
      <c r="P858">
        <f>SUM(Table9[[#This Row],[Marketing]])</f>
        <v>75</v>
      </c>
      <c r="Q858">
        <f>SUM(Table9[[#This Row],[Sales]])</f>
        <v>567</v>
      </c>
    </row>
    <row r="859" spans="14:17">
      <c r="N859" s="5">
        <v>36</v>
      </c>
      <c r="O859" s="5">
        <v>296</v>
      </c>
      <c r="P859">
        <f>SUM(Table9[[#This Row],[Marketing]])</f>
        <v>36</v>
      </c>
      <c r="Q859">
        <f>SUM(Table9[[#This Row],[Sales]])</f>
        <v>296</v>
      </c>
    </row>
    <row r="860" spans="14:17">
      <c r="N860" s="3">
        <v>59</v>
      </c>
      <c r="O860" s="3">
        <v>451</v>
      </c>
      <c r="P860">
        <f>SUM(Table9[[#This Row],[Marketing]])</f>
        <v>59</v>
      </c>
      <c r="Q860">
        <f>SUM(Table9[[#This Row],[Sales]])</f>
        <v>451</v>
      </c>
    </row>
    <row r="861" spans="14:17">
      <c r="N861" s="5">
        <v>93</v>
      </c>
      <c r="O861" s="5">
        <v>581</v>
      </c>
      <c r="P861">
        <f>SUM(Table9[[#This Row],[Marketing]])</f>
        <v>93</v>
      </c>
      <c r="Q861">
        <f>SUM(Table9[[#This Row],[Sales]])</f>
        <v>581</v>
      </c>
    </row>
    <row r="862" spans="14:17">
      <c r="N862" s="3">
        <v>24</v>
      </c>
      <c r="O862" s="3">
        <v>224</v>
      </c>
      <c r="P862">
        <f>SUM(Table9[[#This Row],[Marketing]])</f>
        <v>24</v>
      </c>
      <c r="Q862">
        <f>SUM(Table9[[#This Row],[Sales]])</f>
        <v>224</v>
      </c>
    </row>
    <row r="863" spans="14:17">
      <c r="N863" s="5">
        <v>40</v>
      </c>
      <c r="O863" s="5">
        <v>332</v>
      </c>
      <c r="P863">
        <f>SUM(Table9[[#This Row],[Marketing]])</f>
        <v>40</v>
      </c>
      <c r="Q863">
        <f>SUM(Table9[[#This Row],[Sales]])</f>
        <v>332</v>
      </c>
    </row>
    <row r="864" spans="14:17">
      <c r="N864" s="3">
        <v>22</v>
      </c>
      <c r="O864" s="3">
        <v>179</v>
      </c>
      <c r="P864">
        <f>SUM(Table9[[#This Row],[Marketing]])</f>
        <v>22</v>
      </c>
      <c r="Q864">
        <f>SUM(Table9[[#This Row],[Sales]])</f>
        <v>179</v>
      </c>
    </row>
    <row r="865" spans="14:17">
      <c r="N865" s="5">
        <v>70</v>
      </c>
      <c r="O865" s="5">
        <v>534</v>
      </c>
      <c r="P865">
        <f>SUM(Table9[[#This Row],[Marketing]])</f>
        <v>70</v>
      </c>
      <c r="Q865">
        <f>SUM(Table9[[#This Row],[Sales]])</f>
        <v>534</v>
      </c>
    </row>
    <row r="866" spans="14:17">
      <c r="N866" s="3">
        <v>34</v>
      </c>
      <c r="O866" s="3">
        <v>322</v>
      </c>
      <c r="P866">
        <f>SUM(Table9[[#This Row],[Marketing]])</f>
        <v>34</v>
      </c>
      <c r="Q866">
        <f>SUM(Table9[[#This Row],[Sales]])</f>
        <v>322</v>
      </c>
    </row>
    <row r="867" spans="14:17">
      <c r="N867" s="5">
        <v>73</v>
      </c>
      <c r="O867" s="5">
        <v>569</v>
      </c>
      <c r="P867">
        <f>SUM(Table9[[#This Row],[Marketing]])</f>
        <v>73</v>
      </c>
      <c r="Q867">
        <f>SUM(Table9[[#This Row],[Sales]])</f>
        <v>569</v>
      </c>
    </row>
    <row r="868" spans="14:17">
      <c r="N868" s="3">
        <v>15</v>
      </c>
      <c r="O868" s="3">
        <v>142</v>
      </c>
      <c r="P868">
        <f>SUM(Table9[[#This Row],[Marketing]])</f>
        <v>15</v>
      </c>
      <c r="Q868">
        <f>SUM(Table9[[#This Row],[Sales]])</f>
        <v>142</v>
      </c>
    </row>
    <row r="869" spans="14:17">
      <c r="N869" s="5">
        <v>81</v>
      </c>
      <c r="O869" s="5">
        <v>614</v>
      </c>
      <c r="P869">
        <f>SUM(Table9[[#This Row],[Marketing]])</f>
        <v>81</v>
      </c>
      <c r="Q869">
        <f>SUM(Table9[[#This Row],[Sales]])</f>
        <v>614</v>
      </c>
    </row>
    <row r="870" spans="14:17">
      <c r="N870" s="3">
        <v>42</v>
      </c>
      <c r="O870" s="3">
        <v>326</v>
      </c>
      <c r="P870">
        <f>SUM(Table9[[#This Row],[Marketing]])</f>
        <v>42</v>
      </c>
      <c r="Q870">
        <f>SUM(Table9[[#This Row],[Sales]])</f>
        <v>326</v>
      </c>
    </row>
    <row r="871" spans="14:17">
      <c r="N871" s="5">
        <v>42</v>
      </c>
      <c r="O871" s="5">
        <v>326</v>
      </c>
      <c r="P871">
        <f>SUM(Table9[[#This Row],[Marketing]])</f>
        <v>42</v>
      </c>
      <c r="Q871">
        <f>SUM(Table9[[#This Row],[Sales]])</f>
        <v>326</v>
      </c>
    </row>
    <row r="872" spans="14:17">
      <c r="N872" s="3">
        <v>34</v>
      </c>
      <c r="O872" s="3">
        <v>322</v>
      </c>
      <c r="P872">
        <f>SUM(Table9[[#This Row],[Marketing]])</f>
        <v>34</v>
      </c>
      <c r="Q872">
        <f>SUM(Table9[[#This Row],[Sales]])</f>
        <v>322</v>
      </c>
    </row>
    <row r="873" spans="14:17">
      <c r="N873" s="5">
        <v>24</v>
      </c>
      <c r="O873" s="5">
        <v>224</v>
      </c>
      <c r="P873">
        <f>SUM(Table9[[#This Row],[Marketing]])</f>
        <v>24</v>
      </c>
      <c r="Q873">
        <f>SUM(Table9[[#This Row],[Sales]])</f>
        <v>224</v>
      </c>
    </row>
    <row r="874" spans="14:17">
      <c r="N874" s="3">
        <v>29</v>
      </c>
      <c r="O874" s="3">
        <v>236</v>
      </c>
      <c r="P874">
        <f>SUM(Table9[[#This Row],[Marketing]])</f>
        <v>29</v>
      </c>
      <c r="Q874">
        <f>SUM(Table9[[#This Row],[Sales]])</f>
        <v>236</v>
      </c>
    </row>
    <row r="875" spans="14:17">
      <c r="N875" s="5">
        <v>41</v>
      </c>
      <c r="O875" s="5">
        <v>341</v>
      </c>
      <c r="P875">
        <f>SUM(Table9[[#This Row],[Marketing]])</f>
        <v>41</v>
      </c>
      <c r="Q875">
        <f>SUM(Table9[[#This Row],[Sales]])</f>
        <v>341</v>
      </c>
    </row>
    <row r="876" spans="14:17">
      <c r="N876" s="3">
        <v>26</v>
      </c>
      <c r="O876" s="3">
        <v>197</v>
      </c>
      <c r="P876">
        <f>SUM(Table9[[#This Row],[Marketing]])</f>
        <v>26</v>
      </c>
      <c r="Q876">
        <f>SUM(Table9[[#This Row],[Sales]])</f>
        <v>197</v>
      </c>
    </row>
    <row r="877" spans="14:17">
      <c r="N877" s="5">
        <v>3</v>
      </c>
      <c r="O877" s="5">
        <v>26</v>
      </c>
      <c r="P877">
        <f>SUM(Table9[[#This Row],[Marketing]])</f>
        <v>3</v>
      </c>
      <c r="Q877">
        <f>SUM(Table9[[#This Row],[Sales]])</f>
        <v>26</v>
      </c>
    </row>
    <row r="878" spans="14:17">
      <c r="N878" s="3">
        <v>27</v>
      </c>
      <c r="O878" s="3">
        <v>208</v>
      </c>
      <c r="P878">
        <f>SUM(Table9[[#This Row],[Marketing]])</f>
        <v>27</v>
      </c>
      <c r="Q878">
        <f>SUM(Table9[[#This Row],[Sales]])</f>
        <v>208</v>
      </c>
    </row>
    <row r="879" spans="14:17">
      <c r="N879" s="5">
        <v>25</v>
      </c>
      <c r="O879" s="5">
        <v>163</v>
      </c>
      <c r="P879">
        <f>SUM(Table9[[#This Row],[Marketing]])</f>
        <v>25</v>
      </c>
      <c r="Q879">
        <f>SUM(Table9[[#This Row],[Sales]])</f>
        <v>163</v>
      </c>
    </row>
    <row r="880" spans="14:17">
      <c r="N880" s="3">
        <v>95</v>
      </c>
      <c r="O880" s="3">
        <v>266</v>
      </c>
      <c r="P880">
        <f>SUM(Table9[[#This Row],[Marketing]])</f>
        <v>95</v>
      </c>
      <c r="Q880">
        <f>SUM(Table9[[#This Row],[Sales]])</f>
        <v>266</v>
      </c>
    </row>
    <row r="881" spans="14:17">
      <c r="N881" s="5">
        <v>14</v>
      </c>
      <c r="O881" s="5">
        <v>131</v>
      </c>
      <c r="P881">
        <f>SUM(Table9[[#This Row],[Marketing]])</f>
        <v>14</v>
      </c>
      <c r="Q881">
        <f>SUM(Table9[[#This Row],[Sales]])</f>
        <v>131</v>
      </c>
    </row>
    <row r="882" spans="14:17">
      <c r="N882" s="3">
        <v>24</v>
      </c>
      <c r="O882" s="3">
        <v>188</v>
      </c>
      <c r="P882">
        <f>SUM(Table9[[#This Row],[Marketing]])</f>
        <v>24</v>
      </c>
      <c r="Q882">
        <f>SUM(Table9[[#This Row],[Sales]])</f>
        <v>188</v>
      </c>
    </row>
    <row r="883" spans="14:17">
      <c r="N883" s="5">
        <v>81</v>
      </c>
      <c r="O883" s="5">
        <v>614</v>
      </c>
      <c r="P883">
        <f>SUM(Table9[[#This Row],[Marketing]])</f>
        <v>81</v>
      </c>
      <c r="Q883">
        <f>SUM(Table9[[#This Row],[Sales]])</f>
        <v>614</v>
      </c>
    </row>
    <row r="884" spans="14:17">
      <c r="N884" s="3">
        <v>40</v>
      </c>
      <c r="O884" s="3">
        <v>332</v>
      </c>
      <c r="P884">
        <f>SUM(Table9[[#This Row],[Marketing]])</f>
        <v>40</v>
      </c>
      <c r="Q884">
        <f>SUM(Table9[[#This Row],[Sales]])</f>
        <v>332</v>
      </c>
    </row>
    <row r="885" spans="14:17">
      <c r="N885" s="5">
        <v>70</v>
      </c>
      <c r="O885" s="5">
        <v>534</v>
      </c>
      <c r="P885">
        <f>SUM(Table9[[#This Row],[Marketing]])</f>
        <v>70</v>
      </c>
      <c r="Q885">
        <f>SUM(Table9[[#This Row],[Sales]])</f>
        <v>534</v>
      </c>
    </row>
    <row r="886" spans="14:17">
      <c r="N886" s="3">
        <v>111</v>
      </c>
      <c r="O886" s="3">
        <v>697</v>
      </c>
      <c r="P886">
        <f>SUM(Table9[[#This Row],[Marketing]])</f>
        <v>111</v>
      </c>
      <c r="Q886">
        <f>SUM(Table9[[#This Row],[Sales]])</f>
        <v>697</v>
      </c>
    </row>
    <row r="887" spans="14:17">
      <c r="N887" s="5">
        <v>7</v>
      </c>
      <c r="O887" s="5">
        <v>48</v>
      </c>
      <c r="P887">
        <f>SUM(Table9[[#This Row],[Marketing]])</f>
        <v>7</v>
      </c>
      <c r="Q887">
        <f>SUM(Table9[[#This Row],[Sales]])</f>
        <v>48</v>
      </c>
    </row>
    <row r="888" spans="14:17">
      <c r="N888" s="3">
        <v>50</v>
      </c>
      <c r="O888" s="3">
        <v>130</v>
      </c>
      <c r="P888">
        <f>SUM(Table9[[#This Row],[Marketing]])</f>
        <v>50</v>
      </c>
      <c r="Q888">
        <f>SUM(Table9[[#This Row],[Sales]])</f>
        <v>130</v>
      </c>
    </row>
    <row r="889" spans="14:17">
      <c r="N889" s="5">
        <v>84</v>
      </c>
      <c r="O889" s="5">
        <v>598</v>
      </c>
      <c r="P889">
        <f>SUM(Table9[[#This Row],[Marketing]])</f>
        <v>84</v>
      </c>
      <c r="Q889">
        <f>SUM(Table9[[#This Row],[Sales]])</f>
        <v>598</v>
      </c>
    </row>
    <row r="890" spans="14:17">
      <c r="N890" s="3">
        <v>39</v>
      </c>
      <c r="O890" s="3">
        <v>109</v>
      </c>
      <c r="P890">
        <f>SUM(Table9[[#This Row],[Marketing]])</f>
        <v>39</v>
      </c>
      <c r="Q890">
        <f>SUM(Table9[[#This Row],[Sales]])</f>
        <v>109</v>
      </c>
    </row>
    <row r="891" spans="14:17">
      <c r="N891" s="5">
        <v>91</v>
      </c>
      <c r="O891" s="5">
        <v>650</v>
      </c>
      <c r="P891">
        <f>SUM(Table9[[#This Row],[Marketing]])</f>
        <v>91</v>
      </c>
      <c r="Q891">
        <f>SUM(Table9[[#This Row],[Sales]])</f>
        <v>650</v>
      </c>
    </row>
    <row r="892" spans="14:17">
      <c r="N892" s="3">
        <v>66</v>
      </c>
      <c r="O892" s="3">
        <v>478</v>
      </c>
      <c r="P892">
        <f>SUM(Table9[[#This Row],[Marketing]])</f>
        <v>66</v>
      </c>
      <c r="Q892">
        <f>SUM(Table9[[#This Row],[Sales]])</f>
        <v>478</v>
      </c>
    </row>
    <row r="893" spans="14:17">
      <c r="N893" s="5">
        <v>113</v>
      </c>
      <c r="O893" s="5">
        <v>298</v>
      </c>
      <c r="P893">
        <f>SUM(Table9[[#This Row],[Marketing]])</f>
        <v>113</v>
      </c>
      <c r="Q893">
        <f>SUM(Table9[[#This Row],[Sales]])</f>
        <v>298</v>
      </c>
    </row>
    <row r="894" spans="14:17">
      <c r="N894" s="3">
        <v>30</v>
      </c>
      <c r="O894" s="3">
        <v>265</v>
      </c>
      <c r="P894">
        <f>SUM(Table9[[#This Row],[Marketing]])</f>
        <v>30</v>
      </c>
      <c r="Q894">
        <f>SUM(Table9[[#This Row],[Sales]])</f>
        <v>265</v>
      </c>
    </row>
    <row r="895" spans="14:17">
      <c r="N895" s="5">
        <v>74</v>
      </c>
      <c r="O895" s="5">
        <v>520</v>
      </c>
      <c r="P895">
        <f>SUM(Table9[[#This Row],[Marketing]])</f>
        <v>74</v>
      </c>
      <c r="Q895">
        <f>SUM(Table9[[#This Row],[Sales]])</f>
        <v>520</v>
      </c>
    </row>
    <row r="896" spans="14:17">
      <c r="N896" s="3">
        <v>34</v>
      </c>
      <c r="O896" s="3">
        <v>302</v>
      </c>
      <c r="P896">
        <f>SUM(Table9[[#This Row],[Marketing]])</f>
        <v>34</v>
      </c>
      <c r="Q896">
        <f>SUM(Table9[[#This Row],[Sales]])</f>
        <v>302</v>
      </c>
    </row>
    <row r="897" spans="14:17">
      <c r="N897" s="5">
        <v>13</v>
      </c>
      <c r="O897" s="5">
        <v>107</v>
      </c>
      <c r="P897">
        <f>SUM(Table9[[#This Row],[Marketing]])</f>
        <v>13</v>
      </c>
      <c r="Q897">
        <f>SUM(Table9[[#This Row],[Sales]])</f>
        <v>107</v>
      </c>
    </row>
    <row r="898" spans="14:17">
      <c r="N898" s="3">
        <v>30</v>
      </c>
      <c r="O898" s="3">
        <v>177</v>
      </c>
      <c r="P898">
        <f>SUM(Table9[[#This Row],[Marketing]])</f>
        <v>30</v>
      </c>
      <c r="Q898">
        <f>SUM(Table9[[#This Row],[Sales]])</f>
        <v>177</v>
      </c>
    </row>
    <row r="899" spans="14:17">
      <c r="N899" s="5">
        <v>87</v>
      </c>
      <c r="O899" s="5">
        <v>230</v>
      </c>
      <c r="P899">
        <f>SUM(Table9[[#This Row],[Marketing]])</f>
        <v>87</v>
      </c>
      <c r="Q899">
        <f>SUM(Table9[[#This Row],[Sales]])</f>
        <v>230</v>
      </c>
    </row>
    <row r="900" spans="14:17">
      <c r="N900" s="3">
        <v>45</v>
      </c>
      <c r="O900" s="3">
        <v>322</v>
      </c>
      <c r="P900">
        <f>SUM(Table9[[#This Row],[Marketing]])</f>
        <v>45</v>
      </c>
      <c r="Q900">
        <f>SUM(Table9[[#This Row],[Sales]])</f>
        <v>322</v>
      </c>
    </row>
    <row r="901" spans="14:17">
      <c r="N901" s="5">
        <v>24</v>
      </c>
      <c r="O901" s="5">
        <v>174</v>
      </c>
      <c r="P901">
        <f>SUM(Table9[[#This Row],[Marketing]])</f>
        <v>24</v>
      </c>
      <c r="Q901">
        <f>SUM(Table9[[#This Row],[Sales]])</f>
        <v>174</v>
      </c>
    </row>
    <row r="902" spans="14:17">
      <c r="N902" s="3">
        <v>46</v>
      </c>
      <c r="O902" s="3">
        <v>122</v>
      </c>
      <c r="P902">
        <f>SUM(Table9[[#This Row],[Marketing]])</f>
        <v>46</v>
      </c>
      <c r="Q902">
        <f>SUM(Table9[[#This Row],[Sales]])</f>
        <v>122</v>
      </c>
    </row>
    <row r="903" spans="14:17">
      <c r="N903" s="5">
        <v>20</v>
      </c>
      <c r="O903" s="5">
        <v>142</v>
      </c>
      <c r="P903">
        <f>SUM(Table9[[#This Row],[Marketing]])</f>
        <v>20</v>
      </c>
      <c r="Q903">
        <f>SUM(Table9[[#This Row],[Sales]])</f>
        <v>142</v>
      </c>
    </row>
    <row r="904" spans="14:17">
      <c r="N904" s="3">
        <v>19</v>
      </c>
      <c r="O904" s="3">
        <v>144</v>
      </c>
      <c r="P904">
        <f>SUM(Table9[[#This Row],[Marketing]])</f>
        <v>19</v>
      </c>
      <c r="Q904">
        <f>SUM(Table9[[#This Row],[Sales]])</f>
        <v>144</v>
      </c>
    </row>
    <row r="905" spans="14:17">
      <c r="N905" s="5">
        <v>15</v>
      </c>
      <c r="O905" s="5">
        <v>111</v>
      </c>
      <c r="P905">
        <f>SUM(Table9[[#This Row],[Marketing]])</f>
        <v>15</v>
      </c>
      <c r="Q905">
        <f>SUM(Table9[[#This Row],[Sales]])</f>
        <v>111</v>
      </c>
    </row>
    <row r="906" spans="14:17">
      <c r="N906" s="3">
        <v>21</v>
      </c>
      <c r="O906" s="3">
        <v>167</v>
      </c>
      <c r="P906">
        <f>SUM(Table9[[#This Row],[Marketing]])</f>
        <v>21</v>
      </c>
      <c r="Q906">
        <f>SUM(Table9[[#This Row],[Sales]])</f>
        <v>167</v>
      </c>
    </row>
    <row r="907" spans="14:17">
      <c r="N907" s="5">
        <v>7</v>
      </c>
      <c r="O907" s="5">
        <v>51</v>
      </c>
      <c r="P907">
        <f>SUM(Table9[[#This Row],[Marketing]])</f>
        <v>7</v>
      </c>
      <c r="Q907">
        <f>SUM(Table9[[#This Row],[Sales]])</f>
        <v>51</v>
      </c>
    </row>
    <row r="908" spans="14:17">
      <c r="N908" s="3">
        <v>5</v>
      </c>
      <c r="O908" s="3">
        <v>52</v>
      </c>
      <c r="P908">
        <f>SUM(Table9[[#This Row],[Marketing]])</f>
        <v>5</v>
      </c>
      <c r="Q908">
        <f>SUM(Table9[[#This Row],[Sales]])</f>
        <v>52</v>
      </c>
    </row>
    <row r="909" spans="14:17">
      <c r="N909" s="5">
        <v>33</v>
      </c>
      <c r="O909" s="5">
        <v>236</v>
      </c>
      <c r="P909">
        <f>SUM(Table9[[#This Row],[Marketing]])</f>
        <v>33</v>
      </c>
      <c r="Q909">
        <f>SUM(Table9[[#This Row],[Sales]])</f>
        <v>236</v>
      </c>
    </row>
    <row r="910" spans="14:17">
      <c r="N910" s="3">
        <v>113</v>
      </c>
      <c r="O910" s="3">
        <v>298</v>
      </c>
      <c r="P910">
        <f>SUM(Table9[[#This Row],[Marketing]])</f>
        <v>113</v>
      </c>
      <c r="Q910">
        <f>SUM(Table9[[#This Row],[Sales]])</f>
        <v>298</v>
      </c>
    </row>
    <row r="911" spans="14:17">
      <c r="N911" s="5">
        <v>41</v>
      </c>
      <c r="O911" s="5">
        <v>313</v>
      </c>
      <c r="P911">
        <f>SUM(Table9[[#This Row],[Marketing]])</f>
        <v>41</v>
      </c>
      <c r="Q911">
        <f>SUM(Table9[[#This Row],[Sales]])</f>
        <v>313</v>
      </c>
    </row>
    <row r="912" spans="14:17">
      <c r="N912" s="3">
        <v>50</v>
      </c>
      <c r="O912" s="3">
        <v>367</v>
      </c>
      <c r="P912">
        <f>SUM(Table9[[#This Row],[Marketing]])</f>
        <v>50</v>
      </c>
      <c r="Q912">
        <f>SUM(Table9[[#This Row],[Sales]])</f>
        <v>367</v>
      </c>
    </row>
    <row r="913" spans="14:17">
      <c r="N913" s="5">
        <v>29</v>
      </c>
      <c r="O913" s="5">
        <v>205</v>
      </c>
      <c r="P913">
        <f>SUM(Table9[[#This Row],[Marketing]])</f>
        <v>29</v>
      </c>
      <c r="Q913">
        <f>SUM(Table9[[#This Row],[Sales]])</f>
        <v>205</v>
      </c>
    </row>
    <row r="914" spans="14:17">
      <c r="N914" s="3">
        <v>39</v>
      </c>
      <c r="O914" s="3">
        <v>298</v>
      </c>
      <c r="P914">
        <f>SUM(Table9[[#This Row],[Marketing]])</f>
        <v>39</v>
      </c>
      <c r="Q914">
        <f>SUM(Table9[[#This Row],[Sales]])</f>
        <v>298</v>
      </c>
    </row>
    <row r="915" spans="14:17">
      <c r="N915" s="5">
        <v>26</v>
      </c>
      <c r="O915" s="5">
        <v>109</v>
      </c>
      <c r="P915">
        <f>SUM(Table9[[#This Row],[Marketing]])</f>
        <v>26</v>
      </c>
      <c r="Q915">
        <f>SUM(Table9[[#This Row],[Sales]])</f>
        <v>109</v>
      </c>
    </row>
    <row r="916" spans="14:17">
      <c r="N916" s="3">
        <v>84</v>
      </c>
      <c r="O916" s="3">
        <v>598</v>
      </c>
      <c r="P916">
        <f>SUM(Table9[[#This Row],[Marketing]])</f>
        <v>84</v>
      </c>
      <c r="Q916">
        <f>SUM(Table9[[#This Row],[Sales]])</f>
        <v>598</v>
      </c>
    </row>
    <row r="917" spans="14:17">
      <c r="N917" s="5">
        <v>5</v>
      </c>
      <c r="O917" s="5">
        <v>53</v>
      </c>
      <c r="P917">
        <f>SUM(Table9[[#This Row],[Marketing]])</f>
        <v>5</v>
      </c>
      <c r="Q917">
        <f>SUM(Table9[[#This Row],[Sales]])</f>
        <v>53</v>
      </c>
    </row>
    <row r="918" spans="14:17">
      <c r="N918" s="3">
        <v>66</v>
      </c>
      <c r="O918" s="3">
        <v>478</v>
      </c>
      <c r="P918">
        <f>SUM(Table9[[#This Row],[Marketing]])</f>
        <v>66</v>
      </c>
      <c r="Q918">
        <f>SUM(Table9[[#This Row],[Sales]])</f>
        <v>478</v>
      </c>
    </row>
    <row r="919" spans="14:17">
      <c r="N919" s="5">
        <v>96</v>
      </c>
      <c r="O919" s="5">
        <v>21</v>
      </c>
      <c r="P919">
        <f>SUM(Table9[[#This Row],[Marketing]])</f>
        <v>96</v>
      </c>
      <c r="Q919">
        <f>SUM(Table9[[#This Row],[Sales]])</f>
        <v>21</v>
      </c>
    </row>
    <row r="920" spans="14:17">
      <c r="N920" s="3">
        <v>9</v>
      </c>
      <c r="O920" s="3">
        <v>56</v>
      </c>
      <c r="P920">
        <f>SUM(Table9[[#This Row],[Marketing]])</f>
        <v>9</v>
      </c>
      <c r="Q920">
        <f>SUM(Table9[[#This Row],[Sales]])</f>
        <v>56</v>
      </c>
    </row>
    <row r="921" spans="14:17">
      <c r="N921" s="5">
        <v>57</v>
      </c>
      <c r="O921" s="5">
        <v>146</v>
      </c>
      <c r="P921">
        <f>SUM(Table9[[#This Row],[Marketing]])</f>
        <v>57</v>
      </c>
      <c r="Q921">
        <f>SUM(Table9[[#This Row],[Sales]])</f>
        <v>146</v>
      </c>
    </row>
    <row r="922" spans="14:17">
      <c r="N922" s="3">
        <v>75</v>
      </c>
      <c r="O922" s="3">
        <v>532</v>
      </c>
      <c r="P922">
        <f>SUM(Table9[[#This Row],[Marketing]])</f>
        <v>75</v>
      </c>
      <c r="Q922">
        <f>SUM(Table9[[#This Row],[Sales]])</f>
        <v>532</v>
      </c>
    </row>
    <row r="923" spans="14:17">
      <c r="N923" s="5">
        <v>36</v>
      </c>
      <c r="O923" s="5">
        <v>116</v>
      </c>
      <c r="P923">
        <f>SUM(Table9[[#This Row],[Marketing]])</f>
        <v>36</v>
      </c>
      <c r="Q923">
        <f>SUM(Table9[[#This Row],[Sales]])</f>
        <v>116</v>
      </c>
    </row>
    <row r="924" spans="14:17">
      <c r="N924" s="3">
        <v>87</v>
      </c>
      <c r="O924" s="3">
        <v>623</v>
      </c>
      <c r="P924">
        <f>SUM(Table9[[#This Row],[Marketing]])</f>
        <v>87</v>
      </c>
      <c r="Q924">
        <f>SUM(Table9[[#This Row],[Sales]])</f>
        <v>623</v>
      </c>
    </row>
    <row r="925" spans="14:17">
      <c r="N925" s="5">
        <v>59</v>
      </c>
      <c r="O925" s="5">
        <v>423</v>
      </c>
      <c r="P925">
        <f>SUM(Table9[[#This Row],[Marketing]])</f>
        <v>59</v>
      </c>
      <c r="Q925">
        <f>SUM(Table9[[#This Row],[Sales]])</f>
        <v>423</v>
      </c>
    </row>
    <row r="926" spans="14:17">
      <c r="N926" s="3">
        <v>109</v>
      </c>
      <c r="O926" s="3">
        <v>289</v>
      </c>
      <c r="P926">
        <f>SUM(Table9[[#This Row],[Marketing]])</f>
        <v>109</v>
      </c>
      <c r="Q926">
        <f>SUM(Table9[[#This Row],[Sales]])</f>
        <v>289</v>
      </c>
    </row>
    <row r="927" spans="14:17">
      <c r="N927" s="5">
        <v>22</v>
      </c>
      <c r="O927" s="5">
        <v>198</v>
      </c>
      <c r="P927">
        <f>SUM(Table9[[#This Row],[Marketing]])</f>
        <v>22</v>
      </c>
      <c r="Q927">
        <f>SUM(Table9[[#This Row],[Sales]])</f>
        <v>198</v>
      </c>
    </row>
    <row r="928" spans="14:17">
      <c r="N928" s="3">
        <v>69</v>
      </c>
      <c r="O928" s="3">
        <v>490</v>
      </c>
      <c r="P928">
        <f>SUM(Table9[[#This Row],[Marketing]])</f>
        <v>69</v>
      </c>
      <c r="Q928">
        <f>SUM(Table9[[#This Row],[Sales]])</f>
        <v>490</v>
      </c>
    </row>
    <row r="929" spans="14:17">
      <c r="N929" s="5">
        <v>33</v>
      </c>
      <c r="O929" s="5">
        <v>290</v>
      </c>
      <c r="P929">
        <f>SUM(Table9[[#This Row],[Marketing]])</f>
        <v>33</v>
      </c>
      <c r="Q929">
        <f>SUM(Table9[[#This Row],[Sales]])</f>
        <v>290</v>
      </c>
    </row>
    <row r="930" spans="14:17">
      <c r="N930" s="3">
        <v>31</v>
      </c>
      <c r="O930" s="3">
        <v>184</v>
      </c>
      <c r="P930">
        <f>SUM(Table9[[#This Row],[Marketing]])</f>
        <v>31</v>
      </c>
      <c r="Q930">
        <f>SUM(Table9[[#This Row],[Sales]])</f>
        <v>184</v>
      </c>
    </row>
    <row r="931" spans="14:17">
      <c r="N931" s="5">
        <v>85</v>
      </c>
      <c r="O931" s="5">
        <v>224</v>
      </c>
      <c r="P931">
        <f>SUM(Table9[[#This Row],[Marketing]])</f>
        <v>85</v>
      </c>
      <c r="Q931">
        <f>SUM(Table9[[#This Row],[Sales]])</f>
        <v>224</v>
      </c>
    </row>
    <row r="932" spans="14:17">
      <c r="N932" s="3">
        <v>50</v>
      </c>
      <c r="O932" s="3">
        <v>363</v>
      </c>
      <c r="P932">
        <f>SUM(Table9[[#This Row],[Marketing]])</f>
        <v>50</v>
      </c>
      <c r="Q932">
        <f>SUM(Table9[[#This Row],[Sales]])</f>
        <v>363</v>
      </c>
    </row>
    <row r="933" spans="14:17">
      <c r="N933" s="5">
        <v>21</v>
      </c>
      <c r="O933" s="5">
        <v>150</v>
      </c>
      <c r="P933">
        <f>SUM(Table9[[#This Row],[Marketing]])</f>
        <v>21</v>
      </c>
      <c r="Q933">
        <f>SUM(Table9[[#This Row],[Sales]])</f>
        <v>150</v>
      </c>
    </row>
    <row r="934" spans="14:17">
      <c r="N934" s="3">
        <v>17</v>
      </c>
      <c r="O934" s="3">
        <v>128</v>
      </c>
      <c r="P934">
        <f>SUM(Table9[[#This Row],[Marketing]])</f>
        <v>17</v>
      </c>
      <c r="Q934">
        <f>SUM(Table9[[#This Row],[Sales]])</f>
        <v>128</v>
      </c>
    </row>
    <row r="935" spans="14:17">
      <c r="N935" s="5">
        <v>20</v>
      </c>
      <c r="O935" s="5">
        <v>156</v>
      </c>
      <c r="P935">
        <f>SUM(Table9[[#This Row],[Marketing]])</f>
        <v>20</v>
      </c>
      <c r="Q935">
        <f>SUM(Table9[[#This Row],[Sales]])</f>
        <v>156</v>
      </c>
    </row>
    <row r="936" spans="14:17">
      <c r="N936" s="3">
        <v>4</v>
      </c>
      <c r="O936" s="3">
        <v>39</v>
      </c>
      <c r="P936">
        <f>SUM(Table9[[#This Row],[Marketing]])</f>
        <v>4</v>
      </c>
      <c r="Q936">
        <f>SUM(Table9[[#This Row],[Sales]])</f>
        <v>39</v>
      </c>
    </row>
    <row r="937" spans="14:17">
      <c r="N937" s="5">
        <v>33</v>
      </c>
      <c r="O937" s="5">
        <v>231</v>
      </c>
      <c r="P937">
        <f>SUM(Table9[[#This Row],[Marketing]])</f>
        <v>33</v>
      </c>
      <c r="Q937">
        <f>SUM(Table9[[#This Row],[Sales]])</f>
        <v>231</v>
      </c>
    </row>
    <row r="938" spans="14:17">
      <c r="N938" s="3">
        <v>109</v>
      </c>
      <c r="O938" s="3">
        <v>289</v>
      </c>
      <c r="P938">
        <f>SUM(Table9[[#This Row],[Marketing]])</f>
        <v>109</v>
      </c>
      <c r="Q938">
        <f>SUM(Table9[[#This Row],[Sales]])</f>
        <v>289</v>
      </c>
    </row>
    <row r="939" spans="14:17">
      <c r="N939" s="5">
        <v>42</v>
      </c>
      <c r="O939" s="5">
        <v>325</v>
      </c>
      <c r="P939">
        <f>SUM(Table9[[#This Row],[Marketing]])</f>
        <v>42</v>
      </c>
      <c r="Q939">
        <f>SUM(Table9[[#This Row],[Sales]])</f>
        <v>325</v>
      </c>
    </row>
    <row r="940" spans="14:17">
      <c r="N940" s="3">
        <v>57</v>
      </c>
      <c r="O940" s="3">
        <v>412</v>
      </c>
      <c r="P940">
        <f>SUM(Table9[[#This Row],[Marketing]])</f>
        <v>57</v>
      </c>
      <c r="Q940">
        <f>SUM(Table9[[#This Row],[Sales]])</f>
        <v>412</v>
      </c>
    </row>
    <row r="941" spans="14:17">
      <c r="N941" s="5">
        <v>29</v>
      </c>
      <c r="O941" s="5">
        <v>200</v>
      </c>
      <c r="P941">
        <f>SUM(Table9[[#This Row],[Marketing]])</f>
        <v>29</v>
      </c>
      <c r="Q941">
        <f>SUM(Table9[[#This Row],[Sales]])</f>
        <v>200</v>
      </c>
    </row>
    <row r="942" spans="14:17">
      <c r="N942" s="3">
        <v>36</v>
      </c>
      <c r="O942" s="3">
        <v>278</v>
      </c>
      <c r="P942">
        <f>SUM(Table9[[#This Row],[Marketing]])</f>
        <v>36</v>
      </c>
      <c r="Q942">
        <f>SUM(Table9[[#This Row],[Sales]])</f>
        <v>278</v>
      </c>
    </row>
    <row r="943" spans="14:17">
      <c r="N943" s="5">
        <v>75</v>
      </c>
      <c r="O943" s="5">
        <v>532</v>
      </c>
      <c r="P943">
        <f>SUM(Table9[[#This Row],[Marketing]])</f>
        <v>75</v>
      </c>
      <c r="Q943">
        <f>SUM(Table9[[#This Row],[Sales]])</f>
        <v>532</v>
      </c>
    </row>
    <row r="944" spans="14:17">
      <c r="N944" s="3">
        <v>59</v>
      </c>
      <c r="O944" s="3">
        <v>423</v>
      </c>
      <c r="P944">
        <f>SUM(Table9[[#This Row],[Marketing]])</f>
        <v>59</v>
      </c>
      <c r="Q944">
        <f>SUM(Table9[[#This Row],[Sales]])</f>
        <v>423</v>
      </c>
    </row>
    <row r="945" spans="14:17">
      <c r="N945" s="5">
        <v>25</v>
      </c>
      <c r="O945" s="5">
        <v>197</v>
      </c>
      <c r="P945">
        <f>SUM(Table9[[#This Row],[Marketing]])</f>
        <v>25</v>
      </c>
      <c r="Q945">
        <f>SUM(Table9[[#This Row],[Sales]])</f>
        <v>197</v>
      </c>
    </row>
    <row r="946" spans="14:17">
      <c r="N946" s="3">
        <v>93</v>
      </c>
      <c r="O946" s="3">
        <v>32</v>
      </c>
      <c r="P946">
        <f>SUM(Table9[[#This Row],[Marketing]])</f>
        <v>93</v>
      </c>
      <c r="Q946">
        <f>SUM(Table9[[#This Row],[Sales]])</f>
        <v>32</v>
      </c>
    </row>
    <row r="947" spans="14:17">
      <c r="N947" s="5">
        <v>31</v>
      </c>
      <c r="O947" s="5">
        <v>245</v>
      </c>
      <c r="P947">
        <f>SUM(Table9[[#This Row],[Marketing]])</f>
        <v>31</v>
      </c>
      <c r="Q947">
        <f>SUM(Table9[[#This Row],[Sales]])</f>
        <v>245</v>
      </c>
    </row>
    <row r="948" spans="14:17">
      <c r="N948" s="3">
        <v>73</v>
      </c>
      <c r="O948" s="3">
        <v>192</v>
      </c>
      <c r="P948">
        <f>SUM(Table9[[#This Row],[Marketing]])</f>
        <v>73</v>
      </c>
      <c r="Q948">
        <f>SUM(Table9[[#This Row],[Sales]])</f>
        <v>192</v>
      </c>
    </row>
    <row r="949" spans="14:17">
      <c r="N949" s="5">
        <v>81</v>
      </c>
      <c r="O949" s="5">
        <v>576</v>
      </c>
      <c r="P949">
        <f>SUM(Table9[[#This Row],[Marketing]])</f>
        <v>81</v>
      </c>
      <c r="Q949">
        <f>SUM(Table9[[#This Row],[Sales]])</f>
        <v>576</v>
      </c>
    </row>
    <row r="950" spans="14:17">
      <c r="N950" s="3">
        <v>40</v>
      </c>
      <c r="O950" s="3">
        <v>102</v>
      </c>
      <c r="P950">
        <f>SUM(Table9[[#This Row],[Marketing]])</f>
        <v>40</v>
      </c>
      <c r="Q950">
        <f>SUM(Table9[[#This Row],[Sales]])</f>
        <v>102</v>
      </c>
    </row>
    <row r="951" spans="14:17">
      <c r="N951" s="5">
        <v>97</v>
      </c>
      <c r="O951" s="5">
        <v>699</v>
      </c>
      <c r="P951">
        <f>SUM(Table9[[#This Row],[Marketing]])</f>
        <v>97</v>
      </c>
      <c r="Q951">
        <f>SUM(Table9[[#This Row],[Sales]])</f>
        <v>699</v>
      </c>
    </row>
    <row r="952" spans="14:17">
      <c r="N952" s="3">
        <v>70</v>
      </c>
      <c r="O952" s="3">
        <v>501</v>
      </c>
      <c r="P952">
        <f>SUM(Table9[[#This Row],[Marketing]])</f>
        <v>70</v>
      </c>
      <c r="Q952">
        <f>SUM(Table9[[#This Row],[Sales]])</f>
        <v>501</v>
      </c>
    </row>
    <row r="953" spans="14:17">
      <c r="N953" s="5">
        <v>122</v>
      </c>
      <c r="O953" s="5">
        <v>322</v>
      </c>
      <c r="P953">
        <f>SUM(Table9[[#This Row],[Marketing]])</f>
        <v>122</v>
      </c>
      <c r="Q953">
        <f>SUM(Table9[[#This Row],[Sales]])</f>
        <v>322</v>
      </c>
    </row>
    <row r="954" spans="14:17">
      <c r="N954" s="3">
        <v>24</v>
      </c>
      <c r="O954" s="3">
        <v>210</v>
      </c>
      <c r="P954">
        <f>SUM(Table9[[#This Row],[Marketing]])</f>
        <v>24</v>
      </c>
      <c r="Q954">
        <f>SUM(Table9[[#This Row],[Sales]])</f>
        <v>210</v>
      </c>
    </row>
    <row r="955" spans="14:17">
      <c r="N955" s="5">
        <v>74</v>
      </c>
      <c r="O955" s="5">
        <v>525</v>
      </c>
      <c r="P955">
        <f>SUM(Table9[[#This Row],[Marketing]])</f>
        <v>74</v>
      </c>
      <c r="Q955">
        <f>SUM(Table9[[#This Row],[Sales]])</f>
        <v>525</v>
      </c>
    </row>
    <row r="956" spans="14:17">
      <c r="N956" s="3">
        <v>34</v>
      </c>
      <c r="O956" s="3">
        <v>302</v>
      </c>
      <c r="P956">
        <f>SUM(Table9[[#This Row],[Marketing]])</f>
        <v>34</v>
      </c>
      <c r="Q956">
        <f>SUM(Table9[[#This Row],[Sales]])</f>
        <v>302</v>
      </c>
    </row>
    <row r="957" spans="14:17">
      <c r="N957" s="5">
        <v>25</v>
      </c>
      <c r="O957" s="5">
        <v>153</v>
      </c>
      <c r="P957">
        <f>SUM(Table9[[#This Row],[Marketing]])</f>
        <v>25</v>
      </c>
      <c r="Q957">
        <f>SUM(Table9[[#This Row],[Sales]])</f>
        <v>153</v>
      </c>
    </row>
    <row r="958" spans="14:17">
      <c r="N958" s="3">
        <v>95</v>
      </c>
      <c r="O958" s="3">
        <v>250</v>
      </c>
      <c r="P958">
        <f>SUM(Table9[[#This Row],[Marketing]])</f>
        <v>95</v>
      </c>
      <c r="Q958">
        <f>SUM(Table9[[#This Row],[Sales]])</f>
        <v>250</v>
      </c>
    </row>
    <row r="959" spans="14:17">
      <c r="N959" s="5">
        <v>42</v>
      </c>
      <c r="O959" s="5">
        <v>306</v>
      </c>
      <c r="P959">
        <f>SUM(Table9[[#This Row],[Marketing]])</f>
        <v>42</v>
      </c>
      <c r="Q959">
        <f>SUM(Table9[[#This Row],[Sales]])</f>
        <v>306</v>
      </c>
    </row>
    <row r="960" spans="14:17">
      <c r="N960" s="3">
        <v>24</v>
      </c>
      <c r="O960" s="3">
        <v>176</v>
      </c>
      <c r="P960">
        <f>SUM(Table9[[#This Row],[Marketing]])</f>
        <v>24</v>
      </c>
      <c r="Q960">
        <f>SUM(Table9[[#This Row],[Sales]])</f>
        <v>176</v>
      </c>
    </row>
    <row r="961" spans="14:17">
      <c r="N961" s="5">
        <v>19</v>
      </c>
      <c r="O961" s="5">
        <v>139</v>
      </c>
      <c r="P961">
        <f>SUM(Table9[[#This Row],[Marketing]])</f>
        <v>19</v>
      </c>
      <c r="Q961">
        <f>SUM(Table9[[#This Row],[Sales]])</f>
        <v>139</v>
      </c>
    </row>
    <row r="962" spans="14:17">
      <c r="N962" s="3">
        <v>23</v>
      </c>
      <c r="O962" s="3">
        <v>176</v>
      </c>
      <c r="P962">
        <f>SUM(Table9[[#This Row],[Marketing]])</f>
        <v>23</v>
      </c>
      <c r="Q962">
        <f>SUM(Table9[[#This Row],[Sales]])</f>
        <v>176</v>
      </c>
    </row>
    <row r="963" spans="14:17">
      <c r="N963" s="5">
        <v>4</v>
      </c>
      <c r="O963" s="5">
        <v>41</v>
      </c>
      <c r="P963">
        <f>SUM(Table9[[#This Row],[Marketing]])</f>
        <v>4</v>
      </c>
      <c r="Q963">
        <f>SUM(Table9[[#This Row],[Sales]])</f>
        <v>41</v>
      </c>
    </row>
    <row r="964" spans="14:17">
      <c r="N964" s="3">
        <v>31</v>
      </c>
      <c r="O964" s="3">
        <v>214</v>
      </c>
      <c r="P964">
        <f>SUM(Table9[[#This Row],[Marketing]])</f>
        <v>31</v>
      </c>
      <c r="Q964">
        <f>SUM(Table9[[#This Row],[Sales]])</f>
        <v>214</v>
      </c>
    </row>
    <row r="965" spans="14:17">
      <c r="N965" s="5">
        <v>122</v>
      </c>
      <c r="O965" s="5">
        <v>322</v>
      </c>
      <c r="P965">
        <f>SUM(Table9[[#This Row],[Marketing]])</f>
        <v>122</v>
      </c>
      <c r="Q965">
        <f>SUM(Table9[[#This Row],[Sales]])</f>
        <v>322</v>
      </c>
    </row>
    <row r="966" spans="14:17">
      <c r="N966" s="3">
        <v>37</v>
      </c>
      <c r="O966" s="3">
        <v>289</v>
      </c>
      <c r="P966">
        <f>SUM(Table9[[#This Row],[Marketing]])</f>
        <v>37</v>
      </c>
      <c r="Q966">
        <f>SUM(Table9[[#This Row],[Sales]])</f>
        <v>289</v>
      </c>
    </row>
    <row r="967" spans="14:17">
      <c r="N967" s="5">
        <v>73</v>
      </c>
      <c r="O967" s="5">
        <v>534</v>
      </c>
      <c r="P967">
        <f>SUM(Table9[[#This Row],[Marketing]])</f>
        <v>73</v>
      </c>
      <c r="Q967">
        <f>SUM(Table9[[#This Row],[Sales]])</f>
        <v>534</v>
      </c>
    </row>
    <row r="968" spans="14:17">
      <c r="N968" s="3">
        <v>26</v>
      </c>
      <c r="O968" s="3">
        <v>185</v>
      </c>
      <c r="P968">
        <f>SUM(Table9[[#This Row],[Marketing]])</f>
        <v>26</v>
      </c>
      <c r="Q968">
        <f>SUM(Table9[[#This Row],[Sales]])</f>
        <v>185</v>
      </c>
    </row>
    <row r="969" spans="14:17">
      <c r="N969" s="5">
        <v>40</v>
      </c>
      <c r="O969" s="5">
        <v>312</v>
      </c>
      <c r="P969">
        <f>SUM(Table9[[#This Row],[Marketing]])</f>
        <v>40</v>
      </c>
      <c r="Q969">
        <f>SUM(Table9[[#This Row],[Sales]])</f>
        <v>312</v>
      </c>
    </row>
    <row r="970" spans="14:17">
      <c r="N970" s="3">
        <v>81</v>
      </c>
      <c r="O970" s="3">
        <v>576</v>
      </c>
      <c r="P970">
        <f>SUM(Table9[[#This Row],[Marketing]])</f>
        <v>81</v>
      </c>
      <c r="Q970">
        <f>SUM(Table9[[#This Row],[Sales]])</f>
        <v>576</v>
      </c>
    </row>
    <row r="971" spans="14:17">
      <c r="N971" s="5">
        <v>70</v>
      </c>
      <c r="O971" s="5">
        <v>501</v>
      </c>
      <c r="P971">
        <f>SUM(Table9[[#This Row],[Marketing]])</f>
        <v>70</v>
      </c>
      <c r="Q971">
        <f>SUM(Table9[[#This Row],[Sales]])</f>
        <v>501</v>
      </c>
    </row>
    <row r="972" spans="14:17">
      <c r="N972" s="3">
        <v>29</v>
      </c>
      <c r="O972" s="3">
        <v>221</v>
      </c>
      <c r="P972">
        <f>SUM(Table9[[#This Row],[Marketing]])</f>
        <v>29</v>
      </c>
      <c r="Q972">
        <f>SUM(Table9[[#This Row],[Sales]])</f>
        <v>221</v>
      </c>
    </row>
    <row r="973" spans="14:17">
      <c r="N973" s="5">
        <v>111</v>
      </c>
      <c r="O973" s="5">
        <v>31</v>
      </c>
      <c r="P973">
        <f>SUM(Table9[[#This Row],[Marketing]])</f>
        <v>111</v>
      </c>
      <c r="Q973">
        <f>SUM(Table9[[#This Row],[Sales]])</f>
        <v>31</v>
      </c>
    </row>
    <row r="974" spans="14:17">
      <c r="N974" s="3">
        <v>41</v>
      </c>
      <c r="O974" s="3">
        <v>320</v>
      </c>
      <c r="P974">
        <f>SUM(Table9[[#This Row],[Marketing]])</f>
        <v>41</v>
      </c>
      <c r="Q974">
        <f>SUM(Table9[[#This Row],[Sales]])</f>
        <v>320</v>
      </c>
    </row>
    <row r="975" spans="14:17">
      <c r="N975" s="5">
        <v>7</v>
      </c>
      <c r="O975" s="5">
        <v>45</v>
      </c>
      <c r="P975">
        <f>SUM(Table9[[#This Row],[Marketing]])</f>
        <v>7</v>
      </c>
      <c r="Q975">
        <f>SUM(Table9[[#This Row],[Sales]])</f>
        <v>45</v>
      </c>
    </row>
    <row r="976" spans="14:17">
      <c r="N976" s="3">
        <v>50</v>
      </c>
      <c r="O976" s="3">
        <v>139</v>
      </c>
      <c r="P976">
        <f>SUM(Table9[[#This Row],[Marketing]])</f>
        <v>50</v>
      </c>
      <c r="Q976">
        <f>SUM(Table9[[#This Row],[Sales]])</f>
        <v>139</v>
      </c>
    </row>
    <row r="977" spans="14:17">
      <c r="N977" s="5">
        <v>84</v>
      </c>
      <c r="O977" s="5">
        <v>637</v>
      </c>
      <c r="P977">
        <f>SUM(Table9[[#This Row],[Marketing]])</f>
        <v>84</v>
      </c>
      <c r="Q977">
        <f>SUM(Table9[[#This Row],[Sales]])</f>
        <v>637</v>
      </c>
    </row>
    <row r="978" spans="14:17">
      <c r="N978" s="3">
        <v>39</v>
      </c>
      <c r="O978" s="3">
        <v>116</v>
      </c>
      <c r="P978">
        <f>SUM(Table9[[#This Row],[Marketing]])</f>
        <v>39</v>
      </c>
      <c r="Q978">
        <f>SUM(Table9[[#This Row],[Sales]])</f>
        <v>116</v>
      </c>
    </row>
    <row r="979" spans="14:17">
      <c r="N979" s="5">
        <v>91</v>
      </c>
      <c r="O979" s="5">
        <v>693</v>
      </c>
      <c r="P979">
        <f>SUM(Table9[[#This Row],[Marketing]])</f>
        <v>91</v>
      </c>
      <c r="Q979">
        <f>SUM(Table9[[#This Row],[Sales]])</f>
        <v>693</v>
      </c>
    </row>
    <row r="980" spans="14:17">
      <c r="N980" s="3">
        <v>66</v>
      </c>
      <c r="O980" s="3">
        <v>509</v>
      </c>
      <c r="P980">
        <f>SUM(Table9[[#This Row],[Marketing]])</f>
        <v>66</v>
      </c>
      <c r="Q980">
        <f>SUM(Table9[[#This Row],[Sales]])</f>
        <v>509</v>
      </c>
    </row>
    <row r="981" spans="14:17">
      <c r="N981" s="5">
        <v>113</v>
      </c>
      <c r="O981" s="5">
        <v>318</v>
      </c>
      <c r="P981">
        <f>SUM(Table9[[#This Row],[Marketing]])</f>
        <v>113</v>
      </c>
      <c r="Q981">
        <f>SUM(Table9[[#This Row],[Sales]])</f>
        <v>318</v>
      </c>
    </row>
    <row r="982" spans="14:17">
      <c r="N982" s="3">
        <v>30</v>
      </c>
      <c r="O982" s="3">
        <v>282</v>
      </c>
      <c r="P982">
        <f>SUM(Table9[[#This Row],[Marketing]])</f>
        <v>30</v>
      </c>
      <c r="Q982">
        <f>SUM(Table9[[#This Row],[Sales]])</f>
        <v>282</v>
      </c>
    </row>
    <row r="983" spans="14:17">
      <c r="N983" s="5">
        <v>74</v>
      </c>
      <c r="O983" s="5">
        <v>554</v>
      </c>
      <c r="P983">
        <f>SUM(Table9[[#This Row],[Marketing]])</f>
        <v>74</v>
      </c>
      <c r="Q983">
        <f>SUM(Table9[[#This Row],[Sales]])</f>
        <v>554</v>
      </c>
    </row>
    <row r="984" spans="14:17">
      <c r="N984" s="3">
        <v>34</v>
      </c>
      <c r="O984" s="3">
        <v>322</v>
      </c>
      <c r="P984">
        <f>SUM(Table9[[#This Row],[Marketing]])</f>
        <v>34</v>
      </c>
      <c r="Q984">
        <f>SUM(Table9[[#This Row],[Sales]])</f>
        <v>322</v>
      </c>
    </row>
    <row r="985" spans="14:17">
      <c r="N985" s="5">
        <v>13</v>
      </c>
      <c r="O985" s="5">
        <v>114</v>
      </c>
      <c r="P985">
        <f>SUM(Table9[[#This Row],[Marketing]])</f>
        <v>13</v>
      </c>
      <c r="Q985">
        <f>SUM(Table9[[#This Row],[Sales]])</f>
        <v>114</v>
      </c>
    </row>
    <row r="986" spans="14:17">
      <c r="N986" s="3">
        <v>30</v>
      </c>
      <c r="O986" s="3">
        <v>189</v>
      </c>
      <c r="P986">
        <f>SUM(Table9[[#This Row],[Marketing]])</f>
        <v>30</v>
      </c>
      <c r="Q986">
        <f>SUM(Table9[[#This Row],[Sales]])</f>
        <v>189</v>
      </c>
    </row>
    <row r="987" spans="14:17">
      <c r="N987" s="5">
        <v>87</v>
      </c>
      <c r="O987" s="5">
        <v>245</v>
      </c>
      <c r="P987">
        <f>SUM(Table9[[#This Row],[Marketing]])</f>
        <v>87</v>
      </c>
      <c r="Q987">
        <f>SUM(Table9[[#This Row],[Sales]])</f>
        <v>245</v>
      </c>
    </row>
    <row r="988" spans="14:17">
      <c r="N988" s="3">
        <v>45</v>
      </c>
      <c r="O988" s="3">
        <v>343</v>
      </c>
      <c r="P988">
        <f>SUM(Table9[[#This Row],[Marketing]])</f>
        <v>45</v>
      </c>
      <c r="Q988">
        <f>SUM(Table9[[#This Row],[Sales]])</f>
        <v>343</v>
      </c>
    </row>
    <row r="989" spans="14:17">
      <c r="N989" s="5">
        <v>24</v>
      </c>
      <c r="O989" s="5">
        <v>185</v>
      </c>
      <c r="P989">
        <f>SUM(Table9[[#This Row],[Marketing]])</f>
        <v>24</v>
      </c>
      <c r="Q989">
        <f>SUM(Table9[[#This Row],[Sales]])</f>
        <v>185</v>
      </c>
    </row>
    <row r="990" spans="14:17">
      <c r="N990" s="3">
        <v>46</v>
      </c>
      <c r="O990" s="3">
        <v>130</v>
      </c>
      <c r="P990">
        <f>SUM(Table9[[#This Row],[Marketing]])</f>
        <v>46</v>
      </c>
      <c r="Q990">
        <f>SUM(Table9[[#This Row],[Sales]])</f>
        <v>130</v>
      </c>
    </row>
    <row r="991" spans="14:17">
      <c r="N991" s="5">
        <v>20</v>
      </c>
      <c r="O991" s="5">
        <v>151</v>
      </c>
      <c r="P991">
        <f>SUM(Table9[[#This Row],[Marketing]])</f>
        <v>20</v>
      </c>
      <c r="Q991">
        <f>SUM(Table9[[#This Row],[Sales]])</f>
        <v>151</v>
      </c>
    </row>
    <row r="992" spans="14:17">
      <c r="N992" s="3">
        <v>19</v>
      </c>
      <c r="O992" s="3">
        <v>153</v>
      </c>
      <c r="P992">
        <f>SUM(Table9[[#This Row],[Marketing]])</f>
        <v>19</v>
      </c>
      <c r="Q992">
        <f>SUM(Table9[[#This Row],[Sales]])</f>
        <v>153</v>
      </c>
    </row>
    <row r="993" spans="14:17">
      <c r="N993" s="5">
        <v>15</v>
      </c>
      <c r="O993" s="5">
        <v>118</v>
      </c>
      <c r="P993">
        <f>SUM(Table9[[#This Row],[Marketing]])</f>
        <v>15</v>
      </c>
      <c r="Q993">
        <f>SUM(Table9[[#This Row],[Sales]])</f>
        <v>118</v>
      </c>
    </row>
    <row r="994" spans="14:17">
      <c r="N994" s="3">
        <v>21</v>
      </c>
      <c r="O994" s="3">
        <v>178</v>
      </c>
      <c r="P994">
        <f>SUM(Table9[[#This Row],[Marketing]])</f>
        <v>21</v>
      </c>
      <c r="Q994">
        <f>SUM(Table9[[#This Row],[Sales]])</f>
        <v>178</v>
      </c>
    </row>
    <row r="995" spans="14:17">
      <c r="N995" s="5">
        <v>7</v>
      </c>
      <c r="O995" s="5">
        <v>54</v>
      </c>
      <c r="P995">
        <f>SUM(Table9[[#This Row],[Marketing]])</f>
        <v>7</v>
      </c>
      <c r="Q995">
        <f>SUM(Table9[[#This Row],[Sales]])</f>
        <v>54</v>
      </c>
    </row>
    <row r="996" spans="14:17">
      <c r="N996" s="3">
        <v>5</v>
      </c>
      <c r="O996" s="3">
        <v>55</v>
      </c>
      <c r="P996">
        <f>SUM(Table9[[#This Row],[Marketing]])</f>
        <v>5</v>
      </c>
      <c r="Q996">
        <f>SUM(Table9[[#This Row],[Sales]])</f>
        <v>55</v>
      </c>
    </row>
    <row r="997" spans="14:17">
      <c r="N997" s="5">
        <v>33</v>
      </c>
      <c r="O997" s="5">
        <v>251</v>
      </c>
      <c r="P997">
        <f>SUM(Table9[[#This Row],[Marketing]])</f>
        <v>33</v>
      </c>
      <c r="Q997">
        <f>SUM(Table9[[#This Row],[Sales]])</f>
        <v>251</v>
      </c>
    </row>
    <row r="998" spans="14:17">
      <c r="N998" s="3">
        <v>113</v>
      </c>
      <c r="O998" s="3">
        <v>318</v>
      </c>
      <c r="P998">
        <f>SUM(Table9[[#This Row],[Marketing]])</f>
        <v>113</v>
      </c>
      <c r="Q998">
        <f>SUM(Table9[[#This Row],[Sales]])</f>
        <v>318</v>
      </c>
    </row>
    <row r="999" spans="14:17">
      <c r="N999" s="5">
        <v>41</v>
      </c>
      <c r="O999" s="5">
        <v>334</v>
      </c>
      <c r="P999">
        <f>SUM(Table9[[#This Row],[Marketing]])</f>
        <v>41</v>
      </c>
      <c r="Q999">
        <f>SUM(Table9[[#This Row],[Sales]])</f>
        <v>334</v>
      </c>
    </row>
    <row r="1000" spans="14:17">
      <c r="N1000" s="3">
        <v>50</v>
      </c>
      <c r="O1000" s="3">
        <v>391</v>
      </c>
      <c r="P1000">
        <f>SUM(Table9[[#This Row],[Marketing]])</f>
        <v>50</v>
      </c>
      <c r="Q1000">
        <f>SUM(Table9[[#This Row],[Sales]])</f>
        <v>391</v>
      </c>
    </row>
    <row r="1001" spans="14:17">
      <c r="N1001" s="5">
        <v>29</v>
      </c>
      <c r="O1001" s="5">
        <v>218</v>
      </c>
      <c r="P1001">
        <f>SUM(Table9[[#This Row],[Marketing]])</f>
        <v>29</v>
      </c>
      <c r="Q1001">
        <f>SUM(Table9[[#This Row],[Sales]])</f>
        <v>218</v>
      </c>
    </row>
    <row r="1002" spans="14:17">
      <c r="N1002" s="3">
        <v>39</v>
      </c>
      <c r="O1002" s="3">
        <v>318</v>
      </c>
      <c r="P1002">
        <f>SUM(Table9[[#This Row],[Marketing]])</f>
        <v>39</v>
      </c>
      <c r="Q1002">
        <f>SUM(Table9[[#This Row],[Sales]])</f>
        <v>318</v>
      </c>
    </row>
    <row r="1003" spans="14:17">
      <c r="N1003" s="5">
        <v>26</v>
      </c>
      <c r="O1003" s="5">
        <v>116</v>
      </c>
      <c r="P1003">
        <f>SUM(Table9[[#This Row],[Marketing]])</f>
        <v>26</v>
      </c>
      <c r="Q1003">
        <f>SUM(Table9[[#This Row],[Sales]])</f>
        <v>116</v>
      </c>
    </row>
    <row r="1004" spans="14:17">
      <c r="N1004" s="3">
        <v>84</v>
      </c>
      <c r="O1004" s="3">
        <v>637</v>
      </c>
      <c r="P1004">
        <f>SUM(Table9[[#This Row],[Marketing]])</f>
        <v>84</v>
      </c>
      <c r="Q1004">
        <f>SUM(Table9[[#This Row],[Sales]])</f>
        <v>637</v>
      </c>
    </row>
    <row r="1005" spans="14:17">
      <c r="N1005" s="5">
        <v>5</v>
      </c>
      <c r="O1005" s="5">
        <v>56</v>
      </c>
      <c r="P1005">
        <f>SUM(Table9[[#This Row],[Marketing]])</f>
        <v>5</v>
      </c>
      <c r="Q1005">
        <f>SUM(Table9[[#This Row],[Sales]])</f>
        <v>56</v>
      </c>
    </row>
    <row r="1006" spans="14:17">
      <c r="N1006" s="3">
        <v>66</v>
      </c>
      <c r="O1006" s="3">
        <v>509</v>
      </c>
      <c r="P1006">
        <f>SUM(Table9[[#This Row],[Marketing]])</f>
        <v>66</v>
      </c>
      <c r="Q1006">
        <f>SUM(Table9[[#This Row],[Sales]])</f>
        <v>509</v>
      </c>
    </row>
    <row r="1007" spans="14:17">
      <c r="N1007" s="5">
        <v>96</v>
      </c>
      <c r="O1007" s="5">
        <v>22</v>
      </c>
      <c r="P1007">
        <f>SUM(Table9[[#This Row],[Marketing]])</f>
        <v>96</v>
      </c>
      <c r="Q1007">
        <f>SUM(Table9[[#This Row],[Sales]])</f>
        <v>22</v>
      </c>
    </row>
    <row r="1008" spans="14:17">
      <c r="N1008" s="3">
        <v>9</v>
      </c>
      <c r="O1008" s="3">
        <v>60</v>
      </c>
      <c r="P1008">
        <f>SUM(Table9[[#This Row],[Marketing]])</f>
        <v>9</v>
      </c>
      <c r="Q1008">
        <f>SUM(Table9[[#This Row],[Sales]])</f>
        <v>60</v>
      </c>
    </row>
    <row r="1009" spans="14:17">
      <c r="N1009" s="5">
        <v>57</v>
      </c>
      <c r="O1009" s="5">
        <v>156</v>
      </c>
      <c r="P1009">
        <f>SUM(Table9[[#This Row],[Marketing]])</f>
        <v>57</v>
      </c>
      <c r="Q1009">
        <f>SUM(Table9[[#This Row],[Sales]])</f>
        <v>156</v>
      </c>
    </row>
    <row r="1010" spans="14:17">
      <c r="N1010" s="3">
        <v>75</v>
      </c>
      <c r="O1010" s="3">
        <v>567</v>
      </c>
      <c r="P1010">
        <f>SUM(Table9[[#This Row],[Marketing]])</f>
        <v>75</v>
      </c>
      <c r="Q1010">
        <f>SUM(Table9[[#This Row],[Sales]])</f>
        <v>567</v>
      </c>
    </row>
    <row r="1011" spans="14:17">
      <c r="N1011" s="5">
        <v>36</v>
      </c>
      <c r="O1011" s="5">
        <v>124</v>
      </c>
      <c r="P1011">
        <f>SUM(Table9[[#This Row],[Marketing]])</f>
        <v>36</v>
      </c>
      <c r="Q1011">
        <f>SUM(Table9[[#This Row],[Sales]])</f>
        <v>124</v>
      </c>
    </row>
    <row r="1012" spans="14:17">
      <c r="N1012" s="3">
        <v>87</v>
      </c>
      <c r="O1012" s="3">
        <v>664</v>
      </c>
      <c r="P1012">
        <f>SUM(Table9[[#This Row],[Marketing]])</f>
        <v>87</v>
      </c>
      <c r="Q1012">
        <f>SUM(Table9[[#This Row],[Sales]])</f>
        <v>664</v>
      </c>
    </row>
    <row r="1013" spans="14:17">
      <c r="N1013" s="5">
        <v>59</v>
      </c>
      <c r="O1013" s="5">
        <v>451</v>
      </c>
      <c r="P1013">
        <f>SUM(Table9[[#This Row],[Marketing]])</f>
        <v>59</v>
      </c>
      <c r="Q1013">
        <f>SUM(Table9[[#This Row],[Sales]])</f>
        <v>451</v>
      </c>
    </row>
    <row r="1014" spans="14:17">
      <c r="N1014" s="3">
        <v>109</v>
      </c>
      <c r="O1014" s="3">
        <v>308</v>
      </c>
      <c r="P1014">
        <f>SUM(Table9[[#This Row],[Marketing]])</f>
        <v>109</v>
      </c>
      <c r="Q1014">
        <f>SUM(Table9[[#This Row],[Sales]])</f>
        <v>308</v>
      </c>
    </row>
    <row r="1015" spans="14:17">
      <c r="N1015" s="5">
        <v>22</v>
      </c>
      <c r="O1015" s="5">
        <v>211</v>
      </c>
      <c r="P1015">
        <f>SUM(Table9[[#This Row],[Marketing]])</f>
        <v>22</v>
      </c>
      <c r="Q1015">
        <f>SUM(Table9[[#This Row],[Sales]])</f>
        <v>211</v>
      </c>
    </row>
    <row r="1016" spans="14:17">
      <c r="N1016" s="3">
        <v>69</v>
      </c>
      <c r="O1016" s="3">
        <v>522</v>
      </c>
      <c r="P1016">
        <f>SUM(Table9[[#This Row],[Marketing]])</f>
        <v>69</v>
      </c>
      <c r="Q1016">
        <f>SUM(Table9[[#This Row],[Sales]])</f>
        <v>522</v>
      </c>
    </row>
    <row r="1017" spans="14:17">
      <c r="N1017" s="5">
        <v>33</v>
      </c>
      <c r="O1017" s="5">
        <v>309</v>
      </c>
      <c r="P1017">
        <f>SUM(Table9[[#This Row],[Marketing]])</f>
        <v>33</v>
      </c>
      <c r="Q1017">
        <f>SUM(Table9[[#This Row],[Sales]])</f>
        <v>309</v>
      </c>
    </row>
    <row r="1018" spans="14:17">
      <c r="N1018" s="3">
        <v>31</v>
      </c>
      <c r="O1018" s="3">
        <v>196</v>
      </c>
      <c r="P1018">
        <f>SUM(Table9[[#This Row],[Marketing]])</f>
        <v>31</v>
      </c>
      <c r="Q1018">
        <f>SUM(Table9[[#This Row],[Sales]])</f>
        <v>196</v>
      </c>
    </row>
    <row r="1019" spans="14:17">
      <c r="N1019" s="5">
        <v>85</v>
      </c>
      <c r="O1019" s="5">
        <v>239</v>
      </c>
      <c r="P1019">
        <f>SUM(Table9[[#This Row],[Marketing]])</f>
        <v>85</v>
      </c>
      <c r="Q1019">
        <f>SUM(Table9[[#This Row],[Sales]])</f>
        <v>239</v>
      </c>
    </row>
    <row r="1020" spans="14:17">
      <c r="N1020" s="3">
        <v>50</v>
      </c>
      <c r="O1020" s="3">
        <v>387</v>
      </c>
      <c r="P1020">
        <f>SUM(Table9[[#This Row],[Marketing]])</f>
        <v>50</v>
      </c>
      <c r="Q1020">
        <f>SUM(Table9[[#This Row],[Sales]])</f>
        <v>387</v>
      </c>
    </row>
    <row r="1021" spans="14:17">
      <c r="N1021" s="5">
        <v>21</v>
      </c>
      <c r="O1021" s="5">
        <v>160</v>
      </c>
      <c r="P1021">
        <f>SUM(Table9[[#This Row],[Marketing]])</f>
        <v>21</v>
      </c>
      <c r="Q1021">
        <f>SUM(Table9[[#This Row],[Sales]])</f>
        <v>160</v>
      </c>
    </row>
    <row r="1022" spans="14:17">
      <c r="N1022" s="3">
        <v>17</v>
      </c>
      <c r="O1022" s="3">
        <v>136</v>
      </c>
      <c r="P1022">
        <f>SUM(Table9[[#This Row],[Marketing]])</f>
        <v>17</v>
      </c>
      <c r="Q1022">
        <f>SUM(Table9[[#This Row],[Sales]])</f>
        <v>136</v>
      </c>
    </row>
    <row r="1023" spans="14:17">
      <c r="N1023" s="5">
        <v>20</v>
      </c>
      <c r="O1023" s="5">
        <v>166</v>
      </c>
      <c r="P1023">
        <f>SUM(Table9[[#This Row],[Marketing]])</f>
        <v>20</v>
      </c>
      <c r="Q1023">
        <f>SUM(Table9[[#This Row],[Sales]])</f>
        <v>166</v>
      </c>
    </row>
    <row r="1024" spans="14:17">
      <c r="N1024" s="3">
        <v>4</v>
      </c>
      <c r="O1024" s="3">
        <v>42</v>
      </c>
      <c r="P1024">
        <f>SUM(Table9[[#This Row],[Marketing]])</f>
        <v>4</v>
      </c>
      <c r="Q1024">
        <f>SUM(Table9[[#This Row],[Sales]])</f>
        <v>42</v>
      </c>
    </row>
    <row r="1025" spans="14:17">
      <c r="N1025" s="5">
        <v>33</v>
      </c>
      <c r="O1025" s="5">
        <v>246</v>
      </c>
      <c r="P1025">
        <f>SUM(Table9[[#This Row],[Marketing]])</f>
        <v>33</v>
      </c>
      <c r="Q1025">
        <f>SUM(Table9[[#This Row],[Sales]])</f>
        <v>246</v>
      </c>
    </row>
    <row r="1026" spans="14:17">
      <c r="N1026" s="3">
        <v>109</v>
      </c>
      <c r="O1026" s="3">
        <v>308</v>
      </c>
      <c r="P1026">
        <f>SUM(Table9[[#This Row],[Marketing]])</f>
        <v>109</v>
      </c>
      <c r="Q1026">
        <f>SUM(Table9[[#This Row],[Sales]])</f>
        <v>308</v>
      </c>
    </row>
    <row r="1027" spans="14:17">
      <c r="N1027" s="5">
        <v>42</v>
      </c>
      <c r="O1027" s="5">
        <v>346</v>
      </c>
      <c r="P1027">
        <f>SUM(Table9[[#This Row],[Marketing]])</f>
        <v>42</v>
      </c>
      <c r="Q1027">
        <f>SUM(Table9[[#This Row],[Sales]])</f>
        <v>346</v>
      </c>
    </row>
    <row r="1028" spans="14:17">
      <c r="N1028" s="3">
        <v>57</v>
      </c>
      <c r="O1028" s="3">
        <v>439</v>
      </c>
      <c r="P1028">
        <f>SUM(Table9[[#This Row],[Marketing]])</f>
        <v>57</v>
      </c>
      <c r="Q1028">
        <f>SUM(Table9[[#This Row],[Sales]])</f>
        <v>439</v>
      </c>
    </row>
    <row r="1029" spans="14:17">
      <c r="N1029" s="5">
        <v>29</v>
      </c>
      <c r="O1029" s="5">
        <v>213</v>
      </c>
      <c r="P1029">
        <f>SUM(Table9[[#This Row],[Marketing]])</f>
        <v>29</v>
      </c>
      <c r="Q1029">
        <f>SUM(Table9[[#This Row],[Sales]])</f>
        <v>213</v>
      </c>
    </row>
    <row r="1030" spans="14:17">
      <c r="N1030" s="3">
        <v>36</v>
      </c>
      <c r="O1030" s="3">
        <v>296</v>
      </c>
      <c r="P1030">
        <f>SUM(Table9[[#This Row],[Marketing]])</f>
        <v>36</v>
      </c>
      <c r="Q1030">
        <f>SUM(Table9[[#This Row],[Sales]])</f>
        <v>296</v>
      </c>
    </row>
    <row r="1031" spans="14:17">
      <c r="N1031" s="5">
        <v>75</v>
      </c>
      <c r="O1031" s="5">
        <v>567</v>
      </c>
      <c r="P1031">
        <f>SUM(Table9[[#This Row],[Marketing]])</f>
        <v>75</v>
      </c>
      <c r="Q1031">
        <f>SUM(Table9[[#This Row],[Sales]])</f>
        <v>567</v>
      </c>
    </row>
    <row r="1032" spans="14:17">
      <c r="N1032" s="3">
        <v>59</v>
      </c>
      <c r="O1032" s="3">
        <v>451</v>
      </c>
      <c r="P1032">
        <f>SUM(Table9[[#This Row],[Marketing]])</f>
        <v>59</v>
      </c>
      <c r="Q1032">
        <f>SUM(Table9[[#This Row],[Sales]])</f>
        <v>451</v>
      </c>
    </row>
    <row r="1033" spans="14:17">
      <c r="N1033" s="5">
        <v>25</v>
      </c>
      <c r="O1033" s="5">
        <v>210</v>
      </c>
      <c r="P1033">
        <f>SUM(Table9[[#This Row],[Marketing]])</f>
        <v>25</v>
      </c>
      <c r="Q1033">
        <f>SUM(Table9[[#This Row],[Sales]])</f>
        <v>210</v>
      </c>
    </row>
    <row r="1034" spans="14:17">
      <c r="N1034" s="3">
        <v>93</v>
      </c>
      <c r="O1034" s="3">
        <v>34</v>
      </c>
      <c r="P1034">
        <f>SUM(Table9[[#This Row],[Marketing]])</f>
        <v>93</v>
      </c>
      <c r="Q1034">
        <f>SUM(Table9[[#This Row],[Sales]])</f>
        <v>34</v>
      </c>
    </row>
    <row r="1035" spans="14:17">
      <c r="N1035" s="5">
        <v>31</v>
      </c>
      <c r="O1035" s="5">
        <v>261</v>
      </c>
      <c r="P1035">
        <f>SUM(Table9[[#This Row],[Marketing]])</f>
        <v>31</v>
      </c>
      <c r="Q1035">
        <f>SUM(Table9[[#This Row],[Sales]])</f>
        <v>261</v>
      </c>
    </row>
    <row r="1036" spans="14:17">
      <c r="N1036" s="3">
        <v>73</v>
      </c>
      <c r="O1036" s="3">
        <v>205</v>
      </c>
      <c r="P1036">
        <f>SUM(Table9[[#This Row],[Marketing]])</f>
        <v>73</v>
      </c>
      <c r="Q1036">
        <f>SUM(Table9[[#This Row],[Sales]])</f>
        <v>205</v>
      </c>
    </row>
    <row r="1037" spans="14:17">
      <c r="N1037" s="5">
        <v>81</v>
      </c>
      <c r="O1037" s="5">
        <v>614</v>
      </c>
      <c r="P1037">
        <f>SUM(Table9[[#This Row],[Marketing]])</f>
        <v>81</v>
      </c>
      <c r="Q1037">
        <f>SUM(Table9[[#This Row],[Sales]])</f>
        <v>614</v>
      </c>
    </row>
    <row r="1038" spans="14:17">
      <c r="N1038" s="3">
        <v>40</v>
      </c>
      <c r="O1038" s="3">
        <v>109</v>
      </c>
      <c r="P1038">
        <f>SUM(Table9[[#This Row],[Marketing]])</f>
        <v>40</v>
      </c>
      <c r="Q1038">
        <f>SUM(Table9[[#This Row],[Sales]])</f>
        <v>109</v>
      </c>
    </row>
    <row r="1039" spans="14:17">
      <c r="N1039" s="5">
        <v>97</v>
      </c>
      <c r="O1039" s="5">
        <v>745</v>
      </c>
      <c r="P1039">
        <f>SUM(Table9[[#This Row],[Marketing]])</f>
        <v>97</v>
      </c>
      <c r="Q1039">
        <f>SUM(Table9[[#This Row],[Sales]])</f>
        <v>745</v>
      </c>
    </row>
    <row r="1040" spans="14:17">
      <c r="N1040" s="3">
        <v>70</v>
      </c>
      <c r="O1040" s="3">
        <v>534</v>
      </c>
      <c r="P1040">
        <f>SUM(Table9[[#This Row],[Marketing]])</f>
        <v>70</v>
      </c>
      <c r="Q1040">
        <f>SUM(Table9[[#This Row],[Sales]])</f>
        <v>534</v>
      </c>
    </row>
    <row r="1041" spans="14:17">
      <c r="N1041" s="5">
        <v>122</v>
      </c>
      <c r="O1041" s="5">
        <v>343</v>
      </c>
      <c r="P1041">
        <f>SUM(Table9[[#This Row],[Marketing]])</f>
        <v>122</v>
      </c>
      <c r="Q1041">
        <f>SUM(Table9[[#This Row],[Sales]])</f>
        <v>343</v>
      </c>
    </row>
    <row r="1042" spans="14:17">
      <c r="N1042" s="3">
        <v>24</v>
      </c>
      <c r="O1042" s="3">
        <v>224</v>
      </c>
      <c r="P1042">
        <f>SUM(Table9[[#This Row],[Marketing]])</f>
        <v>24</v>
      </c>
      <c r="Q1042">
        <f>SUM(Table9[[#This Row],[Sales]])</f>
        <v>224</v>
      </c>
    </row>
    <row r="1043" spans="14:17">
      <c r="N1043" s="5">
        <v>74</v>
      </c>
      <c r="O1043" s="5">
        <v>559</v>
      </c>
      <c r="P1043">
        <f>SUM(Table9[[#This Row],[Marketing]])</f>
        <v>74</v>
      </c>
      <c r="Q1043">
        <f>SUM(Table9[[#This Row],[Sales]])</f>
        <v>559</v>
      </c>
    </row>
    <row r="1044" spans="14:17">
      <c r="N1044" s="3">
        <v>34</v>
      </c>
      <c r="O1044" s="3">
        <v>322</v>
      </c>
      <c r="P1044">
        <f>SUM(Table9[[#This Row],[Marketing]])</f>
        <v>34</v>
      </c>
      <c r="Q1044">
        <f>SUM(Table9[[#This Row],[Sales]])</f>
        <v>322</v>
      </c>
    </row>
    <row r="1045" spans="14:17">
      <c r="N1045" s="5">
        <v>25</v>
      </c>
      <c r="O1045" s="5">
        <v>163</v>
      </c>
      <c r="P1045">
        <f>SUM(Table9[[#This Row],[Marketing]])</f>
        <v>25</v>
      </c>
      <c r="Q1045">
        <f>SUM(Table9[[#This Row],[Sales]])</f>
        <v>163</v>
      </c>
    </row>
    <row r="1046" spans="14:17">
      <c r="N1046" s="3">
        <v>95</v>
      </c>
      <c r="O1046" s="3">
        <v>266</v>
      </c>
      <c r="P1046">
        <f>SUM(Table9[[#This Row],[Marketing]])</f>
        <v>95</v>
      </c>
      <c r="Q1046">
        <f>SUM(Table9[[#This Row],[Sales]])</f>
        <v>266</v>
      </c>
    </row>
    <row r="1047" spans="14:17">
      <c r="N1047" s="5">
        <v>42</v>
      </c>
      <c r="O1047" s="5">
        <v>326</v>
      </c>
      <c r="P1047">
        <f>SUM(Table9[[#This Row],[Marketing]])</f>
        <v>42</v>
      </c>
      <c r="Q1047">
        <f>SUM(Table9[[#This Row],[Sales]])</f>
        <v>326</v>
      </c>
    </row>
    <row r="1048" spans="14:17">
      <c r="N1048" s="3">
        <v>24</v>
      </c>
      <c r="O1048" s="3">
        <v>188</v>
      </c>
      <c r="P1048">
        <f>SUM(Table9[[#This Row],[Marketing]])</f>
        <v>24</v>
      </c>
      <c r="Q1048">
        <f>SUM(Table9[[#This Row],[Sales]])</f>
        <v>188</v>
      </c>
    </row>
    <row r="1049" spans="14:17">
      <c r="N1049" s="5">
        <v>19</v>
      </c>
      <c r="O1049" s="5">
        <v>148</v>
      </c>
      <c r="P1049">
        <f>SUM(Table9[[#This Row],[Marketing]])</f>
        <v>19</v>
      </c>
      <c r="Q1049">
        <f>SUM(Table9[[#This Row],[Sales]])</f>
        <v>148</v>
      </c>
    </row>
    <row r="1050" spans="14:17">
      <c r="N1050" s="3">
        <v>23</v>
      </c>
      <c r="O1050" s="3">
        <v>188</v>
      </c>
      <c r="P1050">
        <f>SUM(Table9[[#This Row],[Marketing]])</f>
        <v>23</v>
      </c>
      <c r="Q1050">
        <f>SUM(Table9[[#This Row],[Sales]])</f>
        <v>188</v>
      </c>
    </row>
    <row r="1051" spans="14:17">
      <c r="N1051" s="5">
        <v>4</v>
      </c>
      <c r="O1051" s="5">
        <v>44</v>
      </c>
      <c r="P1051">
        <f>SUM(Table9[[#This Row],[Marketing]])</f>
        <v>4</v>
      </c>
      <c r="Q1051">
        <f>SUM(Table9[[#This Row],[Sales]])</f>
        <v>44</v>
      </c>
    </row>
    <row r="1052" spans="14:17">
      <c r="N1052" s="3">
        <v>31</v>
      </c>
      <c r="O1052" s="3">
        <v>228</v>
      </c>
      <c r="P1052">
        <f>SUM(Table9[[#This Row],[Marketing]])</f>
        <v>31</v>
      </c>
      <c r="Q1052">
        <f>SUM(Table9[[#This Row],[Sales]])</f>
        <v>228</v>
      </c>
    </row>
    <row r="1053" spans="14:17">
      <c r="N1053" s="5">
        <v>122</v>
      </c>
      <c r="O1053" s="5">
        <v>343</v>
      </c>
      <c r="P1053">
        <f>SUM(Table9[[#This Row],[Marketing]])</f>
        <v>122</v>
      </c>
      <c r="Q1053">
        <f>SUM(Table9[[#This Row],[Sales]])</f>
        <v>343</v>
      </c>
    </row>
    <row r="1054" spans="14:17">
      <c r="N1054" s="3">
        <v>37</v>
      </c>
      <c r="O1054" s="3">
        <v>308</v>
      </c>
      <c r="P1054">
        <f>SUM(Table9[[#This Row],[Marketing]])</f>
        <v>37</v>
      </c>
      <c r="Q1054">
        <f>SUM(Table9[[#This Row],[Sales]])</f>
        <v>308</v>
      </c>
    </row>
    <row r="1055" spans="14:17">
      <c r="N1055" s="5">
        <v>73</v>
      </c>
      <c r="O1055" s="5">
        <v>569</v>
      </c>
      <c r="P1055">
        <f>SUM(Table9[[#This Row],[Marketing]])</f>
        <v>73</v>
      </c>
      <c r="Q1055">
        <f>SUM(Table9[[#This Row],[Sales]])</f>
        <v>569</v>
      </c>
    </row>
    <row r="1056" spans="14:17">
      <c r="N1056" s="3">
        <v>26</v>
      </c>
      <c r="O1056" s="3">
        <v>197</v>
      </c>
      <c r="P1056">
        <f>SUM(Table9[[#This Row],[Marketing]])</f>
        <v>26</v>
      </c>
      <c r="Q1056">
        <f>SUM(Table9[[#This Row],[Sales]])</f>
        <v>197</v>
      </c>
    </row>
    <row r="1057" spans="14:17">
      <c r="N1057" s="5">
        <v>40</v>
      </c>
      <c r="O1057" s="5">
        <v>332</v>
      </c>
      <c r="P1057">
        <f>SUM(Table9[[#This Row],[Marketing]])</f>
        <v>40</v>
      </c>
      <c r="Q1057">
        <f>SUM(Table9[[#This Row],[Sales]])</f>
        <v>332</v>
      </c>
    </row>
    <row r="1058" spans="14:17">
      <c r="N1058" s="3">
        <v>81</v>
      </c>
      <c r="O1058" s="3">
        <v>614</v>
      </c>
      <c r="P1058">
        <f>SUM(Table9[[#This Row],[Marketing]])</f>
        <v>81</v>
      </c>
      <c r="Q1058">
        <f>SUM(Table9[[#This Row],[Sales]])</f>
        <v>614</v>
      </c>
    </row>
    <row r="1059" spans="14:17">
      <c r="N1059" s="5">
        <v>70</v>
      </c>
      <c r="O1059" s="5">
        <v>534</v>
      </c>
      <c r="P1059">
        <f>SUM(Table9[[#This Row],[Marketing]])</f>
        <v>70</v>
      </c>
      <c r="Q1059">
        <f>SUM(Table9[[#This Row],[Sales]])</f>
        <v>534</v>
      </c>
    </row>
    <row r="1060" spans="14:17">
      <c r="N1060" s="3">
        <v>29</v>
      </c>
      <c r="O1060" s="3">
        <v>236</v>
      </c>
      <c r="P1060">
        <f>SUM(Table9[[#This Row],[Marketing]])</f>
        <v>29</v>
      </c>
      <c r="Q1060">
        <f>SUM(Table9[[#This Row],[Sales]])</f>
        <v>236</v>
      </c>
    </row>
    <row r="1061" spans="14:17">
      <c r="N1061" s="5">
        <v>111</v>
      </c>
      <c r="O1061" s="5">
        <v>33</v>
      </c>
      <c r="P1061">
        <f>SUM(Table9[[#This Row],[Marketing]])</f>
        <v>111</v>
      </c>
      <c r="Q1061">
        <f>SUM(Table9[[#This Row],[Sales]])</f>
        <v>33</v>
      </c>
    </row>
    <row r="1062" spans="14:17">
      <c r="N1062" s="3">
        <v>41</v>
      </c>
      <c r="O1062" s="3">
        <v>341</v>
      </c>
      <c r="P1062">
        <f>SUM(Table9[[#This Row],[Marketing]])</f>
        <v>41</v>
      </c>
      <c r="Q1062">
        <f>SUM(Table9[[#This Row],[Sales]])</f>
        <v>341</v>
      </c>
    </row>
    <row r="1063" spans="14:17">
      <c r="N1063" s="35">
        <v>7</v>
      </c>
      <c r="O1063" s="35">
        <v>48</v>
      </c>
      <c r="P1063">
        <f>SUM(Table9[[#This Row],[Marketing]])</f>
        <v>7</v>
      </c>
      <c r="Q1063">
        <f>SUM(Table9[[#This Row],[Sales]])</f>
        <v>48</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6E4C7-6A73-42EE-9F02-9AF38497F933}">
  <dimension ref="A1:Q44"/>
  <sheetViews>
    <sheetView workbookViewId="0">
      <selection activeCell="I18" sqref="I18"/>
    </sheetView>
  </sheetViews>
  <sheetFormatPr defaultRowHeight="14.4"/>
  <sheetData>
    <row r="1" spans="1:14" ht="18">
      <c r="A1" s="9" t="s">
        <v>225</v>
      </c>
    </row>
    <row r="3" spans="1:14">
      <c r="A3" t="s">
        <v>226</v>
      </c>
    </row>
    <row r="5" spans="1:14" ht="18">
      <c r="A5" s="48" t="s">
        <v>227</v>
      </c>
      <c r="L5" s="17" t="s">
        <v>115</v>
      </c>
      <c r="M5" s="17" t="s">
        <v>113</v>
      </c>
      <c r="N5" t="s">
        <v>103</v>
      </c>
    </row>
    <row r="6" spans="1:14">
      <c r="A6" s="25"/>
      <c r="L6" s="18" t="s">
        <v>228</v>
      </c>
      <c r="M6">
        <v>67836</v>
      </c>
      <c r="N6">
        <v>21552</v>
      </c>
    </row>
    <row r="7" spans="1:14">
      <c r="A7" s="26" t="s">
        <v>229</v>
      </c>
      <c r="L7" s="18" t="s">
        <v>230</v>
      </c>
      <c r="M7">
        <v>66106</v>
      </c>
      <c r="N7">
        <v>20859</v>
      </c>
    </row>
    <row r="8" spans="1:14">
      <c r="A8" s="25"/>
      <c r="L8" s="18" t="s">
        <v>231</v>
      </c>
      <c r="M8">
        <v>68953</v>
      </c>
      <c r="N8">
        <v>21900</v>
      </c>
    </row>
    <row r="9" spans="1:14">
      <c r="A9" s="25"/>
      <c r="L9" s="18" t="s">
        <v>116</v>
      </c>
      <c r="M9">
        <v>202895</v>
      </c>
      <c r="N9">
        <v>64311</v>
      </c>
    </row>
    <row r="10" spans="1:14">
      <c r="A10" s="27"/>
    </row>
    <row r="11" spans="1:14">
      <c r="A11" s="36" t="s">
        <v>232</v>
      </c>
    </row>
    <row r="12" spans="1:14">
      <c r="A12" s="27"/>
    </row>
    <row r="13" spans="1:14">
      <c r="A13" s="36" t="s">
        <v>233</v>
      </c>
    </row>
    <row r="14" spans="1:14">
      <c r="A14" s="25"/>
    </row>
    <row r="15" spans="1:14">
      <c r="A15" s="26" t="s">
        <v>234</v>
      </c>
    </row>
    <row r="16" spans="1:14">
      <c r="A16" s="25"/>
    </row>
    <row r="17" spans="1:1">
      <c r="A17" s="25"/>
    </row>
    <row r="18" spans="1:1">
      <c r="A18" s="27"/>
    </row>
    <row r="19" spans="1:1">
      <c r="A19" s="27" t="s">
        <v>235</v>
      </c>
    </row>
    <row r="20" spans="1:1">
      <c r="A20" s="27"/>
    </row>
    <row r="21" spans="1:1">
      <c r="A21" s="27" t="s">
        <v>236</v>
      </c>
    </row>
    <row r="22" spans="1:1">
      <c r="A22" s="25"/>
    </row>
    <row r="23" spans="1:1">
      <c r="A23" s="26" t="s">
        <v>237</v>
      </c>
    </row>
    <row r="29" spans="1:1" ht="18">
      <c r="A29" s="9" t="s">
        <v>238</v>
      </c>
    </row>
    <row r="32" spans="1:1">
      <c r="A32" t="s">
        <v>239</v>
      </c>
    </row>
    <row r="34" spans="1:17" ht="18">
      <c r="A34" s="48" t="s">
        <v>240</v>
      </c>
      <c r="O34" s="17" t="s">
        <v>241</v>
      </c>
    </row>
    <row r="35" spans="1:17">
      <c r="A35" s="25"/>
      <c r="N35" s="17" t="s">
        <v>115</v>
      </c>
      <c r="O35" t="s">
        <v>242</v>
      </c>
      <c r="P35" t="s">
        <v>243</v>
      </c>
      <c r="Q35" t="s">
        <v>116</v>
      </c>
    </row>
    <row r="36" spans="1:17">
      <c r="A36" s="26" t="s">
        <v>244</v>
      </c>
      <c r="N36" s="18" t="s">
        <v>228</v>
      </c>
    </row>
    <row r="37" spans="1:17">
      <c r="A37" s="25"/>
      <c r="N37" s="18" t="s">
        <v>230</v>
      </c>
    </row>
    <row r="38" spans="1:17">
      <c r="A38" s="26" t="s">
        <v>245</v>
      </c>
      <c r="N38" s="18" t="s">
        <v>231</v>
      </c>
    </row>
    <row r="39" spans="1:17">
      <c r="A39" s="25"/>
      <c r="N39" s="18" t="s">
        <v>116</v>
      </c>
    </row>
    <row r="40" spans="1:17">
      <c r="A40" s="25"/>
    </row>
    <row r="41" spans="1:17">
      <c r="A41" s="27"/>
    </row>
    <row r="42" spans="1:17">
      <c r="A42" s="27" t="s">
        <v>246</v>
      </c>
    </row>
    <row r="43" spans="1:17">
      <c r="A43" s="27"/>
    </row>
    <row r="44" spans="1:17">
      <c r="A44" s="27" t="s">
        <v>247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E7906-3D53-41F3-B995-A574353A5CA7}">
  <dimension ref="A1:R354"/>
  <sheetViews>
    <sheetView tabSelected="1" topLeftCell="A55" workbookViewId="0">
      <selection activeCell="H62" sqref="H62"/>
    </sheetView>
  </sheetViews>
  <sheetFormatPr defaultRowHeight="14.4"/>
  <cols>
    <col min="6" max="6" width="19.5546875" bestFit="1" customWidth="1"/>
    <col min="7" max="7" width="16.88671875" bestFit="1" customWidth="1"/>
    <col min="8" max="8" width="20.44140625" bestFit="1" customWidth="1"/>
    <col min="11" max="11" width="12.5546875" bestFit="1" customWidth="1"/>
    <col min="18" max="18" width="16.88671875" bestFit="1" customWidth="1"/>
  </cols>
  <sheetData>
    <row r="1" spans="1:18" ht="17.399999999999999">
      <c r="A1" s="24"/>
      <c r="R1" s="17" t="s">
        <v>115</v>
      </c>
    </row>
    <row r="2" spans="1:18" ht="18">
      <c r="A2" s="9" t="s">
        <v>297</v>
      </c>
      <c r="R2" s="18" t="s">
        <v>132</v>
      </c>
    </row>
    <row r="3" spans="1:18">
      <c r="A3" s="45" t="s">
        <v>298</v>
      </c>
      <c r="B3" s="45"/>
      <c r="C3" s="45"/>
      <c r="D3" s="45"/>
      <c r="E3" s="45"/>
      <c r="F3" s="45"/>
      <c r="G3" s="45"/>
      <c r="H3" s="45"/>
      <c r="I3" s="45"/>
      <c r="J3" s="45"/>
      <c r="K3" s="45"/>
      <c r="R3" s="19">
        <v>-5.614583333333333</v>
      </c>
    </row>
    <row r="4" spans="1:18">
      <c r="A4" s="45" t="s">
        <v>299</v>
      </c>
      <c r="B4" s="45"/>
      <c r="C4" s="45"/>
      <c r="D4" s="45"/>
      <c r="E4" s="45"/>
      <c r="F4" s="45"/>
      <c r="G4" s="45"/>
      <c r="H4" s="45"/>
      <c r="I4" s="45"/>
      <c r="J4" s="45"/>
      <c r="K4" s="45"/>
      <c r="R4" s="19">
        <v>-5.4504504504504503</v>
      </c>
    </row>
    <row r="5" spans="1:18">
      <c r="A5" s="25"/>
      <c r="R5" s="19">
        <v>-5.43010752688172</v>
      </c>
    </row>
    <row r="6" spans="1:18">
      <c r="A6" s="26" t="s">
        <v>300</v>
      </c>
      <c r="R6" s="19">
        <v>-3.7837837837837838</v>
      </c>
    </row>
    <row r="7" spans="1:18">
      <c r="A7" s="25"/>
      <c r="R7" s="19">
        <v>-3.78125</v>
      </c>
    </row>
    <row r="8" spans="1:18">
      <c r="A8" s="26" t="s">
        <v>301</v>
      </c>
      <c r="R8" s="19">
        <v>-3.6756756756756759</v>
      </c>
    </row>
    <row r="9" spans="1:18">
      <c r="R9" s="19">
        <v>-3.6559139784946235</v>
      </c>
    </row>
    <row r="10" spans="1:18">
      <c r="A10" s="28" t="s">
        <v>302</v>
      </c>
      <c r="C10" t="s">
        <v>303</v>
      </c>
      <c r="R10" s="19">
        <v>-3.48</v>
      </c>
    </row>
    <row r="11" spans="1:18">
      <c r="R11" s="19">
        <v>-3.4285714285714284</v>
      </c>
    </row>
    <row r="12" spans="1:18">
      <c r="R12" s="19">
        <v>-3.4054054054054053</v>
      </c>
    </row>
    <row r="13" spans="1:18">
      <c r="R13" s="19">
        <v>-3.36231884057971</v>
      </c>
    </row>
    <row r="14" spans="1:18" ht="18">
      <c r="A14" s="9" t="s">
        <v>304</v>
      </c>
      <c r="R14" s="19">
        <v>-3.2982456140350878</v>
      </c>
    </row>
    <row r="15" spans="1:18">
      <c r="A15" t="s">
        <v>305</v>
      </c>
      <c r="R15" s="19">
        <v>-3.2749999999999999</v>
      </c>
    </row>
    <row r="16" spans="1:18">
      <c r="A16" t="s">
        <v>306</v>
      </c>
      <c r="R16" s="19">
        <v>-3.1428571428571428</v>
      </c>
    </row>
    <row r="17" spans="1:18">
      <c r="A17" s="25"/>
      <c r="R17" s="19">
        <v>-3.0273972602739727</v>
      </c>
    </row>
    <row r="18" spans="1:18">
      <c r="A18" s="26" t="s">
        <v>307</v>
      </c>
      <c r="R18" s="19">
        <v>-2.8205128205128207</v>
      </c>
    </row>
    <row r="19" spans="1:18">
      <c r="A19" s="25"/>
      <c r="R19" s="19">
        <v>-2.7522935779816513</v>
      </c>
    </row>
    <row r="20" spans="1:18">
      <c r="A20" s="26" t="s">
        <v>308</v>
      </c>
      <c r="R20" s="19">
        <v>-2.721311475409836</v>
      </c>
    </row>
    <row r="21" spans="1:18">
      <c r="R21" s="19">
        <v>-2.6548672566371683</v>
      </c>
    </row>
    <row r="22" spans="1:18">
      <c r="A22" s="28" t="s">
        <v>248</v>
      </c>
      <c r="D22" t="s">
        <v>249</v>
      </c>
      <c r="R22" s="19">
        <v>-2.5540540540540539</v>
      </c>
    </row>
    <row r="23" spans="1:18">
      <c r="R23" s="19">
        <v>-2.34</v>
      </c>
    </row>
    <row r="24" spans="1:18">
      <c r="R24" s="19">
        <v>-2.3055555555555554</v>
      </c>
    </row>
    <row r="25" spans="1:18">
      <c r="R25" s="19">
        <v>-2.2972972972972974</v>
      </c>
    </row>
    <row r="26" spans="1:18" ht="18">
      <c r="A26" s="9" t="s">
        <v>250</v>
      </c>
      <c r="R26" s="19">
        <v>-2.2857142857142856</v>
      </c>
    </row>
    <row r="27" spans="1:18">
      <c r="A27" t="s">
        <v>251</v>
      </c>
      <c r="R27" s="19">
        <v>-2.2608695652173911</v>
      </c>
    </row>
    <row r="28" spans="1:18">
      <c r="A28" t="s">
        <v>252</v>
      </c>
      <c r="R28" s="19">
        <v>-2.2280701754385963</v>
      </c>
    </row>
    <row r="29" spans="1:18">
      <c r="A29" s="25"/>
      <c r="R29" s="19">
        <v>-2.2000000000000002</v>
      </c>
    </row>
    <row r="30" spans="1:18">
      <c r="A30" s="26" t="s">
        <v>253</v>
      </c>
      <c r="R30" s="19">
        <v>-2.1428571428571428</v>
      </c>
    </row>
    <row r="31" spans="1:18">
      <c r="A31" s="25"/>
      <c r="R31" s="19">
        <v>-2.0410958904109591</v>
      </c>
    </row>
    <row r="32" spans="1:18">
      <c r="A32" s="26" t="s">
        <v>254</v>
      </c>
      <c r="R32" s="19">
        <v>-2</v>
      </c>
    </row>
    <row r="33" spans="1:18">
      <c r="R33" s="19">
        <v>-1.8974358974358974</v>
      </c>
    </row>
    <row r="34" spans="1:18">
      <c r="A34" s="28" t="s">
        <v>255</v>
      </c>
      <c r="R34" s="19">
        <v>-1.8532110091743119</v>
      </c>
    </row>
    <row r="35" spans="1:18">
      <c r="R35" s="19">
        <v>-1.8360655737704918</v>
      </c>
    </row>
    <row r="36" spans="1:18">
      <c r="R36" s="19">
        <v>-1.7876106194690264</v>
      </c>
    </row>
    <row r="37" spans="1:18">
      <c r="R37" s="19">
        <v>-1.7777777777777777</v>
      </c>
    </row>
    <row r="38" spans="1:18">
      <c r="R38" s="19">
        <v>-1.5555555555555556</v>
      </c>
    </row>
    <row r="39" spans="1:18" ht="18">
      <c r="A39" s="9" t="s">
        <v>256</v>
      </c>
      <c r="R39" s="19">
        <v>-1.5384615384615385</v>
      </c>
    </row>
    <row r="40" spans="1:18">
      <c r="A40" t="s">
        <v>257</v>
      </c>
      <c r="R40" s="19">
        <v>-1.5</v>
      </c>
    </row>
    <row r="41" spans="1:18">
      <c r="A41" t="s">
        <v>258</v>
      </c>
      <c r="R41" s="19">
        <v>-1.3333333333333333</v>
      </c>
    </row>
    <row r="42" spans="1:18">
      <c r="A42" s="25"/>
      <c r="R42" s="19">
        <v>-1.2222222222222223</v>
      </c>
    </row>
    <row r="43" spans="1:18">
      <c r="A43" s="26" t="s">
        <v>259</v>
      </c>
      <c r="R43" s="19">
        <v>-1.0384615384615385</v>
      </c>
    </row>
    <row r="44" spans="1:18">
      <c r="A44" s="25"/>
      <c r="E44" s="56"/>
      <c r="R44" s="19">
        <v>-1</v>
      </c>
    </row>
    <row r="45" spans="1:18">
      <c r="A45" s="26" t="s">
        <v>260</v>
      </c>
      <c r="R45" s="19">
        <v>-0.7142857142857143</v>
      </c>
    </row>
    <row r="46" spans="1:18">
      <c r="R46" s="19">
        <v>-0.66666666666666663</v>
      </c>
    </row>
    <row r="47" spans="1:18">
      <c r="A47" s="28" t="s">
        <v>261</v>
      </c>
      <c r="R47" s="19">
        <v>-0.52</v>
      </c>
    </row>
    <row r="48" spans="1:18">
      <c r="R48" s="19">
        <v>-0.5</v>
      </c>
    </row>
    <row r="49" spans="2:18" ht="21">
      <c r="B49" s="58" t="s">
        <v>332</v>
      </c>
      <c r="C49" s="58"/>
      <c r="D49" s="58"/>
      <c r="E49" s="58"/>
      <c r="F49" s="57" t="s">
        <v>333</v>
      </c>
      <c r="G49" s="57"/>
      <c r="R49" s="19">
        <v>-0.48</v>
      </c>
    </row>
    <row r="50" spans="2:18" ht="18">
      <c r="B50" s="9" t="s">
        <v>297</v>
      </c>
      <c r="F50">
        <v>294</v>
      </c>
      <c r="G50" t="s">
        <v>334</v>
      </c>
      <c r="R50" s="19">
        <v>-0.47619047619047616</v>
      </c>
    </row>
    <row r="51" spans="2:18">
      <c r="G51">
        <v>294</v>
      </c>
      <c r="R51" s="19">
        <v>-0.36</v>
      </c>
    </row>
    <row r="52" spans="2:18">
      <c r="R52" s="19">
        <v>-0.34782608695652173</v>
      </c>
    </row>
    <row r="53" spans="2:18" ht="18">
      <c r="B53" s="9" t="s">
        <v>304</v>
      </c>
      <c r="R53" s="19">
        <v>-0.33333333333333331</v>
      </c>
    </row>
    <row r="54" spans="2:18" ht="18">
      <c r="B54" s="9" t="s">
        <v>250</v>
      </c>
      <c r="F54" s="17" t="s">
        <v>115</v>
      </c>
      <c r="H54" s="9" t="s">
        <v>256</v>
      </c>
      <c r="K54" s="17" t="s">
        <v>115</v>
      </c>
      <c r="R54" s="19">
        <v>-0.32</v>
      </c>
    </row>
    <row r="55" spans="2:18">
      <c r="F55" s="18" t="s">
        <v>132</v>
      </c>
      <c r="K55" s="18" t="s">
        <v>17</v>
      </c>
      <c r="R55" s="19">
        <v>-0.3</v>
      </c>
    </row>
    <row r="56" spans="2:18">
      <c r="F56" s="19" t="s">
        <v>43</v>
      </c>
      <c r="K56" s="18" t="s">
        <v>25</v>
      </c>
      <c r="R56" s="19">
        <v>-0.25531914893617019</v>
      </c>
    </row>
    <row r="57" spans="2:18">
      <c r="F57" s="19" t="s">
        <v>47</v>
      </c>
      <c r="K57" s="18" t="s">
        <v>23</v>
      </c>
      <c r="R57" s="19">
        <v>-0.25</v>
      </c>
    </row>
    <row r="58" spans="2:18">
      <c r="F58" s="19" t="s">
        <v>46</v>
      </c>
      <c r="K58" s="18" t="s">
        <v>29</v>
      </c>
      <c r="R58" s="19">
        <v>-0.24390243902439024</v>
      </c>
    </row>
    <row r="59" spans="2:18">
      <c r="F59" s="19" t="s">
        <v>50</v>
      </c>
      <c r="K59" s="18" t="s">
        <v>116</v>
      </c>
      <c r="R59" s="19">
        <v>-0.2391304347826087</v>
      </c>
    </row>
    <row r="60" spans="2:18">
      <c r="F60" s="19" t="s">
        <v>45</v>
      </c>
      <c r="R60" s="19">
        <v>-0.23809523809523808</v>
      </c>
    </row>
    <row r="61" spans="2:18">
      <c r="F61" s="19" t="s">
        <v>27</v>
      </c>
      <c r="R61" s="19">
        <v>-0.21951219512195122</v>
      </c>
    </row>
    <row r="62" spans="2:18">
      <c r="F62" s="19" t="s">
        <v>35</v>
      </c>
      <c r="R62" s="19">
        <v>-0.21428571428571427</v>
      </c>
    </row>
    <row r="63" spans="2:18">
      <c r="F63" s="19" t="s">
        <v>39</v>
      </c>
      <c r="R63" s="19">
        <v>-0.2</v>
      </c>
    </row>
    <row r="64" spans="2:18">
      <c r="F64" s="19" t="s">
        <v>54</v>
      </c>
      <c r="R64" s="19">
        <v>-0.17499999999999999</v>
      </c>
    </row>
    <row r="65" spans="1:18">
      <c r="F65" s="19" t="s">
        <v>30</v>
      </c>
      <c r="R65" s="19">
        <v>-0.17073170731707318</v>
      </c>
    </row>
    <row r="66" spans="1:18">
      <c r="F66" s="19" t="s">
        <v>20</v>
      </c>
      <c r="R66" s="19">
        <v>-0.1702127659574468</v>
      </c>
    </row>
    <row r="67" spans="1:18">
      <c r="F67" s="19" t="s">
        <v>22</v>
      </c>
      <c r="R67" s="19">
        <v>-0.16666666666666666</v>
      </c>
    </row>
    <row r="68" spans="1:18">
      <c r="F68" s="19" t="s">
        <v>59</v>
      </c>
      <c r="R68" s="19">
        <v>-0.15909090909090909</v>
      </c>
    </row>
    <row r="69" spans="1:18">
      <c r="F69" s="18" t="s">
        <v>116</v>
      </c>
      <c r="R69" s="19">
        <v>-0.15217391304347827</v>
      </c>
    </row>
    <row r="70" spans="1:18">
      <c r="R70" s="19">
        <v>-0.14634146341463414</v>
      </c>
    </row>
    <row r="71" spans="1:18">
      <c r="R71" s="19">
        <v>-0.14285714285714285</v>
      </c>
    </row>
    <row r="72" spans="1:18" ht="17.399999999999999">
      <c r="A72" s="64" t="s">
        <v>351</v>
      </c>
      <c r="R72" s="19">
        <v>-0.13636363636363635</v>
      </c>
    </row>
    <row r="73" spans="1:18">
      <c r="R73" s="19">
        <v>-0.1276595744680851</v>
      </c>
    </row>
    <row r="74" spans="1:18">
      <c r="R74" s="19">
        <v>-0.11363636363636363</v>
      </c>
    </row>
    <row r="75" spans="1:18" ht="18">
      <c r="A75" s="48" t="s">
        <v>336</v>
      </c>
      <c r="R75" s="19">
        <v>-0.10869565217391304</v>
      </c>
    </row>
    <row r="76" spans="1:18">
      <c r="R76" s="19">
        <v>-9.0909090909090912E-2</v>
      </c>
    </row>
    <row r="77" spans="1:18">
      <c r="A77" t="s">
        <v>337</v>
      </c>
      <c r="R77" s="19">
        <v>-8.5106382978723402E-2</v>
      </c>
    </row>
    <row r="78" spans="1:18">
      <c r="A78" s="25"/>
      <c r="R78" s="19">
        <v>-8.1632653061224483E-2</v>
      </c>
    </row>
    <row r="79" spans="1:18">
      <c r="A79" s="26" t="s">
        <v>338</v>
      </c>
      <c r="R79" s="19">
        <v>-6.3829787234042548E-2</v>
      </c>
    </row>
    <row r="80" spans="1:18">
      <c r="A80" s="25"/>
      <c r="R80" s="19">
        <v>-6.1224489795918366E-2</v>
      </c>
    </row>
    <row r="81" spans="1:18">
      <c r="A81" s="26" t="s">
        <v>339</v>
      </c>
      <c r="R81" s="19">
        <v>-4.0816326530612242E-2</v>
      </c>
    </row>
    <row r="82" spans="1:18">
      <c r="R82" s="19">
        <v>0</v>
      </c>
    </row>
    <row r="83" spans="1:18" ht="18">
      <c r="A83" s="48" t="s">
        <v>340</v>
      </c>
      <c r="R83" s="19">
        <v>1.8181818181818181E-2</v>
      </c>
    </row>
    <row r="84" spans="1:18">
      <c r="R84" s="19">
        <v>1.8518518518518517E-2</v>
      </c>
    </row>
    <row r="85" spans="1:18">
      <c r="A85" t="s">
        <v>341</v>
      </c>
      <c r="R85" s="19">
        <v>3.6363636363636362E-2</v>
      </c>
    </row>
    <row r="86" spans="1:18">
      <c r="A86" s="25"/>
      <c r="R86" s="19">
        <v>5.4545454545454543E-2</v>
      </c>
    </row>
    <row r="87" spans="1:18">
      <c r="A87" s="26" t="s">
        <v>342</v>
      </c>
      <c r="R87" s="19">
        <v>7.1428571428571425E-2</v>
      </c>
    </row>
    <row r="88" spans="1:18">
      <c r="A88" s="25"/>
      <c r="R88" s="19">
        <v>7.6923076923076927E-2</v>
      </c>
    </row>
    <row r="89" spans="1:18">
      <c r="A89" s="26" t="s">
        <v>343</v>
      </c>
      <c r="R89" s="19">
        <v>0.14285714285714285</v>
      </c>
    </row>
    <row r="90" spans="1:18">
      <c r="R90" s="19">
        <v>0.17647058823529413</v>
      </c>
    </row>
    <row r="91" spans="1:18" ht="18">
      <c r="A91" s="48" t="s">
        <v>344</v>
      </c>
      <c r="R91" s="19">
        <v>0.18823529411764706</v>
      </c>
    </row>
    <row r="92" spans="1:18">
      <c r="A92" s="25"/>
      <c r="R92" s="19">
        <v>0.19540229885057472</v>
      </c>
    </row>
    <row r="93" spans="1:18">
      <c r="A93" s="26" t="s">
        <v>345</v>
      </c>
      <c r="R93" s="19">
        <v>0.20689655172413793</v>
      </c>
    </row>
    <row r="94" spans="1:18">
      <c r="A94" s="25"/>
      <c r="R94" s="19">
        <v>0.21052631578947367</v>
      </c>
    </row>
    <row r="95" spans="1:18">
      <c r="A95" s="26" t="s">
        <v>346</v>
      </c>
      <c r="R95" s="19">
        <v>0.21428571428571427</v>
      </c>
    </row>
    <row r="96" spans="1:18">
      <c r="R96" s="19">
        <v>0.22105263157894736</v>
      </c>
    </row>
    <row r="97" spans="1:18" ht="18">
      <c r="A97" s="48" t="s">
        <v>347</v>
      </c>
      <c r="R97" s="19">
        <v>0.23008849557522124</v>
      </c>
    </row>
    <row r="98" spans="1:18">
      <c r="R98" s="19">
        <v>0.23853211009174313</v>
      </c>
    </row>
    <row r="99" spans="1:18">
      <c r="A99" t="s">
        <v>348</v>
      </c>
      <c r="R99" s="19">
        <v>0.23893805309734514</v>
      </c>
    </row>
    <row r="100" spans="1:18">
      <c r="A100" s="25"/>
      <c r="R100" s="19">
        <v>0.25409836065573771</v>
      </c>
    </row>
    <row r="101" spans="1:18">
      <c r="A101" s="26" t="s">
        <v>349</v>
      </c>
      <c r="R101" s="19">
        <v>0.25882352941176473</v>
      </c>
    </row>
    <row r="102" spans="1:18">
      <c r="A102" s="25"/>
      <c r="R102" s="19">
        <v>0.26229508196721313</v>
      </c>
    </row>
    <row r="103" spans="1:18">
      <c r="A103" s="26" t="s">
        <v>350</v>
      </c>
      <c r="R103" s="19">
        <v>0.28235294117647058</v>
      </c>
    </row>
    <row r="104" spans="1:18">
      <c r="R104" s="19">
        <v>0.28735632183908044</v>
      </c>
    </row>
    <row r="105" spans="1:18">
      <c r="R105" s="19">
        <v>0.31034482758620691</v>
      </c>
    </row>
    <row r="106" spans="1:18">
      <c r="R106" s="19">
        <v>0.31578947368421051</v>
      </c>
    </row>
    <row r="107" spans="1:18">
      <c r="R107" s="19">
        <v>0.32631578947368423</v>
      </c>
    </row>
    <row r="108" spans="1:18">
      <c r="R108" s="19">
        <v>0.34513274336283184</v>
      </c>
    </row>
    <row r="109" spans="1:18">
      <c r="R109" s="19">
        <v>0.35294117647058826</v>
      </c>
    </row>
    <row r="110" spans="1:18">
      <c r="R110" s="19">
        <v>0.35398230088495575</v>
      </c>
    </row>
    <row r="111" spans="1:18">
      <c r="R111" s="19">
        <v>0.3577981651376147</v>
      </c>
    </row>
    <row r="112" spans="1:18">
      <c r="R112" s="19">
        <v>0.37704918032786883</v>
      </c>
    </row>
    <row r="113" spans="18:18">
      <c r="R113" s="19">
        <v>0.38524590163934425</v>
      </c>
    </row>
    <row r="114" spans="18:18">
      <c r="R114" s="19">
        <v>0.41176470588235292</v>
      </c>
    </row>
    <row r="115" spans="18:18">
      <c r="R115" s="19">
        <v>0.52941176470588236</v>
      </c>
    </row>
    <row r="116" spans="18:18">
      <c r="R116" s="19">
        <v>0.5714285714285714</v>
      </c>
    </row>
    <row r="117" spans="18:18">
      <c r="R117" s="19">
        <v>0.58823529411764708</v>
      </c>
    </row>
    <row r="118" spans="18:18">
      <c r="R118" s="19">
        <v>0.6</v>
      </c>
    </row>
    <row r="119" spans="18:18">
      <c r="R119" s="19">
        <v>0.6071428571428571</v>
      </c>
    </row>
    <row r="120" spans="18:18">
      <c r="R120" s="19">
        <v>0.625</v>
      </c>
    </row>
    <row r="121" spans="18:18">
      <c r="R121" s="19">
        <v>0.65</v>
      </c>
    </row>
    <row r="122" spans="18:18">
      <c r="R122" s="19">
        <v>0.66666666666666663</v>
      </c>
    </row>
    <row r="123" spans="18:18">
      <c r="R123" s="19">
        <v>0.7</v>
      </c>
    </row>
    <row r="124" spans="18:18">
      <c r="R124" s="19">
        <v>0.7142857142857143</v>
      </c>
    </row>
    <row r="125" spans="18:18">
      <c r="R125" s="19">
        <v>0.72727272727272729</v>
      </c>
    </row>
    <row r="126" spans="18:18">
      <c r="R126" s="19">
        <v>0.75</v>
      </c>
    </row>
    <row r="127" spans="18:18">
      <c r="R127" s="19">
        <v>0.76190476190476186</v>
      </c>
    </row>
    <row r="128" spans="18:18">
      <c r="R128" s="19">
        <v>0.77777777777777779</v>
      </c>
    </row>
    <row r="129" spans="18:18">
      <c r="R129" s="19">
        <v>0.8</v>
      </c>
    </row>
    <row r="130" spans="18:18">
      <c r="R130" s="19">
        <v>0.81818181818181823</v>
      </c>
    </row>
    <row r="131" spans="18:18">
      <c r="R131" s="19">
        <v>0.82352941176470584</v>
      </c>
    </row>
    <row r="132" spans="18:18">
      <c r="R132" s="19">
        <v>0.8571428571428571</v>
      </c>
    </row>
    <row r="133" spans="18:18">
      <c r="R133" s="19">
        <v>0.875</v>
      </c>
    </row>
    <row r="134" spans="18:18">
      <c r="R134" s="19">
        <v>0.88888888888888884</v>
      </c>
    </row>
    <row r="135" spans="18:18">
      <c r="R135" s="19">
        <v>0.8928571428571429</v>
      </c>
    </row>
    <row r="136" spans="18:18">
      <c r="R136" s="19">
        <v>0.9</v>
      </c>
    </row>
    <row r="137" spans="18:18">
      <c r="R137" s="19">
        <v>0.91666666666666663</v>
      </c>
    </row>
    <row r="138" spans="18:18">
      <c r="R138" s="19">
        <v>0.95</v>
      </c>
    </row>
    <row r="139" spans="18:18">
      <c r="R139" s="19">
        <v>0.95833333333333337</v>
      </c>
    </row>
    <row r="140" spans="18:18">
      <c r="R140" s="19">
        <v>1</v>
      </c>
    </row>
    <row r="141" spans="18:18">
      <c r="R141" s="19">
        <v>1.04</v>
      </c>
    </row>
    <row r="142" spans="18:18">
      <c r="R142" s="19">
        <v>1.0476190476190477</v>
      </c>
    </row>
    <row r="143" spans="18:18">
      <c r="R143" s="19">
        <v>1.05</v>
      </c>
    </row>
    <row r="144" spans="18:18">
      <c r="R144" s="19">
        <v>1.08</v>
      </c>
    </row>
    <row r="145" spans="18:18">
      <c r="R145" s="19">
        <v>1.0833333333333333</v>
      </c>
    </row>
    <row r="146" spans="18:18">
      <c r="R146" s="19">
        <v>1.0909090909090908</v>
      </c>
    </row>
    <row r="147" spans="18:18">
      <c r="R147" s="19">
        <v>1.1000000000000001</v>
      </c>
    </row>
    <row r="148" spans="18:18">
      <c r="R148" s="19">
        <v>1.1052631578947369</v>
      </c>
    </row>
    <row r="149" spans="18:18">
      <c r="R149" s="19">
        <v>1.1111111111111112</v>
      </c>
    </row>
    <row r="150" spans="18:18">
      <c r="R150" s="19">
        <v>1.1333333333333333</v>
      </c>
    </row>
    <row r="151" spans="18:18">
      <c r="R151" s="19">
        <v>1.1428571428571428</v>
      </c>
    </row>
    <row r="152" spans="18:18">
      <c r="R152" s="19">
        <v>1.1666666666666667</v>
      </c>
    </row>
    <row r="153" spans="18:18">
      <c r="R153" s="19">
        <v>1.1818181818181819</v>
      </c>
    </row>
    <row r="154" spans="18:18">
      <c r="R154" s="19">
        <v>1.2</v>
      </c>
    </row>
    <row r="155" spans="18:18">
      <c r="R155" s="19">
        <v>1.2258064516129032</v>
      </c>
    </row>
    <row r="156" spans="18:18">
      <c r="R156" s="19">
        <v>1.2352941176470589</v>
      </c>
    </row>
    <row r="157" spans="18:18">
      <c r="R157" s="19">
        <v>1.3125</v>
      </c>
    </row>
    <row r="158" spans="18:18">
      <c r="R158" s="19">
        <v>1.3333333333333333</v>
      </c>
    </row>
    <row r="159" spans="18:18">
      <c r="R159" s="19">
        <v>1.375</v>
      </c>
    </row>
    <row r="160" spans="18:18">
      <c r="R160" s="19">
        <v>1.4</v>
      </c>
    </row>
    <row r="161" spans="18:18">
      <c r="R161" s="19">
        <v>1.4166666666666667</v>
      </c>
    </row>
    <row r="162" spans="18:18">
      <c r="R162" s="19">
        <v>1.4285714285714286</v>
      </c>
    </row>
    <row r="163" spans="18:18">
      <c r="R163" s="19">
        <v>1.4666666666666666</v>
      </c>
    </row>
    <row r="164" spans="18:18">
      <c r="R164" s="19">
        <v>1.5</v>
      </c>
    </row>
    <row r="165" spans="18:18">
      <c r="R165" s="19">
        <v>1.5294117647058822</v>
      </c>
    </row>
    <row r="166" spans="18:18">
      <c r="R166" s="19">
        <v>1.56</v>
      </c>
    </row>
    <row r="167" spans="18:18">
      <c r="R167" s="19">
        <v>1.5714285714285714</v>
      </c>
    </row>
    <row r="168" spans="18:18">
      <c r="R168" s="19">
        <v>1.5833333333333333</v>
      </c>
    </row>
    <row r="169" spans="18:18">
      <c r="R169" s="19">
        <v>1.588235294117647</v>
      </c>
    </row>
    <row r="170" spans="18:18">
      <c r="R170" s="19">
        <v>1.6</v>
      </c>
    </row>
    <row r="171" spans="18:18">
      <c r="R171" s="19">
        <v>1.625</v>
      </c>
    </row>
    <row r="172" spans="18:18">
      <c r="R172" s="19">
        <v>1.631578947368421</v>
      </c>
    </row>
    <row r="173" spans="18:18">
      <c r="R173" s="19">
        <v>1.6428571428571428</v>
      </c>
    </row>
    <row r="174" spans="18:18">
      <c r="R174" s="19">
        <v>1.6470588235294117</v>
      </c>
    </row>
    <row r="175" spans="18:18">
      <c r="R175" s="19">
        <v>1.6666666666666667</v>
      </c>
    </row>
    <row r="176" spans="18:18">
      <c r="R176" s="19">
        <v>1.6842105263157894</v>
      </c>
    </row>
    <row r="177" spans="18:18">
      <c r="R177" s="19">
        <v>1.6875</v>
      </c>
    </row>
    <row r="178" spans="18:18">
      <c r="R178" s="19">
        <v>1.7058823529411764</v>
      </c>
    </row>
    <row r="179" spans="18:18">
      <c r="R179" s="19">
        <v>1.7142857142857142</v>
      </c>
    </row>
    <row r="180" spans="18:18">
      <c r="R180" s="19">
        <v>1.7333333333333334</v>
      </c>
    </row>
    <row r="181" spans="18:18">
      <c r="R181" s="19">
        <v>1.736842105263158</v>
      </c>
    </row>
    <row r="182" spans="18:18">
      <c r="R182" s="19">
        <v>1.75</v>
      </c>
    </row>
    <row r="183" spans="18:18">
      <c r="R183" s="19">
        <v>1.8</v>
      </c>
    </row>
    <row r="184" spans="18:18">
      <c r="R184" s="19">
        <v>1.8064516129032258</v>
      </c>
    </row>
    <row r="185" spans="18:18">
      <c r="R185" s="19">
        <v>1.8095238095238095</v>
      </c>
    </row>
    <row r="186" spans="18:18">
      <c r="R186" s="19">
        <v>1.8461538461538463</v>
      </c>
    </row>
    <row r="187" spans="18:18">
      <c r="R187" s="19">
        <v>1.8571428571428572</v>
      </c>
    </row>
    <row r="188" spans="18:18">
      <c r="R188" s="19">
        <v>1.8666666666666667</v>
      </c>
    </row>
    <row r="189" spans="18:18">
      <c r="R189" s="19">
        <v>1.8947368421052631</v>
      </c>
    </row>
    <row r="190" spans="18:18">
      <c r="R190" s="19">
        <v>1.9130434782608696</v>
      </c>
    </row>
    <row r="191" spans="18:18">
      <c r="R191" s="19">
        <v>1.9230769230769231</v>
      </c>
    </row>
    <row r="192" spans="18:18">
      <c r="R192" s="19">
        <v>1.9375</v>
      </c>
    </row>
    <row r="193" spans="18:18">
      <c r="R193" s="19">
        <v>1.9565217391304348</v>
      </c>
    </row>
    <row r="194" spans="18:18">
      <c r="R194" s="19">
        <v>2</v>
      </c>
    </row>
    <row r="195" spans="18:18">
      <c r="R195" s="19">
        <v>2.0222222222222221</v>
      </c>
    </row>
    <row r="196" spans="18:18">
      <c r="R196" s="19">
        <v>2.04</v>
      </c>
    </row>
    <row r="197" spans="18:18">
      <c r="R197" s="19">
        <v>2.0444444444444443</v>
      </c>
    </row>
    <row r="198" spans="18:18">
      <c r="R198" s="19">
        <v>2.0666666666666669</v>
      </c>
    </row>
    <row r="199" spans="18:18">
      <c r="R199" s="19">
        <v>2.0714285714285716</v>
      </c>
    </row>
    <row r="200" spans="18:18">
      <c r="R200" s="19">
        <v>2.0769230769230771</v>
      </c>
    </row>
    <row r="201" spans="18:18">
      <c r="R201" s="19">
        <v>2.0833333333333335</v>
      </c>
    </row>
    <row r="202" spans="18:18">
      <c r="R202" s="19">
        <v>2.1111111111111112</v>
      </c>
    </row>
    <row r="203" spans="18:18">
      <c r="R203" s="19">
        <v>2.125</v>
      </c>
    </row>
    <row r="204" spans="18:18">
      <c r="R204" s="19">
        <v>2.1363636363636362</v>
      </c>
    </row>
    <row r="205" spans="18:18">
      <c r="R205" s="19">
        <v>2.1428571428571428</v>
      </c>
    </row>
    <row r="206" spans="18:18">
      <c r="R206" s="19">
        <v>2.1481481481481484</v>
      </c>
    </row>
    <row r="207" spans="18:18">
      <c r="R207" s="19">
        <v>2.1538461538461537</v>
      </c>
    </row>
    <row r="208" spans="18:18">
      <c r="R208" s="19">
        <v>2.1666666666666665</v>
      </c>
    </row>
    <row r="209" spans="18:18">
      <c r="R209" s="19">
        <v>2.1785714285714284</v>
      </c>
    </row>
    <row r="210" spans="18:18">
      <c r="R210" s="19">
        <v>2.2000000000000002</v>
      </c>
    </row>
    <row r="211" spans="18:18">
      <c r="R211" s="19">
        <v>2.2142857142857144</v>
      </c>
    </row>
    <row r="212" spans="18:18">
      <c r="R212" s="19">
        <v>2.2307692307692308</v>
      </c>
    </row>
    <row r="213" spans="18:18">
      <c r="R213" s="19">
        <v>2.25</v>
      </c>
    </row>
    <row r="214" spans="18:18">
      <c r="R214" s="19">
        <v>2.2666666666666666</v>
      </c>
    </row>
    <row r="215" spans="18:18">
      <c r="R215" s="19">
        <v>2.2857142857142856</v>
      </c>
    </row>
    <row r="216" spans="18:18">
      <c r="R216" s="19">
        <v>2.2941176470588234</v>
      </c>
    </row>
    <row r="217" spans="18:18">
      <c r="R217" s="19">
        <v>2.3125</v>
      </c>
    </row>
    <row r="218" spans="18:18">
      <c r="R218" s="19">
        <v>2.3529411764705883</v>
      </c>
    </row>
    <row r="219" spans="18:18">
      <c r="R219" s="19">
        <v>2.3703703703703702</v>
      </c>
    </row>
    <row r="220" spans="18:18">
      <c r="R220" s="19">
        <v>2.3913043478260869</v>
      </c>
    </row>
    <row r="221" spans="18:18">
      <c r="R221" s="19">
        <v>2.4074074074074074</v>
      </c>
    </row>
    <row r="222" spans="18:18">
      <c r="R222" s="19">
        <v>2.4137931034482758</v>
      </c>
    </row>
    <row r="223" spans="18:18">
      <c r="R223" s="19">
        <v>2.4166666666666665</v>
      </c>
    </row>
    <row r="224" spans="18:18">
      <c r="R224" s="19">
        <v>2.4285714285714284</v>
      </c>
    </row>
    <row r="225" spans="18:18">
      <c r="R225" s="19">
        <v>2.4347826086956523</v>
      </c>
    </row>
    <row r="226" spans="18:18">
      <c r="R226" s="19">
        <v>2.4375</v>
      </c>
    </row>
    <row r="227" spans="18:18">
      <c r="R227" s="19">
        <v>2.4482758620689653</v>
      </c>
    </row>
    <row r="228" spans="18:18">
      <c r="R228" s="19">
        <v>2.4583333333333335</v>
      </c>
    </row>
    <row r="229" spans="18:18">
      <c r="R229" s="19">
        <v>2.4705882352941178</v>
      </c>
    </row>
    <row r="230" spans="18:18">
      <c r="R230" s="19">
        <v>2.4736842105263159</v>
      </c>
    </row>
    <row r="231" spans="18:18">
      <c r="R231" s="19">
        <v>2.48</v>
      </c>
    </row>
    <row r="232" spans="18:18">
      <c r="R232" s="19">
        <v>2.4827586206896552</v>
      </c>
    </row>
    <row r="233" spans="18:18">
      <c r="R233" s="19">
        <v>2.4838709677419355</v>
      </c>
    </row>
    <row r="234" spans="18:18">
      <c r="R234" s="19">
        <v>2.5</v>
      </c>
    </row>
    <row r="235" spans="18:18">
      <c r="R235" s="19">
        <v>2.5172413793103448</v>
      </c>
    </row>
    <row r="236" spans="18:18">
      <c r="R236" s="19">
        <v>2.52</v>
      </c>
    </row>
    <row r="237" spans="18:18">
      <c r="R237" s="19">
        <v>2.5217391304347827</v>
      </c>
    </row>
    <row r="238" spans="18:18">
      <c r="R238" s="19">
        <v>2.5294117647058822</v>
      </c>
    </row>
    <row r="239" spans="18:18">
      <c r="R239" s="19">
        <v>2.5384615384615383</v>
      </c>
    </row>
    <row r="240" spans="18:18">
      <c r="R240" s="19">
        <v>2.5517241379310347</v>
      </c>
    </row>
    <row r="241" spans="18:18">
      <c r="R241" s="19">
        <v>2.5714285714285716</v>
      </c>
    </row>
    <row r="242" spans="18:18">
      <c r="R242" s="19">
        <v>2.5757575757575757</v>
      </c>
    </row>
    <row r="243" spans="18:18">
      <c r="R243" s="19">
        <v>2.5789473684210527</v>
      </c>
    </row>
    <row r="244" spans="18:18">
      <c r="R244" s="19">
        <v>2.5833333333333335</v>
      </c>
    </row>
    <row r="245" spans="18:18">
      <c r="R245" s="19">
        <v>2.6</v>
      </c>
    </row>
    <row r="246" spans="18:18">
      <c r="R246" s="19">
        <v>2.6363636363636362</v>
      </c>
    </row>
    <row r="247" spans="18:18">
      <c r="R247" s="19">
        <v>2.65</v>
      </c>
    </row>
    <row r="248" spans="18:18">
      <c r="R248" s="19">
        <v>2.6666666666666665</v>
      </c>
    </row>
    <row r="249" spans="18:18">
      <c r="R249" s="19">
        <v>2.7142857142857144</v>
      </c>
    </row>
    <row r="250" spans="18:18">
      <c r="R250" s="19">
        <v>2.7619047619047619</v>
      </c>
    </row>
    <row r="251" spans="18:18">
      <c r="R251" s="19">
        <v>2.7692307692307692</v>
      </c>
    </row>
    <row r="252" spans="18:18">
      <c r="R252" s="19">
        <v>2.7894736842105261</v>
      </c>
    </row>
    <row r="253" spans="18:18">
      <c r="R253" s="19">
        <v>2.8</v>
      </c>
    </row>
    <row r="254" spans="18:18">
      <c r="R254" s="19">
        <v>2.8260869565217392</v>
      </c>
    </row>
    <row r="255" spans="18:18">
      <c r="R255" s="19">
        <v>2.8333333333333335</v>
      </c>
    </row>
    <row r="256" spans="18:18">
      <c r="R256" s="19">
        <v>2.8461538461538463</v>
      </c>
    </row>
    <row r="257" spans="18:18">
      <c r="R257" s="19">
        <v>2.8571428571428572</v>
      </c>
    </row>
    <row r="258" spans="18:18">
      <c r="R258" s="19">
        <v>2.870967741935484</v>
      </c>
    </row>
    <row r="259" spans="18:18">
      <c r="R259" s="19">
        <v>2.9130434782608696</v>
      </c>
    </row>
    <row r="260" spans="18:18">
      <c r="R260" s="19">
        <v>2.9583333333333335</v>
      </c>
    </row>
    <row r="261" spans="18:18">
      <c r="R261" s="19">
        <v>3</v>
      </c>
    </row>
    <row r="262" spans="18:18">
      <c r="R262" s="19">
        <v>3.04</v>
      </c>
    </row>
    <row r="263" spans="18:18">
      <c r="R263" s="19">
        <v>3.0625</v>
      </c>
    </row>
    <row r="264" spans="18:18">
      <c r="R264" s="19">
        <v>3.0714285714285716</v>
      </c>
    </row>
    <row r="265" spans="18:18">
      <c r="R265" s="19">
        <v>3.0769230769230771</v>
      </c>
    </row>
    <row r="266" spans="18:18">
      <c r="R266" s="19">
        <v>3.0833333333333335</v>
      </c>
    </row>
    <row r="267" spans="18:18">
      <c r="R267" s="19">
        <v>3.1</v>
      </c>
    </row>
    <row r="268" spans="18:18">
      <c r="R268" s="19">
        <v>3.1111111111111112</v>
      </c>
    </row>
    <row r="269" spans="18:18">
      <c r="R269" s="19">
        <v>3.125</v>
      </c>
    </row>
    <row r="270" spans="18:18">
      <c r="R270" s="19">
        <v>3.1481481481481484</v>
      </c>
    </row>
    <row r="271" spans="18:18">
      <c r="R271" s="19">
        <v>3.1666666666666665</v>
      </c>
    </row>
    <row r="272" spans="18:18">
      <c r="R272" s="19">
        <v>3.1785714285714284</v>
      </c>
    </row>
    <row r="273" spans="18:18">
      <c r="R273" s="19">
        <v>3.1818181818181817</v>
      </c>
    </row>
    <row r="274" spans="18:18">
      <c r="R274" s="19">
        <v>3.1851851851851851</v>
      </c>
    </row>
    <row r="275" spans="18:18">
      <c r="R275" s="19">
        <v>3.2</v>
      </c>
    </row>
    <row r="276" spans="18:18">
      <c r="R276" s="19">
        <v>3.2142857142857144</v>
      </c>
    </row>
    <row r="277" spans="18:18">
      <c r="R277" s="19">
        <v>3.2222222222222223</v>
      </c>
    </row>
    <row r="278" spans="18:18">
      <c r="R278" s="19">
        <v>3.2307692307692308</v>
      </c>
    </row>
    <row r="279" spans="18:18">
      <c r="R279" s="19">
        <v>3.25</v>
      </c>
    </row>
    <row r="280" spans="18:18">
      <c r="R280" s="19">
        <v>3.2666666666666666</v>
      </c>
    </row>
    <row r="281" spans="18:18">
      <c r="R281" s="19">
        <v>3.2727272727272729</v>
      </c>
    </row>
    <row r="282" spans="18:18">
      <c r="R282" s="19">
        <v>3.2857142857142856</v>
      </c>
    </row>
    <row r="283" spans="18:18">
      <c r="R283" s="19">
        <v>3.3</v>
      </c>
    </row>
    <row r="284" spans="18:18">
      <c r="R284" s="19">
        <v>3.3076923076923075</v>
      </c>
    </row>
    <row r="285" spans="18:18">
      <c r="R285" s="19">
        <v>3.3125</v>
      </c>
    </row>
    <row r="286" spans="18:18">
      <c r="R286" s="19">
        <v>3.3333333333333335</v>
      </c>
    </row>
    <row r="287" spans="18:18">
      <c r="R287" s="19">
        <v>3.3571428571428572</v>
      </c>
    </row>
    <row r="288" spans="18:18">
      <c r="R288" s="19">
        <v>3.3636363636363638</v>
      </c>
    </row>
    <row r="289" spans="18:18">
      <c r="R289" s="19">
        <v>3.375</v>
      </c>
    </row>
    <row r="290" spans="18:18">
      <c r="R290" s="19">
        <v>3.3846153846153846</v>
      </c>
    </row>
    <row r="291" spans="18:18">
      <c r="R291" s="19">
        <v>3.4</v>
      </c>
    </row>
    <row r="292" spans="18:18">
      <c r="R292" s="19">
        <v>3.4285714285714284</v>
      </c>
    </row>
    <row r="293" spans="18:18">
      <c r="R293" s="19">
        <v>3.4375</v>
      </c>
    </row>
    <row r="294" spans="18:18">
      <c r="R294" s="19">
        <v>3.4444444444444446</v>
      </c>
    </row>
    <row r="295" spans="18:18">
      <c r="R295" s="19">
        <v>3.4615384615384617</v>
      </c>
    </row>
    <row r="296" spans="18:18">
      <c r="R296" s="19">
        <v>3.4666666666666668</v>
      </c>
    </row>
    <row r="297" spans="18:18">
      <c r="R297" s="19">
        <v>3.5</v>
      </c>
    </row>
    <row r="298" spans="18:18">
      <c r="R298" s="19">
        <v>3.5185185185185186</v>
      </c>
    </row>
    <row r="299" spans="18:18">
      <c r="R299" s="19">
        <v>3.5333333333333332</v>
      </c>
    </row>
    <row r="300" spans="18:18">
      <c r="R300" s="19">
        <v>3.5384615384615383</v>
      </c>
    </row>
    <row r="301" spans="18:18">
      <c r="R301" s="19">
        <v>3.5555555555555554</v>
      </c>
    </row>
    <row r="302" spans="18:18">
      <c r="R302" s="19">
        <v>3.5652173913043477</v>
      </c>
    </row>
    <row r="303" spans="18:18">
      <c r="R303" s="19">
        <v>3.5714285714285716</v>
      </c>
    </row>
    <row r="304" spans="18:18">
      <c r="R304" s="19">
        <v>3.5833333333333335</v>
      </c>
    </row>
    <row r="305" spans="18:18">
      <c r="R305" s="19">
        <v>3.6086956521739131</v>
      </c>
    </row>
    <row r="306" spans="18:18">
      <c r="R306" s="19">
        <v>3.6153846153846154</v>
      </c>
    </row>
    <row r="307" spans="18:18">
      <c r="R307" s="19">
        <v>3.625</v>
      </c>
    </row>
    <row r="308" spans="18:18">
      <c r="R308" s="19">
        <v>3.6666666666666665</v>
      </c>
    </row>
    <row r="309" spans="18:18">
      <c r="R309" s="19">
        <v>3.68</v>
      </c>
    </row>
    <row r="310" spans="18:18">
      <c r="R310" s="19">
        <v>3.7</v>
      </c>
    </row>
    <row r="311" spans="18:18">
      <c r="R311" s="19">
        <v>3.7083333333333335</v>
      </c>
    </row>
    <row r="312" spans="18:18">
      <c r="R312" s="19">
        <v>3.7142857142857144</v>
      </c>
    </row>
    <row r="313" spans="18:18">
      <c r="R313" s="19">
        <v>3.72</v>
      </c>
    </row>
    <row r="314" spans="18:18">
      <c r="R314" s="19">
        <v>3.7391304347826089</v>
      </c>
    </row>
    <row r="315" spans="18:18">
      <c r="R315" s="19">
        <v>3.75</v>
      </c>
    </row>
    <row r="316" spans="18:18">
      <c r="R316" s="19">
        <v>3.7619047619047619</v>
      </c>
    </row>
    <row r="317" spans="18:18">
      <c r="R317" s="19">
        <v>3.7692307692307692</v>
      </c>
    </row>
    <row r="318" spans="18:18">
      <c r="R318" s="19">
        <v>3.8181818181818183</v>
      </c>
    </row>
    <row r="319" spans="18:18">
      <c r="R319" s="19">
        <v>3.8333333333333335</v>
      </c>
    </row>
    <row r="320" spans="18:18">
      <c r="R320" s="19">
        <v>3.9523809523809526</v>
      </c>
    </row>
    <row r="321" spans="18:18">
      <c r="R321" s="19">
        <v>4</v>
      </c>
    </row>
    <row r="322" spans="18:18">
      <c r="R322" s="19">
        <v>4.166666666666667</v>
      </c>
    </row>
    <row r="323" spans="18:18">
      <c r="R323" s="19">
        <v>4.2</v>
      </c>
    </row>
    <row r="324" spans="18:18">
      <c r="R324" s="19">
        <v>4.2857142857142856</v>
      </c>
    </row>
    <row r="325" spans="18:18">
      <c r="R325" s="19">
        <v>4.4000000000000004</v>
      </c>
    </row>
    <row r="326" spans="18:18">
      <c r="R326" s="19">
        <v>4.4285714285714288</v>
      </c>
    </row>
    <row r="327" spans="18:18">
      <c r="R327" s="19">
        <v>4.4375</v>
      </c>
    </row>
    <row r="328" spans="18:18">
      <c r="R328" s="19">
        <v>4.4444444444444446</v>
      </c>
    </row>
    <row r="329" spans="18:18">
      <c r="R329" s="19">
        <v>4.5</v>
      </c>
    </row>
    <row r="330" spans="18:18">
      <c r="R330" s="19">
        <v>4.5625</v>
      </c>
    </row>
    <row r="331" spans="18:18">
      <c r="R331" s="19">
        <v>4.5999999999999996</v>
      </c>
    </row>
    <row r="332" spans="18:18">
      <c r="R332" s="19">
        <v>4.625</v>
      </c>
    </row>
    <row r="333" spans="18:18">
      <c r="R333" s="19">
        <v>4.666666666666667</v>
      </c>
    </row>
    <row r="334" spans="18:18">
      <c r="R334" s="19">
        <v>4.7222222222222223</v>
      </c>
    </row>
    <row r="335" spans="18:18">
      <c r="R335" s="19">
        <v>4.7777777777777777</v>
      </c>
    </row>
    <row r="336" spans="18:18">
      <c r="R336" s="19">
        <v>4.8</v>
      </c>
    </row>
    <row r="337" spans="18:18">
      <c r="R337" s="19">
        <v>4.8181818181818183</v>
      </c>
    </row>
    <row r="338" spans="18:18">
      <c r="R338" s="19">
        <v>4.8571428571428568</v>
      </c>
    </row>
    <row r="339" spans="18:18">
      <c r="R339" s="19">
        <v>4.875</v>
      </c>
    </row>
    <row r="340" spans="18:18">
      <c r="R340" s="19">
        <v>4.9000000000000004</v>
      </c>
    </row>
    <row r="341" spans="18:18">
      <c r="R341" s="19">
        <v>5</v>
      </c>
    </row>
    <row r="342" spans="18:18">
      <c r="R342" s="19">
        <v>5.0666666666666664</v>
      </c>
    </row>
    <row r="343" spans="18:18">
      <c r="R343" s="19">
        <v>5.0714285714285712</v>
      </c>
    </row>
    <row r="344" spans="18:18">
      <c r="R344" s="19">
        <v>5.1111111111111107</v>
      </c>
    </row>
    <row r="345" spans="18:18">
      <c r="R345" s="19">
        <v>5.1333333333333337</v>
      </c>
    </row>
    <row r="346" spans="18:18">
      <c r="R346" s="19">
        <v>5.1538461538461542</v>
      </c>
    </row>
    <row r="347" spans="18:18">
      <c r="R347" s="19">
        <v>5.2</v>
      </c>
    </row>
    <row r="348" spans="18:18">
      <c r="R348" s="19">
        <v>5.2307692307692308</v>
      </c>
    </row>
    <row r="349" spans="18:18">
      <c r="R349" s="19">
        <v>5.25</v>
      </c>
    </row>
    <row r="350" spans="18:18">
      <c r="R350" s="19">
        <v>5.2666666666666666</v>
      </c>
    </row>
    <row r="351" spans="18:18">
      <c r="R351" s="19">
        <v>5.375</v>
      </c>
    </row>
    <row r="352" spans="18:18">
      <c r="R352" s="19">
        <v>5.384615384615385</v>
      </c>
    </row>
    <row r="353" spans="18:18">
      <c r="R353" s="19" t="s">
        <v>335</v>
      </c>
    </row>
    <row r="354" spans="18:18">
      <c r="R354" s="18" t="s">
        <v>116</v>
      </c>
    </row>
  </sheetData>
  <mergeCells count="1">
    <mergeCell ref="B49:E4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45A4A86-21C7-46E3-8EF5-9C0D80A192D8}">
          <x14:formula1>
            <xm:f>Coffeechain!$B$2:$B$1063</xm:f>
          </x14:formula1>
          <xm:sqref>F50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99EC8-A7B3-45BF-B0FF-F39C39F44F33}">
  <dimension ref="A1:D54"/>
  <sheetViews>
    <sheetView topLeftCell="A31" workbookViewId="0">
      <selection activeCell="D62" sqref="D62"/>
    </sheetView>
  </sheetViews>
  <sheetFormatPr defaultRowHeight="14.4"/>
  <cols>
    <col min="1" max="1" width="14.21875" customWidth="1"/>
    <col min="2" max="2" width="17" customWidth="1"/>
    <col min="3" max="3" width="17.44140625" customWidth="1"/>
    <col min="4" max="4" width="28" bestFit="1" customWidth="1"/>
  </cols>
  <sheetData>
    <row r="1" spans="1:1" ht="17.399999999999999">
      <c r="A1" s="24" t="s">
        <v>262</v>
      </c>
    </row>
    <row r="2" spans="1:1" ht="18">
      <c r="A2" s="9" t="s">
        <v>263</v>
      </c>
    </row>
    <row r="3" spans="1:1" ht="18">
      <c r="A3" s="9" t="s">
        <v>264</v>
      </c>
    </row>
    <row r="5" spans="1:1">
      <c r="A5" s="29" t="s">
        <v>265</v>
      </c>
    </row>
    <row r="6" spans="1:1">
      <c r="A6" s="25"/>
    </row>
    <row r="7" spans="1:1">
      <c r="A7" s="40" t="s">
        <v>266</v>
      </c>
    </row>
    <row r="8" spans="1:1">
      <c r="A8" s="25"/>
    </row>
    <row r="9" spans="1:1">
      <c r="A9" s="41"/>
    </row>
    <row r="10" spans="1:1">
      <c r="A10" s="42" t="s">
        <v>267</v>
      </c>
    </row>
    <row r="11" spans="1:1">
      <c r="A11" s="27"/>
    </row>
    <row r="12" spans="1:1">
      <c r="A12" s="43" t="s">
        <v>268</v>
      </c>
    </row>
    <row r="13" spans="1:1">
      <c r="A13" s="25"/>
    </row>
    <row r="14" spans="1:1">
      <c r="A14" s="40" t="s">
        <v>269</v>
      </c>
    </row>
    <row r="18" spans="1:4" ht="18">
      <c r="A18" s="9" t="s">
        <v>270</v>
      </c>
    </row>
    <row r="19" spans="1:4" ht="15" thickBot="1"/>
    <row r="20" spans="1:4" ht="39.6" customHeight="1" thickBot="1">
      <c r="A20" s="49" t="s">
        <v>271</v>
      </c>
      <c r="B20" s="49" t="s">
        <v>272</v>
      </c>
      <c r="C20" s="49" t="s">
        <v>131</v>
      </c>
      <c r="D20" s="50" t="s">
        <v>273</v>
      </c>
    </row>
    <row r="21" spans="1:4" ht="39.6" customHeight="1" thickBot="1">
      <c r="A21" s="49" t="s">
        <v>274</v>
      </c>
      <c r="B21" s="51" t="s">
        <v>275</v>
      </c>
      <c r="C21" s="51" t="s">
        <v>275</v>
      </c>
      <c r="D21" s="50" t="s">
        <v>276</v>
      </c>
    </row>
    <row r="22" spans="1:4" ht="39.6" customHeight="1" thickBot="1">
      <c r="A22" s="49" t="s">
        <v>277</v>
      </c>
      <c r="B22" s="51" t="s">
        <v>275</v>
      </c>
      <c r="C22" s="51" t="s">
        <v>278</v>
      </c>
      <c r="D22" s="50" t="s">
        <v>279</v>
      </c>
    </row>
    <row r="23" spans="1:4" ht="39.6" customHeight="1" thickBot="1">
      <c r="A23" s="49" t="s">
        <v>280</v>
      </c>
      <c r="B23" s="51" t="s">
        <v>278</v>
      </c>
      <c r="C23" s="51" t="s">
        <v>275</v>
      </c>
      <c r="D23" s="50" t="s">
        <v>281</v>
      </c>
    </row>
    <row r="24" spans="1:4" ht="39.6" customHeight="1" thickBot="1">
      <c r="A24" s="49" t="s">
        <v>282</v>
      </c>
      <c r="B24" s="51" t="s">
        <v>278</v>
      </c>
      <c r="C24" s="51" t="s">
        <v>278</v>
      </c>
      <c r="D24" s="50" t="s">
        <v>283</v>
      </c>
    </row>
    <row r="27" spans="1:4">
      <c r="A27" s="31" t="s">
        <v>284</v>
      </c>
    </row>
    <row r="28" spans="1:4">
      <c r="A28" s="20"/>
    </row>
    <row r="29" spans="1:4">
      <c r="A29" s="29" t="s">
        <v>285</v>
      </c>
    </row>
    <row r="30" spans="1:4">
      <c r="A30" s="29" t="s">
        <v>286</v>
      </c>
    </row>
    <row r="34" spans="1:1" ht="18">
      <c r="A34" s="9" t="s">
        <v>287</v>
      </c>
    </row>
    <row r="36" spans="1:1">
      <c r="A36" t="s">
        <v>288</v>
      </c>
    </row>
    <row r="38" spans="1:1">
      <c r="A38" s="28" t="s">
        <v>289</v>
      </c>
    </row>
    <row r="40" spans="1:1">
      <c r="A40" s="28" t="s">
        <v>290</v>
      </c>
    </row>
    <row r="42" spans="1:1">
      <c r="A42" s="28" t="s">
        <v>291</v>
      </c>
    </row>
    <row r="46" spans="1:1" ht="18">
      <c r="A46" s="9" t="s">
        <v>292</v>
      </c>
    </row>
    <row r="48" spans="1:1">
      <c r="A48" t="s">
        <v>293</v>
      </c>
    </row>
    <row r="49" spans="1:1">
      <c r="A49" s="25"/>
    </row>
    <row r="50" spans="1:1">
      <c r="A50" s="26" t="s">
        <v>294</v>
      </c>
    </row>
    <row r="51" spans="1:1">
      <c r="A51" s="25"/>
    </row>
    <row r="52" spans="1:1">
      <c r="A52" s="52" t="s">
        <v>295</v>
      </c>
    </row>
    <row r="53" spans="1:1">
      <c r="A53" s="25"/>
    </row>
    <row r="54" spans="1:1">
      <c r="A54" s="26" t="s">
        <v>296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19EC9-BF85-45B8-A146-D1C034445EE3}">
  <dimension ref="A1:R1063"/>
  <sheetViews>
    <sheetView topLeftCell="F1038" workbookViewId="0">
      <selection activeCell="N1048" sqref="N1048"/>
    </sheetView>
  </sheetViews>
  <sheetFormatPr defaultRowHeight="14.4"/>
  <cols>
    <col min="2" max="2" width="16.44140625" bestFit="1" customWidth="1"/>
    <col min="3" max="3" width="12.109375" bestFit="1" customWidth="1"/>
    <col min="6" max="6" width="16.88671875" bestFit="1" customWidth="1"/>
    <col min="7" max="7" width="12.5546875" bestFit="1" customWidth="1"/>
    <col min="8" max="8" width="11.6640625" bestFit="1" customWidth="1"/>
    <col min="10" max="10" width="17.88671875" bestFit="1" customWidth="1"/>
    <col min="12" max="12" width="12.5546875" bestFit="1" customWidth="1"/>
    <col min="13" max="13" width="16.21875" bestFit="1" customWidth="1"/>
    <col min="14" max="14" width="22" bestFit="1" customWidth="1"/>
  </cols>
  <sheetData>
    <row r="1" spans="1:18" ht="17.399999999999999">
      <c r="A1" s="24"/>
      <c r="Q1" s="37" t="s">
        <v>5</v>
      </c>
      <c r="R1" s="37" t="s">
        <v>10</v>
      </c>
    </row>
    <row r="2" spans="1:18" ht="21">
      <c r="A2" s="9"/>
      <c r="B2" s="63" t="s">
        <v>101</v>
      </c>
      <c r="C2" s="63"/>
      <c r="F2" s="63" t="s">
        <v>110</v>
      </c>
      <c r="G2" s="63"/>
      <c r="J2" s="63" t="s">
        <v>309</v>
      </c>
      <c r="K2" s="63"/>
      <c r="N2" s="63" t="s">
        <v>310</v>
      </c>
      <c r="O2" s="63"/>
      <c r="Q2" s="3">
        <v>46</v>
      </c>
      <c r="R2" s="3">
        <v>122</v>
      </c>
    </row>
    <row r="3" spans="1:18" ht="18">
      <c r="B3" s="9" t="s">
        <v>311</v>
      </c>
      <c r="F3" s="9" t="s">
        <v>312</v>
      </c>
      <c r="J3" s="9" t="s">
        <v>144</v>
      </c>
      <c r="N3" s="53" t="s">
        <v>313</v>
      </c>
      <c r="Q3" s="5">
        <v>17</v>
      </c>
      <c r="R3" s="5">
        <v>123</v>
      </c>
    </row>
    <row r="4" spans="1:18">
      <c r="Q4" s="3">
        <v>13</v>
      </c>
      <c r="R4" s="3">
        <v>107</v>
      </c>
    </row>
    <row r="5" spans="1:18">
      <c r="B5" t="s">
        <v>107</v>
      </c>
      <c r="F5" t="s">
        <v>108</v>
      </c>
      <c r="J5" t="s">
        <v>314</v>
      </c>
      <c r="N5" t="s">
        <v>109</v>
      </c>
      <c r="Q5" s="5">
        <v>10</v>
      </c>
      <c r="R5" s="5">
        <v>94</v>
      </c>
    </row>
    <row r="6" spans="1:18">
      <c r="B6">
        <v>202895</v>
      </c>
      <c r="F6">
        <v>64311</v>
      </c>
      <c r="J6" s="54">
        <v>169.30009722993412</v>
      </c>
      <c r="N6">
        <v>32320</v>
      </c>
      <c r="Q6" s="3">
        <v>23</v>
      </c>
      <c r="R6" s="3">
        <v>182</v>
      </c>
    </row>
    <row r="7" spans="1:18">
      <c r="Q7" s="5">
        <v>0</v>
      </c>
      <c r="R7" s="5">
        <v>43</v>
      </c>
    </row>
    <row r="8" spans="1:18">
      <c r="Q8" s="3">
        <v>15</v>
      </c>
      <c r="R8" s="3">
        <v>111</v>
      </c>
    </row>
    <row r="9" spans="1:18">
      <c r="J9" s="54"/>
      <c r="Q9" s="5">
        <v>7</v>
      </c>
      <c r="R9" s="5">
        <v>66</v>
      </c>
    </row>
    <row r="10" spans="1:18">
      <c r="Q10" s="3">
        <v>9</v>
      </c>
      <c r="R10" s="3">
        <v>68</v>
      </c>
    </row>
    <row r="11" spans="1:18" ht="18">
      <c r="B11" s="9" t="s">
        <v>316</v>
      </c>
      <c r="G11" s="9" t="s">
        <v>317</v>
      </c>
      <c r="M11" s="9" t="s">
        <v>319</v>
      </c>
      <c r="Q11" s="5">
        <v>11</v>
      </c>
      <c r="R11" s="5">
        <v>99</v>
      </c>
    </row>
    <row r="12" spans="1:18">
      <c r="Q12" s="3">
        <v>15</v>
      </c>
      <c r="R12" s="3">
        <v>120</v>
      </c>
    </row>
    <row r="13" spans="1:18">
      <c r="B13" t="s">
        <v>113</v>
      </c>
      <c r="C13" t="s">
        <v>103</v>
      </c>
      <c r="G13" s="17" t="s">
        <v>115</v>
      </c>
      <c r="H13" t="s">
        <v>113</v>
      </c>
      <c r="M13" s="17" t="s">
        <v>115</v>
      </c>
      <c r="N13" t="s">
        <v>113</v>
      </c>
      <c r="Q13" s="5">
        <v>14</v>
      </c>
      <c r="R13" s="5">
        <v>114</v>
      </c>
    </row>
    <row r="14" spans="1:18">
      <c r="B14">
        <v>202895</v>
      </c>
      <c r="C14">
        <v>64311</v>
      </c>
      <c r="G14" s="22">
        <v>41183</v>
      </c>
      <c r="H14">
        <v>32849</v>
      </c>
      <c r="M14" s="18" t="s">
        <v>17</v>
      </c>
      <c r="N14">
        <v>64981</v>
      </c>
      <c r="Q14" s="3">
        <v>41</v>
      </c>
      <c r="R14" s="3">
        <v>109</v>
      </c>
    </row>
    <row r="15" spans="1:18">
      <c r="G15" s="22">
        <v>41214</v>
      </c>
      <c r="H15">
        <v>32003</v>
      </c>
      <c r="M15" s="18" t="s">
        <v>25</v>
      </c>
      <c r="N15">
        <v>44108</v>
      </c>
      <c r="Q15" s="5">
        <v>54</v>
      </c>
      <c r="R15" s="5">
        <v>144</v>
      </c>
    </row>
    <row r="16" spans="1:18">
      <c r="G16" s="22">
        <v>41244</v>
      </c>
      <c r="H16">
        <v>33373</v>
      </c>
      <c r="M16" s="18" t="s">
        <v>23</v>
      </c>
      <c r="N16">
        <v>26388</v>
      </c>
      <c r="Q16" s="3">
        <v>12</v>
      </c>
      <c r="R16" s="3">
        <v>77</v>
      </c>
    </row>
    <row r="17" spans="2:18">
      <c r="G17" s="22">
        <v>41548</v>
      </c>
      <c r="H17">
        <v>34987</v>
      </c>
      <c r="M17" s="18" t="s">
        <v>29</v>
      </c>
      <c r="N17">
        <v>67418</v>
      </c>
      <c r="Q17" s="5">
        <v>20</v>
      </c>
      <c r="R17" s="5">
        <v>120</v>
      </c>
    </row>
    <row r="18" spans="2:18">
      <c r="G18" s="22">
        <v>41579</v>
      </c>
      <c r="H18">
        <v>34103</v>
      </c>
      <c r="M18" s="18" t="s">
        <v>116</v>
      </c>
      <c r="N18">
        <v>202895</v>
      </c>
      <c r="Q18" s="3">
        <v>41</v>
      </c>
      <c r="R18" s="3">
        <v>109</v>
      </c>
    </row>
    <row r="19" spans="2:18">
      <c r="G19" s="22">
        <v>41609</v>
      </c>
      <c r="H19">
        <v>35580</v>
      </c>
      <c r="Q19" s="5">
        <v>13</v>
      </c>
      <c r="R19" s="5">
        <v>118</v>
      </c>
    </row>
    <row r="20" spans="2:18">
      <c r="G20" s="22" t="s">
        <v>116</v>
      </c>
      <c r="H20">
        <v>202895</v>
      </c>
      <c r="Q20" s="3">
        <v>15</v>
      </c>
      <c r="R20" s="3">
        <v>120</v>
      </c>
    </row>
    <row r="21" spans="2:18">
      <c r="Q21" s="5">
        <v>13</v>
      </c>
      <c r="R21" s="5">
        <v>119</v>
      </c>
    </row>
    <row r="22" spans="2:18">
      <c r="Q22" s="3">
        <v>11</v>
      </c>
      <c r="R22" s="3">
        <v>99</v>
      </c>
    </row>
    <row r="23" spans="2:18">
      <c r="Q23" s="5">
        <v>27</v>
      </c>
      <c r="R23" s="5">
        <v>205</v>
      </c>
    </row>
    <row r="24" spans="2:18" ht="18">
      <c r="M24" s="53" t="s">
        <v>318</v>
      </c>
      <c r="Q24" s="3">
        <v>28</v>
      </c>
      <c r="R24" s="3">
        <v>218</v>
      </c>
    </row>
    <row r="25" spans="2:18">
      <c r="Q25" s="5">
        <v>13</v>
      </c>
      <c r="R25" s="5">
        <v>92</v>
      </c>
    </row>
    <row r="26" spans="2:18">
      <c r="Q26" s="3">
        <v>14</v>
      </c>
      <c r="R26" s="3">
        <v>123</v>
      </c>
    </row>
    <row r="27" spans="2:18">
      <c r="Q27" s="5">
        <v>13</v>
      </c>
      <c r="R27" s="5">
        <v>92</v>
      </c>
    </row>
    <row r="28" spans="2:18" ht="17.399999999999999">
      <c r="H28" s="55" t="s">
        <v>320</v>
      </c>
      <c r="L28" s="17" t="s">
        <v>115</v>
      </c>
      <c r="Q28" s="3">
        <v>47</v>
      </c>
      <c r="R28" s="3">
        <v>120</v>
      </c>
    </row>
    <row r="29" spans="2:18" ht="18">
      <c r="B29" s="17" t="s">
        <v>115</v>
      </c>
      <c r="H29" s="9" t="s">
        <v>321</v>
      </c>
      <c r="L29" s="18" t="s">
        <v>17</v>
      </c>
      <c r="Q29" s="5">
        <v>23</v>
      </c>
      <c r="R29" s="5">
        <v>164</v>
      </c>
    </row>
    <row r="30" spans="2:18" ht="18">
      <c r="B30" s="18" t="s">
        <v>17</v>
      </c>
      <c r="H30" s="9" t="s">
        <v>322</v>
      </c>
      <c r="L30" s="19" t="s">
        <v>38</v>
      </c>
      <c r="Q30" s="3">
        <v>14</v>
      </c>
      <c r="R30" s="3">
        <v>114</v>
      </c>
    </row>
    <row r="31" spans="2:18" ht="18">
      <c r="B31" s="18" t="s">
        <v>25</v>
      </c>
      <c r="H31" s="9" t="s">
        <v>323</v>
      </c>
      <c r="L31" s="23" t="s">
        <v>21</v>
      </c>
      <c r="Q31" s="5">
        <v>20</v>
      </c>
      <c r="R31" s="5">
        <v>124</v>
      </c>
    </row>
    <row r="32" spans="2:18">
      <c r="B32" s="18" t="s">
        <v>23</v>
      </c>
      <c r="L32" s="23" t="s">
        <v>56</v>
      </c>
      <c r="Q32" s="3">
        <v>14</v>
      </c>
      <c r="R32" s="3">
        <v>123</v>
      </c>
    </row>
    <row r="33" spans="2:18">
      <c r="B33" s="18" t="s">
        <v>29</v>
      </c>
      <c r="L33" s="23" t="s">
        <v>36</v>
      </c>
      <c r="Q33" s="5">
        <v>17</v>
      </c>
      <c r="R33" s="5">
        <v>125</v>
      </c>
    </row>
    <row r="34" spans="2:18">
      <c r="B34" s="18" t="s">
        <v>116</v>
      </c>
      <c r="L34" s="23" t="s">
        <v>51</v>
      </c>
      <c r="Q34" s="3">
        <v>10</v>
      </c>
      <c r="R34" s="3">
        <v>88</v>
      </c>
    </row>
    <row r="35" spans="2:18">
      <c r="L35" s="23" t="s">
        <v>58</v>
      </c>
      <c r="Q35" s="5">
        <v>9</v>
      </c>
      <c r="R35" s="5">
        <v>81</v>
      </c>
    </row>
    <row r="36" spans="2:18">
      <c r="L36" s="23" t="s">
        <v>52</v>
      </c>
      <c r="Q36" s="3">
        <v>8</v>
      </c>
      <c r="R36" s="3">
        <v>78</v>
      </c>
    </row>
    <row r="37" spans="2:18">
      <c r="L37" s="19" t="s">
        <v>34</v>
      </c>
      <c r="Q37" s="5">
        <v>10</v>
      </c>
      <c r="R37" s="5">
        <v>88</v>
      </c>
    </row>
    <row r="38" spans="2:18">
      <c r="L38" s="23" t="s">
        <v>21</v>
      </c>
      <c r="Q38" s="3">
        <v>15</v>
      </c>
      <c r="R38" s="3">
        <v>120</v>
      </c>
    </row>
    <row r="39" spans="2:18">
      <c r="L39" s="23" t="s">
        <v>56</v>
      </c>
      <c r="Q39" s="5">
        <v>20</v>
      </c>
      <c r="R39" s="5">
        <v>121</v>
      </c>
    </row>
    <row r="40" spans="2:18">
      <c r="L40" s="23" t="s">
        <v>36</v>
      </c>
      <c r="Q40" s="3">
        <v>14</v>
      </c>
      <c r="R40" s="3">
        <v>113</v>
      </c>
    </row>
    <row r="41" spans="2:18">
      <c r="L41" s="23" t="s">
        <v>51</v>
      </c>
      <c r="Q41" s="5">
        <v>14</v>
      </c>
      <c r="R41" s="5">
        <v>109</v>
      </c>
    </row>
    <row r="42" spans="2:18">
      <c r="L42" s="23" t="s">
        <v>58</v>
      </c>
      <c r="Q42" s="3">
        <v>40</v>
      </c>
      <c r="R42" s="3">
        <v>106</v>
      </c>
    </row>
    <row r="43" spans="2:18">
      <c r="L43" s="23" t="s">
        <v>52</v>
      </c>
      <c r="Q43" s="5">
        <v>16</v>
      </c>
      <c r="R43" s="5">
        <v>141</v>
      </c>
    </row>
    <row r="44" spans="2:18">
      <c r="L44" s="19" t="s">
        <v>19</v>
      </c>
      <c r="Q44" s="3">
        <v>20</v>
      </c>
      <c r="R44" s="3">
        <v>121</v>
      </c>
    </row>
    <row r="45" spans="2:18">
      <c r="L45" s="23" t="s">
        <v>21</v>
      </c>
      <c r="Q45" s="5">
        <v>20</v>
      </c>
      <c r="R45" s="5">
        <v>121</v>
      </c>
    </row>
    <row r="46" spans="2:18">
      <c r="L46" s="23" t="s">
        <v>56</v>
      </c>
      <c r="Q46" s="3">
        <v>14</v>
      </c>
      <c r="R46" s="3">
        <v>113</v>
      </c>
    </row>
    <row r="47" spans="2:18">
      <c r="L47" s="23" t="s">
        <v>36</v>
      </c>
      <c r="Q47" s="5">
        <v>14</v>
      </c>
      <c r="R47" s="5">
        <v>109</v>
      </c>
    </row>
    <row r="48" spans="2:18">
      <c r="L48" s="23" t="s">
        <v>51</v>
      </c>
      <c r="Q48" s="3">
        <v>13</v>
      </c>
      <c r="R48" s="3">
        <v>115</v>
      </c>
    </row>
    <row r="49" spans="12:18">
      <c r="L49" s="23" t="s">
        <v>58</v>
      </c>
      <c r="Q49" s="5">
        <v>10</v>
      </c>
      <c r="R49" s="5">
        <v>90</v>
      </c>
    </row>
    <row r="50" spans="12:18">
      <c r="L50" s="23" t="s">
        <v>52</v>
      </c>
      <c r="Q50" s="3">
        <v>55</v>
      </c>
      <c r="R50" s="3">
        <v>147</v>
      </c>
    </row>
    <row r="51" spans="12:18">
      <c r="L51" s="19" t="s">
        <v>26</v>
      </c>
      <c r="Q51" s="5">
        <v>14</v>
      </c>
      <c r="R51" s="5">
        <v>99</v>
      </c>
    </row>
    <row r="52" spans="12:18">
      <c r="L52" s="23" t="s">
        <v>21</v>
      </c>
      <c r="Q52" s="3">
        <v>15</v>
      </c>
      <c r="R52" s="3">
        <v>133</v>
      </c>
    </row>
    <row r="53" spans="12:18">
      <c r="L53" s="23" t="s">
        <v>56</v>
      </c>
      <c r="Q53" s="5">
        <v>42</v>
      </c>
      <c r="R53" s="5">
        <v>112</v>
      </c>
    </row>
    <row r="54" spans="12:18">
      <c r="L54" s="23" t="s">
        <v>36</v>
      </c>
      <c r="Q54" s="3">
        <v>17</v>
      </c>
      <c r="R54" s="3">
        <v>127</v>
      </c>
    </row>
    <row r="55" spans="12:18">
      <c r="L55" s="23" t="s">
        <v>51</v>
      </c>
      <c r="Q55" s="5">
        <v>24</v>
      </c>
      <c r="R55" s="5">
        <v>145</v>
      </c>
    </row>
    <row r="56" spans="12:18">
      <c r="L56" s="23" t="s">
        <v>58</v>
      </c>
      <c r="Q56" s="3">
        <v>24</v>
      </c>
      <c r="R56" s="3">
        <v>176</v>
      </c>
    </row>
    <row r="57" spans="12:18">
      <c r="L57" s="23" t="s">
        <v>52</v>
      </c>
      <c r="Q57" s="5">
        <v>17</v>
      </c>
      <c r="R57" s="5">
        <v>127</v>
      </c>
    </row>
    <row r="58" spans="12:18">
      <c r="L58" s="18" t="s">
        <v>25</v>
      </c>
      <c r="Q58" s="3">
        <v>13</v>
      </c>
      <c r="R58" s="3">
        <v>101</v>
      </c>
    </row>
    <row r="59" spans="12:18">
      <c r="L59" s="19" t="s">
        <v>38</v>
      </c>
      <c r="Q59" s="5">
        <v>15</v>
      </c>
      <c r="R59" s="5">
        <v>133</v>
      </c>
    </row>
    <row r="60" spans="12:18">
      <c r="L60" s="23" t="s">
        <v>37</v>
      </c>
      <c r="Q60" s="3">
        <v>8</v>
      </c>
      <c r="R60" s="3">
        <v>77</v>
      </c>
    </row>
    <row r="61" spans="12:18">
      <c r="L61" s="23" t="s">
        <v>28</v>
      </c>
      <c r="Q61" s="5">
        <v>9</v>
      </c>
      <c r="R61" s="5">
        <v>85</v>
      </c>
    </row>
    <row r="62" spans="12:18">
      <c r="L62" s="23" t="s">
        <v>55</v>
      </c>
      <c r="Q62" s="3">
        <v>9</v>
      </c>
      <c r="R62" s="3">
        <v>82</v>
      </c>
    </row>
    <row r="63" spans="12:18">
      <c r="L63" s="23" t="s">
        <v>44</v>
      </c>
      <c r="Q63" s="5">
        <v>15</v>
      </c>
      <c r="R63" s="5">
        <v>122</v>
      </c>
    </row>
    <row r="64" spans="12:18">
      <c r="L64" s="23" t="s">
        <v>60</v>
      </c>
      <c r="Q64" s="3">
        <v>49</v>
      </c>
      <c r="R64" s="3">
        <v>131</v>
      </c>
    </row>
    <row r="65" spans="12:18">
      <c r="L65" s="19" t="s">
        <v>34</v>
      </c>
      <c r="Q65" s="5">
        <v>44</v>
      </c>
      <c r="R65" s="5">
        <v>118</v>
      </c>
    </row>
    <row r="66" spans="12:18">
      <c r="L66" s="23" t="s">
        <v>37</v>
      </c>
      <c r="Q66" s="3">
        <v>14</v>
      </c>
      <c r="R66" s="3">
        <v>88</v>
      </c>
    </row>
    <row r="67" spans="12:18">
      <c r="L67" s="23" t="s">
        <v>28</v>
      </c>
      <c r="Q67" s="5">
        <v>44</v>
      </c>
      <c r="R67" s="5">
        <v>118</v>
      </c>
    </row>
    <row r="68" spans="12:18">
      <c r="L68" s="23" t="s">
        <v>55</v>
      </c>
      <c r="Q68" s="3">
        <v>12</v>
      </c>
      <c r="R68" s="3">
        <v>107</v>
      </c>
    </row>
    <row r="69" spans="12:18">
      <c r="L69" s="23" t="s">
        <v>44</v>
      </c>
      <c r="Q69" s="5">
        <v>28</v>
      </c>
      <c r="R69" s="5">
        <v>160</v>
      </c>
    </row>
    <row r="70" spans="12:18">
      <c r="L70" s="23" t="s">
        <v>60</v>
      </c>
      <c r="Q70" s="3">
        <v>25</v>
      </c>
      <c r="R70" s="3">
        <v>153</v>
      </c>
    </row>
    <row r="71" spans="12:18">
      <c r="L71" s="19" t="s">
        <v>19</v>
      </c>
      <c r="Q71" s="5">
        <v>19</v>
      </c>
      <c r="R71" s="5">
        <v>139</v>
      </c>
    </row>
    <row r="72" spans="12:18">
      <c r="L72" s="23" t="s">
        <v>37</v>
      </c>
      <c r="Q72" s="3">
        <v>28</v>
      </c>
      <c r="R72" s="3">
        <v>160</v>
      </c>
    </row>
    <row r="73" spans="12:18">
      <c r="L73" s="23" t="s">
        <v>28</v>
      </c>
      <c r="Q73" s="5">
        <v>49</v>
      </c>
      <c r="R73" s="5">
        <v>131</v>
      </c>
    </row>
    <row r="74" spans="12:18">
      <c r="L74" s="23" t="s">
        <v>55</v>
      </c>
      <c r="Q74" s="3">
        <v>46</v>
      </c>
      <c r="R74" s="3">
        <v>130</v>
      </c>
    </row>
    <row r="75" spans="12:18">
      <c r="L75" s="23" t="s">
        <v>44</v>
      </c>
      <c r="Q75" s="5">
        <v>17</v>
      </c>
      <c r="R75" s="5">
        <v>131</v>
      </c>
    </row>
    <row r="76" spans="12:18">
      <c r="L76" s="23" t="s">
        <v>60</v>
      </c>
      <c r="Q76" s="3">
        <v>13</v>
      </c>
      <c r="R76" s="3">
        <v>114</v>
      </c>
    </row>
    <row r="77" spans="12:18">
      <c r="L77" s="19" t="s">
        <v>26</v>
      </c>
      <c r="Q77" s="5">
        <v>10</v>
      </c>
      <c r="R77" s="5">
        <v>100</v>
      </c>
    </row>
    <row r="78" spans="12:18">
      <c r="L78" s="23" t="s">
        <v>37</v>
      </c>
      <c r="Q78" s="3">
        <v>23</v>
      </c>
      <c r="R78" s="3">
        <v>194</v>
      </c>
    </row>
    <row r="79" spans="12:18">
      <c r="L79" s="23" t="s">
        <v>28</v>
      </c>
      <c r="Q79" s="5">
        <v>0</v>
      </c>
      <c r="R79" s="5">
        <v>46</v>
      </c>
    </row>
    <row r="80" spans="12:18">
      <c r="L80" s="23" t="s">
        <v>55</v>
      </c>
      <c r="Q80" s="3">
        <v>15</v>
      </c>
      <c r="R80" s="3">
        <v>118</v>
      </c>
    </row>
    <row r="81" spans="12:18">
      <c r="L81" s="23" t="s">
        <v>44</v>
      </c>
      <c r="Q81" s="5">
        <v>7</v>
      </c>
      <c r="R81" s="5">
        <v>70</v>
      </c>
    </row>
    <row r="82" spans="12:18">
      <c r="L82" s="23" t="s">
        <v>60</v>
      </c>
      <c r="Q82" s="3">
        <v>9</v>
      </c>
      <c r="R82" s="3">
        <v>72</v>
      </c>
    </row>
    <row r="83" spans="12:18">
      <c r="L83" s="18" t="s">
        <v>23</v>
      </c>
      <c r="Q83" s="5">
        <v>11</v>
      </c>
      <c r="R83" s="5">
        <v>106</v>
      </c>
    </row>
    <row r="84" spans="12:18">
      <c r="L84" s="19" t="s">
        <v>38</v>
      </c>
      <c r="Q84" s="3">
        <v>15</v>
      </c>
      <c r="R84" s="3">
        <v>128</v>
      </c>
    </row>
    <row r="85" spans="12:18">
      <c r="L85" s="23" t="s">
        <v>48</v>
      </c>
      <c r="Q85" s="5">
        <v>14</v>
      </c>
      <c r="R85" s="5">
        <v>121</v>
      </c>
    </row>
    <row r="86" spans="12:18">
      <c r="L86" s="23" t="s">
        <v>57</v>
      </c>
      <c r="Q86" s="3">
        <v>41</v>
      </c>
      <c r="R86" s="3">
        <v>116</v>
      </c>
    </row>
    <row r="87" spans="12:18">
      <c r="L87" s="23" t="s">
        <v>40</v>
      </c>
      <c r="Q87" s="5">
        <v>54</v>
      </c>
      <c r="R87" s="5">
        <v>153</v>
      </c>
    </row>
    <row r="88" spans="12:18">
      <c r="L88" s="23" t="s">
        <v>24</v>
      </c>
      <c r="Q88" s="3">
        <v>12</v>
      </c>
      <c r="R88" s="3">
        <v>82</v>
      </c>
    </row>
    <row r="89" spans="12:18">
      <c r="L89" s="19" t="s">
        <v>34</v>
      </c>
      <c r="Q89" s="5">
        <v>20</v>
      </c>
      <c r="R89" s="5">
        <v>128</v>
      </c>
    </row>
    <row r="90" spans="12:18">
      <c r="L90" s="23" t="s">
        <v>48</v>
      </c>
      <c r="Q90" s="3">
        <v>41</v>
      </c>
      <c r="R90" s="3">
        <v>116</v>
      </c>
    </row>
    <row r="91" spans="12:18">
      <c r="L91" s="23" t="s">
        <v>57</v>
      </c>
      <c r="Q91" s="5">
        <v>13</v>
      </c>
      <c r="R91" s="5">
        <v>126</v>
      </c>
    </row>
    <row r="92" spans="12:18">
      <c r="L92" s="23" t="s">
        <v>40</v>
      </c>
      <c r="Q92" s="3">
        <v>15</v>
      </c>
      <c r="R92" s="3">
        <v>128</v>
      </c>
    </row>
    <row r="93" spans="12:18">
      <c r="L93" s="23" t="s">
        <v>24</v>
      </c>
      <c r="Q93" s="5">
        <v>13</v>
      </c>
      <c r="R93" s="5">
        <v>127</v>
      </c>
    </row>
    <row r="94" spans="12:18">
      <c r="L94" s="19" t="s">
        <v>19</v>
      </c>
      <c r="Q94" s="3">
        <v>11</v>
      </c>
      <c r="R94" s="3">
        <v>106</v>
      </c>
    </row>
    <row r="95" spans="12:18">
      <c r="L95" s="23" t="s">
        <v>48</v>
      </c>
      <c r="Q95" s="5">
        <v>27</v>
      </c>
      <c r="R95" s="5">
        <v>218</v>
      </c>
    </row>
    <row r="96" spans="12:18">
      <c r="L96" s="23" t="s">
        <v>57</v>
      </c>
      <c r="Q96" s="3">
        <v>28</v>
      </c>
      <c r="R96" s="3">
        <v>232</v>
      </c>
    </row>
    <row r="97" spans="12:18">
      <c r="L97" s="23" t="s">
        <v>40</v>
      </c>
      <c r="Q97" s="5">
        <v>13</v>
      </c>
      <c r="R97" s="5">
        <v>98</v>
      </c>
    </row>
    <row r="98" spans="12:18">
      <c r="L98" s="23" t="s">
        <v>24</v>
      </c>
      <c r="Q98" s="3">
        <v>14</v>
      </c>
      <c r="R98" s="3">
        <v>131</v>
      </c>
    </row>
    <row r="99" spans="12:18">
      <c r="L99" s="18" t="s">
        <v>29</v>
      </c>
      <c r="Q99" s="5">
        <v>13</v>
      </c>
      <c r="R99" s="5">
        <v>98</v>
      </c>
    </row>
    <row r="100" spans="12:18">
      <c r="L100" s="19" t="s">
        <v>38</v>
      </c>
      <c r="Q100" s="3">
        <v>47</v>
      </c>
      <c r="R100" s="3">
        <v>128</v>
      </c>
    </row>
    <row r="101" spans="12:18">
      <c r="L101" s="23" t="s">
        <v>31</v>
      </c>
      <c r="Q101" s="5">
        <v>23</v>
      </c>
      <c r="R101" s="5">
        <v>175</v>
      </c>
    </row>
    <row r="102" spans="12:18">
      <c r="L102" s="23" t="s">
        <v>41</v>
      </c>
      <c r="Q102" s="3">
        <v>14</v>
      </c>
      <c r="R102" s="3">
        <v>121</v>
      </c>
    </row>
    <row r="103" spans="12:18">
      <c r="L103" s="23" t="s">
        <v>49</v>
      </c>
      <c r="Q103" s="5">
        <v>20</v>
      </c>
      <c r="R103" s="5">
        <v>132</v>
      </c>
    </row>
    <row r="104" spans="12:18">
      <c r="L104" s="23" t="s">
        <v>42</v>
      </c>
      <c r="Q104" s="3">
        <v>14</v>
      </c>
      <c r="R104" s="3">
        <v>131</v>
      </c>
    </row>
    <row r="105" spans="12:18">
      <c r="L105" s="23" t="s">
        <v>53</v>
      </c>
      <c r="Q105" s="5">
        <v>17</v>
      </c>
      <c r="R105" s="5">
        <v>133</v>
      </c>
    </row>
    <row r="106" spans="12:18">
      <c r="L106" s="19" t="s">
        <v>34</v>
      </c>
      <c r="Q106" s="3">
        <v>10</v>
      </c>
      <c r="R106" s="3">
        <v>94</v>
      </c>
    </row>
    <row r="107" spans="12:18">
      <c r="L107" s="23" t="s">
        <v>31</v>
      </c>
      <c r="Q107" s="5">
        <v>9</v>
      </c>
      <c r="R107" s="5">
        <v>86</v>
      </c>
    </row>
    <row r="108" spans="12:18">
      <c r="L108" s="23" t="s">
        <v>41</v>
      </c>
      <c r="Q108" s="3">
        <v>8</v>
      </c>
      <c r="R108" s="3">
        <v>83</v>
      </c>
    </row>
    <row r="109" spans="12:18">
      <c r="L109" s="23" t="s">
        <v>49</v>
      </c>
      <c r="Q109" s="5">
        <v>10</v>
      </c>
      <c r="R109" s="5">
        <v>94</v>
      </c>
    </row>
    <row r="110" spans="12:18">
      <c r="L110" s="23" t="s">
        <v>42</v>
      </c>
      <c r="Q110" s="3">
        <v>15</v>
      </c>
      <c r="R110" s="3">
        <v>128</v>
      </c>
    </row>
    <row r="111" spans="12:18">
      <c r="L111" s="23" t="s">
        <v>53</v>
      </c>
      <c r="Q111" s="5">
        <v>20</v>
      </c>
      <c r="R111" s="5">
        <v>129</v>
      </c>
    </row>
    <row r="112" spans="12:18">
      <c r="L112" s="19" t="s">
        <v>19</v>
      </c>
      <c r="Q112" s="3">
        <v>14</v>
      </c>
      <c r="R112" s="3">
        <v>120</v>
      </c>
    </row>
    <row r="113" spans="12:18">
      <c r="L113" s="23" t="s">
        <v>31</v>
      </c>
      <c r="Q113" s="5">
        <v>14</v>
      </c>
      <c r="R113" s="5">
        <v>116</v>
      </c>
    </row>
    <row r="114" spans="12:18">
      <c r="L114" s="23" t="s">
        <v>41</v>
      </c>
      <c r="Q114" s="3">
        <v>40</v>
      </c>
      <c r="R114" s="3">
        <v>113</v>
      </c>
    </row>
    <row r="115" spans="12:18">
      <c r="L115" s="23" t="s">
        <v>49</v>
      </c>
      <c r="Q115" s="5">
        <v>16</v>
      </c>
      <c r="R115" s="5">
        <v>150</v>
      </c>
    </row>
    <row r="116" spans="12:18">
      <c r="L116" s="23" t="s">
        <v>42</v>
      </c>
      <c r="Q116" s="3">
        <v>20</v>
      </c>
      <c r="R116" s="3">
        <v>129</v>
      </c>
    </row>
    <row r="117" spans="12:18">
      <c r="L117" s="23" t="s">
        <v>53</v>
      </c>
      <c r="Q117" s="5">
        <v>20</v>
      </c>
      <c r="R117" s="5">
        <v>129</v>
      </c>
    </row>
    <row r="118" spans="12:18">
      <c r="L118" s="19" t="s">
        <v>26</v>
      </c>
      <c r="Q118" s="3">
        <v>14</v>
      </c>
      <c r="R118" s="3">
        <v>120</v>
      </c>
    </row>
    <row r="119" spans="12:18">
      <c r="L119" s="23" t="s">
        <v>31</v>
      </c>
      <c r="Q119" s="5">
        <v>14</v>
      </c>
      <c r="R119" s="5">
        <v>116</v>
      </c>
    </row>
    <row r="120" spans="12:18">
      <c r="L120" s="23" t="s">
        <v>41</v>
      </c>
      <c r="Q120" s="3">
        <v>13</v>
      </c>
      <c r="R120" s="3">
        <v>123</v>
      </c>
    </row>
    <row r="121" spans="12:18">
      <c r="L121" s="23" t="s">
        <v>49</v>
      </c>
      <c r="Q121" s="5">
        <v>10</v>
      </c>
      <c r="R121" s="5">
        <v>96</v>
      </c>
    </row>
    <row r="122" spans="12:18">
      <c r="L122" s="23" t="s">
        <v>42</v>
      </c>
      <c r="Q122" s="3">
        <v>55</v>
      </c>
      <c r="R122" s="3">
        <v>157</v>
      </c>
    </row>
    <row r="123" spans="12:18">
      <c r="L123" s="23" t="s">
        <v>53</v>
      </c>
      <c r="Q123" s="5">
        <v>14</v>
      </c>
      <c r="R123" s="5">
        <v>106</v>
      </c>
    </row>
    <row r="124" spans="12:18">
      <c r="L124" s="18" t="s">
        <v>116</v>
      </c>
      <c r="Q124" s="3">
        <v>15</v>
      </c>
      <c r="R124" s="3">
        <v>142</v>
      </c>
    </row>
    <row r="125" spans="12:18">
      <c r="Q125" s="5">
        <v>42</v>
      </c>
      <c r="R125" s="5">
        <v>119</v>
      </c>
    </row>
    <row r="126" spans="12:18">
      <c r="Q126" s="3">
        <v>17</v>
      </c>
      <c r="R126" s="3">
        <v>135</v>
      </c>
    </row>
    <row r="127" spans="12:18">
      <c r="Q127" s="5">
        <v>24</v>
      </c>
      <c r="R127" s="5">
        <v>155</v>
      </c>
    </row>
    <row r="128" spans="12:18">
      <c r="Q128" s="3">
        <v>24</v>
      </c>
      <c r="R128" s="3">
        <v>188</v>
      </c>
    </row>
    <row r="129" spans="17:18">
      <c r="Q129" s="5">
        <v>17</v>
      </c>
      <c r="R129" s="5">
        <v>135</v>
      </c>
    </row>
    <row r="130" spans="17:18">
      <c r="Q130" s="3">
        <v>13</v>
      </c>
      <c r="R130" s="3">
        <v>108</v>
      </c>
    </row>
    <row r="131" spans="17:18">
      <c r="Q131" s="5">
        <v>15</v>
      </c>
      <c r="R131" s="5">
        <v>142</v>
      </c>
    </row>
    <row r="132" spans="17:18">
      <c r="Q132" s="3">
        <v>8</v>
      </c>
      <c r="R132" s="3">
        <v>82</v>
      </c>
    </row>
    <row r="133" spans="17:18">
      <c r="Q133" s="5">
        <v>9</v>
      </c>
      <c r="R133" s="5">
        <v>91</v>
      </c>
    </row>
    <row r="134" spans="17:18">
      <c r="Q134" s="3">
        <v>9</v>
      </c>
      <c r="R134" s="3">
        <v>87</v>
      </c>
    </row>
    <row r="135" spans="17:18">
      <c r="Q135" s="5">
        <v>15</v>
      </c>
      <c r="R135" s="5">
        <v>130</v>
      </c>
    </row>
    <row r="136" spans="17:18">
      <c r="Q136" s="3">
        <v>49</v>
      </c>
      <c r="R136" s="3">
        <v>140</v>
      </c>
    </row>
    <row r="137" spans="17:18">
      <c r="Q137" s="5">
        <v>44</v>
      </c>
      <c r="R137" s="5">
        <v>126</v>
      </c>
    </row>
    <row r="138" spans="17:18">
      <c r="Q138" s="3">
        <v>14</v>
      </c>
      <c r="R138" s="3">
        <v>94</v>
      </c>
    </row>
    <row r="139" spans="17:18">
      <c r="Q139" s="5">
        <v>44</v>
      </c>
      <c r="R139" s="5">
        <v>126</v>
      </c>
    </row>
    <row r="140" spans="17:18">
      <c r="Q140" s="3">
        <v>12</v>
      </c>
      <c r="R140" s="3">
        <v>114</v>
      </c>
    </row>
    <row r="141" spans="17:18">
      <c r="Q141" s="5">
        <v>28</v>
      </c>
      <c r="R141" s="5">
        <v>171</v>
      </c>
    </row>
    <row r="142" spans="17:18">
      <c r="Q142" s="3">
        <v>25</v>
      </c>
      <c r="R142" s="3">
        <v>163</v>
      </c>
    </row>
    <row r="143" spans="17:18">
      <c r="Q143" s="5">
        <v>19</v>
      </c>
      <c r="R143" s="5">
        <v>148</v>
      </c>
    </row>
    <row r="144" spans="17:18">
      <c r="Q144" s="3">
        <v>28</v>
      </c>
      <c r="R144" s="3">
        <v>171</v>
      </c>
    </row>
    <row r="145" spans="17:18">
      <c r="Q145" s="5">
        <v>49</v>
      </c>
      <c r="R145" s="5">
        <v>140</v>
      </c>
    </row>
    <row r="146" spans="17:18">
      <c r="Q146" s="3">
        <v>12</v>
      </c>
      <c r="R146" s="3">
        <v>90</v>
      </c>
    </row>
    <row r="147" spans="17:18">
      <c r="Q147" s="5">
        <v>24</v>
      </c>
      <c r="R147" s="5">
        <v>174</v>
      </c>
    </row>
    <row r="148" spans="17:18">
      <c r="Q148" s="3">
        <v>20</v>
      </c>
      <c r="R148" s="3">
        <v>120</v>
      </c>
    </row>
    <row r="149" spans="17:18">
      <c r="Q149" s="5">
        <v>16</v>
      </c>
      <c r="R149" s="5">
        <v>118</v>
      </c>
    </row>
    <row r="150" spans="17:18">
      <c r="Q150" s="3">
        <v>7</v>
      </c>
      <c r="R150" s="3">
        <v>66</v>
      </c>
    </row>
    <row r="151" spans="17:18">
      <c r="Q151" s="5">
        <v>21</v>
      </c>
      <c r="R151" s="5">
        <v>187</v>
      </c>
    </row>
    <row r="152" spans="17:18">
      <c r="Q152" s="3">
        <v>7</v>
      </c>
      <c r="R152" s="3">
        <v>51</v>
      </c>
    </row>
    <row r="153" spans="17:18">
      <c r="Q153" s="5">
        <v>6</v>
      </c>
      <c r="R153" s="5">
        <v>58</v>
      </c>
    </row>
    <row r="154" spans="17:18">
      <c r="Q154" s="3">
        <v>30</v>
      </c>
      <c r="R154" s="3">
        <v>177</v>
      </c>
    </row>
    <row r="155" spans="17:18">
      <c r="Q155" s="5">
        <v>20</v>
      </c>
      <c r="R155" s="5">
        <v>142</v>
      </c>
    </row>
    <row r="156" spans="17:18">
      <c r="Q156" s="3">
        <v>14</v>
      </c>
      <c r="R156" s="3">
        <v>113</v>
      </c>
    </row>
    <row r="157" spans="17:18">
      <c r="Q157" s="5">
        <v>54</v>
      </c>
      <c r="R157" s="5">
        <v>144</v>
      </c>
    </row>
    <row r="158" spans="17:18">
      <c r="Q158" s="3">
        <v>18</v>
      </c>
      <c r="R158" s="3">
        <v>159</v>
      </c>
    </row>
    <row r="159" spans="17:18">
      <c r="Q159" s="5">
        <v>13</v>
      </c>
      <c r="R159" s="5">
        <v>92</v>
      </c>
    </row>
    <row r="160" spans="17:18">
      <c r="Q160" s="3">
        <v>10</v>
      </c>
      <c r="R160" s="3">
        <v>88</v>
      </c>
    </row>
    <row r="161" spans="17:18">
      <c r="Q161" s="5">
        <v>20</v>
      </c>
      <c r="R161" s="5">
        <v>124</v>
      </c>
    </row>
    <row r="162" spans="17:18">
      <c r="Q162" s="3">
        <v>13</v>
      </c>
      <c r="R162" s="3">
        <v>92</v>
      </c>
    </row>
    <row r="163" spans="17:18">
      <c r="Q163" s="5">
        <v>7</v>
      </c>
      <c r="R163" s="5">
        <v>70</v>
      </c>
    </row>
    <row r="164" spans="17:18">
      <c r="Q164" s="3">
        <v>8</v>
      </c>
      <c r="R164" s="3">
        <v>78</v>
      </c>
    </row>
    <row r="165" spans="17:18">
      <c r="Q165" s="5">
        <v>8</v>
      </c>
      <c r="R165" s="5">
        <v>80</v>
      </c>
    </row>
    <row r="166" spans="17:18">
      <c r="Q166" s="3">
        <v>14</v>
      </c>
      <c r="R166" s="3">
        <v>123</v>
      </c>
    </row>
    <row r="167" spans="17:18">
      <c r="Q167" s="5">
        <v>0</v>
      </c>
      <c r="R167" s="5">
        <v>43</v>
      </c>
    </row>
    <row r="168" spans="17:18">
      <c r="Q168" s="3">
        <v>25</v>
      </c>
      <c r="R168" s="3">
        <v>122</v>
      </c>
    </row>
    <row r="169" spans="17:18">
      <c r="Q169" s="5">
        <v>6</v>
      </c>
      <c r="R169" s="5">
        <v>56</v>
      </c>
    </row>
    <row r="170" spans="17:18">
      <c r="Q170" s="3">
        <v>40</v>
      </c>
      <c r="R170" s="3">
        <v>106</v>
      </c>
    </row>
    <row r="171" spans="17:18">
      <c r="Q171" s="5">
        <v>12</v>
      </c>
      <c r="R171" s="5">
        <v>74</v>
      </c>
    </row>
    <row r="172" spans="17:18">
      <c r="Q172" s="3">
        <v>40</v>
      </c>
      <c r="R172" s="3">
        <v>106</v>
      </c>
    </row>
    <row r="173" spans="17:18">
      <c r="Q173" s="5">
        <v>8</v>
      </c>
      <c r="R173" s="5">
        <v>78</v>
      </c>
    </row>
    <row r="174" spans="17:18">
      <c r="Q174" s="3">
        <v>21</v>
      </c>
      <c r="R174" s="3">
        <v>150</v>
      </c>
    </row>
    <row r="175" spans="17:18">
      <c r="Q175" s="5">
        <v>15</v>
      </c>
      <c r="R175" s="5">
        <v>120</v>
      </c>
    </row>
    <row r="176" spans="17:18">
      <c r="Q176" s="3">
        <v>15</v>
      </c>
      <c r="R176" s="3">
        <v>120</v>
      </c>
    </row>
    <row r="177" spans="17:18">
      <c r="Q177" s="5">
        <v>14</v>
      </c>
      <c r="R177" s="5">
        <v>99</v>
      </c>
    </row>
    <row r="178" spans="17:18">
      <c r="Q178" s="3">
        <v>13</v>
      </c>
      <c r="R178" s="3">
        <v>101</v>
      </c>
    </row>
    <row r="179" spans="17:18">
      <c r="Q179" s="5">
        <v>42</v>
      </c>
      <c r="R179" s="5">
        <v>99</v>
      </c>
    </row>
    <row r="180" spans="17:18">
      <c r="Q180" s="3">
        <v>14</v>
      </c>
      <c r="R180" s="3">
        <v>99</v>
      </c>
    </row>
    <row r="181" spans="17:18">
      <c r="Q181" s="5">
        <v>14</v>
      </c>
      <c r="R181" s="5">
        <v>99</v>
      </c>
    </row>
    <row r="182" spans="17:18">
      <c r="Q182" s="3">
        <v>17</v>
      </c>
      <c r="R182" s="3">
        <v>103</v>
      </c>
    </row>
    <row r="183" spans="17:18">
      <c r="Q183" s="5">
        <v>16</v>
      </c>
      <c r="R183" s="5">
        <v>116</v>
      </c>
    </row>
    <row r="184" spans="17:18">
      <c r="Q184" s="3">
        <v>9</v>
      </c>
      <c r="R184" s="3">
        <v>82</v>
      </c>
    </row>
    <row r="185" spans="17:18">
      <c r="Q185" s="5">
        <v>9</v>
      </c>
      <c r="R185" s="5">
        <v>85</v>
      </c>
    </row>
    <row r="186" spans="17:18">
      <c r="Q186" s="3">
        <v>0</v>
      </c>
      <c r="R186" s="3">
        <v>43</v>
      </c>
    </row>
    <row r="187" spans="17:18">
      <c r="Q187" s="5">
        <v>13</v>
      </c>
      <c r="R187" s="5">
        <v>106</v>
      </c>
    </row>
    <row r="188" spans="17:18">
      <c r="Q188" s="3">
        <v>9</v>
      </c>
      <c r="R188" s="3">
        <v>69</v>
      </c>
    </row>
    <row r="189" spans="17:18">
      <c r="Q189" s="5">
        <v>6</v>
      </c>
      <c r="R189" s="5">
        <v>58</v>
      </c>
    </row>
    <row r="190" spans="17:18">
      <c r="Q190" s="3">
        <v>12</v>
      </c>
      <c r="R190" s="3">
        <v>107</v>
      </c>
    </row>
    <row r="191" spans="17:18">
      <c r="Q191" s="5">
        <v>17</v>
      </c>
      <c r="R191" s="5">
        <v>103</v>
      </c>
    </row>
    <row r="192" spans="17:18">
      <c r="Q192" s="3">
        <v>13</v>
      </c>
      <c r="R192" s="3">
        <v>106</v>
      </c>
    </row>
    <row r="193" spans="17:18">
      <c r="Q193" s="5">
        <v>9</v>
      </c>
      <c r="R193" s="5">
        <v>82</v>
      </c>
    </row>
    <row r="194" spans="17:18">
      <c r="Q194" s="3">
        <v>44</v>
      </c>
      <c r="R194" s="3">
        <v>118</v>
      </c>
    </row>
    <row r="195" spans="17:18">
      <c r="Q195" s="5">
        <v>49</v>
      </c>
      <c r="R195" s="5">
        <v>131</v>
      </c>
    </row>
    <row r="196" spans="17:18">
      <c r="Q196" s="3">
        <v>12</v>
      </c>
      <c r="R196" s="3">
        <v>96</v>
      </c>
    </row>
    <row r="197" spans="17:18">
      <c r="Q197" s="5">
        <v>24</v>
      </c>
      <c r="R197" s="5">
        <v>185</v>
      </c>
    </row>
    <row r="198" spans="17:18">
      <c r="Q198" s="3">
        <v>20</v>
      </c>
      <c r="R198" s="3">
        <v>128</v>
      </c>
    </row>
    <row r="199" spans="17:18">
      <c r="Q199" s="5">
        <v>16</v>
      </c>
      <c r="R199" s="5">
        <v>126</v>
      </c>
    </row>
    <row r="200" spans="17:18">
      <c r="Q200" s="3">
        <v>7</v>
      </c>
      <c r="R200" s="3">
        <v>70</v>
      </c>
    </row>
    <row r="201" spans="17:18">
      <c r="Q201" s="5">
        <v>21</v>
      </c>
      <c r="R201" s="5">
        <v>199</v>
      </c>
    </row>
    <row r="202" spans="17:18">
      <c r="Q202" s="3">
        <v>7</v>
      </c>
      <c r="R202" s="3">
        <v>54</v>
      </c>
    </row>
    <row r="203" spans="17:18">
      <c r="Q203" s="5">
        <v>6</v>
      </c>
      <c r="R203" s="5">
        <v>62</v>
      </c>
    </row>
    <row r="204" spans="17:18">
      <c r="Q204" s="3">
        <v>30</v>
      </c>
      <c r="R204" s="3">
        <v>189</v>
      </c>
    </row>
    <row r="205" spans="17:18">
      <c r="Q205" s="5">
        <v>20</v>
      </c>
      <c r="R205" s="5">
        <v>151</v>
      </c>
    </row>
    <row r="206" spans="17:18">
      <c r="Q206" s="3">
        <v>14</v>
      </c>
      <c r="R206" s="3">
        <v>120</v>
      </c>
    </row>
    <row r="207" spans="17:18">
      <c r="Q207" s="5">
        <v>54</v>
      </c>
      <c r="R207" s="5">
        <v>153</v>
      </c>
    </row>
    <row r="208" spans="17:18">
      <c r="Q208" s="3">
        <v>18</v>
      </c>
      <c r="R208" s="3">
        <v>169</v>
      </c>
    </row>
    <row r="209" spans="17:18">
      <c r="Q209" s="5">
        <v>13</v>
      </c>
      <c r="R209" s="5">
        <v>98</v>
      </c>
    </row>
    <row r="210" spans="17:18">
      <c r="Q210" s="3">
        <v>10</v>
      </c>
      <c r="R210" s="3">
        <v>94</v>
      </c>
    </row>
    <row r="211" spans="17:18">
      <c r="Q211" s="5">
        <v>20</v>
      </c>
      <c r="R211" s="5">
        <v>132</v>
      </c>
    </row>
    <row r="212" spans="17:18">
      <c r="Q212" s="3">
        <v>13</v>
      </c>
      <c r="R212" s="3">
        <v>98</v>
      </c>
    </row>
    <row r="213" spans="17:18">
      <c r="Q213" s="5">
        <v>7</v>
      </c>
      <c r="R213" s="5">
        <v>75</v>
      </c>
    </row>
    <row r="214" spans="17:18">
      <c r="Q214" s="3">
        <v>8</v>
      </c>
      <c r="R214" s="3">
        <v>83</v>
      </c>
    </row>
    <row r="215" spans="17:18">
      <c r="Q215" s="5">
        <v>8</v>
      </c>
      <c r="R215" s="5">
        <v>85</v>
      </c>
    </row>
    <row r="216" spans="17:18">
      <c r="Q216" s="3">
        <v>14</v>
      </c>
      <c r="R216" s="3">
        <v>131</v>
      </c>
    </row>
    <row r="217" spans="17:18">
      <c r="Q217" s="5">
        <v>0</v>
      </c>
      <c r="R217" s="5">
        <v>46</v>
      </c>
    </row>
    <row r="218" spans="17:18">
      <c r="Q218" s="3">
        <v>25</v>
      </c>
      <c r="R218" s="3">
        <v>130</v>
      </c>
    </row>
    <row r="219" spans="17:18">
      <c r="Q219" s="5">
        <v>6</v>
      </c>
      <c r="R219" s="5">
        <v>60</v>
      </c>
    </row>
    <row r="220" spans="17:18">
      <c r="Q220" s="3">
        <v>40</v>
      </c>
      <c r="R220" s="3">
        <v>113</v>
      </c>
    </row>
    <row r="221" spans="17:18">
      <c r="Q221" s="5">
        <v>12</v>
      </c>
      <c r="R221" s="5">
        <v>79</v>
      </c>
    </row>
    <row r="222" spans="17:18">
      <c r="Q222" s="3">
        <v>40</v>
      </c>
      <c r="R222" s="3">
        <v>113</v>
      </c>
    </row>
    <row r="223" spans="17:18">
      <c r="Q223" s="5">
        <v>8</v>
      </c>
      <c r="R223" s="5">
        <v>83</v>
      </c>
    </row>
    <row r="224" spans="17:18">
      <c r="Q224" s="3">
        <v>21</v>
      </c>
      <c r="R224" s="3">
        <v>160</v>
      </c>
    </row>
    <row r="225" spans="17:18">
      <c r="Q225" s="5">
        <v>15</v>
      </c>
      <c r="R225" s="5">
        <v>128</v>
      </c>
    </row>
    <row r="226" spans="17:18">
      <c r="Q226" s="3">
        <v>15</v>
      </c>
      <c r="R226" s="3">
        <v>128</v>
      </c>
    </row>
    <row r="227" spans="17:18">
      <c r="Q227" s="5">
        <v>14</v>
      </c>
      <c r="R227" s="5">
        <v>106</v>
      </c>
    </row>
    <row r="228" spans="17:18">
      <c r="Q228" s="3">
        <v>13</v>
      </c>
      <c r="R228" s="3">
        <v>108</v>
      </c>
    </row>
    <row r="229" spans="17:18">
      <c r="Q229" s="5">
        <v>42</v>
      </c>
      <c r="R229" s="5">
        <v>106</v>
      </c>
    </row>
    <row r="230" spans="17:18">
      <c r="Q230" s="3">
        <v>14</v>
      </c>
      <c r="R230" s="3">
        <v>106</v>
      </c>
    </row>
    <row r="231" spans="17:18">
      <c r="Q231" s="5">
        <v>14</v>
      </c>
      <c r="R231" s="5">
        <v>106</v>
      </c>
    </row>
    <row r="232" spans="17:18">
      <c r="Q232" s="3">
        <v>17</v>
      </c>
      <c r="R232" s="3">
        <v>110</v>
      </c>
    </row>
    <row r="233" spans="17:18">
      <c r="Q233" s="5">
        <v>16</v>
      </c>
      <c r="R233" s="5">
        <v>124</v>
      </c>
    </row>
    <row r="234" spans="17:18">
      <c r="Q234" s="3">
        <v>9</v>
      </c>
      <c r="R234" s="3">
        <v>87</v>
      </c>
    </row>
    <row r="235" spans="17:18">
      <c r="Q235" s="5">
        <v>9</v>
      </c>
      <c r="R235" s="5">
        <v>91</v>
      </c>
    </row>
    <row r="236" spans="17:18">
      <c r="Q236" s="3">
        <v>0</v>
      </c>
      <c r="R236" s="3">
        <v>46</v>
      </c>
    </row>
    <row r="237" spans="17:18">
      <c r="Q237" s="5">
        <v>13</v>
      </c>
      <c r="R237" s="5">
        <v>113</v>
      </c>
    </row>
    <row r="238" spans="17:18">
      <c r="Q238" s="3">
        <v>9</v>
      </c>
      <c r="R238" s="3">
        <v>74</v>
      </c>
    </row>
    <row r="239" spans="17:18">
      <c r="Q239" s="5">
        <v>6</v>
      </c>
      <c r="R239" s="5">
        <v>62</v>
      </c>
    </row>
    <row r="240" spans="17:18">
      <c r="Q240" s="3">
        <v>12</v>
      </c>
      <c r="R240" s="3">
        <v>114</v>
      </c>
    </row>
    <row r="241" spans="17:18">
      <c r="Q241" s="5">
        <v>17</v>
      </c>
      <c r="R241" s="5">
        <v>110</v>
      </c>
    </row>
    <row r="242" spans="17:18">
      <c r="Q242" s="3">
        <v>13</v>
      </c>
      <c r="R242" s="3">
        <v>113</v>
      </c>
    </row>
    <row r="243" spans="17:18">
      <c r="Q243" s="5">
        <v>9</v>
      </c>
      <c r="R243" s="5">
        <v>87</v>
      </c>
    </row>
    <row r="244" spans="17:18">
      <c r="Q244" s="3">
        <v>44</v>
      </c>
      <c r="R244" s="3">
        <v>126</v>
      </c>
    </row>
    <row r="245" spans="17:18">
      <c r="Q245" s="5">
        <v>49</v>
      </c>
      <c r="R245" s="5">
        <v>140</v>
      </c>
    </row>
    <row r="246" spans="17:18">
      <c r="Q246" s="3">
        <v>12</v>
      </c>
      <c r="R246" s="3">
        <v>90</v>
      </c>
    </row>
    <row r="247" spans="17:18">
      <c r="Q247" s="5">
        <v>12</v>
      </c>
      <c r="R247" s="5">
        <v>90</v>
      </c>
    </row>
    <row r="248" spans="17:18">
      <c r="Q248" s="3">
        <v>26</v>
      </c>
      <c r="R248" s="3">
        <v>109</v>
      </c>
    </row>
    <row r="249" spans="17:18">
      <c r="Q249" s="5">
        <v>14</v>
      </c>
      <c r="R249" s="5">
        <v>113</v>
      </c>
    </row>
    <row r="250" spans="17:18">
      <c r="Q250" s="3">
        <v>9</v>
      </c>
      <c r="R250" s="3">
        <v>68</v>
      </c>
    </row>
    <row r="251" spans="17:18">
      <c r="Q251" s="5">
        <v>41</v>
      </c>
      <c r="R251" s="5">
        <v>109</v>
      </c>
    </row>
    <row r="252" spans="17:18">
      <c r="Q252" s="3">
        <v>8</v>
      </c>
      <c r="R252" s="3">
        <v>79</v>
      </c>
    </row>
    <row r="253" spans="17:18">
      <c r="Q253" s="5">
        <v>9</v>
      </c>
      <c r="R253" s="5">
        <v>68</v>
      </c>
    </row>
    <row r="254" spans="17:18">
      <c r="Q254" s="3">
        <v>12</v>
      </c>
      <c r="R254" s="3">
        <v>92</v>
      </c>
    </row>
    <row r="255" spans="17:18">
      <c r="Q255" s="5">
        <v>6</v>
      </c>
      <c r="R255" s="5">
        <v>60</v>
      </c>
    </row>
    <row r="256" spans="17:18">
      <c r="Q256" s="3">
        <v>0</v>
      </c>
      <c r="R256" s="3">
        <v>43</v>
      </c>
    </row>
    <row r="257" spans="17:18">
      <c r="Q257" s="5">
        <v>41</v>
      </c>
      <c r="R257" s="5">
        <v>109</v>
      </c>
    </row>
    <row r="258" spans="17:18">
      <c r="Q258" s="3">
        <v>54</v>
      </c>
      <c r="R258" s="3">
        <v>144</v>
      </c>
    </row>
    <row r="259" spans="17:18">
      <c r="Q259" s="5">
        <v>8</v>
      </c>
      <c r="R259" s="5">
        <v>80</v>
      </c>
    </row>
    <row r="260" spans="17:18">
      <c r="Q260" s="3">
        <v>20</v>
      </c>
      <c r="R260" s="3">
        <v>121</v>
      </c>
    </row>
    <row r="261" spans="17:18">
      <c r="Q261" s="5">
        <v>7</v>
      </c>
      <c r="R261" s="5">
        <v>52</v>
      </c>
    </row>
    <row r="262" spans="17:18">
      <c r="Q262" s="3">
        <v>11</v>
      </c>
      <c r="R262" s="3">
        <v>82</v>
      </c>
    </row>
    <row r="263" spans="17:18">
      <c r="Q263" s="5">
        <v>8</v>
      </c>
      <c r="R263" s="5">
        <v>64</v>
      </c>
    </row>
    <row r="264" spans="17:18">
      <c r="Q264" s="3">
        <v>8</v>
      </c>
      <c r="R264" s="3">
        <v>64</v>
      </c>
    </row>
    <row r="265" spans="17:18">
      <c r="Q265" s="5">
        <v>12</v>
      </c>
      <c r="R265" s="5">
        <v>76</v>
      </c>
    </row>
    <row r="266" spans="17:18">
      <c r="Q266" s="3">
        <v>8</v>
      </c>
      <c r="R266" s="3">
        <v>80</v>
      </c>
    </row>
    <row r="267" spans="17:18">
      <c r="Q267" s="5">
        <v>0</v>
      </c>
      <c r="R267" s="5">
        <v>43</v>
      </c>
    </row>
    <row r="268" spans="17:18">
      <c r="Q268" s="3">
        <v>9</v>
      </c>
      <c r="R268" s="3">
        <v>81</v>
      </c>
    </row>
    <row r="269" spans="17:18">
      <c r="Q269" s="5">
        <v>25</v>
      </c>
      <c r="R269" s="5">
        <v>122</v>
      </c>
    </row>
    <row r="270" spans="17:18">
      <c r="Q270" s="3">
        <v>25</v>
      </c>
      <c r="R270" s="3">
        <v>122</v>
      </c>
    </row>
    <row r="271" spans="17:18">
      <c r="Q271" s="5">
        <v>11</v>
      </c>
      <c r="R271" s="5">
        <v>82</v>
      </c>
    </row>
    <row r="272" spans="17:18">
      <c r="Q272" s="3">
        <v>12</v>
      </c>
      <c r="R272" s="3">
        <v>76</v>
      </c>
    </row>
    <row r="273" spans="17:18">
      <c r="Q273" s="5">
        <v>12</v>
      </c>
      <c r="R273" s="5">
        <v>74</v>
      </c>
    </row>
    <row r="274" spans="17:18">
      <c r="Q274" s="3">
        <v>0</v>
      </c>
      <c r="R274" s="3">
        <v>43</v>
      </c>
    </row>
    <row r="275" spans="17:18">
      <c r="Q275" s="5">
        <v>40</v>
      </c>
      <c r="R275" s="5">
        <v>106</v>
      </c>
    </row>
    <row r="276" spans="17:18">
      <c r="Q276" s="3">
        <v>8</v>
      </c>
      <c r="R276" s="3">
        <v>73</v>
      </c>
    </row>
    <row r="277" spans="17:18">
      <c r="Q277" s="5">
        <v>9</v>
      </c>
      <c r="R277" s="5">
        <v>82</v>
      </c>
    </row>
    <row r="278" spans="17:18">
      <c r="Q278" s="3">
        <v>17</v>
      </c>
      <c r="R278" s="3">
        <v>103</v>
      </c>
    </row>
    <row r="279" spans="17:18">
      <c r="Q279" s="5">
        <v>8</v>
      </c>
      <c r="R279" s="5">
        <v>75</v>
      </c>
    </row>
    <row r="280" spans="17:18">
      <c r="Q280" s="3">
        <v>8</v>
      </c>
      <c r="R280" s="3">
        <v>73</v>
      </c>
    </row>
    <row r="281" spans="17:18">
      <c r="Q281" s="5">
        <v>7</v>
      </c>
      <c r="R281" s="5">
        <v>56</v>
      </c>
    </row>
    <row r="282" spans="17:18">
      <c r="Q282" s="3">
        <v>0</v>
      </c>
      <c r="R282" s="3">
        <v>43</v>
      </c>
    </row>
    <row r="283" spans="17:18">
      <c r="Q283" s="5">
        <v>8</v>
      </c>
      <c r="R283" s="5">
        <v>77</v>
      </c>
    </row>
    <row r="284" spans="17:18">
      <c r="Q284" s="3">
        <v>9</v>
      </c>
      <c r="R284" s="3">
        <v>85</v>
      </c>
    </row>
    <row r="285" spans="17:18">
      <c r="Q285" s="5">
        <v>14</v>
      </c>
      <c r="R285" s="5">
        <v>88</v>
      </c>
    </row>
    <row r="286" spans="17:18">
      <c r="Q286" s="3">
        <v>9</v>
      </c>
      <c r="R286" s="3">
        <v>69</v>
      </c>
    </row>
    <row r="287" spans="17:18">
      <c r="Q287" s="5">
        <v>12</v>
      </c>
      <c r="R287" s="5">
        <v>89</v>
      </c>
    </row>
    <row r="288" spans="17:18">
      <c r="Q288" s="3">
        <v>14</v>
      </c>
      <c r="R288" s="3">
        <v>88</v>
      </c>
    </row>
    <row r="289" spans="17:18">
      <c r="Q289" s="5">
        <v>0</v>
      </c>
      <c r="R289" s="5">
        <v>43</v>
      </c>
    </row>
    <row r="290" spans="17:18">
      <c r="Q290" s="3">
        <v>12</v>
      </c>
      <c r="R290" s="3">
        <v>107</v>
      </c>
    </row>
    <row r="291" spans="17:18">
      <c r="Q291" s="5">
        <v>12</v>
      </c>
      <c r="R291" s="5">
        <v>89</v>
      </c>
    </row>
    <row r="292" spans="17:18">
      <c r="Q292" s="3">
        <v>13</v>
      </c>
      <c r="R292" s="3">
        <v>106</v>
      </c>
    </row>
    <row r="293" spans="17:18">
      <c r="Q293" s="5">
        <v>12</v>
      </c>
      <c r="R293" s="5">
        <v>96</v>
      </c>
    </row>
    <row r="294" spans="17:18">
      <c r="Q294" s="3">
        <v>12</v>
      </c>
      <c r="R294" s="3">
        <v>96</v>
      </c>
    </row>
    <row r="295" spans="17:18">
      <c r="Q295" s="5">
        <v>26</v>
      </c>
      <c r="R295" s="5">
        <v>116</v>
      </c>
    </row>
    <row r="296" spans="17:18">
      <c r="Q296" s="3">
        <v>14</v>
      </c>
      <c r="R296" s="3">
        <v>120</v>
      </c>
    </row>
    <row r="297" spans="17:18">
      <c r="Q297" s="5">
        <v>9</v>
      </c>
      <c r="R297" s="5">
        <v>72</v>
      </c>
    </row>
    <row r="298" spans="17:18">
      <c r="Q298" s="3">
        <v>41</v>
      </c>
      <c r="R298" s="3">
        <v>116</v>
      </c>
    </row>
    <row r="299" spans="17:18">
      <c r="Q299" s="5">
        <v>8</v>
      </c>
      <c r="R299" s="5">
        <v>84</v>
      </c>
    </row>
    <row r="300" spans="17:18">
      <c r="Q300" s="3">
        <v>9</v>
      </c>
      <c r="R300" s="3">
        <v>72</v>
      </c>
    </row>
    <row r="301" spans="17:18">
      <c r="Q301" s="5">
        <v>12</v>
      </c>
      <c r="R301" s="5">
        <v>98</v>
      </c>
    </row>
    <row r="302" spans="17:18">
      <c r="Q302" s="3">
        <v>6</v>
      </c>
      <c r="R302" s="3">
        <v>64</v>
      </c>
    </row>
    <row r="303" spans="17:18">
      <c r="Q303" s="5">
        <v>0</v>
      </c>
      <c r="R303" s="5">
        <v>46</v>
      </c>
    </row>
    <row r="304" spans="17:18">
      <c r="Q304" s="3">
        <v>41</v>
      </c>
      <c r="R304" s="3">
        <v>116</v>
      </c>
    </row>
    <row r="305" spans="17:18">
      <c r="Q305" s="5">
        <v>54</v>
      </c>
      <c r="R305" s="5">
        <v>153</v>
      </c>
    </row>
    <row r="306" spans="17:18">
      <c r="Q306" s="3">
        <v>8</v>
      </c>
      <c r="R306" s="3">
        <v>85</v>
      </c>
    </row>
    <row r="307" spans="17:18">
      <c r="Q307" s="5">
        <v>20</v>
      </c>
      <c r="R307" s="5">
        <v>129</v>
      </c>
    </row>
    <row r="308" spans="17:18">
      <c r="Q308" s="3">
        <v>7</v>
      </c>
      <c r="R308" s="3">
        <v>55</v>
      </c>
    </row>
    <row r="309" spans="17:18">
      <c r="Q309" s="5">
        <v>11</v>
      </c>
      <c r="R309" s="5">
        <v>87</v>
      </c>
    </row>
    <row r="310" spans="17:18">
      <c r="Q310" s="3">
        <v>8</v>
      </c>
      <c r="R310" s="3">
        <v>68</v>
      </c>
    </row>
    <row r="311" spans="17:18">
      <c r="Q311" s="5">
        <v>8</v>
      </c>
      <c r="R311" s="5">
        <v>68</v>
      </c>
    </row>
    <row r="312" spans="17:18">
      <c r="Q312" s="3">
        <v>12</v>
      </c>
      <c r="R312" s="3">
        <v>81</v>
      </c>
    </row>
    <row r="313" spans="17:18">
      <c r="Q313" s="5">
        <v>8</v>
      </c>
      <c r="R313" s="5">
        <v>85</v>
      </c>
    </row>
    <row r="314" spans="17:18">
      <c r="Q314" s="3">
        <v>0</v>
      </c>
      <c r="R314" s="3">
        <v>46</v>
      </c>
    </row>
    <row r="315" spans="17:18">
      <c r="Q315" s="5">
        <v>9</v>
      </c>
      <c r="R315" s="5">
        <v>86</v>
      </c>
    </row>
    <row r="316" spans="17:18">
      <c r="Q316" s="3">
        <v>25</v>
      </c>
      <c r="R316" s="3">
        <v>130</v>
      </c>
    </row>
    <row r="317" spans="17:18">
      <c r="Q317" s="5">
        <v>25</v>
      </c>
      <c r="R317" s="5">
        <v>130</v>
      </c>
    </row>
    <row r="318" spans="17:18">
      <c r="Q318" s="3">
        <v>11</v>
      </c>
      <c r="R318" s="3">
        <v>87</v>
      </c>
    </row>
    <row r="319" spans="17:18">
      <c r="Q319" s="5">
        <v>12</v>
      </c>
      <c r="R319" s="5">
        <v>81</v>
      </c>
    </row>
    <row r="320" spans="17:18">
      <c r="Q320" s="3">
        <v>12</v>
      </c>
      <c r="R320" s="3">
        <v>79</v>
      </c>
    </row>
    <row r="321" spans="17:18">
      <c r="Q321" s="5">
        <v>0</v>
      </c>
      <c r="R321" s="5">
        <v>46</v>
      </c>
    </row>
    <row r="322" spans="17:18">
      <c r="Q322" s="3">
        <v>40</v>
      </c>
      <c r="R322" s="3">
        <v>113</v>
      </c>
    </row>
    <row r="323" spans="17:18">
      <c r="Q323" s="5">
        <v>8</v>
      </c>
      <c r="R323" s="5">
        <v>78</v>
      </c>
    </row>
    <row r="324" spans="17:18">
      <c r="Q324" s="3">
        <v>9</v>
      </c>
      <c r="R324" s="3">
        <v>87</v>
      </c>
    </row>
    <row r="325" spans="17:18">
      <c r="Q325" s="5">
        <v>17</v>
      </c>
      <c r="R325" s="5">
        <v>110</v>
      </c>
    </row>
    <row r="326" spans="17:18">
      <c r="Q326" s="3">
        <v>8</v>
      </c>
      <c r="R326" s="3">
        <v>80</v>
      </c>
    </row>
    <row r="327" spans="17:18">
      <c r="Q327" s="5">
        <v>8</v>
      </c>
      <c r="R327" s="5">
        <v>78</v>
      </c>
    </row>
    <row r="328" spans="17:18">
      <c r="Q328" s="3">
        <v>7</v>
      </c>
      <c r="R328" s="3">
        <v>60</v>
      </c>
    </row>
    <row r="329" spans="17:18">
      <c r="Q329" s="5">
        <v>0</v>
      </c>
      <c r="R329" s="5">
        <v>46</v>
      </c>
    </row>
    <row r="330" spans="17:18">
      <c r="Q330" s="3">
        <v>8</v>
      </c>
      <c r="R330" s="3">
        <v>82</v>
      </c>
    </row>
    <row r="331" spans="17:18">
      <c r="Q331" s="5">
        <v>9</v>
      </c>
      <c r="R331" s="5">
        <v>91</v>
      </c>
    </row>
    <row r="332" spans="17:18">
      <c r="Q332" s="3">
        <v>14</v>
      </c>
      <c r="R332" s="3">
        <v>94</v>
      </c>
    </row>
    <row r="333" spans="17:18">
      <c r="Q333" s="5">
        <v>9</v>
      </c>
      <c r="R333" s="5">
        <v>74</v>
      </c>
    </row>
    <row r="334" spans="17:18">
      <c r="Q334" s="3">
        <v>12</v>
      </c>
      <c r="R334" s="3">
        <v>95</v>
      </c>
    </row>
    <row r="335" spans="17:18">
      <c r="Q335" s="5">
        <v>14</v>
      </c>
      <c r="R335" s="5">
        <v>94</v>
      </c>
    </row>
    <row r="336" spans="17:18">
      <c r="Q336" s="3">
        <v>0</v>
      </c>
      <c r="R336" s="3">
        <v>46</v>
      </c>
    </row>
    <row r="337" spans="17:18">
      <c r="Q337" s="5">
        <v>12</v>
      </c>
      <c r="R337" s="5">
        <v>114</v>
      </c>
    </row>
    <row r="338" spans="17:18">
      <c r="Q338" s="3">
        <v>12</v>
      </c>
      <c r="R338" s="3">
        <v>95</v>
      </c>
    </row>
    <row r="339" spans="17:18">
      <c r="Q339" s="5">
        <v>13</v>
      </c>
      <c r="R339" s="5">
        <v>113</v>
      </c>
    </row>
    <row r="340" spans="17:18">
      <c r="Q340" s="3">
        <v>46</v>
      </c>
      <c r="R340" s="3">
        <v>122</v>
      </c>
    </row>
    <row r="341" spans="17:18">
      <c r="Q341" s="5">
        <v>17</v>
      </c>
      <c r="R341" s="5">
        <v>123</v>
      </c>
    </row>
    <row r="342" spans="17:18">
      <c r="Q342" s="3">
        <v>13</v>
      </c>
      <c r="R342" s="3">
        <v>107</v>
      </c>
    </row>
    <row r="343" spans="17:18">
      <c r="Q343" s="5">
        <v>46</v>
      </c>
      <c r="R343" s="5">
        <v>116</v>
      </c>
    </row>
    <row r="344" spans="17:18">
      <c r="Q344" s="3">
        <v>23</v>
      </c>
      <c r="R344" s="3">
        <v>182</v>
      </c>
    </row>
    <row r="345" spans="17:18">
      <c r="Q345" s="5">
        <v>13</v>
      </c>
      <c r="R345" s="5">
        <v>118</v>
      </c>
    </row>
    <row r="346" spans="17:18">
      <c r="Q346" s="3">
        <v>18</v>
      </c>
      <c r="R346" s="3">
        <v>159</v>
      </c>
    </row>
    <row r="347" spans="17:18">
      <c r="Q347" s="5">
        <v>17</v>
      </c>
      <c r="R347" s="5">
        <v>123</v>
      </c>
    </row>
    <row r="348" spans="17:18">
      <c r="Q348" s="3">
        <v>21</v>
      </c>
      <c r="R348" s="3">
        <v>126</v>
      </c>
    </row>
    <row r="349" spans="17:18">
      <c r="Q349" s="5">
        <v>21</v>
      </c>
      <c r="R349" s="5">
        <v>126</v>
      </c>
    </row>
    <row r="350" spans="17:18">
      <c r="Q350" s="3">
        <v>14</v>
      </c>
      <c r="R350" s="3">
        <v>114</v>
      </c>
    </row>
    <row r="351" spans="17:18">
      <c r="Q351" s="5">
        <v>47</v>
      </c>
      <c r="R351" s="5">
        <v>125</v>
      </c>
    </row>
    <row r="352" spans="17:18">
      <c r="Q352" s="3">
        <v>14</v>
      </c>
      <c r="R352" s="3">
        <v>114</v>
      </c>
    </row>
    <row r="353" spans="17:18">
      <c r="Q353" s="5">
        <v>47</v>
      </c>
      <c r="R353" s="5">
        <v>125</v>
      </c>
    </row>
    <row r="354" spans="17:18">
      <c r="Q354" s="3">
        <v>19</v>
      </c>
      <c r="R354" s="3">
        <v>138</v>
      </c>
    </row>
    <row r="355" spans="17:18">
      <c r="Q355" s="5">
        <v>19</v>
      </c>
      <c r="R355" s="5">
        <v>138</v>
      </c>
    </row>
    <row r="356" spans="17:18">
      <c r="Q356" s="3">
        <v>14</v>
      </c>
      <c r="R356" s="3">
        <v>123</v>
      </c>
    </row>
    <row r="357" spans="17:18">
      <c r="Q357" s="5">
        <v>17</v>
      </c>
      <c r="R357" s="5">
        <v>124</v>
      </c>
    </row>
    <row r="358" spans="17:18">
      <c r="Q358" s="3">
        <v>15</v>
      </c>
      <c r="R358" s="3">
        <v>132</v>
      </c>
    </row>
    <row r="359" spans="17:18">
      <c r="Q359" s="5">
        <v>14</v>
      </c>
      <c r="R359" s="5">
        <v>109</v>
      </c>
    </row>
    <row r="360" spans="17:18">
      <c r="Q360" s="3">
        <v>55</v>
      </c>
      <c r="R360" s="3">
        <v>147</v>
      </c>
    </row>
    <row r="361" spans="17:18">
      <c r="Q361" s="5">
        <v>20</v>
      </c>
      <c r="R361" s="5">
        <v>124</v>
      </c>
    </row>
    <row r="362" spans="17:18">
      <c r="Q362" s="3">
        <v>31</v>
      </c>
      <c r="R362" s="3">
        <v>184</v>
      </c>
    </row>
    <row r="363" spans="17:18">
      <c r="Q363" s="5">
        <v>55</v>
      </c>
      <c r="R363" s="5">
        <v>147</v>
      </c>
    </row>
    <row r="364" spans="17:18">
      <c r="Q364" s="3">
        <v>16</v>
      </c>
      <c r="R364" s="3">
        <v>141</v>
      </c>
    </row>
    <row r="365" spans="17:18">
      <c r="Q365" s="5">
        <v>42</v>
      </c>
      <c r="R365" s="5">
        <v>112</v>
      </c>
    </row>
    <row r="366" spans="17:18">
      <c r="Q366" s="3">
        <v>17</v>
      </c>
      <c r="R366" s="3">
        <v>127</v>
      </c>
    </row>
    <row r="367" spans="17:18">
      <c r="Q367" s="5">
        <v>22</v>
      </c>
      <c r="R367" s="5">
        <v>168</v>
      </c>
    </row>
    <row r="368" spans="17:18">
      <c r="Q368" s="3">
        <v>15</v>
      </c>
      <c r="R368" s="3">
        <v>133</v>
      </c>
    </row>
    <row r="369" spans="17:18">
      <c r="Q369" s="5">
        <v>19</v>
      </c>
      <c r="R369" s="5">
        <v>139</v>
      </c>
    </row>
    <row r="370" spans="17:18">
      <c r="Q370" s="3">
        <v>16</v>
      </c>
      <c r="R370" s="3">
        <v>114</v>
      </c>
    </row>
    <row r="371" spans="17:18">
      <c r="Q371" s="5">
        <v>14</v>
      </c>
      <c r="R371" s="5">
        <v>123</v>
      </c>
    </row>
    <row r="372" spans="17:18">
      <c r="Q372" s="3">
        <v>16</v>
      </c>
      <c r="R372" s="3">
        <v>127</v>
      </c>
    </row>
    <row r="373" spans="17:18">
      <c r="Q373" s="5">
        <v>49</v>
      </c>
      <c r="R373" s="5">
        <v>131</v>
      </c>
    </row>
    <row r="374" spans="17:18">
      <c r="Q374" s="3">
        <v>44</v>
      </c>
      <c r="R374" s="3">
        <v>118</v>
      </c>
    </row>
    <row r="375" spans="17:18">
      <c r="Q375" s="5">
        <v>13</v>
      </c>
      <c r="R375" s="5">
        <v>98</v>
      </c>
    </row>
    <row r="376" spans="17:18">
      <c r="Q376" s="3">
        <v>17</v>
      </c>
      <c r="R376" s="3">
        <v>127</v>
      </c>
    </row>
    <row r="377" spans="17:18">
      <c r="Q377" s="5">
        <v>24</v>
      </c>
      <c r="R377" s="5">
        <v>145</v>
      </c>
    </row>
    <row r="378" spans="17:18">
      <c r="Q378" s="3">
        <v>16</v>
      </c>
      <c r="R378" s="3">
        <v>127</v>
      </c>
    </row>
    <row r="379" spans="17:18">
      <c r="Q379" s="5">
        <v>15</v>
      </c>
      <c r="R379" s="5">
        <v>122</v>
      </c>
    </row>
    <row r="380" spans="17:18">
      <c r="Q380" s="3">
        <v>13</v>
      </c>
      <c r="R380" s="3">
        <v>120</v>
      </c>
    </row>
    <row r="381" spans="17:18">
      <c r="Q381" s="5">
        <v>14</v>
      </c>
      <c r="R381" s="5">
        <v>123</v>
      </c>
    </row>
    <row r="382" spans="17:18">
      <c r="Q382" s="3">
        <v>46</v>
      </c>
      <c r="R382" s="3">
        <v>130</v>
      </c>
    </row>
    <row r="383" spans="17:18">
      <c r="Q383" s="5">
        <v>17</v>
      </c>
      <c r="R383" s="5">
        <v>131</v>
      </c>
    </row>
    <row r="384" spans="17:18">
      <c r="Q384" s="3">
        <v>13</v>
      </c>
      <c r="R384" s="3">
        <v>114</v>
      </c>
    </row>
    <row r="385" spans="17:18">
      <c r="Q385" s="5">
        <v>46</v>
      </c>
      <c r="R385" s="5">
        <v>124</v>
      </c>
    </row>
    <row r="386" spans="17:18">
      <c r="Q386" s="3">
        <v>23</v>
      </c>
      <c r="R386" s="3">
        <v>194</v>
      </c>
    </row>
    <row r="387" spans="17:18">
      <c r="Q387" s="5">
        <v>13</v>
      </c>
      <c r="R387" s="5">
        <v>126</v>
      </c>
    </row>
    <row r="388" spans="17:18">
      <c r="Q388" s="3">
        <v>18</v>
      </c>
      <c r="R388" s="3">
        <v>169</v>
      </c>
    </row>
    <row r="389" spans="17:18">
      <c r="Q389" s="5">
        <v>17</v>
      </c>
      <c r="R389" s="5">
        <v>131</v>
      </c>
    </row>
    <row r="390" spans="17:18">
      <c r="Q390" s="3">
        <v>21</v>
      </c>
      <c r="R390" s="3">
        <v>134</v>
      </c>
    </row>
    <row r="391" spans="17:18">
      <c r="Q391" s="5">
        <v>21</v>
      </c>
      <c r="R391" s="5">
        <v>134</v>
      </c>
    </row>
    <row r="392" spans="17:18">
      <c r="Q392" s="3">
        <v>14</v>
      </c>
      <c r="R392" s="3">
        <v>121</v>
      </c>
    </row>
    <row r="393" spans="17:18">
      <c r="Q393" s="5">
        <v>47</v>
      </c>
      <c r="R393" s="5">
        <v>133</v>
      </c>
    </row>
    <row r="394" spans="17:18">
      <c r="Q394" s="3">
        <v>14</v>
      </c>
      <c r="R394" s="3">
        <v>121</v>
      </c>
    </row>
    <row r="395" spans="17:18">
      <c r="Q395" s="5">
        <v>47</v>
      </c>
      <c r="R395" s="5">
        <v>133</v>
      </c>
    </row>
    <row r="396" spans="17:18">
      <c r="Q396" s="3">
        <v>19</v>
      </c>
      <c r="R396" s="3">
        <v>147</v>
      </c>
    </row>
    <row r="397" spans="17:18">
      <c r="Q397" s="5">
        <v>19</v>
      </c>
      <c r="R397" s="5">
        <v>147</v>
      </c>
    </row>
    <row r="398" spans="17:18">
      <c r="Q398" s="3">
        <v>14</v>
      </c>
      <c r="R398" s="3">
        <v>131</v>
      </c>
    </row>
    <row r="399" spans="17:18">
      <c r="Q399" s="5">
        <v>17</v>
      </c>
      <c r="R399" s="5">
        <v>132</v>
      </c>
    </row>
    <row r="400" spans="17:18">
      <c r="Q400" s="3">
        <v>15</v>
      </c>
      <c r="R400" s="3">
        <v>141</v>
      </c>
    </row>
    <row r="401" spans="17:18">
      <c r="Q401" s="5">
        <v>14</v>
      </c>
      <c r="R401" s="5">
        <v>116</v>
      </c>
    </row>
    <row r="402" spans="17:18">
      <c r="Q402" s="3">
        <v>55</v>
      </c>
      <c r="R402" s="3">
        <v>157</v>
      </c>
    </row>
    <row r="403" spans="17:18">
      <c r="Q403" s="5">
        <v>20</v>
      </c>
      <c r="R403" s="5">
        <v>132</v>
      </c>
    </row>
    <row r="404" spans="17:18">
      <c r="Q404" s="3">
        <v>31</v>
      </c>
      <c r="R404" s="3">
        <v>196</v>
      </c>
    </row>
    <row r="405" spans="17:18">
      <c r="Q405" s="5">
        <v>55</v>
      </c>
      <c r="R405" s="5">
        <v>157</v>
      </c>
    </row>
    <row r="406" spans="17:18">
      <c r="Q406" s="3">
        <v>16</v>
      </c>
      <c r="R406" s="3">
        <v>150</v>
      </c>
    </row>
    <row r="407" spans="17:18">
      <c r="Q407" s="5">
        <v>42</v>
      </c>
      <c r="R407" s="5">
        <v>119</v>
      </c>
    </row>
    <row r="408" spans="17:18">
      <c r="Q408" s="3">
        <v>17</v>
      </c>
      <c r="R408" s="3">
        <v>135</v>
      </c>
    </row>
    <row r="409" spans="17:18">
      <c r="Q409" s="5">
        <v>22</v>
      </c>
      <c r="R409" s="5">
        <v>179</v>
      </c>
    </row>
    <row r="410" spans="17:18">
      <c r="Q410" s="3">
        <v>15</v>
      </c>
      <c r="R410" s="3">
        <v>142</v>
      </c>
    </row>
    <row r="411" spans="17:18">
      <c r="Q411" s="5">
        <v>19</v>
      </c>
      <c r="R411" s="5">
        <v>148</v>
      </c>
    </row>
    <row r="412" spans="17:18">
      <c r="Q412" s="3">
        <v>16</v>
      </c>
      <c r="R412" s="3">
        <v>121</v>
      </c>
    </row>
    <row r="413" spans="17:18">
      <c r="Q413" s="5">
        <v>14</v>
      </c>
      <c r="R413" s="5">
        <v>131</v>
      </c>
    </row>
    <row r="414" spans="17:18">
      <c r="Q414" s="3">
        <v>16</v>
      </c>
      <c r="R414" s="3">
        <v>135</v>
      </c>
    </row>
    <row r="415" spans="17:18">
      <c r="Q415" s="5">
        <v>49</v>
      </c>
      <c r="R415" s="5">
        <v>140</v>
      </c>
    </row>
    <row r="416" spans="17:18">
      <c r="Q416" s="3">
        <v>44</v>
      </c>
      <c r="R416" s="3">
        <v>126</v>
      </c>
    </row>
    <row r="417" spans="17:18">
      <c r="Q417" s="5">
        <v>13</v>
      </c>
      <c r="R417" s="5">
        <v>104</v>
      </c>
    </row>
    <row r="418" spans="17:18">
      <c r="Q418" s="3">
        <v>17</v>
      </c>
      <c r="R418" s="3">
        <v>135</v>
      </c>
    </row>
    <row r="419" spans="17:18">
      <c r="Q419" s="5">
        <v>24</v>
      </c>
      <c r="R419" s="5">
        <v>155</v>
      </c>
    </row>
    <row r="420" spans="17:18">
      <c r="Q420" s="3">
        <v>16</v>
      </c>
      <c r="R420" s="3">
        <v>135</v>
      </c>
    </row>
    <row r="421" spans="17:18">
      <c r="Q421" s="5">
        <v>15</v>
      </c>
      <c r="R421" s="5">
        <v>130</v>
      </c>
    </row>
    <row r="422" spans="17:18">
      <c r="Q422" s="3">
        <v>13</v>
      </c>
      <c r="R422" s="3">
        <v>128</v>
      </c>
    </row>
    <row r="423" spans="17:18">
      <c r="Q423" s="5">
        <v>14</v>
      </c>
      <c r="R423" s="5">
        <v>131</v>
      </c>
    </row>
    <row r="424" spans="17:18">
      <c r="Q424" s="3">
        <v>5</v>
      </c>
      <c r="R424" s="3">
        <v>53</v>
      </c>
    </row>
    <row r="425" spans="17:18">
      <c r="Q425" s="5">
        <v>7</v>
      </c>
      <c r="R425" s="5">
        <v>66</v>
      </c>
    </row>
    <row r="426" spans="17:18">
      <c r="Q426" s="3">
        <v>21</v>
      </c>
      <c r="R426" s="3">
        <v>126</v>
      </c>
    </row>
    <row r="427" spans="17:18">
      <c r="Q427" s="5">
        <v>20</v>
      </c>
      <c r="R427" s="5">
        <v>120</v>
      </c>
    </row>
    <row r="428" spans="17:18">
      <c r="Q428" s="3">
        <v>5</v>
      </c>
      <c r="R428" s="3">
        <v>53</v>
      </c>
    </row>
    <row r="429" spans="17:18">
      <c r="Q429" s="5">
        <v>12</v>
      </c>
      <c r="R429" s="5">
        <v>92</v>
      </c>
    </row>
    <row r="430" spans="17:18">
      <c r="Q430" s="3">
        <v>6</v>
      </c>
      <c r="R430" s="3">
        <v>58</v>
      </c>
    </row>
    <row r="431" spans="17:18">
      <c r="Q431" s="5">
        <v>5</v>
      </c>
      <c r="R431" s="5">
        <v>52</v>
      </c>
    </row>
    <row r="432" spans="17:18">
      <c r="Q432" s="3">
        <v>9</v>
      </c>
      <c r="R432" s="3">
        <v>56</v>
      </c>
    </row>
    <row r="433" spans="17:18">
      <c r="Q433" s="5">
        <v>5</v>
      </c>
      <c r="R433" s="5">
        <v>53</v>
      </c>
    </row>
    <row r="434" spans="17:18">
      <c r="Q434" s="3">
        <v>0</v>
      </c>
      <c r="R434" s="3">
        <v>43</v>
      </c>
    </row>
    <row r="435" spans="17:18">
      <c r="Q435" s="5">
        <v>12</v>
      </c>
      <c r="R435" s="5">
        <v>77</v>
      </c>
    </row>
    <row r="436" spans="17:18">
      <c r="Q436" s="3">
        <v>5</v>
      </c>
      <c r="R436" s="3">
        <v>52</v>
      </c>
    </row>
    <row r="437" spans="17:18">
      <c r="Q437" s="5">
        <v>7</v>
      </c>
      <c r="R437" s="5">
        <v>61</v>
      </c>
    </row>
    <row r="438" spans="17:18">
      <c r="Q438" s="3">
        <v>12</v>
      </c>
      <c r="R438" s="3">
        <v>77</v>
      </c>
    </row>
    <row r="439" spans="17:18">
      <c r="Q439" s="5">
        <v>5</v>
      </c>
      <c r="R439" s="5">
        <v>52</v>
      </c>
    </row>
    <row r="440" spans="17:18">
      <c r="Q440" s="3">
        <v>12</v>
      </c>
      <c r="R440" s="3">
        <v>92</v>
      </c>
    </row>
    <row r="441" spans="17:18">
      <c r="Q441" s="5">
        <v>14</v>
      </c>
      <c r="R441" s="5">
        <v>113</v>
      </c>
    </row>
    <row r="442" spans="17:18">
      <c r="Q442" s="3">
        <v>6</v>
      </c>
      <c r="R442" s="3">
        <v>56</v>
      </c>
    </row>
    <row r="443" spans="17:18">
      <c r="Q443" s="5">
        <v>12</v>
      </c>
      <c r="R443" s="5">
        <v>76</v>
      </c>
    </row>
    <row r="444" spans="17:18">
      <c r="Q444" s="3">
        <v>7</v>
      </c>
      <c r="R444" s="3">
        <v>52</v>
      </c>
    </row>
    <row r="445" spans="17:18">
      <c r="Q445" s="5">
        <v>12</v>
      </c>
      <c r="R445" s="5">
        <v>74</v>
      </c>
    </row>
    <row r="446" spans="17:18">
      <c r="Q446" s="3">
        <v>8</v>
      </c>
      <c r="R446" s="3">
        <v>64</v>
      </c>
    </row>
    <row r="447" spans="17:18">
      <c r="Q447" s="5">
        <v>7</v>
      </c>
      <c r="R447" s="5">
        <v>63</v>
      </c>
    </row>
    <row r="448" spans="17:18">
      <c r="Q448" s="3">
        <v>4</v>
      </c>
      <c r="R448" s="3">
        <v>39</v>
      </c>
    </row>
    <row r="449" spans="17:18">
      <c r="Q449" s="5">
        <v>8</v>
      </c>
      <c r="R449" s="5">
        <v>80</v>
      </c>
    </row>
    <row r="450" spans="17:18">
      <c r="Q450" s="3">
        <v>11</v>
      </c>
      <c r="R450" s="3">
        <v>82</v>
      </c>
    </row>
    <row r="451" spans="17:18">
      <c r="Q451" s="5">
        <v>12</v>
      </c>
      <c r="R451" s="5">
        <v>76</v>
      </c>
    </row>
    <row r="452" spans="17:18">
      <c r="Q452" s="3">
        <v>7</v>
      </c>
      <c r="R452" s="3">
        <v>56</v>
      </c>
    </row>
    <row r="453" spans="17:18">
      <c r="Q453" s="5">
        <v>12</v>
      </c>
      <c r="R453" s="5">
        <v>89</v>
      </c>
    </row>
    <row r="454" spans="17:18">
      <c r="Q454" s="3">
        <v>6</v>
      </c>
      <c r="R454" s="3">
        <v>58</v>
      </c>
    </row>
    <row r="455" spans="17:18">
      <c r="Q455" s="5">
        <v>4</v>
      </c>
      <c r="R455" s="5">
        <v>41</v>
      </c>
    </row>
    <row r="456" spans="17:18">
      <c r="Q456" s="3">
        <v>9</v>
      </c>
      <c r="R456" s="3">
        <v>69</v>
      </c>
    </row>
    <row r="457" spans="17:18">
      <c r="Q457" s="5">
        <v>7</v>
      </c>
      <c r="R457" s="5">
        <v>45</v>
      </c>
    </row>
    <row r="458" spans="17:18">
      <c r="Q458" s="3">
        <v>8</v>
      </c>
      <c r="R458" s="3">
        <v>73</v>
      </c>
    </row>
    <row r="459" spans="17:18">
      <c r="Q459" s="5">
        <v>7</v>
      </c>
      <c r="R459" s="5">
        <v>56</v>
      </c>
    </row>
    <row r="460" spans="17:18">
      <c r="Q460" s="3">
        <v>6</v>
      </c>
      <c r="R460" s="3">
        <v>60</v>
      </c>
    </row>
    <row r="461" spans="17:18">
      <c r="Q461" s="5">
        <v>4</v>
      </c>
      <c r="R461" s="5">
        <v>41</v>
      </c>
    </row>
    <row r="462" spans="17:18">
      <c r="Q462" s="3">
        <v>8</v>
      </c>
      <c r="R462" s="3">
        <v>73</v>
      </c>
    </row>
    <row r="463" spans="17:18">
      <c r="Q463" s="5">
        <v>5</v>
      </c>
      <c r="R463" s="5">
        <v>56</v>
      </c>
    </row>
    <row r="464" spans="17:18">
      <c r="Q464" s="3">
        <v>7</v>
      </c>
      <c r="R464" s="3">
        <v>70</v>
      </c>
    </row>
    <row r="465" spans="17:18">
      <c r="Q465" s="5">
        <v>21</v>
      </c>
      <c r="R465" s="5">
        <v>134</v>
      </c>
    </row>
    <row r="466" spans="17:18">
      <c r="Q466" s="3">
        <v>20</v>
      </c>
      <c r="R466" s="3">
        <v>128</v>
      </c>
    </row>
    <row r="467" spans="17:18">
      <c r="Q467" s="5">
        <v>5</v>
      </c>
      <c r="R467" s="5">
        <v>56</v>
      </c>
    </row>
    <row r="468" spans="17:18">
      <c r="Q468" s="3">
        <v>12</v>
      </c>
      <c r="R468" s="3">
        <v>98</v>
      </c>
    </row>
    <row r="469" spans="17:18">
      <c r="Q469" s="5">
        <v>6</v>
      </c>
      <c r="R469" s="5">
        <v>62</v>
      </c>
    </row>
    <row r="470" spans="17:18">
      <c r="Q470" s="3">
        <v>5</v>
      </c>
      <c r="R470" s="3">
        <v>55</v>
      </c>
    </row>
    <row r="471" spans="17:18">
      <c r="Q471" s="5">
        <v>9</v>
      </c>
      <c r="R471" s="5">
        <v>60</v>
      </c>
    </row>
    <row r="472" spans="17:18">
      <c r="Q472" s="3">
        <v>5</v>
      </c>
      <c r="R472" s="3">
        <v>56</v>
      </c>
    </row>
    <row r="473" spans="17:18">
      <c r="Q473" s="5">
        <v>0</v>
      </c>
      <c r="R473" s="5">
        <v>46</v>
      </c>
    </row>
    <row r="474" spans="17:18">
      <c r="Q474" s="3">
        <v>12</v>
      </c>
      <c r="R474" s="3">
        <v>82</v>
      </c>
    </row>
    <row r="475" spans="17:18">
      <c r="Q475" s="5">
        <v>5</v>
      </c>
      <c r="R475" s="5">
        <v>55</v>
      </c>
    </row>
    <row r="476" spans="17:18">
      <c r="Q476" s="3">
        <v>7</v>
      </c>
      <c r="R476" s="3">
        <v>65</v>
      </c>
    </row>
    <row r="477" spans="17:18">
      <c r="Q477" s="5">
        <v>12</v>
      </c>
      <c r="R477" s="5">
        <v>82</v>
      </c>
    </row>
    <row r="478" spans="17:18">
      <c r="Q478" s="3">
        <v>5</v>
      </c>
      <c r="R478" s="3">
        <v>55</v>
      </c>
    </row>
    <row r="479" spans="17:18">
      <c r="Q479" s="5">
        <v>12</v>
      </c>
      <c r="R479" s="5">
        <v>98</v>
      </c>
    </row>
    <row r="480" spans="17:18">
      <c r="Q480" s="3">
        <v>14</v>
      </c>
      <c r="R480" s="3">
        <v>120</v>
      </c>
    </row>
    <row r="481" spans="17:18">
      <c r="Q481" s="5">
        <v>6</v>
      </c>
      <c r="R481" s="5">
        <v>60</v>
      </c>
    </row>
    <row r="482" spans="17:18">
      <c r="Q482" s="3">
        <v>12</v>
      </c>
      <c r="R482" s="3">
        <v>81</v>
      </c>
    </row>
    <row r="483" spans="17:18">
      <c r="Q483" s="5">
        <v>7</v>
      </c>
      <c r="R483" s="5">
        <v>55</v>
      </c>
    </row>
    <row r="484" spans="17:18">
      <c r="Q484" s="3">
        <v>12</v>
      </c>
      <c r="R484" s="3">
        <v>79</v>
      </c>
    </row>
    <row r="485" spans="17:18">
      <c r="Q485" s="5">
        <v>8</v>
      </c>
      <c r="R485" s="5">
        <v>68</v>
      </c>
    </row>
    <row r="486" spans="17:18">
      <c r="Q486" s="3">
        <v>7</v>
      </c>
      <c r="R486" s="3">
        <v>67</v>
      </c>
    </row>
    <row r="487" spans="17:18">
      <c r="Q487" s="5">
        <v>4</v>
      </c>
      <c r="R487" s="5">
        <v>42</v>
      </c>
    </row>
    <row r="488" spans="17:18">
      <c r="Q488" s="3">
        <v>8</v>
      </c>
      <c r="R488" s="3">
        <v>85</v>
      </c>
    </row>
    <row r="489" spans="17:18">
      <c r="Q489" s="5">
        <v>11</v>
      </c>
      <c r="R489" s="5">
        <v>87</v>
      </c>
    </row>
    <row r="490" spans="17:18">
      <c r="Q490" s="3">
        <v>12</v>
      </c>
      <c r="R490" s="3">
        <v>81</v>
      </c>
    </row>
    <row r="491" spans="17:18">
      <c r="Q491" s="5">
        <v>7</v>
      </c>
      <c r="R491" s="5">
        <v>60</v>
      </c>
    </row>
    <row r="492" spans="17:18">
      <c r="Q492" s="3">
        <v>12</v>
      </c>
      <c r="R492" s="3">
        <v>95</v>
      </c>
    </row>
    <row r="493" spans="17:18">
      <c r="Q493" s="5">
        <v>6</v>
      </c>
      <c r="R493" s="5">
        <v>62</v>
      </c>
    </row>
    <row r="494" spans="17:18">
      <c r="Q494" s="3">
        <v>4</v>
      </c>
      <c r="R494" s="3">
        <v>44</v>
      </c>
    </row>
    <row r="495" spans="17:18">
      <c r="Q495" s="5">
        <v>9</v>
      </c>
      <c r="R495" s="5">
        <v>74</v>
      </c>
    </row>
    <row r="496" spans="17:18">
      <c r="Q496" s="3">
        <v>7</v>
      </c>
      <c r="R496" s="3">
        <v>48</v>
      </c>
    </row>
    <row r="497" spans="17:18">
      <c r="Q497" s="5">
        <v>8</v>
      </c>
      <c r="R497" s="5">
        <v>78</v>
      </c>
    </row>
    <row r="498" spans="17:18">
      <c r="Q498" s="3">
        <v>7</v>
      </c>
      <c r="R498" s="3">
        <v>60</v>
      </c>
    </row>
    <row r="499" spans="17:18">
      <c r="Q499" s="5">
        <v>6</v>
      </c>
      <c r="R499" s="5">
        <v>64</v>
      </c>
    </row>
    <row r="500" spans="17:18">
      <c r="Q500" s="3">
        <v>4</v>
      </c>
      <c r="R500" s="3">
        <v>44</v>
      </c>
    </row>
    <row r="501" spans="17:18">
      <c r="Q501" s="5">
        <v>8</v>
      </c>
      <c r="R501" s="5">
        <v>78</v>
      </c>
    </row>
    <row r="502" spans="17:18">
      <c r="Q502" s="3">
        <v>21</v>
      </c>
      <c r="R502" s="3">
        <v>187</v>
      </c>
    </row>
    <row r="503" spans="17:18">
      <c r="Q503" s="5">
        <v>17</v>
      </c>
      <c r="R503" s="5">
        <v>123</v>
      </c>
    </row>
    <row r="504" spans="17:18">
      <c r="Q504" s="3">
        <v>21</v>
      </c>
      <c r="R504" s="3">
        <v>187</v>
      </c>
    </row>
    <row r="505" spans="17:18">
      <c r="Q505" s="5">
        <v>23</v>
      </c>
      <c r="R505" s="5">
        <v>182</v>
      </c>
    </row>
    <row r="506" spans="17:18">
      <c r="Q506" s="3">
        <v>20</v>
      </c>
      <c r="R506" s="3">
        <v>142</v>
      </c>
    </row>
    <row r="507" spans="17:18">
      <c r="Q507" s="5">
        <v>8</v>
      </c>
      <c r="R507" s="5">
        <v>79</v>
      </c>
    </row>
    <row r="508" spans="17:18">
      <c r="Q508" s="3">
        <v>27</v>
      </c>
      <c r="R508" s="3">
        <v>205</v>
      </c>
    </row>
    <row r="509" spans="17:18">
      <c r="Q509" s="5">
        <v>21</v>
      </c>
      <c r="R509" s="5">
        <v>126</v>
      </c>
    </row>
    <row r="510" spans="17:18">
      <c r="Q510" s="3">
        <v>28</v>
      </c>
      <c r="R510" s="3">
        <v>218</v>
      </c>
    </row>
    <row r="511" spans="17:18">
      <c r="Q511" s="5">
        <v>18</v>
      </c>
      <c r="R511" s="5">
        <v>159</v>
      </c>
    </row>
    <row r="512" spans="17:18">
      <c r="Q512" s="3">
        <v>20</v>
      </c>
      <c r="R512" s="3">
        <v>124</v>
      </c>
    </row>
    <row r="513" spans="17:18">
      <c r="Q513" s="5">
        <v>19</v>
      </c>
      <c r="R513" s="5">
        <v>138</v>
      </c>
    </row>
    <row r="514" spans="17:18">
      <c r="Q514" s="3">
        <v>24</v>
      </c>
      <c r="R514" s="3">
        <v>189</v>
      </c>
    </row>
    <row r="515" spans="17:18">
      <c r="Q515" s="5">
        <v>21</v>
      </c>
      <c r="R515" s="5">
        <v>150</v>
      </c>
    </row>
    <row r="516" spans="17:18">
      <c r="Q516" s="3">
        <v>14</v>
      </c>
      <c r="R516" s="3">
        <v>114</v>
      </c>
    </row>
    <row r="517" spans="17:18">
      <c r="Q517" s="5">
        <v>23</v>
      </c>
      <c r="R517" s="5">
        <v>164</v>
      </c>
    </row>
    <row r="518" spans="17:18">
      <c r="Q518" s="3">
        <v>55</v>
      </c>
      <c r="R518" s="3">
        <v>147</v>
      </c>
    </row>
    <row r="519" spans="17:18">
      <c r="Q519" s="5">
        <v>13</v>
      </c>
      <c r="R519" s="5">
        <v>115</v>
      </c>
    </row>
    <row r="520" spans="17:18">
      <c r="Q520" s="3">
        <v>47</v>
      </c>
      <c r="R520" s="3">
        <v>125</v>
      </c>
    </row>
    <row r="521" spans="17:18">
      <c r="Q521" s="5">
        <v>17</v>
      </c>
      <c r="R521" s="5">
        <v>124</v>
      </c>
    </row>
    <row r="522" spans="17:18">
      <c r="Q522" s="3">
        <v>19</v>
      </c>
      <c r="R522" s="3">
        <v>138</v>
      </c>
    </row>
    <row r="523" spans="17:18">
      <c r="Q523" s="5">
        <v>16</v>
      </c>
      <c r="R523" s="5">
        <v>141</v>
      </c>
    </row>
    <row r="524" spans="17:18">
      <c r="Q524" s="3">
        <v>15</v>
      </c>
      <c r="R524" s="3">
        <v>132</v>
      </c>
    </row>
    <row r="525" spans="17:18">
      <c r="Q525" s="5">
        <v>17</v>
      </c>
      <c r="R525" s="5">
        <v>103</v>
      </c>
    </row>
    <row r="526" spans="17:18">
      <c r="Q526" s="3">
        <v>22</v>
      </c>
      <c r="R526" s="3">
        <v>168</v>
      </c>
    </row>
    <row r="527" spans="17:18">
      <c r="Q527" s="5">
        <v>15</v>
      </c>
      <c r="R527" s="5">
        <v>133</v>
      </c>
    </row>
    <row r="528" spans="17:18">
      <c r="Q528" s="3">
        <v>22</v>
      </c>
      <c r="R528" s="3">
        <v>168</v>
      </c>
    </row>
    <row r="529" spans="17:18">
      <c r="Q529" s="5">
        <v>13</v>
      </c>
      <c r="R529" s="5">
        <v>101</v>
      </c>
    </row>
    <row r="530" spans="17:18">
      <c r="Q530" s="3">
        <v>24</v>
      </c>
      <c r="R530" s="3">
        <v>145</v>
      </c>
    </row>
    <row r="531" spans="17:18">
      <c r="Q531" s="5">
        <v>42</v>
      </c>
      <c r="R531" s="5">
        <v>112</v>
      </c>
    </row>
    <row r="532" spans="17:18">
      <c r="Q532" s="3">
        <v>16</v>
      </c>
      <c r="R532" s="3">
        <v>114</v>
      </c>
    </row>
    <row r="533" spans="17:18">
      <c r="Q533" s="5">
        <v>24</v>
      </c>
      <c r="R533" s="5">
        <v>145</v>
      </c>
    </row>
    <row r="534" spans="17:18">
      <c r="Q534" s="3">
        <v>25</v>
      </c>
      <c r="R534" s="3">
        <v>153</v>
      </c>
    </row>
    <row r="535" spans="17:18">
      <c r="Q535" s="5">
        <v>21</v>
      </c>
      <c r="R535" s="5">
        <v>199</v>
      </c>
    </row>
    <row r="536" spans="17:18">
      <c r="Q536" s="3">
        <v>17</v>
      </c>
      <c r="R536" s="3">
        <v>131</v>
      </c>
    </row>
    <row r="537" spans="17:18">
      <c r="Q537" s="5">
        <v>21</v>
      </c>
      <c r="R537" s="5">
        <v>199</v>
      </c>
    </row>
    <row r="538" spans="17:18">
      <c r="Q538" s="3">
        <v>23</v>
      </c>
      <c r="R538" s="3">
        <v>194</v>
      </c>
    </row>
    <row r="539" spans="17:18">
      <c r="Q539" s="5">
        <v>20</v>
      </c>
      <c r="R539" s="5">
        <v>151</v>
      </c>
    </row>
    <row r="540" spans="17:18">
      <c r="Q540" s="3">
        <v>8</v>
      </c>
      <c r="R540" s="3">
        <v>84</v>
      </c>
    </row>
    <row r="541" spans="17:18">
      <c r="Q541" s="5">
        <v>27</v>
      </c>
      <c r="R541" s="5">
        <v>218</v>
      </c>
    </row>
    <row r="542" spans="17:18">
      <c r="Q542" s="3">
        <v>21</v>
      </c>
      <c r="R542" s="3">
        <v>134</v>
      </c>
    </row>
    <row r="543" spans="17:18">
      <c r="Q543" s="5">
        <v>28</v>
      </c>
      <c r="R543" s="5">
        <v>232</v>
      </c>
    </row>
    <row r="544" spans="17:18">
      <c r="Q544" s="3">
        <v>18</v>
      </c>
      <c r="R544" s="3">
        <v>169</v>
      </c>
    </row>
    <row r="545" spans="17:18">
      <c r="Q545" s="5">
        <v>20</v>
      </c>
      <c r="R545" s="5">
        <v>132</v>
      </c>
    </row>
    <row r="546" spans="17:18">
      <c r="Q546" s="3">
        <v>19</v>
      </c>
      <c r="R546" s="3">
        <v>147</v>
      </c>
    </row>
    <row r="547" spans="17:18">
      <c r="Q547" s="5">
        <v>24</v>
      </c>
      <c r="R547" s="5">
        <v>201</v>
      </c>
    </row>
    <row r="548" spans="17:18">
      <c r="Q548" s="3">
        <v>21</v>
      </c>
      <c r="R548" s="3">
        <v>160</v>
      </c>
    </row>
    <row r="549" spans="17:18">
      <c r="Q549" s="5">
        <v>14</v>
      </c>
      <c r="R549" s="5">
        <v>121</v>
      </c>
    </row>
    <row r="550" spans="17:18">
      <c r="Q550" s="3">
        <v>23</v>
      </c>
      <c r="R550" s="3">
        <v>175</v>
      </c>
    </row>
    <row r="551" spans="17:18">
      <c r="Q551" s="5">
        <v>55</v>
      </c>
      <c r="R551" s="5">
        <v>157</v>
      </c>
    </row>
    <row r="552" spans="17:18">
      <c r="Q552" s="3">
        <v>13</v>
      </c>
      <c r="R552" s="3">
        <v>123</v>
      </c>
    </row>
    <row r="553" spans="17:18">
      <c r="Q553" s="5">
        <v>47</v>
      </c>
      <c r="R553" s="5">
        <v>133</v>
      </c>
    </row>
    <row r="554" spans="17:18">
      <c r="Q554" s="3">
        <v>17</v>
      </c>
      <c r="R554" s="3">
        <v>132</v>
      </c>
    </row>
    <row r="555" spans="17:18">
      <c r="Q555" s="5">
        <v>19</v>
      </c>
      <c r="R555" s="5">
        <v>147</v>
      </c>
    </row>
    <row r="556" spans="17:18">
      <c r="Q556" s="3">
        <v>16</v>
      </c>
      <c r="R556" s="3">
        <v>150</v>
      </c>
    </row>
    <row r="557" spans="17:18">
      <c r="Q557" s="5">
        <v>15</v>
      </c>
      <c r="R557" s="5">
        <v>141</v>
      </c>
    </row>
    <row r="558" spans="17:18">
      <c r="Q558" s="3">
        <v>17</v>
      </c>
      <c r="R558" s="3">
        <v>110</v>
      </c>
    </row>
    <row r="559" spans="17:18">
      <c r="Q559" s="5">
        <v>22</v>
      </c>
      <c r="R559" s="5">
        <v>179</v>
      </c>
    </row>
    <row r="560" spans="17:18">
      <c r="Q560" s="3">
        <v>15</v>
      </c>
      <c r="R560" s="3">
        <v>142</v>
      </c>
    </row>
    <row r="561" spans="17:18">
      <c r="Q561" s="5">
        <v>22</v>
      </c>
      <c r="R561" s="5">
        <v>179</v>
      </c>
    </row>
    <row r="562" spans="17:18">
      <c r="Q562" s="3">
        <v>13</v>
      </c>
      <c r="R562" s="3">
        <v>108</v>
      </c>
    </row>
    <row r="563" spans="17:18">
      <c r="Q563" s="5">
        <v>24</v>
      </c>
      <c r="R563" s="5">
        <v>155</v>
      </c>
    </row>
    <row r="564" spans="17:18">
      <c r="Q564" s="3">
        <v>42</v>
      </c>
      <c r="R564" s="3">
        <v>119</v>
      </c>
    </row>
    <row r="565" spans="17:18">
      <c r="Q565" s="5">
        <v>16</v>
      </c>
      <c r="R565" s="5">
        <v>121</v>
      </c>
    </row>
    <row r="566" spans="17:18">
      <c r="Q566" s="3">
        <v>24</v>
      </c>
      <c r="R566" s="3">
        <v>155</v>
      </c>
    </row>
    <row r="567" spans="17:18">
      <c r="Q567" s="5">
        <v>25</v>
      </c>
      <c r="R567" s="5">
        <v>163</v>
      </c>
    </row>
    <row r="568" spans="17:18">
      <c r="Q568" s="3">
        <v>12</v>
      </c>
      <c r="R568" s="3">
        <v>90</v>
      </c>
    </row>
    <row r="569" spans="17:18">
      <c r="Q569" s="5">
        <v>74</v>
      </c>
      <c r="R569" s="5">
        <v>520</v>
      </c>
    </row>
    <row r="570" spans="17:18">
      <c r="Q570" s="3">
        <v>34</v>
      </c>
      <c r="R570" s="3">
        <v>302</v>
      </c>
    </row>
    <row r="571" spans="17:18">
      <c r="Q571" s="5">
        <v>13</v>
      </c>
      <c r="R571" s="5">
        <v>118</v>
      </c>
    </row>
    <row r="572" spans="17:18">
      <c r="Q572" s="3">
        <v>13</v>
      </c>
      <c r="R572" s="3">
        <v>119</v>
      </c>
    </row>
    <row r="573" spans="17:18">
      <c r="Q573" s="5">
        <v>14</v>
      </c>
      <c r="R573" s="5">
        <v>114</v>
      </c>
    </row>
    <row r="574" spans="17:18">
      <c r="Q574" s="3">
        <v>29</v>
      </c>
      <c r="R574" s="3">
        <v>205</v>
      </c>
    </row>
    <row r="575" spans="17:18">
      <c r="Q575" s="5">
        <v>9</v>
      </c>
      <c r="R575" s="5">
        <v>56</v>
      </c>
    </row>
    <row r="576" spans="17:18">
      <c r="Q576" s="3">
        <v>33</v>
      </c>
      <c r="R576" s="3">
        <v>236</v>
      </c>
    </row>
    <row r="577" spans="17:18">
      <c r="Q577" s="5">
        <v>30</v>
      </c>
      <c r="R577" s="5">
        <v>177</v>
      </c>
    </row>
    <row r="578" spans="17:18">
      <c r="Q578" s="3">
        <v>87</v>
      </c>
      <c r="R578" s="3">
        <v>230</v>
      </c>
    </row>
    <row r="579" spans="17:18">
      <c r="Q579" s="5">
        <v>69</v>
      </c>
      <c r="R579" s="5">
        <v>490</v>
      </c>
    </row>
    <row r="580" spans="17:18">
      <c r="Q580" s="3">
        <v>24</v>
      </c>
      <c r="R580" s="3">
        <v>189</v>
      </c>
    </row>
    <row r="581" spans="17:18">
      <c r="Q581" s="5">
        <v>33</v>
      </c>
      <c r="R581" s="5">
        <v>290</v>
      </c>
    </row>
    <row r="582" spans="17:18">
      <c r="Q582" s="3">
        <v>25</v>
      </c>
      <c r="R582" s="3">
        <v>197</v>
      </c>
    </row>
    <row r="583" spans="17:18">
      <c r="Q583" s="5">
        <v>29</v>
      </c>
      <c r="R583" s="5">
        <v>200</v>
      </c>
    </row>
    <row r="584" spans="17:18">
      <c r="Q584" s="3">
        <v>31</v>
      </c>
      <c r="R584" s="3">
        <v>245</v>
      </c>
    </row>
    <row r="585" spans="17:18">
      <c r="Q585" s="5">
        <v>33</v>
      </c>
      <c r="R585" s="5">
        <v>231</v>
      </c>
    </row>
    <row r="586" spans="17:18">
      <c r="Q586" s="3">
        <v>4</v>
      </c>
      <c r="R586" s="3">
        <v>39</v>
      </c>
    </row>
    <row r="587" spans="17:18">
      <c r="Q587" s="5">
        <v>31</v>
      </c>
      <c r="R587" s="5">
        <v>184</v>
      </c>
    </row>
    <row r="588" spans="17:18">
      <c r="Q588" s="3">
        <v>85</v>
      </c>
      <c r="R588" s="3">
        <v>224</v>
      </c>
    </row>
    <row r="589" spans="17:18">
      <c r="Q589" s="5">
        <v>74</v>
      </c>
      <c r="R589" s="5">
        <v>525</v>
      </c>
    </row>
    <row r="590" spans="17:18">
      <c r="Q590" s="3">
        <v>34</v>
      </c>
      <c r="R590" s="3">
        <v>302</v>
      </c>
    </row>
    <row r="591" spans="17:18">
      <c r="Q591" s="5">
        <v>28</v>
      </c>
      <c r="R591" s="5">
        <v>160</v>
      </c>
    </row>
    <row r="592" spans="17:18">
      <c r="Q592" s="3">
        <v>29</v>
      </c>
      <c r="R592" s="3">
        <v>221</v>
      </c>
    </row>
    <row r="593" spans="17:18">
      <c r="Q593" s="5">
        <v>13</v>
      </c>
      <c r="R593" s="5">
        <v>120</v>
      </c>
    </row>
    <row r="594" spans="17:18">
      <c r="Q594" s="3">
        <v>15</v>
      </c>
      <c r="R594" s="3">
        <v>122</v>
      </c>
    </row>
    <row r="595" spans="17:18">
      <c r="Q595" s="5">
        <v>26</v>
      </c>
      <c r="R595" s="5">
        <v>185</v>
      </c>
    </row>
    <row r="596" spans="17:18">
      <c r="Q596" s="3">
        <v>7</v>
      </c>
      <c r="R596" s="3">
        <v>45</v>
      </c>
    </row>
    <row r="597" spans="17:18">
      <c r="Q597" s="5">
        <v>41</v>
      </c>
      <c r="R597" s="5">
        <v>320</v>
      </c>
    </row>
    <row r="598" spans="17:18">
      <c r="Q598" s="3">
        <v>31</v>
      </c>
      <c r="R598" s="3">
        <v>214</v>
      </c>
    </row>
    <row r="599" spans="17:18">
      <c r="Q599" s="5">
        <v>4</v>
      </c>
      <c r="R599" s="5">
        <v>41</v>
      </c>
    </row>
    <row r="600" spans="17:18">
      <c r="Q600" s="3">
        <v>95</v>
      </c>
      <c r="R600" s="3">
        <v>250</v>
      </c>
    </row>
    <row r="601" spans="17:18">
      <c r="Q601" s="5">
        <v>12</v>
      </c>
      <c r="R601" s="5">
        <v>96</v>
      </c>
    </row>
    <row r="602" spans="17:18">
      <c r="Q602" s="3">
        <v>74</v>
      </c>
      <c r="R602" s="3">
        <v>554</v>
      </c>
    </row>
    <row r="603" spans="17:18">
      <c r="Q603" s="5">
        <v>34</v>
      </c>
      <c r="R603" s="5">
        <v>322</v>
      </c>
    </row>
    <row r="604" spans="17:18">
      <c r="Q604" s="3">
        <v>13</v>
      </c>
      <c r="R604" s="3">
        <v>126</v>
      </c>
    </row>
    <row r="605" spans="17:18">
      <c r="Q605" s="5">
        <v>13</v>
      </c>
      <c r="R605" s="5">
        <v>127</v>
      </c>
    </row>
    <row r="606" spans="17:18">
      <c r="Q606" s="3">
        <v>14</v>
      </c>
      <c r="R606" s="3">
        <v>121</v>
      </c>
    </row>
    <row r="607" spans="17:18">
      <c r="Q607" s="5">
        <v>29</v>
      </c>
      <c r="R607" s="5">
        <v>218</v>
      </c>
    </row>
    <row r="608" spans="17:18">
      <c r="Q608" s="3">
        <v>9</v>
      </c>
      <c r="R608" s="3">
        <v>60</v>
      </c>
    </row>
    <row r="609" spans="17:18">
      <c r="Q609" s="5">
        <v>33</v>
      </c>
      <c r="R609" s="5">
        <v>251</v>
      </c>
    </row>
    <row r="610" spans="17:18">
      <c r="Q610" s="3">
        <v>30</v>
      </c>
      <c r="R610" s="3">
        <v>189</v>
      </c>
    </row>
    <row r="611" spans="17:18">
      <c r="Q611" s="5">
        <v>87</v>
      </c>
      <c r="R611" s="5">
        <v>245</v>
      </c>
    </row>
    <row r="612" spans="17:18">
      <c r="Q612" s="3">
        <v>69</v>
      </c>
      <c r="R612" s="3">
        <v>522</v>
      </c>
    </row>
    <row r="613" spans="17:18">
      <c r="Q613" s="5">
        <v>24</v>
      </c>
      <c r="R613" s="5">
        <v>201</v>
      </c>
    </row>
    <row r="614" spans="17:18">
      <c r="Q614" s="3">
        <v>33</v>
      </c>
      <c r="R614" s="3">
        <v>309</v>
      </c>
    </row>
    <row r="615" spans="17:18">
      <c r="Q615" s="5">
        <v>25</v>
      </c>
      <c r="R615" s="5">
        <v>210</v>
      </c>
    </row>
    <row r="616" spans="17:18">
      <c r="Q616" s="3">
        <v>29</v>
      </c>
      <c r="R616" s="3">
        <v>213</v>
      </c>
    </row>
    <row r="617" spans="17:18">
      <c r="Q617" s="5">
        <v>31</v>
      </c>
      <c r="R617" s="5">
        <v>261</v>
      </c>
    </row>
    <row r="618" spans="17:18">
      <c r="Q618" s="3">
        <v>33</v>
      </c>
      <c r="R618" s="3">
        <v>246</v>
      </c>
    </row>
    <row r="619" spans="17:18">
      <c r="Q619" s="5">
        <v>4</v>
      </c>
      <c r="R619" s="5">
        <v>42</v>
      </c>
    </row>
    <row r="620" spans="17:18">
      <c r="Q620" s="3">
        <v>31</v>
      </c>
      <c r="R620" s="3">
        <v>196</v>
      </c>
    </row>
    <row r="621" spans="17:18">
      <c r="Q621" s="5">
        <v>85</v>
      </c>
      <c r="R621" s="5">
        <v>239</v>
      </c>
    </row>
    <row r="622" spans="17:18">
      <c r="Q622" s="3">
        <v>74</v>
      </c>
      <c r="R622" s="3">
        <v>559</v>
      </c>
    </row>
    <row r="623" spans="17:18">
      <c r="Q623" s="5">
        <v>34</v>
      </c>
      <c r="R623" s="5">
        <v>322</v>
      </c>
    </row>
    <row r="624" spans="17:18">
      <c r="Q624" s="3">
        <v>28</v>
      </c>
      <c r="R624" s="3">
        <v>171</v>
      </c>
    </row>
    <row r="625" spans="17:18">
      <c r="Q625" s="5">
        <v>29</v>
      </c>
      <c r="R625" s="5">
        <v>236</v>
      </c>
    </row>
    <row r="626" spans="17:18">
      <c r="Q626" s="3">
        <v>13</v>
      </c>
      <c r="R626" s="3">
        <v>128</v>
      </c>
    </row>
    <row r="627" spans="17:18">
      <c r="Q627" s="5">
        <v>15</v>
      </c>
      <c r="R627" s="5">
        <v>130</v>
      </c>
    </row>
    <row r="628" spans="17:18">
      <c r="Q628" s="3">
        <v>26</v>
      </c>
      <c r="R628" s="3">
        <v>197</v>
      </c>
    </row>
    <row r="629" spans="17:18">
      <c r="Q629" s="5">
        <v>7</v>
      </c>
      <c r="R629" s="5">
        <v>48</v>
      </c>
    </row>
    <row r="630" spans="17:18">
      <c r="Q630" s="3">
        <v>41</v>
      </c>
      <c r="R630" s="3">
        <v>341</v>
      </c>
    </row>
    <row r="631" spans="17:18">
      <c r="Q631" s="5">
        <v>31</v>
      </c>
      <c r="R631" s="5">
        <v>228</v>
      </c>
    </row>
    <row r="632" spans="17:18">
      <c r="Q632" s="3">
        <v>4</v>
      </c>
      <c r="R632" s="3">
        <v>44</v>
      </c>
    </row>
    <row r="633" spans="17:18">
      <c r="Q633" s="5">
        <v>95</v>
      </c>
      <c r="R633" s="5">
        <v>266</v>
      </c>
    </row>
    <row r="634" spans="17:18">
      <c r="Q634" s="3">
        <v>41</v>
      </c>
      <c r="R634" s="3">
        <v>313</v>
      </c>
    </row>
    <row r="635" spans="17:18">
      <c r="Q635" s="5">
        <v>54</v>
      </c>
      <c r="R635" s="5">
        <v>144</v>
      </c>
    </row>
    <row r="636" spans="17:18">
      <c r="Q636" s="3">
        <v>42</v>
      </c>
      <c r="R636" s="3">
        <v>325</v>
      </c>
    </row>
    <row r="637" spans="17:18">
      <c r="Q637" s="5">
        <v>37</v>
      </c>
      <c r="R637" s="5">
        <v>289</v>
      </c>
    </row>
    <row r="638" spans="17:18">
      <c r="Q638" s="3">
        <v>41</v>
      </c>
      <c r="R638" s="3">
        <v>334</v>
      </c>
    </row>
    <row r="639" spans="17:18">
      <c r="Q639" s="5">
        <v>54</v>
      </c>
      <c r="R639" s="5">
        <v>153</v>
      </c>
    </row>
    <row r="640" spans="17:18">
      <c r="Q640" s="3">
        <v>42</v>
      </c>
      <c r="R640" s="3">
        <v>346</v>
      </c>
    </row>
    <row r="641" spans="17:18">
      <c r="Q641" s="5">
        <v>37</v>
      </c>
      <c r="R641" s="5">
        <v>308</v>
      </c>
    </row>
    <row r="642" spans="17:18">
      <c r="Q642" s="3">
        <v>28</v>
      </c>
      <c r="R642" s="3">
        <v>218</v>
      </c>
    </row>
    <row r="643" spans="17:18">
      <c r="Q643" s="5">
        <v>28</v>
      </c>
      <c r="R643" s="5">
        <v>202</v>
      </c>
    </row>
    <row r="644" spans="17:18">
      <c r="Q644" s="3">
        <v>27</v>
      </c>
      <c r="R644" s="3">
        <v>205</v>
      </c>
    </row>
    <row r="645" spans="17:18">
      <c r="Q645" s="5">
        <v>23</v>
      </c>
      <c r="R645" s="5">
        <v>474</v>
      </c>
    </row>
    <row r="646" spans="17:18">
      <c r="Q646" s="3">
        <v>91</v>
      </c>
      <c r="R646" s="3">
        <v>650</v>
      </c>
    </row>
    <row r="647" spans="17:18">
      <c r="Q647" s="5">
        <v>87</v>
      </c>
      <c r="R647" s="5">
        <v>230</v>
      </c>
    </row>
    <row r="648" spans="17:18">
      <c r="Q648" s="3">
        <v>113</v>
      </c>
      <c r="R648" s="3">
        <v>69</v>
      </c>
    </row>
    <row r="649" spans="17:18">
      <c r="Q649" s="5">
        <v>45</v>
      </c>
      <c r="R649" s="5">
        <v>322</v>
      </c>
    </row>
    <row r="650" spans="17:18">
      <c r="Q650" s="3">
        <v>66</v>
      </c>
      <c r="R650" s="3">
        <v>765</v>
      </c>
    </row>
    <row r="651" spans="17:18">
      <c r="Q651" s="5">
        <v>7</v>
      </c>
      <c r="R651" s="5">
        <v>51</v>
      </c>
    </row>
    <row r="652" spans="17:18">
      <c r="Q652" s="3">
        <v>96</v>
      </c>
      <c r="R652" s="3">
        <v>513</v>
      </c>
    </row>
    <row r="653" spans="17:18">
      <c r="Q653" s="5">
        <v>74</v>
      </c>
      <c r="R653" s="5">
        <v>164</v>
      </c>
    </row>
    <row r="654" spans="17:18">
      <c r="Q654" s="3">
        <v>30</v>
      </c>
      <c r="R654" s="3">
        <v>265</v>
      </c>
    </row>
    <row r="655" spans="17:18">
      <c r="Q655" s="5">
        <v>34</v>
      </c>
      <c r="R655" s="5">
        <v>302</v>
      </c>
    </row>
    <row r="656" spans="17:18">
      <c r="Q656" s="3">
        <v>21</v>
      </c>
      <c r="R656" s="3">
        <v>187</v>
      </c>
    </row>
    <row r="657" spans="17:18">
      <c r="Q657" s="5">
        <v>31</v>
      </c>
      <c r="R657" s="5">
        <v>245</v>
      </c>
    </row>
    <row r="658" spans="17:18">
      <c r="Q658" s="3">
        <v>25</v>
      </c>
      <c r="R658" s="3">
        <v>180</v>
      </c>
    </row>
    <row r="659" spans="17:18">
      <c r="Q659" s="5">
        <v>25</v>
      </c>
      <c r="R659" s="5">
        <v>197</v>
      </c>
    </row>
    <row r="660" spans="17:18">
      <c r="Q660" s="3">
        <v>24</v>
      </c>
      <c r="R660" s="3">
        <v>454</v>
      </c>
    </row>
    <row r="661" spans="17:18">
      <c r="Q661" s="5">
        <v>87</v>
      </c>
      <c r="R661" s="5">
        <v>623</v>
      </c>
    </row>
    <row r="662" spans="17:18">
      <c r="Q662" s="3">
        <v>85</v>
      </c>
      <c r="R662" s="3">
        <v>224</v>
      </c>
    </row>
    <row r="663" spans="17:18">
      <c r="Q663" s="5">
        <v>109</v>
      </c>
      <c r="R663" s="5">
        <v>61</v>
      </c>
    </row>
    <row r="664" spans="17:18">
      <c r="Q664" s="3">
        <v>50</v>
      </c>
      <c r="R664" s="3">
        <v>363</v>
      </c>
    </row>
    <row r="665" spans="17:18">
      <c r="Q665" s="5">
        <v>59</v>
      </c>
      <c r="R665" s="5">
        <v>675</v>
      </c>
    </row>
    <row r="666" spans="17:18">
      <c r="Q666" s="3">
        <v>7</v>
      </c>
      <c r="R666" s="3">
        <v>52</v>
      </c>
    </row>
    <row r="667" spans="17:18">
      <c r="Q667" s="5">
        <v>93</v>
      </c>
      <c r="R667" s="5">
        <v>576</v>
      </c>
    </row>
    <row r="668" spans="17:18">
      <c r="Q668" s="3">
        <v>69</v>
      </c>
      <c r="R668" s="3">
        <v>160</v>
      </c>
    </row>
    <row r="669" spans="17:18">
      <c r="Q669" s="5">
        <v>22</v>
      </c>
      <c r="R669" s="5">
        <v>198</v>
      </c>
    </row>
    <row r="670" spans="17:18">
      <c r="Q670" s="3">
        <v>33</v>
      </c>
      <c r="R670" s="3">
        <v>290</v>
      </c>
    </row>
    <row r="671" spans="17:18">
      <c r="Q671" s="5">
        <v>41</v>
      </c>
      <c r="R671" s="5">
        <v>320</v>
      </c>
    </row>
    <row r="672" spans="17:18">
      <c r="Q672" s="3">
        <v>27</v>
      </c>
      <c r="R672" s="3">
        <v>195</v>
      </c>
    </row>
    <row r="673" spans="17:18">
      <c r="Q673" s="5">
        <v>29</v>
      </c>
      <c r="R673" s="5">
        <v>221</v>
      </c>
    </row>
    <row r="674" spans="17:18">
      <c r="Q674" s="3">
        <v>22</v>
      </c>
      <c r="R674" s="3">
        <v>510</v>
      </c>
    </row>
    <row r="675" spans="17:18">
      <c r="Q675" s="5">
        <v>97</v>
      </c>
      <c r="R675" s="5">
        <v>699</v>
      </c>
    </row>
    <row r="676" spans="17:18">
      <c r="Q676" s="3">
        <v>95</v>
      </c>
      <c r="R676" s="3">
        <v>250</v>
      </c>
    </row>
    <row r="677" spans="17:18">
      <c r="Q677" s="5">
        <v>122</v>
      </c>
      <c r="R677" s="5">
        <v>66</v>
      </c>
    </row>
    <row r="678" spans="17:18">
      <c r="Q678" s="3">
        <v>42</v>
      </c>
      <c r="R678" s="3">
        <v>306</v>
      </c>
    </row>
    <row r="679" spans="17:18">
      <c r="Q679" s="5">
        <v>70</v>
      </c>
      <c r="R679" s="5">
        <v>657</v>
      </c>
    </row>
    <row r="680" spans="17:18">
      <c r="Q680" s="3">
        <v>111</v>
      </c>
      <c r="R680" s="3">
        <v>747</v>
      </c>
    </row>
    <row r="681" spans="17:18">
      <c r="Q681" s="5">
        <v>74</v>
      </c>
      <c r="R681" s="5">
        <v>148</v>
      </c>
    </row>
    <row r="682" spans="17:18">
      <c r="Q682" s="3">
        <v>24</v>
      </c>
      <c r="R682" s="3">
        <v>210</v>
      </c>
    </row>
    <row r="683" spans="17:18">
      <c r="Q683" s="5">
        <v>34</v>
      </c>
      <c r="R683" s="5">
        <v>302</v>
      </c>
    </row>
    <row r="684" spans="17:18">
      <c r="Q684" s="3">
        <v>28</v>
      </c>
      <c r="R684" s="3">
        <v>232</v>
      </c>
    </row>
    <row r="685" spans="17:18">
      <c r="Q685" s="5">
        <v>28</v>
      </c>
      <c r="R685" s="5">
        <v>215</v>
      </c>
    </row>
    <row r="686" spans="17:18">
      <c r="Q686" s="3">
        <v>27</v>
      </c>
      <c r="R686" s="3">
        <v>218</v>
      </c>
    </row>
    <row r="687" spans="17:18">
      <c r="Q687" s="5">
        <v>23</v>
      </c>
      <c r="R687" s="5">
        <v>505</v>
      </c>
    </row>
    <row r="688" spans="17:18">
      <c r="Q688" s="3">
        <v>91</v>
      </c>
      <c r="R688" s="3">
        <v>693</v>
      </c>
    </row>
    <row r="689" spans="17:18">
      <c r="Q689" s="5">
        <v>87</v>
      </c>
      <c r="R689" s="5">
        <v>245</v>
      </c>
    </row>
    <row r="690" spans="17:18">
      <c r="Q690" s="3">
        <v>113</v>
      </c>
      <c r="R690" s="3">
        <v>74</v>
      </c>
    </row>
    <row r="691" spans="17:18">
      <c r="Q691" s="5">
        <v>45</v>
      </c>
      <c r="R691" s="5">
        <v>343</v>
      </c>
    </row>
    <row r="692" spans="17:18">
      <c r="Q692" s="3">
        <v>66</v>
      </c>
      <c r="R692" s="3">
        <v>815</v>
      </c>
    </row>
    <row r="693" spans="17:18">
      <c r="Q693" s="5">
        <v>7</v>
      </c>
      <c r="R693" s="5">
        <v>54</v>
      </c>
    </row>
    <row r="694" spans="17:18">
      <c r="Q694" s="3">
        <v>96</v>
      </c>
      <c r="R694" s="3">
        <v>547</v>
      </c>
    </row>
    <row r="695" spans="17:18">
      <c r="Q695" s="5">
        <v>74</v>
      </c>
      <c r="R695" s="5">
        <v>175</v>
      </c>
    </row>
    <row r="696" spans="17:18">
      <c r="Q696" s="3">
        <v>30</v>
      </c>
      <c r="R696" s="3">
        <v>282</v>
      </c>
    </row>
    <row r="697" spans="17:18">
      <c r="Q697" s="5">
        <v>34</v>
      </c>
      <c r="R697" s="5">
        <v>322</v>
      </c>
    </row>
    <row r="698" spans="17:18">
      <c r="Q698" s="3">
        <v>21</v>
      </c>
      <c r="R698" s="3">
        <v>199</v>
      </c>
    </row>
    <row r="699" spans="17:18">
      <c r="Q699" s="5">
        <v>31</v>
      </c>
      <c r="R699" s="5">
        <v>261</v>
      </c>
    </row>
    <row r="700" spans="17:18">
      <c r="Q700" s="3">
        <v>25</v>
      </c>
      <c r="R700" s="3">
        <v>192</v>
      </c>
    </row>
    <row r="701" spans="17:18">
      <c r="Q701" s="5">
        <v>25</v>
      </c>
      <c r="R701" s="5">
        <v>210</v>
      </c>
    </row>
    <row r="702" spans="17:18">
      <c r="Q702" s="3">
        <v>24</v>
      </c>
      <c r="R702" s="3">
        <v>484</v>
      </c>
    </row>
    <row r="703" spans="17:18">
      <c r="Q703" s="5">
        <v>87</v>
      </c>
      <c r="R703" s="5">
        <v>664</v>
      </c>
    </row>
    <row r="704" spans="17:18">
      <c r="Q704" s="3">
        <v>85</v>
      </c>
      <c r="R704" s="3">
        <v>239</v>
      </c>
    </row>
    <row r="705" spans="17:18">
      <c r="Q705" s="5">
        <v>109</v>
      </c>
      <c r="R705" s="5">
        <v>65</v>
      </c>
    </row>
    <row r="706" spans="17:18">
      <c r="Q706" s="3">
        <v>50</v>
      </c>
      <c r="R706" s="3">
        <v>387</v>
      </c>
    </row>
    <row r="707" spans="17:18">
      <c r="Q707" s="5">
        <v>59</v>
      </c>
      <c r="R707" s="5">
        <v>719</v>
      </c>
    </row>
    <row r="708" spans="17:18">
      <c r="Q708" s="3">
        <v>7</v>
      </c>
      <c r="R708" s="3">
        <v>55</v>
      </c>
    </row>
    <row r="709" spans="17:18">
      <c r="Q709" s="5">
        <v>93</v>
      </c>
      <c r="R709" s="5">
        <v>614</v>
      </c>
    </row>
    <row r="710" spans="17:18">
      <c r="Q710" s="3">
        <v>69</v>
      </c>
      <c r="R710" s="3">
        <v>171</v>
      </c>
    </row>
    <row r="711" spans="17:18">
      <c r="Q711" s="5">
        <v>22</v>
      </c>
      <c r="R711" s="5">
        <v>211</v>
      </c>
    </row>
    <row r="712" spans="17:18">
      <c r="Q712" s="3">
        <v>33</v>
      </c>
      <c r="R712" s="3">
        <v>309</v>
      </c>
    </row>
    <row r="713" spans="17:18">
      <c r="Q713" s="5">
        <v>41</v>
      </c>
      <c r="R713" s="5">
        <v>341</v>
      </c>
    </row>
    <row r="714" spans="17:18">
      <c r="Q714" s="3">
        <v>27</v>
      </c>
      <c r="R714" s="3">
        <v>208</v>
      </c>
    </row>
    <row r="715" spans="17:18">
      <c r="Q715" s="5">
        <v>29</v>
      </c>
      <c r="R715" s="5">
        <v>236</v>
      </c>
    </row>
    <row r="716" spans="17:18">
      <c r="Q716" s="3">
        <v>22</v>
      </c>
      <c r="R716" s="3">
        <v>543</v>
      </c>
    </row>
    <row r="717" spans="17:18">
      <c r="Q717" s="5">
        <v>97</v>
      </c>
      <c r="R717" s="5">
        <v>745</v>
      </c>
    </row>
    <row r="718" spans="17:18">
      <c r="Q718" s="3">
        <v>95</v>
      </c>
      <c r="R718" s="3">
        <v>266</v>
      </c>
    </row>
    <row r="719" spans="17:18">
      <c r="Q719" s="5">
        <v>122</v>
      </c>
      <c r="R719" s="5">
        <v>70</v>
      </c>
    </row>
    <row r="720" spans="17:18">
      <c r="Q720" s="3">
        <v>42</v>
      </c>
      <c r="R720" s="3">
        <v>326</v>
      </c>
    </row>
    <row r="721" spans="17:18">
      <c r="Q721" s="5">
        <v>70</v>
      </c>
      <c r="R721" s="5">
        <v>700</v>
      </c>
    </row>
    <row r="722" spans="17:18">
      <c r="Q722" s="3">
        <v>111</v>
      </c>
      <c r="R722" s="3">
        <v>796</v>
      </c>
    </row>
    <row r="723" spans="17:18">
      <c r="Q723" s="5">
        <v>74</v>
      </c>
      <c r="R723" s="5">
        <v>158</v>
      </c>
    </row>
    <row r="724" spans="17:18">
      <c r="Q724" s="3">
        <v>24</v>
      </c>
      <c r="R724" s="3">
        <v>224</v>
      </c>
    </row>
    <row r="725" spans="17:18">
      <c r="Q725" s="5">
        <v>34</v>
      </c>
      <c r="R725" s="5">
        <v>322</v>
      </c>
    </row>
    <row r="726" spans="17:18">
      <c r="Q726" s="3">
        <v>30</v>
      </c>
      <c r="R726" s="3">
        <v>265</v>
      </c>
    </row>
    <row r="727" spans="17:18">
      <c r="Q727" s="5">
        <v>39</v>
      </c>
      <c r="R727" s="5">
        <v>298</v>
      </c>
    </row>
    <row r="728" spans="17:18">
      <c r="Q728" s="3">
        <v>23</v>
      </c>
      <c r="R728" s="3">
        <v>182</v>
      </c>
    </row>
    <row r="729" spans="17:18">
      <c r="Q729" s="5">
        <v>66</v>
      </c>
      <c r="R729" s="5">
        <v>478</v>
      </c>
    </row>
    <row r="730" spans="17:18">
      <c r="Q730" s="3">
        <v>20</v>
      </c>
      <c r="R730" s="3">
        <v>120</v>
      </c>
    </row>
    <row r="731" spans="17:18">
      <c r="Q731" s="5">
        <v>34</v>
      </c>
      <c r="R731" s="5">
        <v>302</v>
      </c>
    </row>
    <row r="732" spans="17:18">
      <c r="Q732" s="3">
        <v>50</v>
      </c>
      <c r="R732" s="3">
        <v>367</v>
      </c>
    </row>
    <row r="733" spans="17:18">
      <c r="Q733" s="5">
        <v>21</v>
      </c>
      <c r="R733" s="5">
        <v>187</v>
      </c>
    </row>
    <row r="734" spans="17:18">
      <c r="Q734" s="3">
        <v>84</v>
      </c>
      <c r="R734" s="3">
        <v>598</v>
      </c>
    </row>
    <row r="735" spans="17:18">
      <c r="Q735" s="5">
        <v>45</v>
      </c>
      <c r="R735" s="5">
        <v>322</v>
      </c>
    </row>
    <row r="736" spans="17:18">
      <c r="Q736" s="3">
        <v>45</v>
      </c>
      <c r="R736" s="3">
        <v>322</v>
      </c>
    </row>
    <row r="737" spans="17:18">
      <c r="Q737" s="5">
        <v>34</v>
      </c>
      <c r="R737" s="5">
        <v>302</v>
      </c>
    </row>
    <row r="738" spans="17:18">
      <c r="Q738" s="3">
        <v>30</v>
      </c>
      <c r="R738" s="3">
        <v>265</v>
      </c>
    </row>
    <row r="739" spans="17:18">
      <c r="Q739" s="5">
        <v>27</v>
      </c>
      <c r="R739" s="5">
        <v>205</v>
      </c>
    </row>
    <row r="740" spans="17:18">
      <c r="Q740" s="3">
        <v>28</v>
      </c>
      <c r="R740" s="3">
        <v>218</v>
      </c>
    </row>
    <row r="741" spans="17:18">
      <c r="Q741" s="5">
        <v>29</v>
      </c>
      <c r="R741" s="5">
        <v>205</v>
      </c>
    </row>
    <row r="742" spans="17:18">
      <c r="Q742" s="3">
        <v>3</v>
      </c>
      <c r="R742" s="3">
        <v>23</v>
      </c>
    </row>
    <row r="743" spans="17:18">
      <c r="Q743" s="5">
        <v>28</v>
      </c>
      <c r="R743" s="5">
        <v>202</v>
      </c>
    </row>
    <row r="744" spans="17:18">
      <c r="Q744" s="3">
        <v>30</v>
      </c>
      <c r="R744" s="3">
        <v>177</v>
      </c>
    </row>
    <row r="745" spans="17:18">
      <c r="Q745" s="5">
        <v>87</v>
      </c>
      <c r="R745" s="5">
        <v>230</v>
      </c>
    </row>
    <row r="746" spans="17:18">
      <c r="Q746" s="3">
        <v>11</v>
      </c>
      <c r="R746" s="3">
        <v>99</v>
      </c>
    </row>
    <row r="747" spans="17:18">
      <c r="Q747" s="5">
        <v>24</v>
      </c>
      <c r="R747" s="5">
        <v>174</v>
      </c>
    </row>
    <row r="748" spans="17:18">
      <c r="Q748" s="3">
        <v>84</v>
      </c>
      <c r="R748" s="3">
        <v>598</v>
      </c>
    </row>
    <row r="749" spans="17:18">
      <c r="Q749" s="5">
        <v>39</v>
      </c>
      <c r="R749" s="5">
        <v>298</v>
      </c>
    </row>
    <row r="750" spans="17:18">
      <c r="Q750" s="3">
        <v>26</v>
      </c>
      <c r="R750" s="3">
        <v>109</v>
      </c>
    </row>
    <row r="751" spans="17:18">
      <c r="Q751" s="5">
        <v>66</v>
      </c>
      <c r="R751" s="5">
        <v>478</v>
      </c>
    </row>
    <row r="752" spans="17:18">
      <c r="Q752" s="3">
        <v>96</v>
      </c>
      <c r="R752" s="3">
        <v>567</v>
      </c>
    </row>
    <row r="753" spans="17:18">
      <c r="Q753" s="5">
        <v>9</v>
      </c>
      <c r="R753" s="5">
        <v>56</v>
      </c>
    </row>
    <row r="754" spans="17:18">
      <c r="Q754" s="3">
        <v>22</v>
      </c>
      <c r="R754" s="3">
        <v>198</v>
      </c>
    </row>
    <row r="755" spans="17:18">
      <c r="Q755" s="5">
        <v>36</v>
      </c>
      <c r="R755" s="5">
        <v>278</v>
      </c>
    </row>
    <row r="756" spans="17:18">
      <c r="Q756" s="3">
        <v>24</v>
      </c>
      <c r="R756" s="3">
        <v>189</v>
      </c>
    </row>
    <row r="757" spans="17:18">
      <c r="Q757" s="5">
        <v>59</v>
      </c>
      <c r="R757" s="5">
        <v>423</v>
      </c>
    </row>
    <row r="758" spans="17:18">
      <c r="Q758" s="3">
        <v>33</v>
      </c>
      <c r="R758" s="3">
        <v>290</v>
      </c>
    </row>
    <row r="759" spans="17:18">
      <c r="Q759" s="5">
        <v>57</v>
      </c>
      <c r="R759" s="5">
        <v>412</v>
      </c>
    </row>
    <row r="760" spans="17:18">
      <c r="Q760" s="3">
        <v>14</v>
      </c>
      <c r="R760" s="3">
        <v>123</v>
      </c>
    </row>
    <row r="761" spans="17:18">
      <c r="Q761" s="5">
        <v>75</v>
      </c>
      <c r="R761" s="5">
        <v>532</v>
      </c>
    </row>
    <row r="762" spans="17:18">
      <c r="Q762" s="3">
        <v>50</v>
      </c>
      <c r="R762" s="3">
        <v>363</v>
      </c>
    </row>
    <row r="763" spans="17:18">
      <c r="Q763" s="5">
        <v>50</v>
      </c>
      <c r="R763" s="5">
        <v>363</v>
      </c>
    </row>
    <row r="764" spans="17:18">
      <c r="Q764" s="3">
        <v>33</v>
      </c>
      <c r="R764" s="3">
        <v>290</v>
      </c>
    </row>
    <row r="765" spans="17:18">
      <c r="Q765" s="5">
        <v>22</v>
      </c>
      <c r="R765" s="5">
        <v>198</v>
      </c>
    </row>
    <row r="766" spans="17:18">
      <c r="Q766" s="3">
        <v>25</v>
      </c>
      <c r="R766" s="3">
        <v>197</v>
      </c>
    </row>
    <row r="767" spans="17:18">
      <c r="Q767" s="5">
        <v>24</v>
      </c>
      <c r="R767" s="5">
        <v>189</v>
      </c>
    </row>
    <row r="768" spans="17:18">
      <c r="Q768" s="3">
        <v>31</v>
      </c>
      <c r="R768" s="3">
        <v>245</v>
      </c>
    </row>
    <row r="769" spans="17:18">
      <c r="Q769" s="5">
        <v>29</v>
      </c>
      <c r="R769" s="5">
        <v>200</v>
      </c>
    </row>
    <row r="770" spans="17:18">
      <c r="Q770" s="3">
        <v>3</v>
      </c>
      <c r="R770" s="3">
        <v>23</v>
      </c>
    </row>
    <row r="771" spans="17:18">
      <c r="Q771" s="5">
        <v>25</v>
      </c>
      <c r="R771" s="5">
        <v>180</v>
      </c>
    </row>
    <row r="772" spans="17:18">
      <c r="Q772" s="3">
        <v>4</v>
      </c>
      <c r="R772" s="3">
        <v>39</v>
      </c>
    </row>
    <row r="773" spans="17:18">
      <c r="Q773" s="5">
        <v>31</v>
      </c>
      <c r="R773" s="5">
        <v>184</v>
      </c>
    </row>
    <row r="774" spans="17:18">
      <c r="Q774" s="3">
        <v>85</v>
      </c>
      <c r="R774" s="3">
        <v>224</v>
      </c>
    </row>
    <row r="775" spans="17:18">
      <c r="Q775" s="5">
        <v>15</v>
      </c>
      <c r="R775" s="5">
        <v>132</v>
      </c>
    </row>
    <row r="776" spans="17:18">
      <c r="Q776" s="3">
        <v>23</v>
      </c>
      <c r="R776" s="3">
        <v>164</v>
      </c>
    </row>
    <row r="777" spans="17:18">
      <c r="Q777" s="5">
        <v>75</v>
      </c>
      <c r="R777" s="5">
        <v>532</v>
      </c>
    </row>
    <row r="778" spans="17:18">
      <c r="Q778" s="3">
        <v>36</v>
      </c>
      <c r="R778" s="3">
        <v>278</v>
      </c>
    </row>
    <row r="779" spans="17:18">
      <c r="Q779" s="5">
        <v>59</v>
      </c>
      <c r="R779" s="5">
        <v>423</v>
      </c>
    </row>
    <row r="780" spans="17:18">
      <c r="Q780" s="3">
        <v>93</v>
      </c>
      <c r="R780" s="3">
        <v>545</v>
      </c>
    </row>
    <row r="781" spans="17:18">
      <c r="Q781" s="5">
        <v>24</v>
      </c>
      <c r="R781" s="5">
        <v>210</v>
      </c>
    </row>
    <row r="782" spans="17:18">
      <c r="Q782" s="3">
        <v>40</v>
      </c>
      <c r="R782" s="3">
        <v>312</v>
      </c>
    </row>
    <row r="783" spans="17:18">
      <c r="Q783" s="5">
        <v>22</v>
      </c>
      <c r="R783" s="5">
        <v>168</v>
      </c>
    </row>
    <row r="784" spans="17:18">
      <c r="Q784" s="3">
        <v>70</v>
      </c>
      <c r="R784" s="3">
        <v>501</v>
      </c>
    </row>
    <row r="785" spans="17:18">
      <c r="Q785" s="5">
        <v>34</v>
      </c>
      <c r="R785" s="5">
        <v>302</v>
      </c>
    </row>
    <row r="786" spans="17:18">
      <c r="Q786" s="3">
        <v>73</v>
      </c>
      <c r="R786" s="3">
        <v>534</v>
      </c>
    </row>
    <row r="787" spans="17:18">
      <c r="Q787" s="5">
        <v>15</v>
      </c>
      <c r="R787" s="5">
        <v>133</v>
      </c>
    </row>
    <row r="788" spans="17:18">
      <c r="Q788" s="3">
        <v>81</v>
      </c>
      <c r="R788" s="3">
        <v>576</v>
      </c>
    </row>
    <row r="789" spans="17:18">
      <c r="Q789" s="5">
        <v>42</v>
      </c>
      <c r="R789" s="5">
        <v>306</v>
      </c>
    </row>
    <row r="790" spans="17:18">
      <c r="Q790" s="3">
        <v>42</v>
      </c>
      <c r="R790" s="3">
        <v>306</v>
      </c>
    </row>
    <row r="791" spans="17:18">
      <c r="Q791" s="5">
        <v>34</v>
      </c>
      <c r="R791" s="5">
        <v>302</v>
      </c>
    </row>
    <row r="792" spans="17:18">
      <c r="Q792" s="3">
        <v>24</v>
      </c>
      <c r="R792" s="3">
        <v>210</v>
      </c>
    </row>
    <row r="793" spans="17:18">
      <c r="Q793" s="5">
        <v>29</v>
      </c>
      <c r="R793" s="5">
        <v>221</v>
      </c>
    </row>
    <row r="794" spans="17:18">
      <c r="Q794" s="3">
        <v>41</v>
      </c>
      <c r="R794" s="3">
        <v>320</v>
      </c>
    </row>
    <row r="795" spans="17:18">
      <c r="Q795" s="5">
        <v>26</v>
      </c>
      <c r="R795" s="5">
        <v>185</v>
      </c>
    </row>
    <row r="796" spans="17:18">
      <c r="Q796" s="3">
        <v>3</v>
      </c>
      <c r="R796" s="3">
        <v>24</v>
      </c>
    </row>
    <row r="797" spans="17:18">
      <c r="Q797" s="5">
        <v>27</v>
      </c>
      <c r="R797" s="5">
        <v>195</v>
      </c>
    </row>
    <row r="798" spans="17:18">
      <c r="Q798" s="3">
        <v>25</v>
      </c>
      <c r="R798" s="3">
        <v>153</v>
      </c>
    </row>
    <row r="799" spans="17:18">
      <c r="Q799" s="5">
        <v>95</v>
      </c>
      <c r="R799" s="5">
        <v>250</v>
      </c>
    </row>
    <row r="800" spans="17:18">
      <c r="Q800" s="3">
        <v>14</v>
      </c>
      <c r="R800" s="3">
        <v>123</v>
      </c>
    </row>
    <row r="801" spans="17:18">
      <c r="Q801" s="5">
        <v>24</v>
      </c>
      <c r="R801" s="5">
        <v>176</v>
      </c>
    </row>
    <row r="802" spans="17:18">
      <c r="Q802" s="3">
        <v>81</v>
      </c>
      <c r="R802" s="3">
        <v>576</v>
      </c>
    </row>
    <row r="803" spans="17:18">
      <c r="Q803" s="5">
        <v>40</v>
      </c>
      <c r="R803" s="5">
        <v>312</v>
      </c>
    </row>
    <row r="804" spans="17:18">
      <c r="Q804" s="3">
        <v>70</v>
      </c>
      <c r="R804" s="3">
        <v>501</v>
      </c>
    </row>
    <row r="805" spans="17:18">
      <c r="Q805" s="5">
        <v>111</v>
      </c>
      <c r="R805" s="5">
        <v>654</v>
      </c>
    </row>
    <row r="806" spans="17:18">
      <c r="Q806" s="3">
        <v>7</v>
      </c>
      <c r="R806" s="3">
        <v>45</v>
      </c>
    </row>
    <row r="807" spans="17:18">
      <c r="Q807" s="5">
        <v>30</v>
      </c>
      <c r="R807" s="5">
        <v>282</v>
      </c>
    </row>
    <row r="808" spans="17:18">
      <c r="Q808" s="3">
        <v>39</v>
      </c>
      <c r="R808" s="3">
        <v>318</v>
      </c>
    </row>
    <row r="809" spans="17:18">
      <c r="Q809" s="5">
        <v>23</v>
      </c>
      <c r="R809" s="5">
        <v>194</v>
      </c>
    </row>
    <row r="810" spans="17:18">
      <c r="Q810" s="3">
        <v>66</v>
      </c>
      <c r="R810" s="3">
        <v>509</v>
      </c>
    </row>
    <row r="811" spans="17:18">
      <c r="Q811" s="5">
        <v>20</v>
      </c>
      <c r="R811" s="5">
        <v>128</v>
      </c>
    </row>
    <row r="812" spans="17:18">
      <c r="Q812" s="3">
        <v>34</v>
      </c>
      <c r="R812" s="3">
        <v>322</v>
      </c>
    </row>
    <row r="813" spans="17:18">
      <c r="Q813" s="5">
        <v>50</v>
      </c>
      <c r="R813" s="5">
        <v>391</v>
      </c>
    </row>
    <row r="814" spans="17:18">
      <c r="Q814" s="3">
        <v>21</v>
      </c>
      <c r="R814" s="3">
        <v>199</v>
      </c>
    </row>
    <row r="815" spans="17:18">
      <c r="Q815" s="5">
        <v>84</v>
      </c>
      <c r="R815" s="5">
        <v>637</v>
      </c>
    </row>
    <row r="816" spans="17:18">
      <c r="Q816" s="3">
        <v>45</v>
      </c>
      <c r="R816" s="3">
        <v>343</v>
      </c>
    </row>
    <row r="817" spans="17:18">
      <c r="Q817" s="5">
        <v>45</v>
      </c>
      <c r="R817" s="5">
        <v>343</v>
      </c>
    </row>
    <row r="818" spans="17:18">
      <c r="Q818" s="3">
        <v>34</v>
      </c>
      <c r="R818" s="3">
        <v>322</v>
      </c>
    </row>
    <row r="819" spans="17:18">
      <c r="Q819" s="5">
        <v>30</v>
      </c>
      <c r="R819" s="5">
        <v>282</v>
      </c>
    </row>
    <row r="820" spans="17:18">
      <c r="Q820" s="3">
        <v>27</v>
      </c>
      <c r="R820" s="3">
        <v>218</v>
      </c>
    </row>
    <row r="821" spans="17:18">
      <c r="Q821" s="5">
        <v>28</v>
      </c>
      <c r="R821" s="5">
        <v>232</v>
      </c>
    </row>
    <row r="822" spans="17:18">
      <c r="Q822" s="3">
        <v>29</v>
      </c>
      <c r="R822" s="3">
        <v>218</v>
      </c>
    </row>
    <row r="823" spans="17:18">
      <c r="Q823" s="5">
        <v>3</v>
      </c>
      <c r="R823" s="5">
        <v>25</v>
      </c>
    </row>
    <row r="824" spans="17:18">
      <c r="Q824" s="3">
        <v>28</v>
      </c>
      <c r="R824" s="3">
        <v>215</v>
      </c>
    </row>
    <row r="825" spans="17:18">
      <c r="Q825" s="5">
        <v>30</v>
      </c>
      <c r="R825" s="5">
        <v>189</v>
      </c>
    </row>
    <row r="826" spans="17:18">
      <c r="Q826" s="3">
        <v>87</v>
      </c>
      <c r="R826" s="3">
        <v>245</v>
      </c>
    </row>
    <row r="827" spans="17:18">
      <c r="Q827" s="5">
        <v>11</v>
      </c>
      <c r="R827" s="5">
        <v>106</v>
      </c>
    </row>
    <row r="828" spans="17:18">
      <c r="Q828" s="3">
        <v>24</v>
      </c>
      <c r="R828" s="3">
        <v>185</v>
      </c>
    </row>
    <row r="829" spans="17:18">
      <c r="Q829" s="5">
        <v>84</v>
      </c>
      <c r="R829" s="5">
        <v>637</v>
      </c>
    </row>
    <row r="830" spans="17:18">
      <c r="Q830" s="3">
        <v>39</v>
      </c>
      <c r="R830" s="3">
        <v>318</v>
      </c>
    </row>
    <row r="831" spans="17:18">
      <c r="Q831" s="5">
        <v>26</v>
      </c>
      <c r="R831" s="5">
        <v>116</v>
      </c>
    </row>
    <row r="832" spans="17:18">
      <c r="Q832" s="3">
        <v>66</v>
      </c>
      <c r="R832" s="3">
        <v>509</v>
      </c>
    </row>
    <row r="833" spans="17:18">
      <c r="Q833" s="5">
        <v>96</v>
      </c>
      <c r="R833" s="5">
        <v>604</v>
      </c>
    </row>
    <row r="834" spans="17:18">
      <c r="Q834" s="3">
        <v>9</v>
      </c>
      <c r="R834" s="3">
        <v>60</v>
      </c>
    </row>
    <row r="835" spans="17:18">
      <c r="Q835" s="5">
        <v>22</v>
      </c>
      <c r="R835" s="5">
        <v>211</v>
      </c>
    </row>
    <row r="836" spans="17:18">
      <c r="Q836" s="3">
        <v>36</v>
      </c>
      <c r="R836" s="3">
        <v>296</v>
      </c>
    </row>
    <row r="837" spans="17:18">
      <c r="Q837" s="5">
        <v>24</v>
      </c>
      <c r="R837" s="5">
        <v>201</v>
      </c>
    </row>
    <row r="838" spans="17:18">
      <c r="Q838" s="3">
        <v>59</v>
      </c>
      <c r="R838" s="3">
        <v>451</v>
      </c>
    </row>
    <row r="839" spans="17:18">
      <c r="Q839" s="5">
        <v>33</v>
      </c>
      <c r="R839" s="5">
        <v>309</v>
      </c>
    </row>
    <row r="840" spans="17:18">
      <c r="Q840" s="3">
        <v>57</v>
      </c>
      <c r="R840" s="3">
        <v>439</v>
      </c>
    </row>
    <row r="841" spans="17:18">
      <c r="Q841" s="5">
        <v>14</v>
      </c>
      <c r="R841" s="5">
        <v>131</v>
      </c>
    </row>
    <row r="842" spans="17:18">
      <c r="Q842" s="3">
        <v>75</v>
      </c>
      <c r="R842" s="3">
        <v>567</v>
      </c>
    </row>
    <row r="843" spans="17:18">
      <c r="Q843" s="5">
        <v>50</v>
      </c>
      <c r="R843" s="5">
        <v>387</v>
      </c>
    </row>
    <row r="844" spans="17:18">
      <c r="Q844" s="3">
        <v>50</v>
      </c>
      <c r="R844" s="3">
        <v>387</v>
      </c>
    </row>
    <row r="845" spans="17:18">
      <c r="Q845" s="5">
        <v>33</v>
      </c>
      <c r="R845" s="5">
        <v>309</v>
      </c>
    </row>
    <row r="846" spans="17:18">
      <c r="Q846" s="3">
        <v>22</v>
      </c>
      <c r="R846" s="3">
        <v>211</v>
      </c>
    </row>
    <row r="847" spans="17:18">
      <c r="Q847" s="5">
        <v>25</v>
      </c>
      <c r="R847" s="5">
        <v>210</v>
      </c>
    </row>
    <row r="848" spans="17:18">
      <c r="Q848" s="3">
        <v>24</v>
      </c>
      <c r="R848" s="3">
        <v>201</v>
      </c>
    </row>
    <row r="849" spans="17:18">
      <c r="Q849" s="5">
        <v>31</v>
      </c>
      <c r="R849" s="5">
        <v>261</v>
      </c>
    </row>
    <row r="850" spans="17:18">
      <c r="Q850" s="3">
        <v>29</v>
      </c>
      <c r="R850" s="3">
        <v>213</v>
      </c>
    </row>
    <row r="851" spans="17:18">
      <c r="Q851" s="5">
        <v>3</v>
      </c>
      <c r="R851" s="5">
        <v>25</v>
      </c>
    </row>
    <row r="852" spans="17:18">
      <c r="Q852" s="3">
        <v>25</v>
      </c>
      <c r="R852" s="3">
        <v>192</v>
      </c>
    </row>
    <row r="853" spans="17:18">
      <c r="Q853" s="5">
        <v>4</v>
      </c>
      <c r="R853" s="5">
        <v>42</v>
      </c>
    </row>
    <row r="854" spans="17:18">
      <c r="Q854" s="3">
        <v>31</v>
      </c>
      <c r="R854" s="3">
        <v>196</v>
      </c>
    </row>
    <row r="855" spans="17:18">
      <c r="Q855" s="5">
        <v>85</v>
      </c>
      <c r="R855" s="5">
        <v>239</v>
      </c>
    </row>
    <row r="856" spans="17:18">
      <c r="Q856" s="3">
        <v>15</v>
      </c>
      <c r="R856" s="3">
        <v>141</v>
      </c>
    </row>
    <row r="857" spans="17:18">
      <c r="Q857" s="5">
        <v>23</v>
      </c>
      <c r="R857" s="5">
        <v>175</v>
      </c>
    </row>
    <row r="858" spans="17:18">
      <c r="Q858" s="3">
        <v>75</v>
      </c>
      <c r="R858" s="3">
        <v>567</v>
      </c>
    </row>
    <row r="859" spans="17:18">
      <c r="Q859" s="5">
        <v>36</v>
      </c>
      <c r="R859" s="5">
        <v>296</v>
      </c>
    </row>
    <row r="860" spans="17:18">
      <c r="Q860" s="3">
        <v>59</v>
      </c>
      <c r="R860" s="3">
        <v>451</v>
      </c>
    </row>
    <row r="861" spans="17:18">
      <c r="Q861" s="5">
        <v>93</v>
      </c>
      <c r="R861" s="5">
        <v>581</v>
      </c>
    </row>
    <row r="862" spans="17:18">
      <c r="Q862" s="3">
        <v>24</v>
      </c>
      <c r="R862" s="3">
        <v>224</v>
      </c>
    </row>
    <row r="863" spans="17:18">
      <c r="Q863" s="5">
        <v>40</v>
      </c>
      <c r="R863" s="5">
        <v>332</v>
      </c>
    </row>
    <row r="864" spans="17:18">
      <c r="Q864" s="3">
        <v>22</v>
      </c>
      <c r="R864" s="3">
        <v>179</v>
      </c>
    </row>
    <row r="865" spans="17:18">
      <c r="Q865" s="5">
        <v>70</v>
      </c>
      <c r="R865" s="5">
        <v>534</v>
      </c>
    </row>
    <row r="866" spans="17:18">
      <c r="Q866" s="3">
        <v>34</v>
      </c>
      <c r="R866" s="3">
        <v>322</v>
      </c>
    </row>
    <row r="867" spans="17:18">
      <c r="Q867" s="5">
        <v>73</v>
      </c>
      <c r="R867" s="5">
        <v>569</v>
      </c>
    </row>
    <row r="868" spans="17:18">
      <c r="Q868" s="3">
        <v>15</v>
      </c>
      <c r="R868" s="3">
        <v>142</v>
      </c>
    </row>
    <row r="869" spans="17:18">
      <c r="Q869" s="5">
        <v>81</v>
      </c>
      <c r="R869" s="5">
        <v>614</v>
      </c>
    </row>
    <row r="870" spans="17:18">
      <c r="Q870" s="3">
        <v>42</v>
      </c>
      <c r="R870" s="3">
        <v>326</v>
      </c>
    </row>
    <row r="871" spans="17:18">
      <c r="Q871" s="5">
        <v>42</v>
      </c>
      <c r="R871" s="5">
        <v>326</v>
      </c>
    </row>
    <row r="872" spans="17:18">
      <c r="Q872" s="3">
        <v>34</v>
      </c>
      <c r="R872" s="3">
        <v>322</v>
      </c>
    </row>
    <row r="873" spans="17:18">
      <c r="Q873" s="5">
        <v>24</v>
      </c>
      <c r="R873" s="5">
        <v>224</v>
      </c>
    </row>
    <row r="874" spans="17:18">
      <c r="Q874" s="3">
        <v>29</v>
      </c>
      <c r="R874" s="3">
        <v>236</v>
      </c>
    </row>
    <row r="875" spans="17:18">
      <c r="Q875" s="5">
        <v>41</v>
      </c>
      <c r="R875" s="5">
        <v>341</v>
      </c>
    </row>
    <row r="876" spans="17:18">
      <c r="Q876" s="3">
        <v>26</v>
      </c>
      <c r="R876" s="3">
        <v>197</v>
      </c>
    </row>
    <row r="877" spans="17:18">
      <c r="Q877" s="5">
        <v>3</v>
      </c>
      <c r="R877" s="5">
        <v>26</v>
      </c>
    </row>
    <row r="878" spans="17:18">
      <c r="Q878" s="3">
        <v>27</v>
      </c>
      <c r="R878" s="3">
        <v>208</v>
      </c>
    </row>
    <row r="879" spans="17:18">
      <c r="Q879" s="5">
        <v>25</v>
      </c>
      <c r="R879" s="5">
        <v>163</v>
      </c>
    </row>
    <row r="880" spans="17:18">
      <c r="Q880" s="3">
        <v>95</v>
      </c>
      <c r="R880" s="3">
        <v>266</v>
      </c>
    </row>
    <row r="881" spans="17:18">
      <c r="Q881" s="5">
        <v>14</v>
      </c>
      <c r="R881" s="5">
        <v>131</v>
      </c>
    </row>
    <row r="882" spans="17:18">
      <c r="Q882" s="3">
        <v>24</v>
      </c>
      <c r="R882" s="3">
        <v>188</v>
      </c>
    </row>
    <row r="883" spans="17:18">
      <c r="Q883" s="5">
        <v>81</v>
      </c>
      <c r="R883" s="5">
        <v>614</v>
      </c>
    </row>
    <row r="884" spans="17:18">
      <c r="Q884" s="3">
        <v>40</v>
      </c>
      <c r="R884" s="3">
        <v>332</v>
      </c>
    </row>
    <row r="885" spans="17:18">
      <c r="Q885" s="5">
        <v>70</v>
      </c>
      <c r="R885" s="5">
        <v>534</v>
      </c>
    </row>
    <row r="886" spans="17:18">
      <c r="Q886" s="3">
        <v>111</v>
      </c>
      <c r="R886" s="3">
        <v>697</v>
      </c>
    </row>
    <row r="887" spans="17:18">
      <c r="Q887" s="5">
        <v>7</v>
      </c>
      <c r="R887" s="5">
        <v>48</v>
      </c>
    </row>
    <row r="888" spans="17:18">
      <c r="Q888" s="3">
        <v>50</v>
      </c>
      <c r="R888" s="3">
        <v>130</v>
      </c>
    </row>
    <row r="889" spans="17:18">
      <c r="Q889" s="5">
        <v>84</v>
      </c>
      <c r="R889" s="5">
        <v>598</v>
      </c>
    </row>
    <row r="890" spans="17:18">
      <c r="Q890" s="3">
        <v>39</v>
      </c>
      <c r="R890" s="3">
        <v>109</v>
      </c>
    </row>
    <row r="891" spans="17:18">
      <c r="Q891" s="5">
        <v>91</v>
      </c>
      <c r="R891" s="5">
        <v>650</v>
      </c>
    </row>
    <row r="892" spans="17:18">
      <c r="Q892" s="3">
        <v>66</v>
      </c>
      <c r="R892" s="3">
        <v>478</v>
      </c>
    </row>
    <row r="893" spans="17:18">
      <c r="Q893" s="5">
        <v>113</v>
      </c>
      <c r="R893" s="5">
        <v>298</v>
      </c>
    </row>
    <row r="894" spans="17:18">
      <c r="Q894" s="3">
        <v>30</v>
      </c>
      <c r="R894" s="3">
        <v>265</v>
      </c>
    </row>
    <row r="895" spans="17:18">
      <c r="Q895" s="5">
        <v>74</v>
      </c>
      <c r="R895" s="5">
        <v>520</v>
      </c>
    </row>
    <row r="896" spans="17:18">
      <c r="Q896" s="3">
        <v>34</v>
      </c>
      <c r="R896" s="3">
        <v>302</v>
      </c>
    </row>
    <row r="897" spans="17:18">
      <c r="Q897" s="5">
        <v>13</v>
      </c>
      <c r="R897" s="5">
        <v>107</v>
      </c>
    </row>
    <row r="898" spans="17:18">
      <c r="Q898" s="3">
        <v>30</v>
      </c>
      <c r="R898" s="3">
        <v>177</v>
      </c>
    </row>
    <row r="899" spans="17:18">
      <c r="Q899" s="5">
        <v>87</v>
      </c>
      <c r="R899" s="5">
        <v>230</v>
      </c>
    </row>
    <row r="900" spans="17:18">
      <c r="Q900" s="3">
        <v>45</v>
      </c>
      <c r="R900" s="3">
        <v>322</v>
      </c>
    </row>
    <row r="901" spans="17:18">
      <c r="Q901" s="5">
        <v>24</v>
      </c>
      <c r="R901" s="5">
        <v>174</v>
      </c>
    </row>
    <row r="902" spans="17:18">
      <c r="Q902" s="3">
        <v>46</v>
      </c>
      <c r="R902" s="3">
        <v>122</v>
      </c>
    </row>
    <row r="903" spans="17:18">
      <c r="Q903" s="5">
        <v>20</v>
      </c>
      <c r="R903" s="5">
        <v>142</v>
      </c>
    </row>
    <row r="904" spans="17:18">
      <c r="Q904" s="3">
        <v>19</v>
      </c>
      <c r="R904" s="3">
        <v>144</v>
      </c>
    </row>
    <row r="905" spans="17:18">
      <c r="Q905" s="5">
        <v>15</v>
      </c>
      <c r="R905" s="5">
        <v>111</v>
      </c>
    </row>
    <row r="906" spans="17:18">
      <c r="Q906" s="3">
        <v>21</v>
      </c>
      <c r="R906" s="3">
        <v>167</v>
      </c>
    </row>
    <row r="907" spans="17:18">
      <c r="Q907" s="5">
        <v>7</v>
      </c>
      <c r="R907" s="5">
        <v>51</v>
      </c>
    </row>
    <row r="908" spans="17:18">
      <c r="Q908" s="3">
        <v>5</v>
      </c>
      <c r="R908" s="3">
        <v>52</v>
      </c>
    </row>
    <row r="909" spans="17:18">
      <c r="Q909" s="5">
        <v>33</v>
      </c>
      <c r="R909" s="5">
        <v>236</v>
      </c>
    </row>
    <row r="910" spans="17:18">
      <c r="Q910" s="3">
        <v>113</v>
      </c>
      <c r="R910" s="3">
        <v>298</v>
      </c>
    </row>
    <row r="911" spans="17:18">
      <c r="Q911" s="5">
        <v>41</v>
      </c>
      <c r="R911" s="5">
        <v>313</v>
      </c>
    </row>
    <row r="912" spans="17:18">
      <c r="Q912" s="3">
        <v>50</v>
      </c>
      <c r="R912" s="3">
        <v>367</v>
      </c>
    </row>
    <row r="913" spans="17:18">
      <c r="Q913" s="5">
        <v>29</v>
      </c>
      <c r="R913" s="5">
        <v>205</v>
      </c>
    </row>
    <row r="914" spans="17:18">
      <c r="Q914" s="3">
        <v>39</v>
      </c>
      <c r="R914" s="3">
        <v>298</v>
      </c>
    </row>
    <row r="915" spans="17:18">
      <c r="Q915" s="5">
        <v>26</v>
      </c>
      <c r="R915" s="5">
        <v>109</v>
      </c>
    </row>
    <row r="916" spans="17:18">
      <c r="Q916" s="3">
        <v>84</v>
      </c>
      <c r="R916" s="3">
        <v>598</v>
      </c>
    </row>
    <row r="917" spans="17:18">
      <c r="Q917" s="5">
        <v>5</v>
      </c>
      <c r="R917" s="5">
        <v>53</v>
      </c>
    </row>
    <row r="918" spans="17:18">
      <c r="Q918" s="3">
        <v>66</v>
      </c>
      <c r="R918" s="3">
        <v>478</v>
      </c>
    </row>
    <row r="919" spans="17:18">
      <c r="Q919" s="5">
        <v>96</v>
      </c>
      <c r="R919" s="5">
        <v>21</v>
      </c>
    </row>
    <row r="920" spans="17:18">
      <c r="Q920" s="3">
        <v>9</v>
      </c>
      <c r="R920" s="3">
        <v>56</v>
      </c>
    </row>
    <row r="921" spans="17:18">
      <c r="Q921" s="5">
        <v>57</v>
      </c>
      <c r="R921" s="5">
        <v>146</v>
      </c>
    </row>
    <row r="922" spans="17:18">
      <c r="Q922" s="3">
        <v>75</v>
      </c>
      <c r="R922" s="3">
        <v>532</v>
      </c>
    </row>
    <row r="923" spans="17:18">
      <c r="Q923" s="5">
        <v>36</v>
      </c>
      <c r="R923" s="5">
        <v>116</v>
      </c>
    </row>
    <row r="924" spans="17:18">
      <c r="Q924" s="3">
        <v>87</v>
      </c>
      <c r="R924" s="3">
        <v>623</v>
      </c>
    </row>
    <row r="925" spans="17:18">
      <c r="Q925" s="5">
        <v>59</v>
      </c>
      <c r="R925" s="5">
        <v>423</v>
      </c>
    </row>
    <row r="926" spans="17:18">
      <c r="Q926" s="3">
        <v>109</v>
      </c>
      <c r="R926" s="3">
        <v>289</v>
      </c>
    </row>
    <row r="927" spans="17:18">
      <c r="Q927" s="5">
        <v>22</v>
      </c>
      <c r="R927" s="5">
        <v>198</v>
      </c>
    </row>
    <row r="928" spans="17:18">
      <c r="Q928" s="3">
        <v>69</v>
      </c>
      <c r="R928" s="3">
        <v>490</v>
      </c>
    </row>
    <row r="929" spans="17:18">
      <c r="Q929" s="5">
        <v>33</v>
      </c>
      <c r="R929" s="5">
        <v>290</v>
      </c>
    </row>
    <row r="930" spans="17:18">
      <c r="Q930" s="3">
        <v>31</v>
      </c>
      <c r="R930" s="3">
        <v>184</v>
      </c>
    </row>
    <row r="931" spans="17:18">
      <c r="Q931" s="5">
        <v>85</v>
      </c>
      <c r="R931" s="5">
        <v>224</v>
      </c>
    </row>
    <row r="932" spans="17:18">
      <c r="Q932" s="3">
        <v>50</v>
      </c>
      <c r="R932" s="3">
        <v>363</v>
      </c>
    </row>
    <row r="933" spans="17:18">
      <c r="Q933" s="5">
        <v>21</v>
      </c>
      <c r="R933" s="5">
        <v>150</v>
      </c>
    </row>
    <row r="934" spans="17:18">
      <c r="Q934" s="3">
        <v>17</v>
      </c>
      <c r="R934" s="3">
        <v>128</v>
      </c>
    </row>
    <row r="935" spans="17:18">
      <c r="Q935" s="5">
        <v>20</v>
      </c>
      <c r="R935" s="5">
        <v>156</v>
      </c>
    </row>
    <row r="936" spans="17:18">
      <c r="Q936" s="3">
        <v>4</v>
      </c>
      <c r="R936" s="3">
        <v>39</v>
      </c>
    </row>
    <row r="937" spans="17:18">
      <c r="Q937" s="5">
        <v>33</v>
      </c>
      <c r="R937" s="5">
        <v>231</v>
      </c>
    </row>
    <row r="938" spans="17:18">
      <c r="Q938" s="3">
        <v>109</v>
      </c>
      <c r="R938" s="3">
        <v>289</v>
      </c>
    </row>
    <row r="939" spans="17:18">
      <c r="Q939" s="5">
        <v>42</v>
      </c>
      <c r="R939" s="5">
        <v>325</v>
      </c>
    </row>
    <row r="940" spans="17:18">
      <c r="Q940" s="3">
        <v>57</v>
      </c>
      <c r="R940" s="3">
        <v>412</v>
      </c>
    </row>
    <row r="941" spans="17:18">
      <c r="Q941" s="5">
        <v>29</v>
      </c>
      <c r="R941" s="5">
        <v>200</v>
      </c>
    </row>
    <row r="942" spans="17:18">
      <c r="Q942" s="3">
        <v>36</v>
      </c>
      <c r="R942" s="3">
        <v>278</v>
      </c>
    </row>
    <row r="943" spans="17:18">
      <c r="Q943" s="5">
        <v>75</v>
      </c>
      <c r="R943" s="5">
        <v>532</v>
      </c>
    </row>
    <row r="944" spans="17:18">
      <c r="Q944" s="3">
        <v>59</v>
      </c>
      <c r="R944" s="3">
        <v>423</v>
      </c>
    </row>
    <row r="945" spans="17:18">
      <c r="Q945" s="5">
        <v>25</v>
      </c>
      <c r="R945" s="5">
        <v>197</v>
      </c>
    </row>
    <row r="946" spans="17:18">
      <c r="Q946" s="3">
        <v>93</v>
      </c>
      <c r="R946" s="3">
        <v>32</v>
      </c>
    </row>
    <row r="947" spans="17:18">
      <c r="Q947" s="5">
        <v>31</v>
      </c>
      <c r="R947" s="5">
        <v>245</v>
      </c>
    </row>
    <row r="948" spans="17:18">
      <c r="Q948" s="3">
        <v>73</v>
      </c>
      <c r="R948" s="3">
        <v>192</v>
      </c>
    </row>
    <row r="949" spans="17:18">
      <c r="Q949" s="5">
        <v>81</v>
      </c>
      <c r="R949" s="5">
        <v>576</v>
      </c>
    </row>
    <row r="950" spans="17:18">
      <c r="Q950" s="3">
        <v>40</v>
      </c>
      <c r="R950" s="3">
        <v>102</v>
      </c>
    </row>
    <row r="951" spans="17:18">
      <c r="Q951" s="5">
        <v>97</v>
      </c>
      <c r="R951" s="5">
        <v>699</v>
      </c>
    </row>
    <row r="952" spans="17:18">
      <c r="Q952" s="3">
        <v>70</v>
      </c>
      <c r="R952" s="3">
        <v>501</v>
      </c>
    </row>
    <row r="953" spans="17:18">
      <c r="Q953" s="5">
        <v>122</v>
      </c>
      <c r="R953" s="5">
        <v>322</v>
      </c>
    </row>
    <row r="954" spans="17:18">
      <c r="Q954" s="3">
        <v>24</v>
      </c>
      <c r="R954" s="3">
        <v>210</v>
      </c>
    </row>
    <row r="955" spans="17:18">
      <c r="Q955" s="5">
        <v>74</v>
      </c>
      <c r="R955" s="5">
        <v>525</v>
      </c>
    </row>
    <row r="956" spans="17:18">
      <c r="Q956" s="3">
        <v>34</v>
      </c>
      <c r="R956" s="3">
        <v>302</v>
      </c>
    </row>
    <row r="957" spans="17:18">
      <c r="Q957" s="5">
        <v>25</v>
      </c>
      <c r="R957" s="5">
        <v>153</v>
      </c>
    </row>
    <row r="958" spans="17:18">
      <c r="Q958" s="3">
        <v>95</v>
      </c>
      <c r="R958" s="3">
        <v>250</v>
      </c>
    </row>
    <row r="959" spans="17:18">
      <c r="Q959" s="5">
        <v>42</v>
      </c>
      <c r="R959" s="5">
        <v>306</v>
      </c>
    </row>
    <row r="960" spans="17:18">
      <c r="Q960" s="3">
        <v>24</v>
      </c>
      <c r="R960" s="3">
        <v>176</v>
      </c>
    </row>
    <row r="961" spans="17:18">
      <c r="Q961" s="5">
        <v>19</v>
      </c>
      <c r="R961" s="5">
        <v>139</v>
      </c>
    </row>
    <row r="962" spans="17:18">
      <c r="Q962" s="3">
        <v>23</v>
      </c>
      <c r="R962" s="3">
        <v>176</v>
      </c>
    </row>
    <row r="963" spans="17:18">
      <c r="Q963" s="5">
        <v>4</v>
      </c>
      <c r="R963" s="5">
        <v>41</v>
      </c>
    </row>
    <row r="964" spans="17:18">
      <c r="Q964" s="3">
        <v>31</v>
      </c>
      <c r="R964" s="3">
        <v>214</v>
      </c>
    </row>
    <row r="965" spans="17:18">
      <c r="Q965" s="5">
        <v>122</v>
      </c>
      <c r="R965" s="5">
        <v>322</v>
      </c>
    </row>
    <row r="966" spans="17:18">
      <c r="Q966" s="3">
        <v>37</v>
      </c>
      <c r="R966" s="3">
        <v>289</v>
      </c>
    </row>
    <row r="967" spans="17:18">
      <c r="Q967" s="5">
        <v>73</v>
      </c>
      <c r="R967" s="5">
        <v>534</v>
      </c>
    </row>
    <row r="968" spans="17:18">
      <c r="Q968" s="3">
        <v>26</v>
      </c>
      <c r="R968" s="3">
        <v>185</v>
      </c>
    </row>
    <row r="969" spans="17:18">
      <c r="Q969" s="5">
        <v>40</v>
      </c>
      <c r="R969" s="5">
        <v>312</v>
      </c>
    </row>
    <row r="970" spans="17:18">
      <c r="Q970" s="3">
        <v>81</v>
      </c>
      <c r="R970" s="3">
        <v>576</v>
      </c>
    </row>
    <row r="971" spans="17:18">
      <c r="Q971" s="5">
        <v>70</v>
      </c>
      <c r="R971" s="5">
        <v>501</v>
      </c>
    </row>
    <row r="972" spans="17:18">
      <c r="Q972" s="3">
        <v>29</v>
      </c>
      <c r="R972" s="3">
        <v>221</v>
      </c>
    </row>
    <row r="973" spans="17:18">
      <c r="Q973" s="5">
        <v>111</v>
      </c>
      <c r="R973" s="5">
        <v>31</v>
      </c>
    </row>
    <row r="974" spans="17:18">
      <c r="Q974" s="3">
        <v>41</v>
      </c>
      <c r="R974" s="3">
        <v>320</v>
      </c>
    </row>
    <row r="975" spans="17:18">
      <c r="Q975" s="5">
        <v>7</v>
      </c>
      <c r="R975" s="5">
        <v>45</v>
      </c>
    </row>
    <row r="976" spans="17:18">
      <c r="Q976" s="3">
        <v>50</v>
      </c>
      <c r="R976" s="3">
        <v>139</v>
      </c>
    </row>
    <row r="977" spans="17:18">
      <c r="Q977" s="5">
        <v>84</v>
      </c>
      <c r="R977" s="5">
        <v>637</v>
      </c>
    </row>
    <row r="978" spans="17:18">
      <c r="Q978" s="3">
        <v>39</v>
      </c>
      <c r="R978" s="3">
        <v>116</v>
      </c>
    </row>
    <row r="979" spans="17:18">
      <c r="Q979" s="5">
        <v>91</v>
      </c>
      <c r="R979" s="5">
        <v>693</v>
      </c>
    </row>
    <row r="980" spans="17:18">
      <c r="Q980" s="3">
        <v>66</v>
      </c>
      <c r="R980" s="3">
        <v>509</v>
      </c>
    </row>
    <row r="981" spans="17:18">
      <c r="Q981" s="5">
        <v>113</v>
      </c>
      <c r="R981" s="5">
        <v>318</v>
      </c>
    </row>
    <row r="982" spans="17:18">
      <c r="Q982" s="3">
        <v>30</v>
      </c>
      <c r="R982" s="3">
        <v>282</v>
      </c>
    </row>
    <row r="983" spans="17:18">
      <c r="Q983" s="5">
        <v>74</v>
      </c>
      <c r="R983" s="5">
        <v>554</v>
      </c>
    </row>
    <row r="984" spans="17:18">
      <c r="Q984" s="3">
        <v>34</v>
      </c>
      <c r="R984" s="3">
        <v>322</v>
      </c>
    </row>
    <row r="985" spans="17:18">
      <c r="Q985" s="5">
        <v>13</v>
      </c>
      <c r="R985" s="5">
        <v>114</v>
      </c>
    </row>
    <row r="986" spans="17:18">
      <c r="Q986" s="3">
        <v>30</v>
      </c>
      <c r="R986" s="3">
        <v>189</v>
      </c>
    </row>
    <row r="987" spans="17:18">
      <c r="Q987" s="5">
        <v>87</v>
      </c>
      <c r="R987" s="5">
        <v>245</v>
      </c>
    </row>
    <row r="988" spans="17:18">
      <c r="Q988" s="3">
        <v>45</v>
      </c>
      <c r="R988" s="3">
        <v>343</v>
      </c>
    </row>
    <row r="989" spans="17:18">
      <c r="Q989" s="5">
        <v>24</v>
      </c>
      <c r="R989" s="5">
        <v>185</v>
      </c>
    </row>
    <row r="990" spans="17:18">
      <c r="Q990" s="3">
        <v>46</v>
      </c>
      <c r="R990" s="3">
        <v>130</v>
      </c>
    </row>
    <row r="991" spans="17:18">
      <c r="Q991" s="5">
        <v>20</v>
      </c>
      <c r="R991" s="5">
        <v>151</v>
      </c>
    </row>
    <row r="992" spans="17:18">
      <c r="Q992" s="3">
        <v>19</v>
      </c>
      <c r="R992" s="3">
        <v>153</v>
      </c>
    </row>
    <row r="993" spans="17:18">
      <c r="Q993" s="5">
        <v>15</v>
      </c>
      <c r="R993" s="5">
        <v>118</v>
      </c>
    </row>
    <row r="994" spans="17:18">
      <c r="Q994" s="3">
        <v>21</v>
      </c>
      <c r="R994" s="3">
        <v>178</v>
      </c>
    </row>
    <row r="995" spans="17:18">
      <c r="Q995" s="5">
        <v>7</v>
      </c>
      <c r="R995" s="5">
        <v>54</v>
      </c>
    </row>
    <row r="996" spans="17:18">
      <c r="Q996" s="3">
        <v>5</v>
      </c>
      <c r="R996" s="3">
        <v>55</v>
      </c>
    </row>
    <row r="997" spans="17:18">
      <c r="Q997" s="5">
        <v>33</v>
      </c>
      <c r="R997" s="5">
        <v>251</v>
      </c>
    </row>
    <row r="998" spans="17:18">
      <c r="Q998" s="3">
        <v>113</v>
      </c>
      <c r="R998" s="3">
        <v>318</v>
      </c>
    </row>
    <row r="999" spans="17:18">
      <c r="Q999" s="5">
        <v>41</v>
      </c>
      <c r="R999" s="5">
        <v>334</v>
      </c>
    </row>
    <row r="1000" spans="17:18">
      <c r="Q1000" s="3">
        <v>50</v>
      </c>
      <c r="R1000" s="3">
        <v>391</v>
      </c>
    </row>
    <row r="1001" spans="17:18">
      <c r="Q1001" s="5">
        <v>29</v>
      </c>
      <c r="R1001" s="5">
        <v>218</v>
      </c>
    </row>
    <row r="1002" spans="17:18">
      <c r="Q1002" s="3">
        <v>39</v>
      </c>
      <c r="R1002" s="3">
        <v>318</v>
      </c>
    </row>
    <row r="1003" spans="17:18">
      <c r="Q1003" s="5">
        <v>26</v>
      </c>
      <c r="R1003" s="5">
        <v>116</v>
      </c>
    </row>
    <row r="1004" spans="17:18">
      <c r="Q1004" s="3">
        <v>84</v>
      </c>
      <c r="R1004" s="3">
        <v>637</v>
      </c>
    </row>
    <row r="1005" spans="17:18">
      <c r="Q1005" s="5">
        <v>5</v>
      </c>
      <c r="R1005" s="5">
        <v>56</v>
      </c>
    </row>
    <row r="1006" spans="17:18">
      <c r="Q1006" s="3">
        <v>66</v>
      </c>
      <c r="R1006" s="3">
        <v>509</v>
      </c>
    </row>
    <row r="1007" spans="17:18">
      <c r="Q1007" s="5">
        <v>96</v>
      </c>
      <c r="R1007" s="5">
        <v>22</v>
      </c>
    </row>
    <row r="1008" spans="17:18">
      <c r="Q1008" s="3">
        <v>9</v>
      </c>
      <c r="R1008" s="3">
        <v>60</v>
      </c>
    </row>
    <row r="1009" spans="17:18">
      <c r="Q1009" s="5">
        <v>57</v>
      </c>
      <c r="R1009" s="5">
        <v>156</v>
      </c>
    </row>
    <row r="1010" spans="17:18">
      <c r="Q1010" s="3">
        <v>75</v>
      </c>
      <c r="R1010" s="3">
        <v>567</v>
      </c>
    </row>
    <row r="1011" spans="17:18">
      <c r="Q1011" s="5">
        <v>36</v>
      </c>
      <c r="R1011" s="5">
        <v>124</v>
      </c>
    </row>
    <row r="1012" spans="17:18">
      <c r="Q1012" s="3">
        <v>87</v>
      </c>
      <c r="R1012" s="3">
        <v>664</v>
      </c>
    </row>
    <row r="1013" spans="17:18">
      <c r="Q1013" s="5">
        <v>59</v>
      </c>
      <c r="R1013" s="5">
        <v>451</v>
      </c>
    </row>
    <row r="1014" spans="17:18">
      <c r="Q1014" s="3">
        <v>109</v>
      </c>
      <c r="R1014" s="3">
        <v>308</v>
      </c>
    </row>
    <row r="1015" spans="17:18">
      <c r="Q1015" s="5">
        <v>22</v>
      </c>
      <c r="R1015" s="5">
        <v>211</v>
      </c>
    </row>
    <row r="1016" spans="17:18">
      <c r="Q1016" s="3">
        <v>69</v>
      </c>
      <c r="R1016" s="3">
        <v>522</v>
      </c>
    </row>
    <row r="1017" spans="17:18">
      <c r="Q1017" s="5">
        <v>33</v>
      </c>
      <c r="R1017" s="5">
        <v>309</v>
      </c>
    </row>
    <row r="1018" spans="17:18">
      <c r="Q1018" s="3">
        <v>31</v>
      </c>
      <c r="R1018" s="3">
        <v>196</v>
      </c>
    </row>
    <row r="1019" spans="17:18">
      <c r="Q1019" s="5">
        <v>85</v>
      </c>
      <c r="R1019" s="5">
        <v>239</v>
      </c>
    </row>
    <row r="1020" spans="17:18">
      <c r="Q1020" s="3">
        <v>50</v>
      </c>
      <c r="R1020" s="3">
        <v>387</v>
      </c>
    </row>
    <row r="1021" spans="17:18">
      <c r="Q1021" s="5">
        <v>21</v>
      </c>
      <c r="R1021" s="5">
        <v>160</v>
      </c>
    </row>
    <row r="1022" spans="17:18">
      <c r="Q1022" s="3">
        <v>17</v>
      </c>
      <c r="R1022" s="3">
        <v>136</v>
      </c>
    </row>
    <row r="1023" spans="17:18">
      <c r="Q1023" s="5">
        <v>20</v>
      </c>
      <c r="R1023" s="5">
        <v>166</v>
      </c>
    </row>
    <row r="1024" spans="17:18">
      <c r="Q1024" s="3">
        <v>4</v>
      </c>
      <c r="R1024" s="3">
        <v>42</v>
      </c>
    </row>
    <row r="1025" spans="17:18">
      <c r="Q1025" s="5">
        <v>33</v>
      </c>
      <c r="R1025" s="5">
        <v>246</v>
      </c>
    </row>
    <row r="1026" spans="17:18">
      <c r="Q1026" s="3">
        <v>109</v>
      </c>
      <c r="R1026" s="3">
        <v>308</v>
      </c>
    </row>
    <row r="1027" spans="17:18">
      <c r="Q1027" s="5">
        <v>42</v>
      </c>
      <c r="R1027" s="5">
        <v>346</v>
      </c>
    </row>
    <row r="1028" spans="17:18">
      <c r="Q1028" s="3">
        <v>57</v>
      </c>
      <c r="R1028" s="3">
        <v>439</v>
      </c>
    </row>
    <row r="1029" spans="17:18">
      <c r="Q1029" s="5">
        <v>29</v>
      </c>
      <c r="R1029" s="5">
        <v>213</v>
      </c>
    </row>
    <row r="1030" spans="17:18">
      <c r="Q1030" s="3">
        <v>36</v>
      </c>
      <c r="R1030" s="3">
        <v>296</v>
      </c>
    </row>
    <row r="1031" spans="17:18">
      <c r="Q1031" s="5">
        <v>75</v>
      </c>
      <c r="R1031" s="5">
        <v>567</v>
      </c>
    </row>
    <row r="1032" spans="17:18">
      <c r="Q1032" s="3">
        <v>59</v>
      </c>
      <c r="R1032" s="3">
        <v>451</v>
      </c>
    </row>
    <row r="1033" spans="17:18">
      <c r="Q1033" s="5">
        <v>25</v>
      </c>
      <c r="R1033" s="5">
        <v>210</v>
      </c>
    </row>
    <row r="1034" spans="17:18">
      <c r="Q1034" s="3">
        <v>93</v>
      </c>
      <c r="R1034" s="3">
        <v>34</v>
      </c>
    </row>
    <row r="1035" spans="17:18">
      <c r="Q1035" s="5">
        <v>31</v>
      </c>
      <c r="R1035" s="5">
        <v>261</v>
      </c>
    </row>
    <row r="1036" spans="17:18">
      <c r="Q1036" s="3">
        <v>73</v>
      </c>
      <c r="R1036" s="3">
        <v>205</v>
      </c>
    </row>
    <row r="1037" spans="17:18">
      <c r="Q1037" s="5">
        <v>81</v>
      </c>
      <c r="R1037" s="5">
        <v>614</v>
      </c>
    </row>
    <row r="1038" spans="17:18">
      <c r="Q1038" s="3">
        <v>40</v>
      </c>
      <c r="R1038" s="3">
        <v>109</v>
      </c>
    </row>
    <row r="1039" spans="17:18">
      <c r="Q1039" s="5">
        <v>97</v>
      </c>
      <c r="R1039" s="5">
        <v>745</v>
      </c>
    </row>
    <row r="1040" spans="17:18">
      <c r="Q1040" s="3">
        <v>70</v>
      </c>
      <c r="R1040" s="3">
        <v>534</v>
      </c>
    </row>
    <row r="1041" spans="17:18">
      <c r="Q1041" s="5">
        <v>122</v>
      </c>
      <c r="R1041" s="5">
        <v>343</v>
      </c>
    </row>
    <row r="1042" spans="17:18">
      <c r="Q1042" s="3">
        <v>24</v>
      </c>
      <c r="R1042" s="3">
        <v>224</v>
      </c>
    </row>
    <row r="1043" spans="17:18">
      <c r="Q1043" s="5">
        <v>74</v>
      </c>
      <c r="R1043" s="5">
        <v>559</v>
      </c>
    </row>
    <row r="1044" spans="17:18">
      <c r="Q1044" s="3">
        <v>34</v>
      </c>
      <c r="R1044" s="3">
        <v>322</v>
      </c>
    </row>
    <row r="1045" spans="17:18">
      <c r="Q1045" s="5">
        <v>25</v>
      </c>
      <c r="R1045" s="5">
        <v>163</v>
      </c>
    </row>
    <row r="1046" spans="17:18">
      <c r="Q1046" s="3">
        <v>95</v>
      </c>
      <c r="R1046" s="3">
        <v>266</v>
      </c>
    </row>
    <row r="1047" spans="17:18">
      <c r="Q1047" s="5">
        <v>42</v>
      </c>
      <c r="R1047" s="5">
        <v>326</v>
      </c>
    </row>
    <row r="1048" spans="17:18">
      <c r="Q1048" s="3">
        <v>24</v>
      </c>
      <c r="R1048" s="3">
        <v>188</v>
      </c>
    </row>
    <row r="1049" spans="17:18">
      <c r="Q1049" s="5">
        <v>19</v>
      </c>
      <c r="R1049" s="5">
        <v>148</v>
      </c>
    </row>
    <row r="1050" spans="17:18">
      <c r="Q1050" s="3">
        <v>23</v>
      </c>
      <c r="R1050" s="3">
        <v>188</v>
      </c>
    </row>
    <row r="1051" spans="17:18">
      <c r="Q1051" s="5">
        <v>4</v>
      </c>
      <c r="R1051" s="5">
        <v>44</v>
      </c>
    </row>
    <row r="1052" spans="17:18">
      <c r="Q1052" s="3">
        <v>31</v>
      </c>
      <c r="R1052" s="3">
        <v>228</v>
      </c>
    </row>
    <row r="1053" spans="17:18">
      <c r="Q1053" s="5">
        <v>122</v>
      </c>
      <c r="R1053" s="5">
        <v>343</v>
      </c>
    </row>
    <row r="1054" spans="17:18">
      <c r="Q1054" s="3">
        <v>37</v>
      </c>
      <c r="R1054" s="3">
        <v>308</v>
      </c>
    </row>
    <row r="1055" spans="17:18">
      <c r="Q1055" s="5">
        <v>73</v>
      </c>
      <c r="R1055" s="5">
        <v>569</v>
      </c>
    </row>
    <row r="1056" spans="17:18">
      <c r="Q1056" s="3">
        <v>26</v>
      </c>
      <c r="R1056" s="3">
        <v>197</v>
      </c>
    </row>
    <row r="1057" spans="17:18">
      <c r="Q1057" s="5">
        <v>40</v>
      </c>
      <c r="R1057" s="5">
        <v>332</v>
      </c>
    </row>
    <row r="1058" spans="17:18">
      <c r="Q1058" s="3">
        <v>81</v>
      </c>
      <c r="R1058" s="3">
        <v>614</v>
      </c>
    </row>
    <row r="1059" spans="17:18">
      <c r="Q1059" s="5">
        <v>70</v>
      </c>
      <c r="R1059" s="5">
        <v>534</v>
      </c>
    </row>
    <row r="1060" spans="17:18">
      <c r="Q1060" s="3">
        <v>29</v>
      </c>
      <c r="R1060" s="3">
        <v>236</v>
      </c>
    </row>
    <row r="1061" spans="17:18">
      <c r="Q1061" s="5">
        <v>111</v>
      </c>
      <c r="R1061" s="5">
        <v>33</v>
      </c>
    </row>
    <row r="1062" spans="17:18">
      <c r="Q1062" s="3">
        <v>41</v>
      </c>
      <c r="R1062" s="3">
        <v>341</v>
      </c>
    </row>
    <row r="1063" spans="17:18">
      <c r="Q1063" s="35">
        <v>7</v>
      </c>
      <c r="R1063" s="35">
        <v>48</v>
      </c>
    </row>
  </sheetData>
  <mergeCells count="4">
    <mergeCell ref="B2:C2"/>
    <mergeCell ref="F2:G2"/>
    <mergeCell ref="J2:K2"/>
    <mergeCell ref="N2:O2"/>
  </mergeCells>
  <pageMargins left="0.7" right="0.7" top="0.75" bottom="0.75" header="0.3" footer="0.3"/>
  <drawing r:id="rId10"/>
  <tableParts count="1">
    <tablePart r:id="rId11"/>
  </tableParts>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0687-2C94-4C9D-9F6B-2590519324B4}">
  <dimension ref="A1"/>
  <sheetViews>
    <sheetView zoomScaleNormal="100" workbookViewId="0">
      <selection activeCell="X6" sqref="X6"/>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Coffeechain</vt:lpstr>
      <vt:lpstr>Product Types</vt:lpstr>
      <vt:lpstr> Business Objectives</vt:lpstr>
      <vt:lpstr>Key Business KPIs</vt:lpstr>
      <vt:lpstr>Charts</vt:lpstr>
      <vt:lpstr> Dataset Overview</vt:lpstr>
      <vt:lpstr>1. Data Cleaning &amp; Preparation</vt:lpstr>
      <vt:lpstr>Exploratory Data Analysis (EDA)</vt:lpstr>
      <vt:lpstr>. Profitability Deep Dive</vt:lpstr>
      <vt:lpstr>Marketing Effectiveness Analysi</vt:lpstr>
      <vt:lpstr>Trend Analysis</vt:lpstr>
      <vt:lpstr>. Root Cause Analysis </vt:lpstr>
      <vt:lpstr>Business Recommendations</vt:lpstr>
      <vt:lpstr>KPIs Section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nani ganesh</dc:creator>
  <cp:lastModifiedBy>nani ganesh</cp:lastModifiedBy>
  <dcterms:created xsi:type="dcterms:W3CDTF">2026-04-20T21:35:28Z</dcterms:created>
  <dcterms:modified xsi:type="dcterms:W3CDTF">2026-04-23T02:19:27Z</dcterms:modified>
</cp:coreProperties>
</file>